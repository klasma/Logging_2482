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45721</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45721</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45721</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45721</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45721</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45721</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45721</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45721</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45721</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45721</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45721</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45721</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45721</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45721</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45721</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45721</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45721</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45721</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45721</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45721</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45721</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45721</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45721</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45721</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45721</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45721</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45721</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45721</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45721</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45721</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45721</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45721</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45721</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45721</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45721</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45721</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45721</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45721</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45721</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45721</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45721</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45721</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45721</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45721</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45721</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45721</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45721</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45721</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45721</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45721</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45721</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45721</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45721</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45721</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45721</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45721</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45721</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45721</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45721</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45721</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45721</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45721</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45721</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45721</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45721</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45721</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45721</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45721</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45721</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45721</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45721</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45721</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45721</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45721</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45721</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45721</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45721</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45721</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45721</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45721</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45721</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45721</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45721</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45721</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45721</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45721</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45721</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45721</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45721</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45721</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45721</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45721</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45721</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45721</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45721</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45721</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45721</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45721</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45721</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45721</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45721</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45721</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45721</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45721</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45721</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45721</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45721</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45721</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45721</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45721</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45721</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45721</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45721</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45721</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45721</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45721</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45721</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45721</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45721</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45721</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45721</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45721</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45721</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45721</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45721</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45721</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45721</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45721</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45721</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45721</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45721</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45721</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45721</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45721</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45721</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45721</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45721</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45721</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45721</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45721</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45721</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45721</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45721</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45721</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45721</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45721</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45721</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45721</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45721</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45721</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45721</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45721</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45721</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45721</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45721</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45721</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45721</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45721</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45721</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45721</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45721</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45721</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45721</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45721</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45721</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45721</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5110-2025</t>
        </is>
      </c>
      <c r="B175" s="1" t="n">
        <v>45691</v>
      </c>
      <c r="C175" s="1" t="n">
        <v>45721</v>
      </c>
      <c r="D175" t="inlineStr">
        <is>
          <t>VÄSTERBOTTENS LÄN</t>
        </is>
      </c>
      <c r="E175" t="inlineStr">
        <is>
          <t>SKELLEFTEÅ</t>
        </is>
      </c>
      <c r="G175" t="n">
        <v>3.5</v>
      </c>
      <c r="H175" t="n">
        <v>0</v>
      </c>
      <c r="I175" t="n">
        <v>0</v>
      </c>
      <c r="J175" t="n">
        <v>2</v>
      </c>
      <c r="K175" t="n">
        <v>0</v>
      </c>
      <c r="L175" t="n">
        <v>0</v>
      </c>
      <c r="M175" t="n">
        <v>0</v>
      </c>
      <c r="N175" t="n">
        <v>0</v>
      </c>
      <c r="O175" t="n">
        <v>2</v>
      </c>
      <c r="P175" t="n">
        <v>0</v>
      </c>
      <c r="Q175" t="n">
        <v>2</v>
      </c>
      <c r="R175" s="2" t="inlineStr">
        <is>
          <t>Gammelgransskål
Harticka</t>
        </is>
      </c>
      <c r="S175">
        <f>HYPERLINK("https://klasma.github.io/Logging_2482/artfynd/A 5110-2025 artfynd.xlsx", "A 5110-2025")</f>
        <v/>
      </c>
      <c r="T175">
        <f>HYPERLINK("https://klasma.github.io/Logging_2482/kartor/A 5110-2025 karta.png", "A 5110-2025")</f>
        <v/>
      </c>
      <c r="V175">
        <f>HYPERLINK("https://klasma.github.io/Logging_2482/klagomål/A 5110-2025 FSC-klagomål.docx", "A 5110-2025")</f>
        <v/>
      </c>
      <c r="W175">
        <f>HYPERLINK("https://klasma.github.io/Logging_2482/klagomålsmail/A 5110-2025 FSC-klagomål mail.docx", "A 5110-2025")</f>
        <v/>
      </c>
      <c r="X175">
        <f>HYPERLINK("https://klasma.github.io/Logging_2482/tillsyn/A 5110-2025 tillsynsbegäran.docx", "A 5110-2025")</f>
        <v/>
      </c>
      <c r="Y175">
        <f>HYPERLINK("https://klasma.github.io/Logging_2482/tillsynsmail/A 5110-2025 tillsynsbegäran mail.docx", "A 5110-2025")</f>
        <v/>
      </c>
    </row>
    <row r="176" ht="15" customHeight="1">
      <c r="A176" t="inlineStr">
        <is>
          <t>A 4996-2025</t>
        </is>
      </c>
      <c r="B176" s="1" t="n">
        <v>45691</v>
      </c>
      <c r="C176" s="1" t="n">
        <v>45721</v>
      </c>
      <c r="D176" t="inlineStr">
        <is>
          <t>VÄSTERBOTTENS LÄN</t>
        </is>
      </c>
      <c r="E176" t="inlineStr">
        <is>
          <t>SKELLEFTEÅ</t>
        </is>
      </c>
      <c r="G176" t="n">
        <v>25.4</v>
      </c>
      <c r="H176" t="n">
        <v>0</v>
      </c>
      <c r="I176" t="n">
        <v>0</v>
      </c>
      <c r="J176" t="n">
        <v>2</v>
      </c>
      <c r="K176" t="n">
        <v>0</v>
      </c>
      <c r="L176" t="n">
        <v>0</v>
      </c>
      <c r="M176" t="n">
        <v>0</v>
      </c>
      <c r="N176" t="n">
        <v>0</v>
      </c>
      <c r="O176" t="n">
        <v>2</v>
      </c>
      <c r="P176" t="n">
        <v>0</v>
      </c>
      <c r="Q176" t="n">
        <v>2</v>
      </c>
      <c r="R176" s="2" t="inlineStr">
        <is>
          <t>Garnlav
Ullticka</t>
        </is>
      </c>
      <c r="S176">
        <f>HYPERLINK("https://klasma.github.io/Logging_2482/artfynd/A 4996-2025 artfynd.xlsx", "A 4996-2025")</f>
        <v/>
      </c>
      <c r="T176">
        <f>HYPERLINK("https://klasma.github.io/Logging_2482/kartor/A 4996-2025 karta.png", "A 4996-2025")</f>
        <v/>
      </c>
      <c r="U176">
        <f>HYPERLINK("https://klasma.github.io/Logging_2482/knärot/A 4996-2025 karta knärot.png", "A 4996-2025")</f>
        <v/>
      </c>
      <c r="V176">
        <f>HYPERLINK("https://klasma.github.io/Logging_2482/klagomål/A 4996-2025 FSC-klagomål.docx", "A 4996-2025")</f>
        <v/>
      </c>
      <c r="W176">
        <f>HYPERLINK("https://klasma.github.io/Logging_2482/klagomålsmail/A 4996-2025 FSC-klagomål mail.docx", "A 4996-2025")</f>
        <v/>
      </c>
      <c r="X176">
        <f>HYPERLINK("https://klasma.github.io/Logging_2482/tillsyn/A 4996-2025 tillsynsbegäran.docx", "A 4996-2025")</f>
        <v/>
      </c>
      <c r="Y176">
        <f>HYPERLINK("https://klasma.github.io/Logging_2482/tillsynsmail/A 4996-2025 tillsynsbegäran mail.docx", "A 4996-2025")</f>
        <v/>
      </c>
    </row>
    <row r="177" ht="15" customHeight="1">
      <c r="A177" t="inlineStr">
        <is>
          <t>A 9093-2025</t>
        </is>
      </c>
      <c r="B177" s="1" t="n">
        <v>45713</v>
      </c>
      <c r="C177" s="1" t="n">
        <v>45721</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9699-2025</t>
        </is>
      </c>
      <c r="B178" s="1" t="n">
        <v>45716</v>
      </c>
      <c r="C178" s="1" t="n">
        <v>45721</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45721</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45721</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45721</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45721</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45721</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45721</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45721</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45721</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45721</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45721</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45721</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45721</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45721</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45721</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45721</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45721</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45721</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45721</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45721</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45721</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45721</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45721</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45721</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45721</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45721</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45721</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45721</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45721</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45721</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45721</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45721</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45721</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45721</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45721</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45721</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45721</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45721</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45721</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45721</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45721</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45721</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45721</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45721</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45721</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45721</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45721</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45721</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45721</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45721</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45721</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45721</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45721</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45721</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45721</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45721</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45721</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45721</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45721</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45721</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45721</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45721</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45721</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45721</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45721</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45721</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45721</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45721</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45721</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45721</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45721</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45721</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45721</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45721</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45721</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45721</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45721</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45721</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45721</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45721</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45721</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45721</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45721</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45721</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45721</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45721</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45721</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45721</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45721</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45721</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45721</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45721</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45721</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45721</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45721</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45721</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45721</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45721</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45721</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45721</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45721</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45721</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45721</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45721</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45721</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45721</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45721</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45721</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45721</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45721</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45721</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45721</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45721</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45721</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45721</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45721</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45721</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45721</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45721</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45721</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45721</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45721</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45721</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45721</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45721</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45721</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45721</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45721</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45721</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45721</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45721</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45721</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45721</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45721</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45721</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45721</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45721</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45721</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45721</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45721</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45721</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45721</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45721</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45721</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45721</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45721</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45721</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45721</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45721</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45721</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45721</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45721</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45721</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45721</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45721</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45721</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45721</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45721</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45721</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45721</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45721</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45721</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45721</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45721</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45721</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45721</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45721</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45721</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45721</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45721</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45721</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45721</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45721</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45721</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45721</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45721</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45721</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45721</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45721</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45721</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45721</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45721</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45721</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45721</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45721</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45721</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45721</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45721</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45721</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45721</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45721</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45721</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45721</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45721</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45721</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45721</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45721</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45721</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45721</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45721</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45721</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45721</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45721</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45721</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45721</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45721</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45721</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45721</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45721</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45721</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45721</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45721</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45721</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45721</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45721</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45721</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45721</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45721</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45721</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45721</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45721</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45721</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45721</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45721</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45721</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45721</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45721</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45721</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45721</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45721</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45721</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45721</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45721</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45721</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45721</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45721</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45721</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45721</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45721</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45721</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45721</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45721</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45721</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45721</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45721</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45721</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45721</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45721</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45721</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45721</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45721</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45721</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45721</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45721</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45721</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45721</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45721</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45721</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45721</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45721</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45721</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45721</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45721</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45721</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45721</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45721</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45721</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45721</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45721</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45721</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45721</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45721</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45721</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45721</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45721</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45721</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45721</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45721</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45721</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45721</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45721</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45721</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45721</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45721</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45721</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45721</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45721</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45721</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45721</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45721</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45721</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45721</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45721</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45721</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45721</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45721</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45721</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45721</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45721</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45721</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45721</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45721</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45721</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45721</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45721</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45721</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45721</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45721</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45721</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45721</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45721</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45721</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45721</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45721</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45721</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45721</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45721</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45721</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45721</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45721</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45721</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45721</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45721</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45721</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45721</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45721</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45721</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45721</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45721</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45721</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45721</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45721</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45721</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45721</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45721</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45721</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45721</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45721</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45721</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45721</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45721</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45721</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45721</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45721</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45721</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45721</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45721</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45721</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45721</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45721</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45721</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45721</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45721</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45721</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45721</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45721</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45721</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45721</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45721</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45721</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45721</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45721</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45721</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45721</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45721</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45721</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45721</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45721</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45721</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45721</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45721</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45721</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45721</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45721</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45721</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45721</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45721</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45721</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45721</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45721</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45721</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45721</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45721</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45721</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45721</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45721</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45721</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45721</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45721</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45721</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45721</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45721</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45721</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45721</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45721</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45721</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45721</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45721</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45721</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45721</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45721</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45721</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45721</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45721</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45721</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45721</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45721</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45721</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45721</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45721</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45721</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45721</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45721</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45721</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45721</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45721</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45721</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45721</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45721</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45721</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45721</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45721</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45721</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45721</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45721</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45721</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45721</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45721</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45721</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45721</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45721</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45721</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45721</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45721</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45721</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45721</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45721</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45721</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45721</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45721</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45721</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45721</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45721</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45721</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45721</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45721</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45721</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45721</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45721</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45721</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45721</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45721</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45721</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45721</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45721</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45721</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45721</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45721</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45721</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45721</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45721</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45721</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45721</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45721</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45721</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45721</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45721</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45721</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45721</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45721</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45721</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45721</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45721</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45721</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45721</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45721</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45721</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45721</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45721</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45721</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45721</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45721</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45721</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45721</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45721</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45721</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45721</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45721</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45721</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45721</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45721</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45721</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45721</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45721</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45721</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45721</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45721</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45721</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45721</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45721</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45721</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45721</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45721</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45721</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45721</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45721</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45721</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45721</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45721</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45721</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45721</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45721</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45721</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45721</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45721</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45721</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45721</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45721</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45721</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45721</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45721</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45721</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45721</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45721</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45721</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45721</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45721</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45721</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45721</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45721</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45721</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45721</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45721</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45721</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45721</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45721</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45721</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45721</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45721</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45721</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45721</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45721</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45721</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45721</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45721</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45721</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45721</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45721</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45721</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45721</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45721</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45721</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45721</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45721</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45721</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45721</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45721</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45721</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45721</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45721</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45721</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45721</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45721</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45721</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45721</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45721</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45721</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45721</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45721</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45721</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45721</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45721</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45721</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45721</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45721</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45721</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45721</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45721</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45721</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45721</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45721</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45721</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45721</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45721</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45721</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45721</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45721</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45721</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45721</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45721</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45721</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45721</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45721</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45721</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45721</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45721</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45721</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45721</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45721</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45721</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45721</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45721</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45721</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45721</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45721</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45721</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45721</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45721</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45721</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45721</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45721</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45721</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45721</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45721</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45721</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45721</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45721</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45721</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45721</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45721</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45721</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45721</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45721</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45721</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45721</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45721</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45721</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45721</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45721</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45721</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45721</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45721</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45721</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45721</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45721</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45721</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45721</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45721</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45721</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45721</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45721</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45721</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45721</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45721</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45721</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45721</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45721</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45721</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45721</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45721</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45721</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45721</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45721</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45721</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45721</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45721</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45721</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45721</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45721</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45721</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45721</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45721</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45721</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45721</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45721</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45721</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45721</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45721</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45721</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45721</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45721</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45721</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45721</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45721</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45721</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45721</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45721</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45721</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45721</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45721</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45721</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45721</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45721</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45721</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45721</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45721</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45721</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45721</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45721</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45721</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45721</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45721</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45721</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45721</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45721</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45721</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45721</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45721</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45721</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45721</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45721</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45721</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45721</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45721</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45721</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45721</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45721</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45721</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45721</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45721</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45721</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45721</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45721</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45721</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45721</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45721</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45721</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45721</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45721</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45721</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45721</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45721</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45721</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45721</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45721</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45721</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45721</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45721</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45721</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45721</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45721</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45721</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45721</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45721</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45721</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45721</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45721</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45721</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45721</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45721</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45721</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45721</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45721</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45721</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45721</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45721</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45721</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45721</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45721</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45721</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45721</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45721</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45721</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45721</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45721</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45721</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45721</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45721</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45721</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45721</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45721</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45721</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45721</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45721</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45721</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45721</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45721</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45721</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45721</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45721</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45721</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45721</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45721</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45721</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45721</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45721</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45721</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45721</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45721</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45721</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45721</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45721</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45721</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45721</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45721</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45721</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45721</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45721</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45721</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45721</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45721</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45721</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45721</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45721</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45721</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45721</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45721</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45721</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45721</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45721</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45721</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45721</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45721</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45721</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45721</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45721</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45721</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45721</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45721</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45721</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45721</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45721</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45721</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45721</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45721</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45721</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45721</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45721</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45721</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45721</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45721</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45721</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45721</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45721</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45721</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45721</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45721</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45721</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45721</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45721</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45721</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45721</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45721</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45721</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45721</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45721</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45721</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45721</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45721</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45721</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45721</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45721</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45721</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45721</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45721</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45721</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45721</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45721</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45721</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45721</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45721</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45721</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45721</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45721</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45721</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45721</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45721</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45721</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45721</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45721</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45721</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45721</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45721</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45721</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45721</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45721</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45721</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45721</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45721</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45721</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45721</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45721</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45721</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45721</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45721</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45721</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45721</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45721</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45721</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45721</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45721</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45721</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45721</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45721</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45721</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45721</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45721</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45721</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45721</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45721</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45721</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45721</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45721</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45721</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45721</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45721</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45721</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45721</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45721</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45721</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45721</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45721</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45721</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45721</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45721</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45721</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45721</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45721</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45721</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45721</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45721</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45721</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45721</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45721</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45721</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45721</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45721</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45721</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45721</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45721</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45721</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45721</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45721</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45721</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45721</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45721</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45721</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45721</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45721</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45721</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45721</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45721</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45721</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45721</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45721</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45721</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45721</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45721</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45721</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45721</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45721</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45721</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45721</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45721</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45721</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45721</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45721</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45721</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45721</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45721</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45721</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45721</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45721</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45721</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45721</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45721</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45721</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45721</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45721</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45721</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45721</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45721</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45721</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45721</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45721</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45721</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45721</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45721</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45721</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45721</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45721</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45721</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45721</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45721</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45721</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45721</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45721</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45721</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45721</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45721</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45721</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45721</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45721</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45721</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45721</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45721</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45721</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45721</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45721</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45721</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45721</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45721</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45721</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45721</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45721</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45721</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45721</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45721</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45721</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45721</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45721</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45721</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45721</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45721</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45721</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45721</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45721</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45721</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45721</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45721</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45721</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45721</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45721</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45721</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45721</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45721</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45721</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45721</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45721</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45721</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45721</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45721</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45721</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45721</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45721</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45721</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45721</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45721</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45721</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45721</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45721</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45721</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45721</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45721</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45721</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45721</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45721</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45721</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45721</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45721</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45721</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45721</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45721</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45721</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45721</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45721</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45721</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45721</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45721</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45721</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45721</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45721</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45721</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45721</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45721</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45721</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45721</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45721</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45721</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45721</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45721</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45721</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45721</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45721</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45721</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45721</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45721</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45721</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45721</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45721</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45721</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45721</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45721</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45721</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45721</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45721</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45721</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45721</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45721</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45721</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45721</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45721</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45721</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45721</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45721</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45721</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45721</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45721</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45721</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45721</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45721</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45721</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45721</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45721</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45721</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45721</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45721</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45721</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45721</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45721</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45721</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45721</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45721</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45721</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45721</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45721</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45721</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45721</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45721</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45721</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45721</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45721</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45721</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45721</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45721</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45721</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45721</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45721</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45721</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45721</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45721</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45721</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45721</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45721</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45721</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45721</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45721</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45721</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45721</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45721</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45721</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45721</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45721</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45721</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45721</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45721</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45721</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45721</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45721</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45721</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45721</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45721</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45721</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45721</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45721</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45721</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45721</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45721</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45721</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45721</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45721</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45721</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45721</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45721</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45721</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45721</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45721</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45721</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45721</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45721</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45721</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45721</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45721</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45721</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45721</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45721</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45721</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45721</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45721</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45721</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45721</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45721</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45721</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45721</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45721</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45721</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45721</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45721</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45721</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45721</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45721</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45721</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45721</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45721</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45721</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45721</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45721</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45721</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45721</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45721</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45721</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45721</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45721</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45721</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45721</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45721</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45721</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45721</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45721</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45721</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45721</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45721</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45721</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45721</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45721</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45721</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45721</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45721</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45721</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45721</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45721</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45721</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45721</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45721</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45721</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45721</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45721</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45721</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45721</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45721</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45721</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45721</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45721</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45721</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45721</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45721</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45721</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45721</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45721</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45721</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45721</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45721</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45721</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45721</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45721</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45721</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45721</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45721</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45721</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45721</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45721</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45721</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45721</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45721</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45721</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45721</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45721</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45721</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45721</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45721</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45721</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45721</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45721</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45721</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45721</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45721</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45721</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45721</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45721</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45721</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45721</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45721</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45721</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45721</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45721</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45721</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45721</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45721</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45721</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45721</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45721</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45721</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45721</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45721</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45721</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45721</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45721</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45721</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45721</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45721</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45721</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45721</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45721</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45721</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45721</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45721</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45721</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45721</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45721</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45721</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45721</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45721</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45721</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45721</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45721</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45721</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45721</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45721</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45721</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45721</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45721</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45721</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45721</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45721</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45721</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45721</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45721</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45721</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45721</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45721</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45721</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45721</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45721</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45721</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45721</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45721</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45721</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45721</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45721</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45721</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45721</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45721</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45721</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45721</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45721</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45721</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45721</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45721</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45721</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45721</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45721</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45721</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45721</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45721</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45721</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45721</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45721</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45721</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45721</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45721</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45721</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45721</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45721</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45721</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45721</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45721</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45721</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45721</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45721</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45721</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45721</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45721</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45721</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45721</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45721</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45721</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45721</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45721</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45721</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45721</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45721</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45721</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45721</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45721</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45721</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45721</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45721</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45721</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45721</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45721</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45721</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45721</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45721</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45721</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45721</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45721</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45721</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45721</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45721</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45721</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45721</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45721</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45721</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45721</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45721</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45721</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45721</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45721</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45721</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45721</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45721</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45721</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45721</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45721</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45721</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45721</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45721</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45721</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45721</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45721</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45721</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45721</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45721</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45721</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45721</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45721</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45721</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45721</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45721</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45721</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45721</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45721</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45721</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45721</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45721</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45721</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45721</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45721</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45721</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45721</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45721</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45721</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45721</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45721</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45721</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45721</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45721</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45721</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45721</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45721</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45721</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45721</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45721</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45721</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45721</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45721</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45721</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45721</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45721</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45721</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45721</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45721</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45721</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45721</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45721</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45721</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45721</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45721</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45721</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45721</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45721</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45721</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45721</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45721</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45721</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45721</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45721</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45721</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45721</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45721</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45721</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45721</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45721</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45721</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45721</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45721</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45721</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45721</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45721</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45721</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45721</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45721</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45721</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45721</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45721</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45721</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45721</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45721</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45721</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45721</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45721</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45721</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45721</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45721</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45721</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45721</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45721</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45721</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45721</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45721</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45721</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45721</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45721</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45721</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45721</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45721</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45721</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45721</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45721</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45721</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45721</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45721</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45721</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45721</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45721</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45721</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45721</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45721</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45721</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45721</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45721</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45721</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45721</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45721</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45721</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45721</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45721</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45721</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45721</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45721</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45721</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45721</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45721</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45721</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45721</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45721</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45721</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45721</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45721</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45721</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45721</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45721</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45721</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45721</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45721</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45721</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45721</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45721</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45721</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45721</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45721</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45721</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45721</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45721</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45721</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45721</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45721</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45721</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45721</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45721</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45721</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45721</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45721</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45721</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45721</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45721</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45721</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45721</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45721</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45721</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45721</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45721</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45721</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45721</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45721</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45721</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45721</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45721</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45721</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45721</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45721</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45721</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45721</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45721</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45721</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45721</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45721</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45721</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45721</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45721</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45721</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45721</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45721</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45721</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45721</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45721</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45721</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45721</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45721</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45721</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45721</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45721</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45721</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45721</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45721</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45721</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45721</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45721</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45721</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45721</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45721</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45721</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45721</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45721</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45721</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45721</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45721</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45721</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45721</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45721</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45721</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45721</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45721</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45721</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45721</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45721</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45721</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45721</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45721</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45721</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45721</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45721</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45721</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45721</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45721</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45721</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45721</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45721</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45721</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45721</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45721</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45721</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45721</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45721</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45721</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45721</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45721</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45721</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45721</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45721</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45721</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45721</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45721</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45721</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45721</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45721</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45721</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45721</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45721</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45721</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45721</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45721</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45721</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45721</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45721</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45721</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45721</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45721</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45721</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45721</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45721</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45721</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45721</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45721</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45721</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45721</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45721</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45721</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45721</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45721</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45721</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45721</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45721</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45721</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45721</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45721</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45721</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45721</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45721</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45721</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45721</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45721</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45721</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45721</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45721</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45721</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45721</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45721</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45721</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45721</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45721</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45721</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45721</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45721</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45721</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45721</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45721</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45721</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45721</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45721</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45721</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45721</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45721</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45721</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45721</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45721</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45721</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45721</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45721</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45721</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45721</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45721</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45721</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45721</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45721</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45721</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45721</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45721</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45721</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45721</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45721</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45721</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45721</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45721</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45721</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45721</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45721</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45721</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45721</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45721</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45721</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45721</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45721</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45721</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45721</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45721</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45721</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45721</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45721</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45721</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45721</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45721</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45721</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45721</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45721</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45721</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45721</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45721</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45721</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45721</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45721</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45721</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45721</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45721</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45721</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45721</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45721</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45721</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45721</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45721</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45721</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45721</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45721</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45721</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45721</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45721</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45721</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45721</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45721</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45721</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45721</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45721</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45721</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45721</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45721</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45721</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45721</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45721</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45721</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45721</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45721</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45721</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45721</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45721</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45721</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45721</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45721</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45721</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45721</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45721</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45721</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45721</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45721</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45721</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45721</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45721</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45721</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45721</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45721</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45721</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45721</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45721</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45721</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45721</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45721</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45721</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45721</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45721</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45721</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45721</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45721</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45721</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45721</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45721</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45721</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45721</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45721</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45721</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45721</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45721</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45721</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45721</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45721</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45721</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45721</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45721</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45721</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45721</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45721</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45721</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45721</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45721</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45721</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45721</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45721</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45721</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45721</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45721</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45721</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45721</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45721</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45721</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45721</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45721</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45721</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45721</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45721</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45721</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45721</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45721</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45721</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45721</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45721</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45721</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45721</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45721</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45721</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45721</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45721</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45721</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45721</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45721</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45721</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45721</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45721</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45721</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45721</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45721</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45721</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45721</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45721</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45721</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45721</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45721</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45721</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45721</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45721</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45721</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45721</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45721</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45721</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45721</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45721</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45721</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45721</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45721</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45721</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45721</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45721</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45721</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45721</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45721</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45721</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45721</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45721</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45721</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45721</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45721</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45721</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45721</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45721</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45721</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45721</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45721</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45721</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45721</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45721</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45721</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45721</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45721</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45721</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45721</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45721</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45721</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45721</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45721</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45721</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45721</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45721</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45721</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45721</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45721</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45721</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45721</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45721</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45721</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45721</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45721</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45721</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45721</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45721</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45721</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45721</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45721</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45721</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45721</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45721</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45721</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45721</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45721</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45721</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45721</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45721</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45721</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45721</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45721</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45721</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45721</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45721</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45721</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45721</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45721</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45721</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45721</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45721</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45721</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45721</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45721</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45721</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45721</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45721</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45721</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45721</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45721</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45721</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45721</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45721</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45721</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45721</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45721</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45721</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45721</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45721</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45721</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45721</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45721</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45721</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45721</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45721</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45721</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45721</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45721</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45721</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45721</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45721</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45721</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45721</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45721</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45721</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45721</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45721</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45721</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45721</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45721</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45721</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45721</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45721</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45721</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45721</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45721</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45721</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45721</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45721</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45721</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45721</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45721</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45721</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45721</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45721</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45721</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45721</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45721</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45721</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45721</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45721</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45721</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45721</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45721</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45721</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45721</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45721</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45721</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45721</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45721</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45721</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45721</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45721</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45721</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45721</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45721</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45721</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45721</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45721</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45721</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45721</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45721</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45721</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45721</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45721</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45721</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45721</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45721</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45721</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45721</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45721</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45721</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45721</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45721</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45721</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45721</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45721</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45721</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45721</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45721</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45721</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45721</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45721</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45721</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45721</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45721</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45721</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45721</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45721</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45721</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45721</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45721</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45721</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45721</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45721</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45721</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45721</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45721</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45721</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45721</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45721</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45721</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45721</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45721</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45721</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45721</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45721</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45721</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45721</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45721</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45721</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45721</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45721</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45721</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45721</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45721</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45721</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45721</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45721</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45721</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45721</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45721</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45721</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45721</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45721</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45721</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45721</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45721</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45721</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45721</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45721</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45721</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45721</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45721</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45721</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45721</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45721</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45721</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45721</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45721</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45721</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45721</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45721</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45721</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45721</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45721</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45721</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45721</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45721</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45721</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45721</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45721</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45721</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45721</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45721</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45721</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45721</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45721</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45721</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45721</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45721</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45721</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45721</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45721</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45721</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45721</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45721</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45721</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45721</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45721</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45721</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45721</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45721</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45721</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45721</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45721</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45721</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45721</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45721</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45721</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45721</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45721</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45721</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45721</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45721</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45721</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45721</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45721</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45721</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45721</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45721</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45721</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45721</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45721</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45721</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45721</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45721</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45721</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45721</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45721</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45721</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45721</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45721</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45721</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45721</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45721</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45721</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45721</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45721</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45721</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45721</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45721</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45721</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45721</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45721</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45721</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45721</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45721</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45721</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45721</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45721</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45721</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45721</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45721</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45721</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45721</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45721</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45721</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45721</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45721</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45721</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45721</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45721</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45721</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45721</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45721</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45721</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45721</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45721</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45721</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45721</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45721</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45721</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45721</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45721</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45721</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45721</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45721</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45721</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45721</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45721</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45721</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45721</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45721</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45721</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45721</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45721</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45721</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45721</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45721</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45721</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45721</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45721</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45721</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45721</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45721</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45721</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45721</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45721</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45721</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45721</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45721</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45721</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45721</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45721</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45721</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45721</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45721</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45721</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45721</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45721</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45721</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45721</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45721</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45721</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45721</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45721</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45721</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45721</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45721</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45721</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45721</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45721</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45721</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45721</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45721</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45721</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45721</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45721</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45721</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45721</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45721</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45721</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45721</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45721</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45721</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45721</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45721</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45721</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45721</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45721</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45721</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45721</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45721</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45721</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45721</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45721</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45721</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45721</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45721</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45721</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45721</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45721</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45721</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45721</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45721</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45721</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45721</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45721</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45721</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45721</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45721</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45721</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45721</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45721</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45721</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45721</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45721</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45721</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45721</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45721</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45721</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45721</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45721</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45721</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45721</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45721</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45721</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45721</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45721</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45721</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45721</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45721</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45721</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45721</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45721</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45721</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45721</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45721</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45721</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45721</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45721</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45721</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45721</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45721</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45721</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45721</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45721</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45721</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45721</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45721</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45721</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45721</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45721</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45721</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45721</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45721</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45721</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45721</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45721</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45721</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45721</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45721</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45721</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45721</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45721</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45721</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45721</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45721</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45721</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45721</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45721</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45721</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45721</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45721</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45721</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45721</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45721</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45721</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45721</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45721</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45721</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45721</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45721</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45721</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45721</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45721</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45721</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45721</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45721</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45721</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45721</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45721</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45721</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45721</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45721</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45721</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45721</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45721</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45721</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45721</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45721</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45721</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45721</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45721</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45721</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45721</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45721</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45721</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45721</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45721</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45721</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45721</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45721</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45721</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45721</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45721</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45721</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45721</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45721</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45721</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45721</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45721</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45721</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45721</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45721</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45721</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45721</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45721</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45721</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45721</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45721</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45721</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45721</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45721</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45721</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45721</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45721</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45721</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45721</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45721</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45721</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45721</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45721</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45721</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45721</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45721</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45721</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45721</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45721</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45721</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45721</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45721</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45721</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45721</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45721</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45721</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45721</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45721</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45721</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45721</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45721</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45721</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45721</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45721</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45721</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45721</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45721</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45721</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45721</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45721</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45721</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45721</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45721</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45721</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45721</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45721</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45721</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45721</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45721</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45721</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45721</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45721</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45721</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45721</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45721</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45721</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45721</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45721</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45721</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45721</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45721</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45721</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45721</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45721</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45721</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45721</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45721</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45721</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45721</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45721</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45721</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45721</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45721</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45721</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45721</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45721</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45721</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45721</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45721</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45721</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45721</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45721</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45721</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45721</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45721</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45721</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45721</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45721</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45721</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45721</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45721</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45721</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45721</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45721</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45721</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45721</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45721</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45721</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45721</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45721</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45721</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45721</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45721</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45721</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45721</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45721</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45721</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45721</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45721</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45721</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45721</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45721</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45721</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45721</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45721</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45721</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45721</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45721</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45721</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45721</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45721</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45721</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45721</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45721</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45721</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45721</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45721</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45721</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45721</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45721</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45721</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45721</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45721</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45721</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45721</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45721</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45721</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45721</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45721</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45721</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45721</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45721</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45721</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45721</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45721</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45721</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45721</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45721</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45721</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45721</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45721</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45721</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45721</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45721</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45721</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45721</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45721</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45721</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45721</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45721</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45721</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45721</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45721</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45721</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45721</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45721</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45721</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45721</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45721</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45721</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45721</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45721</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45721</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45721</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45721</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45721</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45721</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45721</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45721</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45721</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45721</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45721</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45721</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45721</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45721</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45721</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45721</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45721</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45721</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45721</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45721</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45721</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45721</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45721</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45721</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45721</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45721</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45721</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45721</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45721</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45721</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45721</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45721</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45721</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45721</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45721</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45721</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45721</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45721</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45721</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45721</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45721</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45721</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45721</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45721</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45721</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45721</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45721</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45721</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45721</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45721</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45721</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45721</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45721</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45721</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45721</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45721</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45721</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45721</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45721</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45721</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45721</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45721</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45721</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45721</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45721</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45721</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45721</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45721</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45721</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45721</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45721</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45721</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45721</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45721</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45721</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45721</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45721</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45721</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45721</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45721</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45721</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45721</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45721</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45721</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45721</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45721</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45721</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45721</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45721</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45721</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45721</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45721</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45721</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45721</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45721</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45721</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45721</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45721</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45721</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45721</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45721</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45721</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45721</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45721</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45721</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45721</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45721</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45721</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45721</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45721</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45721</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45721</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45721</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45721</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45721</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45721</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45721</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45721</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45721</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45721</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45721</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45721</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45721</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45721</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45721</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45721</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45721</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45721</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45721</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45721</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45721</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45721</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45721</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45721</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45721</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45721</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45721</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45721</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45721</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45721</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45721</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45721</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45721</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45721</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45721</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45721</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45721</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45721</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45721</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45721</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45721</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45721</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45721</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45721</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45721</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45721</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45721</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45721</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45721</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45721</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45721</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45721</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45721</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45721</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45721</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45721</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45721</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45721</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45721</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45721</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45721</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45721</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45721</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45721</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45721</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45721</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45721</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45721</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45721</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45721</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45721</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45721</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45721</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45721</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45721</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45721</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45721</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45721</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45721</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45721</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45721</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45721</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45721</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45721</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45721</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45721</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45721</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45721</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45721</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45721</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45721</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45721</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45721</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45721</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45721</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45721</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45721</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45721</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45721</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45721</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45721</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45721</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45721</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45721</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45721</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45721</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45721</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45721</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45721</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45721</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45721</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45721</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45721</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45721</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45721</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45721</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45721</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45721</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45721</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45721</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45721</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45721</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45721</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45721</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45721</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45721</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45721</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45721</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45721</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45721</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45721</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45721</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45721</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45721</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45721</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45721</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45721</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45721</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45721</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45721</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45721</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45721</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45721</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45721</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45721</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45721</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45721</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45721</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45721</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45721</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45721</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45721</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45721</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45721</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45721</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45721</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45721</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45721</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45721</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45721</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45721</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45721</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45721</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45721</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45721</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45721</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45721</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45721</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45721</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45721</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45721</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45721</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45721</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45721</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45721</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45721</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45721</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45721</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45721</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45721</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45721</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45721</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45721</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45721</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45721</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45721</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45721</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45721</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45721</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45721</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45721</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45721</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45721</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45721</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45721</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45721</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45721</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45721</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45721</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45721</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45721</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45721</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45721</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45721</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45721</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45721</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45721</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45721</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45721</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45721</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45721</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45721</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45721</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45721</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45721</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45721</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45721</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45721</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45721</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45721</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45721</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45721</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45721</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45721</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45721</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45721</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45721</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45721</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45721</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45721</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45721</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45721</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45721</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45721</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45721</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45721</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45721</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45721</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45721</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45721</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45721</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45721</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45721</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45721</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45721</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45721</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45721</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45721</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45721</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45721</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45721</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45721</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45721</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45721</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45721</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45721</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45721</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45721</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45721</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45721</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45721</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45721</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45721</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45721</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45721</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45721</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45721</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45721</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45721</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45721</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45721</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45721</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45721</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45721</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45721</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45721</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45721</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45721</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45721</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45721</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45721</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45721</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45721</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45721</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45721</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45721</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45721</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45721</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45721</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45721</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45721</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45721</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45721</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45721</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45721</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45721</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45721</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45721</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45721</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45721</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45721</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45721</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45721</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45721</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45721</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45721</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45721</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45721</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45721</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45721</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45721</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45721</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45721</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45721</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45721</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45721</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45721</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45721</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45721</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45721</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45721</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45721</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45721</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45721</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45721</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45721</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45721</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45721</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45721</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45721</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45721</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45721</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45721</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45721</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45721</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45721</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45721</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45721</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45721</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45721</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45721</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45721</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45721</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45721</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45721</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45721</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45721</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45721</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45721</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45721</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45721</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45721</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45721</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45721</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45721</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45721</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45721</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45721</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45721</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45721</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45721</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45721</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45721</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45721</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45721</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45721</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45721</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45721</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45721</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45721</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45721</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45721</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45721</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45721</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45721</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45721</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45721</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45721</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45721</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45721</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45721</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45721</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45721</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45721</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45721</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45721</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45721</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45721</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45721</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45721</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45721</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45721</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45721</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45721</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45721</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45721</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45721</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45721</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45721</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45721</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45721</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45721</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45721</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45721</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45721</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45721</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45721</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45721</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45721</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45721</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45721</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45721</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45721</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45721</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45721</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45721</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45721</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45721</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45721</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45721</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45721</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45721</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45721</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45721</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45721</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45721</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45721</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45721</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45721</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45721</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45721</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45721</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45721</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45721</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45721</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45721</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45721</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45721</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45721</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45721</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45721</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45721</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45721</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45721</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45721</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45721</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45721</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45721</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45721</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45721</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45721</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45721</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45721</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45721</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45721</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45721</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45721</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45721</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45721</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45721</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45721</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45721</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45721</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45721</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45721</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45721</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45721</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45721</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45721</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45721</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45721</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45721</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45721</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45721</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45721</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45721</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45721</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45721</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45721</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45721</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45721</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45721</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45721</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45721</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45721</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45721</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45721</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45721</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45721</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45721</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45721</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45721</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45721</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45721</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45721</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45721</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45721</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45721</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45721</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45721</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45721</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45721</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45721</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45721</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45721</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45721</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45721</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45721</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45721</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45721</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45721</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45721</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45721</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45721</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45721</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45721</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45721</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45721</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45721</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45721</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45721</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45721</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45721</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45721</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45721</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45721</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45721</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45721</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45721</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45721</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45721</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45721</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45721</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45721</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45721</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45721</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45721</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45721</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45721</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45721</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45721</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45721</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45721</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45721</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45721</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45721</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45721</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45721</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45721</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45721</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45721</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45721</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45721</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45721</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45721</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45721</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45721</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45721</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45721</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45721</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45721</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45721</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45721</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45721</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45721</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45721</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45721</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45721</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45721</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45721</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45721</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45721</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45721</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45721</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45721</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45721</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45721</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45721</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45721</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45721</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45721</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45721</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45721</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45721</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45721</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45721</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45721</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45721</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45721</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45721</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45721</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45721</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45721</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45721</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45721</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45721</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45721</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45721</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45721</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45721</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45721</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45721</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45721</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45721</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45721</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45721</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45721</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45721</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45721</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45721</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45721</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45721</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45721</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45721</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45721</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45721</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45721</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45721</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45721</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45721</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45721</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45721</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45721</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45721</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45721</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45721</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45721</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45721</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45721</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45721</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45721</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45721</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45721</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45721</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45721</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45721</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45721</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45721</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45721</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45721</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45721</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45721</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45721</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45721</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45721</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45721</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45721</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45721</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45721</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45721</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45721</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45721</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45721</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45721</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45721</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45721</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45721</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45721</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45721</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45721</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45721</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45721</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45721</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45721</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45721</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45721</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45721</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45721</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45721</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45721</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45721</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45721</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45721</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45721</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45721</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45721</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45721</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45721</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45721</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45721</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45721</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45721</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45721</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45721</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45721</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45721</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45721</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45721</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45721</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45721</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45721</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45721</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45721</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45721</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45721</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45721</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45721</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45721</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45721</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45721</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45721</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45721</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45721</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45721</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45721</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45721</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45721</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45721</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45721</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45721</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45721</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45721</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45721</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45721</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45721</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45721</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45721</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45721</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45721</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45721</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45721</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45721</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45721</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45721</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45721</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45721</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45721</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45721</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45721</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45721</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45721</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45721</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45721</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45721</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45721</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45721</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45721</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45721</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45721</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45721</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45721</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45721</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45721</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45721</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45721</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45721</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45721</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45721</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45721</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45721</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45721</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45721</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45721</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45721</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45721</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45721</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45721</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45721</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45721</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45721</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45721</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45721</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45721</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45721</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45721</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45721</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45721</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45721</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45721</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45721</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45721</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45721</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45721</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45721</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45721</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45721</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45721</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45721</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45721</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45721</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45721</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45721</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45721</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45721</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45721</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45721</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45721</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45721</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45721</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45721</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45721</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45721</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45721</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45721</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45721</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45721</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45721</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45721</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45721</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45721</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45721</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45721</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45721</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45721</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45721</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45721</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45721</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45721</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45721</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45721</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45721</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45721</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45721</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45721</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45721</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45721</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45721</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45721</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45721</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45721</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45721</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45721</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45721</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45721</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45721</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45721</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45721</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45721</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45721</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45721</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45721</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45721</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45721</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45721</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45721</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45721</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45721</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45721</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45721</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45721</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45721</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45721</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45721</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45721</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45721</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45721</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45721</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45721</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45721</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45721</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45721</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45721</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45721</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45721</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45721</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45721</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45721</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45721</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45721</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45721</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45721</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45721</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45721</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45721</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45721</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45721</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45721</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45721</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45721</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45721</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45721</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45721</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45721</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45721</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45721</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45721</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45721</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45721</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45721</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45721</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45721</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45721</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45721</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45721</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45721</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45721</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45721</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45721</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45721</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45721</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45721</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45721</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45721</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45721</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45721</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45721</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45721</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45721</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45721</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45721</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45721</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45721</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45721</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45721</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45721</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45721</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45721</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45721</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45721</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45721</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45721</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45721</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45721</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45721</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45721</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45721</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45721</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45721</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45721</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45721</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45721</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45721</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45721</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45721</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45721</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45721</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5374-2025</t>
        </is>
      </c>
      <c r="B3811" s="1" t="n">
        <v>45692</v>
      </c>
      <c r="C3811" s="1" t="n">
        <v>45721</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45721</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5475-2025</t>
        </is>
      </c>
      <c r="B3813" s="1" t="n">
        <v>45693</v>
      </c>
      <c r="C3813" s="1" t="n">
        <v>45721</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45721</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5768-2025</t>
        </is>
      </c>
      <c r="B3815" s="1" t="n">
        <v>45694</v>
      </c>
      <c r="C3815" s="1" t="n">
        <v>45721</v>
      </c>
      <c r="D3815" t="inlineStr">
        <is>
          <t>VÄSTERBOTTENS LÄN</t>
        </is>
      </c>
      <c r="E3815" t="inlineStr">
        <is>
          <t>SKELLEFTEÅ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45721</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45721</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45721</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45721</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45721</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45721</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45721</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45721</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45721</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45721</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45721</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6007-2025</t>
        </is>
      </c>
      <c r="B3827" s="1" t="n">
        <v>45695</v>
      </c>
      <c r="C3827" s="1" t="n">
        <v>45721</v>
      </c>
      <c r="D3827" t="inlineStr">
        <is>
          <t>VÄSTERBOTTENS LÄN</t>
        </is>
      </c>
      <c r="E3827" t="inlineStr">
        <is>
          <t>SKELLEFTEÅ</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45721</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45721</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45721</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45721</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45721</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45721</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6899-2025</t>
        </is>
      </c>
      <c r="B3834" s="1" t="n">
        <v>45701</v>
      </c>
      <c r="C3834" s="1" t="n">
        <v>45721</v>
      </c>
      <c r="D3834" t="inlineStr">
        <is>
          <t>VÄSTERBOTTENS LÄN</t>
        </is>
      </c>
      <c r="E3834" t="inlineStr">
        <is>
          <t>SKELLEFTEÅ</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7027-2025</t>
        </is>
      </c>
      <c r="B3835" s="1" t="n">
        <v>45701</v>
      </c>
      <c r="C3835" s="1" t="n">
        <v>45721</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45721</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45721</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6900-2025</t>
        </is>
      </c>
      <c r="B3838" s="1" t="n">
        <v>45701</v>
      </c>
      <c r="C3838" s="1" t="n">
        <v>45721</v>
      </c>
      <c r="D3838" t="inlineStr">
        <is>
          <t>VÄSTERBOTTENS LÄN</t>
        </is>
      </c>
      <c r="E3838" t="inlineStr">
        <is>
          <t>SKELLEFTEÅ</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45721</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45721</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45721</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45721</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45721</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45721</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45721</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7981-2025</t>
        </is>
      </c>
      <c r="B3846" s="1" t="n">
        <v>45707</v>
      </c>
      <c r="C3846" s="1" t="n">
        <v>45721</v>
      </c>
      <c r="D3846" t="inlineStr">
        <is>
          <t>VÄSTERBOTTENS LÄN</t>
        </is>
      </c>
      <c r="E3846" t="inlineStr">
        <is>
          <t>SKELLEFTEÅ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45721</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45721</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45721</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45721</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8141-2025</t>
        </is>
      </c>
      <c r="B3851" s="1" t="n">
        <v>45708</v>
      </c>
      <c r="C3851" s="1" t="n">
        <v>45721</v>
      </c>
      <c r="D3851" t="inlineStr">
        <is>
          <t>VÄSTERBOTTENS LÄN</t>
        </is>
      </c>
      <c r="E3851" t="inlineStr">
        <is>
          <t>SKELLEFTEÅ</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8240-2025</t>
        </is>
      </c>
      <c r="B3852" s="1" t="n">
        <v>45708</v>
      </c>
      <c r="C3852" s="1" t="n">
        <v>45721</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45721</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45721</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8221-2025</t>
        </is>
      </c>
      <c r="B3855" s="1" t="n">
        <v>45708</v>
      </c>
      <c r="C3855" s="1" t="n">
        <v>45721</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45721</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45721</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45721</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45721</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45721</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8397-2025</t>
        </is>
      </c>
      <c r="B3861" s="1" t="n">
        <v>45709</v>
      </c>
      <c r="C3861" s="1" t="n">
        <v>45721</v>
      </c>
      <c r="D3861" t="inlineStr">
        <is>
          <t>VÄSTERBOTTENS LÄN</t>
        </is>
      </c>
      <c r="E3861" t="inlineStr">
        <is>
          <t>SKELLEFTEÅ</t>
        </is>
      </c>
      <c r="G3861" t="n">
        <v>16.6</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45721</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45721</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8644-2025</t>
        </is>
      </c>
      <c r="B3864" s="1" t="n">
        <v>45712</v>
      </c>
      <c r="C3864" s="1" t="n">
        <v>45721</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45721</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45721</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45721</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45721</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45721</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45721</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45721</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45721</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45721</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45721</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9441-2025</t>
        </is>
      </c>
      <c r="B3875" s="1" t="n">
        <v>45715</v>
      </c>
      <c r="C3875" s="1" t="n">
        <v>45721</v>
      </c>
      <c r="D3875" t="inlineStr">
        <is>
          <t>VÄSTERBOTTENS LÄN</t>
        </is>
      </c>
      <c r="E3875" t="inlineStr">
        <is>
          <t>SKELLEFTEÅ</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45721</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45721</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9383-2025</t>
        </is>
      </c>
      <c r="B3878" s="1" t="n">
        <v>45715</v>
      </c>
      <c r="C3878" s="1" t="n">
        <v>45721</v>
      </c>
      <c r="D3878" t="inlineStr">
        <is>
          <t>VÄSTERBOTTENS LÄN</t>
        </is>
      </c>
      <c r="E3878" t="inlineStr">
        <is>
          <t>SKELLEFTEÅ</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9432-2025</t>
        </is>
      </c>
      <c r="B3879" s="1" t="n">
        <v>45715</v>
      </c>
      <c r="C3879" s="1" t="n">
        <v>45721</v>
      </c>
      <c r="D3879" t="inlineStr">
        <is>
          <t>VÄSTERBOTTENS LÄN</t>
        </is>
      </c>
      <c r="E3879" t="inlineStr">
        <is>
          <t>SKELLEFTEÅ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45721</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45721</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45721</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9838-2025</t>
        </is>
      </c>
      <c r="B3883" s="1" t="n">
        <v>45716</v>
      </c>
      <c r="C3883" s="1" t="n">
        <v>45721</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45721</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45721</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10082-2025</t>
        </is>
      </c>
      <c r="B3886" s="1" t="n">
        <v>45719</v>
      </c>
      <c r="C3886" s="1" t="n">
        <v>45721</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45721</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10074-2025</t>
        </is>
      </c>
      <c r="B3888" s="1" t="n">
        <v>45719</v>
      </c>
      <c r="C3888" s="1" t="n">
        <v>45721</v>
      </c>
      <c r="D3888" t="inlineStr">
        <is>
          <t>VÄSTERBOTTENS LÄN</t>
        </is>
      </c>
      <c r="E3888" t="inlineStr">
        <is>
          <t>SKELLEFTEÅ</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10079-2025</t>
        </is>
      </c>
      <c r="B3889" s="1" t="n">
        <v>45719</v>
      </c>
      <c r="C3889" s="1" t="n">
        <v>45721</v>
      </c>
      <c r="D3889" t="inlineStr">
        <is>
          <t>VÄSTERBOTTENS LÄN</t>
        </is>
      </c>
      <c r="E3889" t="inlineStr">
        <is>
          <t>SKELLEFTEÅ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45721</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c r="A3891" t="inlineStr">
        <is>
          <t>A 10287-2025</t>
        </is>
      </c>
      <c r="B3891" s="1" t="n">
        <v>45720</v>
      </c>
      <c r="C3891" s="1" t="n">
        <v>45721</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2025-03-05T16:40:41Z</dcterms:created>
  <dcterms:modified xmlns:dcterms="http://purl.org/dc/terms/" xmlns:xsi="http://www.w3.org/2001/XMLSchema-instance" xsi:type="dcterms:W3CDTF">2025-03-05T16:40:44Z</dcterms:modified>
</cp:coreProperties>
</file>