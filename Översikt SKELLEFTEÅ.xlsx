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45472</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45472</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45472</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45472</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45472</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45472</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45472</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45472</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45472</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45472</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45472</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45472</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45472</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45472</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45472</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45472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45472</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45472</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45472</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45472</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45472</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45472</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45472</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45472</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45472</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45472</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45472</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45472</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45472</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45472</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45472</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45472</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45472</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45472</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45472</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45472</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45472</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45472</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45472</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45472</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45472</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45472</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45472</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45472</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45472</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45472</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45472</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45472</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45472</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45472</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45472</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45472</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45472</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68169-2020</t>
        </is>
      </c>
      <c r="B55" s="1" t="n">
        <v>44183</v>
      </c>
      <c r="C55" s="1" t="n">
        <v>45472</v>
      </c>
      <c r="D55" t="inlineStr">
        <is>
          <t>VÄSTERBOTTENS LÄN</t>
        </is>
      </c>
      <c r="E55" t="inlineStr">
        <is>
          <t>SKELLEFTEÅ</t>
        </is>
      </c>
      <c r="F55" t="inlineStr">
        <is>
          <t>Sveaskog</t>
        </is>
      </c>
      <c r="G55" t="n">
        <v>7.6</v>
      </c>
      <c r="H55" t="n">
        <v>2</v>
      </c>
      <c r="I55" t="n">
        <v>1</v>
      </c>
      <c r="J55" t="n">
        <v>2</v>
      </c>
      <c r="K55" t="n">
        <v>0</v>
      </c>
      <c r="L55" t="n">
        <v>0</v>
      </c>
      <c r="M55" t="n">
        <v>0</v>
      </c>
      <c r="N55" t="n">
        <v>0</v>
      </c>
      <c r="O55" t="n">
        <v>2</v>
      </c>
      <c r="P55" t="n">
        <v>0</v>
      </c>
      <c r="Q55" t="n">
        <v>4</v>
      </c>
      <c r="R55" s="2" t="inlineStr">
        <is>
          <t>Garnlav
Spillkråka
Vedticka
Fläcknycklar</t>
        </is>
      </c>
      <c r="S55">
        <f>HYPERLINK("https://klasma.github.io/Logging_2482/artfynd/A 68169-2020 artfynd.xlsx", "A 68169-2020")</f>
        <v/>
      </c>
      <c r="T55">
        <f>HYPERLINK("https://klasma.github.io/Logging_2482/kartor/A 68169-2020 karta.png", "A 68169-2020")</f>
        <v/>
      </c>
      <c r="V55">
        <f>HYPERLINK("https://klasma.github.io/Logging_2482/klagomål/A 68169-2020 FSC-klagomål.docx", "A 68169-2020")</f>
        <v/>
      </c>
      <c r="W55">
        <f>HYPERLINK("https://klasma.github.io/Logging_2482/klagomålsmail/A 68169-2020 FSC-klagomål mail.docx", "A 68169-2020")</f>
        <v/>
      </c>
      <c r="X55">
        <f>HYPERLINK("https://klasma.github.io/Logging_2482/tillsyn/A 68169-2020 tillsynsbegäran.docx", "A 68169-2020")</f>
        <v/>
      </c>
      <c r="Y55">
        <f>HYPERLINK("https://klasma.github.io/Logging_2482/tillsynsmail/A 68169-2020 tillsynsbegäran mail.docx", "A 68169-2020")</f>
        <v/>
      </c>
      <c r="Z55">
        <f>HYPERLINK("https://klasma.github.io/Logging_2482/fåglar/A 68169-2020 prioriterade fågelarter.docx", "A 68169-2020")</f>
        <v/>
      </c>
    </row>
    <row r="56" ht="15" customHeight="1">
      <c r="A56" t="inlineStr">
        <is>
          <t>A 68511-2020</t>
        </is>
      </c>
      <c r="B56" s="1" t="n">
        <v>44186</v>
      </c>
      <c r="C56" s="1" t="n">
        <v>45472</v>
      </c>
      <c r="D56" t="inlineStr">
        <is>
          <t>VÄSTERBOTTENS LÄN</t>
        </is>
      </c>
      <c r="E56" t="inlineStr">
        <is>
          <t>SKELLEFTEÅ</t>
        </is>
      </c>
      <c r="F56" t="inlineStr">
        <is>
          <t>Sveaskog</t>
        </is>
      </c>
      <c r="G56" t="n">
        <v>16.9</v>
      </c>
      <c r="H56" t="n">
        <v>0</v>
      </c>
      <c r="I56" t="n">
        <v>1</v>
      </c>
      <c r="J56" t="n">
        <v>3</v>
      </c>
      <c r="K56" t="n">
        <v>0</v>
      </c>
      <c r="L56" t="n">
        <v>0</v>
      </c>
      <c r="M56" t="n">
        <v>0</v>
      </c>
      <c r="N56" t="n">
        <v>0</v>
      </c>
      <c r="O56" t="n">
        <v>3</v>
      </c>
      <c r="P56" t="n">
        <v>0</v>
      </c>
      <c r="Q56" t="n">
        <v>4</v>
      </c>
      <c r="R56" s="2" t="inlineStr">
        <is>
          <t>Garnlav
Lunglav
Violettgrå tagellav
Stuplav</t>
        </is>
      </c>
      <c r="S56">
        <f>HYPERLINK("https://klasma.github.io/Logging_2482/artfynd/A 68511-2020 artfynd.xlsx", "A 68511-2020")</f>
        <v/>
      </c>
      <c r="T56">
        <f>HYPERLINK("https://klasma.github.io/Logging_2482/kartor/A 68511-2020 karta.png", "A 68511-2020")</f>
        <v/>
      </c>
      <c r="V56">
        <f>HYPERLINK("https://klasma.github.io/Logging_2482/klagomål/A 68511-2020 FSC-klagomål.docx", "A 68511-2020")</f>
        <v/>
      </c>
      <c r="W56">
        <f>HYPERLINK("https://klasma.github.io/Logging_2482/klagomålsmail/A 68511-2020 FSC-klagomål mail.docx", "A 68511-2020")</f>
        <v/>
      </c>
      <c r="X56">
        <f>HYPERLINK("https://klasma.github.io/Logging_2482/tillsyn/A 68511-2020 tillsynsbegäran.docx", "A 68511-2020")</f>
        <v/>
      </c>
      <c r="Y56">
        <f>HYPERLINK("https://klasma.github.io/Logging_2482/tillsynsmail/A 68511-2020 tillsynsbegäran mail.docx", "A 68511-2020")</f>
        <v/>
      </c>
    </row>
    <row r="57" ht="15" customHeight="1">
      <c r="A57" t="inlineStr">
        <is>
          <t>A 2776-2021</t>
        </is>
      </c>
      <c r="B57" s="1" t="n">
        <v>44215</v>
      </c>
      <c r="C57" s="1" t="n">
        <v>45472</v>
      </c>
      <c r="D57" t="inlineStr">
        <is>
          <t>VÄSTERBOTTENS LÄN</t>
        </is>
      </c>
      <c r="E57" t="inlineStr">
        <is>
          <t>SKELLEFTEÅ</t>
        </is>
      </c>
      <c r="F57" t="inlineStr">
        <is>
          <t>Sveaskog</t>
        </is>
      </c>
      <c r="G57" t="n">
        <v>4.4</v>
      </c>
      <c r="H57" t="n">
        <v>0</v>
      </c>
      <c r="I57" t="n">
        <v>1</v>
      </c>
      <c r="J57" t="n">
        <v>3</v>
      </c>
      <c r="K57" t="n">
        <v>0</v>
      </c>
      <c r="L57" t="n">
        <v>0</v>
      </c>
      <c r="M57" t="n">
        <v>0</v>
      </c>
      <c r="N57" t="n">
        <v>0</v>
      </c>
      <c r="O57" t="n">
        <v>3</v>
      </c>
      <c r="P57" t="n">
        <v>0</v>
      </c>
      <c r="Q57" t="n">
        <v>4</v>
      </c>
      <c r="R57" s="2" t="inlineStr">
        <is>
          <t>Garnlav
Granticka
Lunglav
Bårdlav</t>
        </is>
      </c>
      <c r="S57">
        <f>HYPERLINK("https://klasma.github.io/Logging_2482/artfynd/A 2776-2021 artfynd.xlsx", "A 2776-2021")</f>
        <v/>
      </c>
      <c r="T57">
        <f>HYPERLINK("https://klasma.github.io/Logging_2482/kartor/A 2776-2021 karta.png", "A 2776-2021")</f>
        <v/>
      </c>
      <c r="V57">
        <f>HYPERLINK("https://klasma.github.io/Logging_2482/klagomål/A 2776-2021 FSC-klagomål.docx", "A 2776-2021")</f>
        <v/>
      </c>
      <c r="W57">
        <f>HYPERLINK("https://klasma.github.io/Logging_2482/klagomålsmail/A 2776-2021 FSC-klagomål mail.docx", "A 2776-2021")</f>
        <v/>
      </c>
      <c r="X57">
        <f>HYPERLINK("https://klasma.github.io/Logging_2482/tillsyn/A 2776-2021 tillsynsbegäran.docx", "A 2776-2021")</f>
        <v/>
      </c>
      <c r="Y57">
        <f>HYPERLINK("https://klasma.github.io/Logging_2482/tillsynsmail/A 2776-2021 tillsynsbegäran mail.docx", "A 2776-2021")</f>
        <v/>
      </c>
    </row>
    <row r="58" ht="15" customHeight="1">
      <c r="A58" t="inlineStr">
        <is>
          <t>A 7607-2021</t>
        </is>
      </c>
      <c r="B58" s="1" t="n">
        <v>44242</v>
      </c>
      <c r="C58" s="1" t="n">
        <v>45472</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57409-2021</t>
        </is>
      </c>
      <c r="B59" s="1" t="n">
        <v>44483</v>
      </c>
      <c r="C59" s="1" t="n">
        <v>45472</v>
      </c>
      <c r="D59" t="inlineStr">
        <is>
          <t>VÄSTERBOTTENS LÄN</t>
        </is>
      </c>
      <c r="E59" t="inlineStr">
        <is>
          <t>SKELLEFTEÅ</t>
        </is>
      </c>
      <c r="G59" t="n">
        <v>20.3</v>
      </c>
      <c r="H59" t="n">
        <v>0</v>
      </c>
      <c r="I59" t="n">
        <v>1</v>
      </c>
      <c r="J59" t="n">
        <v>3</v>
      </c>
      <c r="K59" t="n">
        <v>0</v>
      </c>
      <c r="L59" t="n">
        <v>0</v>
      </c>
      <c r="M59" t="n">
        <v>0</v>
      </c>
      <c r="N59" t="n">
        <v>0</v>
      </c>
      <c r="O59" t="n">
        <v>3</v>
      </c>
      <c r="P59" t="n">
        <v>0</v>
      </c>
      <c r="Q59" t="n">
        <v>4</v>
      </c>
      <c r="R59" s="2" t="inlineStr">
        <is>
          <t>Gammelgransskål
Garnlav
Ullticka
Vedticka</t>
        </is>
      </c>
      <c r="S59">
        <f>HYPERLINK("https://klasma.github.io/Logging_2482/artfynd/A 57409-2021 artfynd.xlsx", "A 57409-2021")</f>
        <v/>
      </c>
      <c r="T59">
        <f>HYPERLINK("https://klasma.github.io/Logging_2482/kartor/A 57409-2021 karta.png", "A 57409-2021")</f>
        <v/>
      </c>
      <c r="V59">
        <f>HYPERLINK("https://klasma.github.io/Logging_2482/klagomål/A 57409-2021 FSC-klagomål.docx", "A 57409-2021")</f>
        <v/>
      </c>
      <c r="W59">
        <f>HYPERLINK("https://klasma.github.io/Logging_2482/klagomålsmail/A 57409-2021 FSC-klagomål mail.docx", "A 57409-2021")</f>
        <v/>
      </c>
      <c r="X59">
        <f>HYPERLINK("https://klasma.github.io/Logging_2482/tillsyn/A 57409-2021 tillsynsbegäran.docx", "A 57409-2021")</f>
        <v/>
      </c>
      <c r="Y59">
        <f>HYPERLINK("https://klasma.github.io/Logging_2482/tillsynsmail/A 57409-2021 tillsynsbegäran mail.docx", "A 57409-2021")</f>
        <v/>
      </c>
    </row>
    <row r="60" ht="15" customHeight="1">
      <c r="A60" t="inlineStr">
        <is>
          <t>A 58835-2021</t>
        </is>
      </c>
      <c r="B60" s="1" t="n">
        <v>44489</v>
      </c>
      <c r="C60" s="1" t="n">
        <v>45472</v>
      </c>
      <c r="D60" t="inlineStr">
        <is>
          <t>VÄSTERBOTTENS LÄN</t>
        </is>
      </c>
      <c r="E60" t="inlineStr">
        <is>
          <t>SKELLEFTEÅ</t>
        </is>
      </c>
      <c r="G60" t="n">
        <v>10.2</v>
      </c>
      <c r="H60" t="n">
        <v>0</v>
      </c>
      <c r="I60" t="n">
        <v>0</v>
      </c>
      <c r="J60" t="n">
        <v>4</v>
      </c>
      <c r="K60" t="n">
        <v>0</v>
      </c>
      <c r="L60" t="n">
        <v>0</v>
      </c>
      <c r="M60" t="n">
        <v>0</v>
      </c>
      <c r="N60" t="n">
        <v>0</v>
      </c>
      <c r="O60" t="n">
        <v>4</v>
      </c>
      <c r="P60" t="n">
        <v>0</v>
      </c>
      <c r="Q60" t="n">
        <v>4</v>
      </c>
      <c r="R60" s="2" t="inlineStr">
        <is>
          <t>Doftskinn
Gammelgransskål
Stjärntagging
Ullticka</t>
        </is>
      </c>
      <c r="S60">
        <f>HYPERLINK("https://klasma.github.io/Logging_2482/artfynd/A 58835-2021 artfynd.xlsx", "A 58835-2021")</f>
        <v/>
      </c>
      <c r="T60">
        <f>HYPERLINK("https://klasma.github.io/Logging_2482/kartor/A 58835-2021 karta.png", "A 58835-2021")</f>
        <v/>
      </c>
      <c r="V60">
        <f>HYPERLINK("https://klasma.github.io/Logging_2482/klagomål/A 58835-2021 FSC-klagomål.docx", "A 58835-2021")</f>
        <v/>
      </c>
      <c r="W60">
        <f>HYPERLINK("https://klasma.github.io/Logging_2482/klagomålsmail/A 58835-2021 FSC-klagomål mail.docx", "A 58835-2021")</f>
        <v/>
      </c>
      <c r="X60">
        <f>HYPERLINK("https://klasma.github.io/Logging_2482/tillsyn/A 58835-2021 tillsynsbegäran.docx", "A 58835-2021")</f>
        <v/>
      </c>
      <c r="Y60">
        <f>HYPERLINK("https://klasma.github.io/Logging_2482/tillsynsmail/A 58835-2021 tillsynsbegäran mail.docx", "A 58835-2021")</f>
        <v/>
      </c>
    </row>
    <row r="61" ht="15" customHeight="1">
      <c r="A61" t="inlineStr">
        <is>
          <t>A 3212-2022</t>
        </is>
      </c>
      <c r="B61" s="1" t="n">
        <v>44582</v>
      </c>
      <c r="C61" s="1" t="n">
        <v>45472</v>
      </c>
      <c r="D61" t="inlineStr">
        <is>
          <t>VÄSTERBOTTENS LÄN</t>
        </is>
      </c>
      <c r="E61" t="inlineStr">
        <is>
          <t>SKELLEFTEÅ</t>
        </is>
      </c>
      <c r="G61" t="n">
        <v>1.4</v>
      </c>
      <c r="H61" t="n">
        <v>0</v>
      </c>
      <c r="I61" t="n">
        <v>1</v>
      </c>
      <c r="J61" t="n">
        <v>3</v>
      </c>
      <c r="K61" t="n">
        <v>0</v>
      </c>
      <c r="L61" t="n">
        <v>0</v>
      </c>
      <c r="M61" t="n">
        <v>0</v>
      </c>
      <c r="N61" t="n">
        <v>0</v>
      </c>
      <c r="O61" t="n">
        <v>3</v>
      </c>
      <c r="P61" t="n">
        <v>0</v>
      </c>
      <c r="Q61" t="n">
        <v>4</v>
      </c>
      <c r="R61" s="2" t="inlineStr">
        <is>
          <t>Garnlav
Granticka
Harticka
Vedticka</t>
        </is>
      </c>
      <c r="S61">
        <f>HYPERLINK("https://klasma.github.io/Logging_2482/artfynd/A 3212-2022 artfynd.xlsx", "A 3212-2022")</f>
        <v/>
      </c>
      <c r="T61">
        <f>HYPERLINK("https://klasma.github.io/Logging_2482/kartor/A 3212-2022 karta.png", "A 3212-2022")</f>
        <v/>
      </c>
      <c r="V61">
        <f>HYPERLINK("https://klasma.github.io/Logging_2482/klagomål/A 3212-2022 FSC-klagomål.docx", "A 3212-2022")</f>
        <v/>
      </c>
      <c r="W61">
        <f>HYPERLINK("https://klasma.github.io/Logging_2482/klagomålsmail/A 3212-2022 FSC-klagomål mail.docx", "A 3212-2022")</f>
        <v/>
      </c>
      <c r="X61">
        <f>HYPERLINK("https://klasma.github.io/Logging_2482/tillsyn/A 3212-2022 tillsynsbegäran.docx", "A 3212-2022")</f>
        <v/>
      </c>
      <c r="Y61">
        <f>HYPERLINK("https://klasma.github.io/Logging_2482/tillsynsmail/A 3212-2022 tillsynsbegäran mail.docx", "A 3212-2022")</f>
        <v/>
      </c>
    </row>
    <row r="62" ht="15" customHeight="1">
      <c r="A62" t="inlineStr">
        <is>
          <t>A 37477-2023</t>
        </is>
      </c>
      <c r="B62" s="1" t="n">
        <v>45156</v>
      </c>
      <c r="C62" s="1" t="n">
        <v>45472</v>
      </c>
      <c r="D62" t="inlineStr">
        <is>
          <t>VÄSTERBOTTENS LÄN</t>
        </is>
      </c>
      <c r="E62" t="inlineStr">
        <is>
          <t>SKELLEFTEÅ</t>
        </is>
      </c>
      <c r="G62" t="n">
        <v>6.3</v>
      </c>
      <c r="H62" t="n">
        <v>0</v>
      </c>
      <c r="I62" t="n">
        <v>0</v>
      </c>
      <c r="J62" t="n">
        <v>4</v>
      </c>
      <c r="K62" t="n">
        <v>0</v>
      </c>
      <c r="L62" t="n">
        <v>0</v>
      </c>
      <c r="M62" t="n">
        <v>0</v>
      </c>
      <c r="N62" t="n">
        <v>0</v>
      </c>
      <c r="O62" t="n">
        <v>4</v>
      </c>
      <c r="P62" t="n">
        <v>0</v>
      </c>
      <c r="Q62" t="n">
        <v>4</v>
      </c>
      <c r="R62" s="2" t="inlineStr">
        <is>
          <t>Garnlav
Lunglav
Ullticka
Violettgrå tagellav</t>
        </is>
      </c>
      <c r="S62">
        <f>HYPERLINK("https://klasma.github.io/Logging_2482/artfynd/A 37477-2023 artfynd.xlsx", "A 37477-2023")</f>
        <v/>
      </c>
      <c r="T62">
        <f>HYPERLINK("https://klasma.github.io/Logging_2482/kartor/A 37477-2023 karta.png", "A 37477-2023")</f>
        <v/>
      </c>
      <c r="V62">
        <f>HYPERLINK("https://klasma.github.io/Logging_2482/klagomål/A 37477-2023 FSC-klagomål.docx", "A 37477-2023")</f>
        <v/>
      </c>
      <c r="W62">
        <f>HYPERLINK("https://klasma.github.io/Logging_2482/klagomålsmail/A 37477-2023 FSC-klagomål mail.docx", "A 37477-2023")</f>
        <v/>
      </c>
      <c r="X62">
        <f>HYPERLINK("https://klasma.github.io/Logging_2482/tillsyn/A 37477-2023 tillsynsbegäran.docx", "A 37477-2023")</f>
        <v/>
      </c>
      <c r="Y62">
        <f>HYPERLINK("https://klasma.github.io/Logging_2482/tillsynsmail/A 37477-2023 tillsynsbegäran mail.docx", "A 37477-2023")</f>
        <v/>
      </c>
    </row>
    <row r="63" ht="15" customHeight="1">
      <c r="A63" t="inlineStr">
        <is>
          <t>A 46092-2023</t>
        </is>
      </c>
      <c r="B63" s="1" t="n">
        <v>45190</v>
      </c>
      <c r="C63" s="1" t="n">
        <v>45472</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62393-2023</t>
        </is>
      </c>
      <c r="B64" s="1" t="n">
        <v>45268</v>
      </c>
      <c r="C64" s="1" t="n">
        <v>45472</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18577-2024</t>
        </is>
      </c>
      <c r="B65" s="1" t="n">
        <v>45425</v>
      </c>
      <c r="C65" s="1" t="n">
        <v>45472</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35777-2019</t>
        </is>
      </c>
      <c r="B66" s="1" t="n">
        <v>43665</v>
      </c>
      <c r="C66" s="1" t="n">
        <v>45472</v>
      </c>
      <c r="D66" t="inlineStr">
        <is>
          <t>VÄSTERBOTTENS LÄN</t>
        </is>
      </c>
      <c r="E66" t="inlineStr">
        <is>
          <t>SKELLEFTEÅ</t>
        </is>
      </c>
      <c r="F66" t="inlineStr">
        <is>
          <t>Holmen skog AB</t>
        </is>
      </c>
      <c r="G66" t="n">
        <v>26.8</v>
      </c>
      <c r="H66" t="n">
        <v>0</v>
      </c>
      <c r="I66" t="n">
        <v>1</v>
      </c>
      <c r="J66" t="n">
        <v>2</v>
      </c>
      <c r="K66" t="n">
        <v>0</v>
      </c>
      <c r="L66" t="n">
        <v>0</v>
      </c>
      <c r="M66" t="n">
        <v>0</v>
      </c>
      <c r="N66" t="n">
        <v>0</v>
      </c>
      <c r="O66" t="n">
        <v>2</v>
      </c>
      <c r="P66" t="n">
        <v>0</v>
      </c>
      <c r="Q66" t="n">
        <v>3</v>
      </c>
      <c r="R66" s="2" t="inlineStr">
        <is>
          <t>Garnlav
Ullticka
Vedticka</t>
        </is>
      </c>
      <c r="S66">
        <f>HYPERLINK("https://klasma.github.io/Logging_2482/artfynd/A 35777-2019 artfynd.xlsx", "A 35777-2019")</f>
        <v/>
      </c>
      <c r="T66">
        <f>HYPERLINK("https://klasma.github.io/Logging_2482/kartor/A 35777-2019 karta.png", "A 35777-2019")</f>
        <v/>
      </c>
      <c r="V66">
        <f>HYPERLINK("https://klasma.github.io/Logging_2482/klagomål/A 35777-2019 FSC-klagomål.docx", "A 35777-2019")</f>
        <v/>
      </c>
      <c r="W66">
        <f>HYPERLINK("https://klasma.github.io/Logging_2482/klagomålsmail/A 35777-2019 FSC-klagomål mail.docx", "A 35777-2019")</f>
        <v/>
      </c>
      <c r="X66">
        <f>HYPERLINK("https://klasma.github.io/Logging_2482/tillsyn/A 35777-2019 tillsynsbegäran.docx", "A 35777-2019")</f>
        <v/>
      </c>
      <c r="Y66">
        <f>HYPERLINK("https://klasma.github.io/Logging_2482/tillsynsmail/A 35777-2019 tillsynsbegäran mail.docx", "A 35777-2019")</f>
        <v/>
      </c>
    </row>
    <row r="67" ht="15" customHeight="1">
      <c r="A67" t="inlineStr">
        <is>
          <t>A 54111-2019</t>
        </is>
      </c>
      <c r="B67" s="1" t="n">
        <v>43752</v>
      </c>
      <c r="C67" s="1" t="n">
        <v>45472</v>
      </c>
      <c r="D67" t="inlineStr">
        <is>
          <t>VÄSTERBOTTENS LÄN</t>
        </is>
      </c>
      <c r="E67" t="inlineStr">
        <is>
          <t>SKELLEFTEÅ</t>
        </is>
      </c>
      <c r="F67" t="inlineStr">
        <is>
          <t>Sveaskog</t>
        </is>
      </c>
      <c r="G67" t="n">
        <v>30.6</v>
      </c>
      <c r="H67" t="n">
        <v>0</v>
      </c>
      <c r="I67" t="n">
        <v>1</v>
      </c>
      <c r="J67" t="n">
        <v>2</v>
      </c>
      <c r="K67" t="n">
        <v>0</v>
      </c>
      <c r="L67" t="n">
        <v>0</v>
      </c>
      <c r="M67" t="n">
        <v>0</v>
      </c>
      <c r="N67" t="n">
        <v>0</v>
      </c>
      <c r="O67" t="n">
        <v>2</v>
      </c>
      <c r="P67" t="n">
        <v>0</v>
      </c>
      <c r="Q67" t="n">
        <v>3</v>
      </c>
      <c r="R67" s="2" t="inlineStr">
        <is>
          <t>Kolflarnlav
Vedskivlav
Skarp dropptaggsvamp</t>
        </is>
      </c>
      <c r="S67">
        <f>HYPERLINK("https://klasma.github.io/Logging_2482/artfynd/A 54111-2019 artfynd.xlsx", "A 54111-2019")</f>
        <v/>
      </c>
      <c r="T67">
        <f>HYPERLINK("https://klasma.github.io/Logging_2482/kartor/A 54111-2019 karta.png", "A 54111-2019")</f>
        <v/>
      </c>
      <c r="V67">
        <f>HYPERLINK("https://klasma.github.io/Logging_2482/klagomål/A 54111-2019 FSC-klagomål.docx", "A 54111-2019")</f>
        <v/>
      </c>
      <c r="W67">
        <f>HYPERLINK("https://klasma.github.io/Logging_2482/klagomålsmail/A 54111-2019 FSC-klagomål mail.docx", "A 54111-2019")</f>
        <v/>
      </c>
      <c r="X67">
        <f>HYPERLINK("https://klasma.github.io/Logging_2482/tillsyn/A 54111-2019 tillsynsbegäran.docx", "A 54111-2019")</f>
        <v/>
      </c>
      <c r="Y67">
        <f>HYPERLINK("https://klasma.github.io/Logging_2482/tillsynsmail/A 54111-2019 tillsynsbegäran mail.docx", "A 54111-2019")</f>
        <v/>
      </c>
    </row>
    <row r="68" ht="15" customHeight="1">
      <c r="A68" t="inlineStr">
        <is>
          <t>A 64056-2019</t>
        </is>
      </c>
      <c r="B68" s="1" t="n">
        <v>43796</v>
      </c>
      <c r="C68" s="1" t="n">
        <v>45472</v>
      </c>
      <c r="D68" t="inlineStr">
        <is>
          <t>VÄSTERBOTTENS LÄN</t>
        </is>
      </c>
      <c r="E68" t="inlineStr">
        <is>
          <t>SKELLEFTEÅ</t>
        </is>
      </c>
      <c r="F68" t="inlineStr">
        <is>
          <t>Sveaskog</t>
        </is>
      </c>
      <c r="G68" t="n">
        <v>4.1</v>
      </c>
      <c r="H68" t="n">
        <v>0</v>
      </c>
      <c r="I68" t="n">
        <v>0</v>
      </c>
      <c r="J68" t="n">
        <v>3</v>
      </c>
      <c r="K68" t="n">
        <v>0</v>
      </c>
      <c r="L68" t="n">
        <v>0</v>
      </c>
      <c r="M68" t="n">
        <v>0</v>
      </c>
      <c r="N68" t="n">
        <v>0</v>
      </c>
      <c r="O68" t="n">
        <v>3</v>
      </c>
      <c r="P68" t="n">
        <v>0</v>
      </c>
      <c r="Q68" t="n">
        <v>3</v>
      </c>
      <c r="R68" s="2" t="inlineStr">
        <is>
          <t>Gammelgransskål
Garnlav
Lunglav</t>
        </is>
      </c>
      <c r="S68">
        <f>HYPERLINK("https://klasma.github.io/Logging_2482/artfynd/A 64056-2019 artfynd.xlsx", "A 64056-2019")</f>
        <v/>
      </c>
      <c r="T68">
        <f>HYPERLINK("https://klasma.github.io/Logging_2482/kartor/A 64056-2019 karta.png", "A 64056-2019")</f>
        <v/>
      </c>
      <c r="V68">
        <f>HYPERLINK("https://klasma.github.io/Logging_2482/klagomål/A 64056-2019 FSC-klagomål.docx", "A 64056-2019")</f>
        <v/>
      </c>
      <c r="W68">
        <f>HYPERLINK("https://klasma.github.io/Logging_2482/klagomålsmail/A 64056-2019 FSC-klagomål mail.docx", "A 64056-2019")</f>
        <v/>
      </c>
      <c r="X68">
        <f>HYPERLINK("https://klasma.github.io/Logging_2482/tillsyn/A 64056-2019 tillsynsbegäran.docx", "A 64056-2019")</f>
        <v/>
      </c>
      <c r="Y68">
        <f>HYPERLINK("https://klasma.github.io/Logging_2482/tillsynsmail/A 64056-2019 tillsynsbegäran mail.docx", "A 64056-2019")</f>
        <v/>
      </c>
    </row>
    <row r="69" ht="15" customHeight="1">
      <c r="A69" t="inlineStr">
        <is>
          <t>A 32940-2020</t>
        </is>
      </c>
      <c r="B69" s="1" t="n">
        <v>44018</v>
      </c>
      <c r="C69" s="1" t="n">
        <v>45472</v>
      </c>
      <c r="D69" t="inlineStr">
        <is>
          <t>VÄSTERBOTTENS LÄN</t>
        </is>
      </c>
      <c r="E69" t="inlineStr">
        <is>
          <t>SKELLEFTEÅ</t>
        </is>
      </c>
      <c r="G69" t="n">
        <v>15.6</v>
      </c>
      <c r="H69" t="n">
        <v>0</v>
      </c>
      <c r="I69" t="n">
        <v>1</v>
      </c>
      <c r="J69" t="n">
        <v>1</v>
      </c>
      <c r="K69" t="n">
        <v>1</v>
      </c>
      <c r="L69" t="n">
        <v>0</v>
      </c>
      <c r="M69" t="n">
        <v>0</v>
      </c>
      <c r="N69" t="n">
        <v>0</v>
      </c>
      <c r="O69" t="n">
        <v>2</v>
      </c>
      <c r="P69" t="n">
        <v>1</v>
      </c>
      <c r="Q69" t="n">
        <v>3</v>
      </c>
      <c r="R69" s="2" t="inlineStr">
        <is>
          <t>Goliatmusseron
Skrovlig taggsvamp
Dropptaggsvamp</t>
        </is>
      </c>
      <c r="S69">
        <f>HYPERLINK("https://klasma.github.io/Logging_2482/artfynd/A 32940-2020 artfynd.xlsx", "A 32940-2020")</f>
        <v/>
      </c>
      <c r="T69">
        <f>HYPERLINK("https://klasma.github.io/Logging_2482/kartor/A 32940-2020 karta.png", "A 32940-2020")</f>
        <v/>
      </c>
      <c r="V69">
        <f>HYPERLINK("https://klasma.github.io/Logging_2482/klagomål/A 32940-2020 FSC-klagomål.docx", "A 32940-2020")</f>
        <v/>
      </c>
      <c r="W69">
        <f>HYPERLINK("https://klasma.github.io/Logging_2482/klagomålsmail/A 32940-2020 FSC-klagomål mail.docx", "A 32940-2020")</f>
        <v/>
      </c>
      <c r="X69">
        <f>HYPERLINK("https://klasma.github.io/Logging_2482/tillsyn/A 32940-2020 tillsynsbegäran.docx", "A 32940-2020")</f>
        <v/>
      </c>
      <c r="Y69">
        <f>HYPERLINK("https://klasma.github.io/Logging_2482/tillsynsmail/A 32940-2020 tillsynsbegäran mail.docx", "A 32940-2020")</f>
        <v/>
      </c>
    </row>
    <row r="70" ht="15" customHeight="1">
      <c r="A70" t="inlineStr">
        <is>
          <t>A 46682-2020</t>
        </is>
      </c>
      <c r="B70" s="1" t="n">
        <v>44089</v>
      </c>
      <c r="C70" s="1" t="n">
        <v>45472</v>
      </c>
      <c r="D70" t="inlineStr">
        <is>
          <t>VÄSTERBOTTENS LÄN</t>
        </is>
      </c>
      <c r="E70" t="inlineStr">
        <is>
          <t>SKELLEFTEÅ</t>
        </is>
      </c>
      <c r="G70" t="n">
        <v>2.5</v>
      </c>
      <c r="H70" t="n">
        <v>0</v>
      </c>
      <c r="I70" t="n">
        <v>0</v>
      </c>
      <c r="J70" t="n">
        <v>3</v>
      </c>
      <c r="K70" t="n">
        <v>0</v>
      </c>
      <c r="L70" t="n">
        <v>0</v>
      </c>
      <c r="M70" t="n">
        <v>0</v>
      </c>
      <c r="N70" t="n">
        <v>0</v>
      </c>
      <c r="O70" t="n">
        <v>3</v>
      </c>
      <c r="P70" t="n">
        <v>0</v>
      </c>
      <c r="Q70" t="n">
        <v>3</v>
      </c>
      <c r="R70" s="2" t="inlineStr">
        <is>
          <t>Gammelgransskål
Garnlav
Granticka</t>
        </is>
      </c>
      <c r="S70">
        <f>HYPERLINK("https://klasma.github.io/Logging_2482/artfynd/A 46682-2020 artfynd.xlsx", "A 46682-2020")</f>
        <v/>
      </c>
      <c r="T70">
        <f>HYPERLINK("https://klasma.github.io/Logging_2482/kartor/A 46682-2020 karta.png", "A 46682-2020")</f>
        <v/>
      </c>
      <c r="V70">
        <f>HYPERLINK("https://klasma.github.io/Logging_2482/klagomål/A 46682-2020 FSC-klagomål.docx", "A 46682-2020")</f>
        <v/>
      </c>
      <c r="W70">
        <f>HYPERLINK("https://klasma.github.io/Logging_2482/klagomålsmail/A 46682-2020 FSC-klagomål mail.docx", "A 46682-2020")</f>
        <v/>
      </c>
      <c r="X70">
        <f>HYPERLINK("https://klasma.github.io/Logging_2482/tillsyn/A 46682-2020 tillsynsbegäran.docx", "A 46682-2020")</f>
        <v/>
      </c>
      <c r="Y70">
        <f>HYPERLINK("https://klasma.github.io/Logging_2482/tillsynsmail/A 46682-2020 tillsynsbegäran mail.docx", "A 46682-2020")</f>
        <v/>
      </c>
    </row>
    <row r="71" ht="15" customHeight="1">
      <c r="A71" t="inlineStr">
        <is>
          <t>A 68690-2020</t>
        </is>
      </c>
      <c r="B71" s="1" t="n">
        <v>44186</v>
      </c>
      <c r="C71" s="1" t="n">
        <v>45472</v>
      </c>
      <c r="D71" t="inlineStr">
        <is>
          <t>VÄSTERBOTTENS LÄN</t>
        </is>
      </c>
      <c r="E71" t="inlineStr">
        <is>
          <t>SKELLEFTEÅ</t>
        </is>
      </c>
      <c r="G71" t="n">
        <v>6.1</v>
      </c>
      <c r="H71" t="n">
        <v>0</v>
      </c>
      <c r="I71" t="n">
        <v>1</v>
      </c>
      <c r="J71" t="n">
        <v>2</v>
      </c>
      <c r="K71" t="n">
        <v>0</v>
      </c>
      <c r="L71" t="n">
        <v>0</v>
      </c>
      <c r="M71" t="n">
        <v>0</v>
      </c>
      <c r="N71" t="n">
        <v>0</v>
      </c>
      <c r="O71" t="n">
        <v>2</v>
      </c>
      <c r="P71" t="n">
        <v>0</v>
      </c>
      <c r="Q71" t="n">
        <v>3</v>
      </c>
      <c r="R71" s="2" t="inlineStr">
        <is>
          <t>Garnlav
Ullticka
Vedticka</t>
        </is>
      </c>
      <c r="S71">
        <f>HYPERLINK("https://klasma.github.io/Logging_2482/artfynd/A 68690-2020 artfynd.xlsx", "A 68690-2020")</f>
        <v/>
      </c>
      <c r="T71">
        <f>HYPERLINK("https://klasma.github.io/Logging_2482/kartor/A 68690-2020 karta.png", "A 68690-2020")</f>
        <v/>
      </c>
      <c r="V71">
        <f>HYPERLINK("https://klasma.github.io/Logging_2482/klagomål/A 68690-2020 FSC-klagomål.docx", "A 68690-2020")</f>
        <v/>
      </c>
      <c r="W71">
        <f>HYPERLINK("https://klasma.github.io/Logging_2482/klagomålsmail/A 68690-2020 FSC-klagomål mail.docx", "A 68690-2020")</f>
        <v/>
      </c>
      <c r="X71">
        <f>HYPERLINK("https://klasma.github.io/Logging_2482/tillsyn/A 68690-2020 tillsynsbegäran.docx", "A 68690-2020")</f>
        <v/>
      </c>
      <c r="Y71">
        <f>HYPERLINK("https://klasma.github.io/Logging_2482/tillsynsmail/A 68690-2020 tillsynsbegäran mail.docx", "A 68690-2020")</f>
        <v/>
      </c>
    </row>
    <row r="72" ht="15" customHeight="1">
      <c r="A72" t="inlineStr">
        <is>
          <t>A 16152-2021</t>
        </is>
      </c>
      <c r="B72" s="1" t="n">
        <v>44287</v>
      </c>
      <c r="C72" s="1" t="n">
        <v>45472</v>
      </c>
      <c r="D72" t="inlineStr">
        <is>
          <t>VÄSTERBOTTENS LÄN</t>
        </is>
      </c>
      <c r="E72" t="inlineStr">
        <is>
          <t>SKELLEFTEÅ</t>
        </is>
      </c>
      <c r="G72" t="n">
        <v>3.4</v>
      </c>
      <c r="H72" t="n">
        <v>0</v>
      </c>
      <c r="I72" t="n">
        <v>1</v>
      </c>
      <c r="J72" t="n">
        <v>1</v>
      </c>
      <c r="K72" t="n">
        <v>1</v>
      </c>
      <c r="L72" t="n">
        <v>0</v>
      </c>
      <c r="M72" t="n">
        <v>0</v>
      </c>
      <c r="N72" t="n">
        <v>0</v>
      </c>
      <c r="O72" t="n">
        <v>2</v>
      </c>
      <c r="P72" t="n">
        <v>1</v>
      </c>
      <c r="Q72" t="n">
        <v>3</v>
      </c>
      <c r="R72" s="2" t="inlineStr">
        <is>
          <t>Goliatmusseron
Granticka
Vedticka</t>
        </is>
      </c>
      <c r="S72">
        <f>HYPERLINK("https://klasma.github.io/Logging_2482/artfynd/A 16152-2021 artfynd.xlsx", "A 16152-2021")</f>
        <v/>
      </c>
      <c r="T72">
        <f>HYPERLINK("https://klasma.github.io/Logging_2482/kartor/A 16152-2021 karta.png", "A 16152-2021")</f>
        <v/>
      </c>
      <c r="V72">
        <f>HYPERLINK("https://klasma.github.io/Logging_2482/klagomål/A 16152-2021 FSC-klagomål.docx", "A 16152-2021")</f>
        <v/>
      </c>
      <c r="W72">
        <f>HYPERLINK("https://klasma.github.io/Logging_2482/klagomålsmail/A 16152-2021 FSC-klagomål mail.docx", "A 16152-2021")</f>
        <v/>
      </c>
      <c r="X72">
        <f>HYPERLINK("https://klasma.github.io/Logging_2482/tillsyn/A 16152-2021 tillsynsbegäran.docx", "A 16152-2021")</f>
        <v/>
      </c>
      <c r="Y72">
        <f>HYPERLINK("https://klasma.github.io/Logging_2482/tillsynsmail/A 16152-2021 tillsynsbegäran mail.docx", "A 16152-2021")</f>
        <v/>
      </c>
    </row>
    <row r="73" ht="15" customHeight="1">
      <c r="A73" t="inlineStr">
        <is>
          <t>A 29725-2021</t>
        </is>
      </c>
      <c r="B73" s="1" t="n">
        <v>44362</v>
      </c>
      <c r="C73" s="1" t="n">
        <v>45472</v>
      </c>
      <c r="D73" t="inlineStr">
        <is>
          <t>VÄSTERBOTTENS LÄN</t>
        </is>
      </c>
      <c r="E73" t="inlineStr">
        <is>
          <t>SKELLEFTEÅ</t>
        </is>
      </c>
      <c r="F73" t="inlineStr">
        <is>
          <t>Holmen skog AB</t>
        </is>
      </c>
      <c r="G73" t="n">
        <v>10.7</v>
      </c>
      <c r="H73" t="n">
        <v>1</v>
      </c>
      <c r="I73" t="n">
        <v>0</v>
      </c>
      <c r="J73" t="n">
        <v>2</v>
      </c>
      <c r="K73" t="n">
        <v>0</v>
      </c>
      <c r="L73" t="n">
        <v>0</v>
      </c>
      <c r="M73" t="n">
        <v>0</v>
      </c>
      <c r="N73" t="n">
        <v>0</v>
      </c>
      <c r="O73" t="n">
        <v>2</v>
      </c>
      <c r="P73" t="n">
        <v>0</v>
      </c>
      <c r="Q73" t="n">
        <v>3</v>
      </c>
      <c r="R73" s="2" t="inlineStr">
        <is>
          <t>Gammelgransskål
Garnlav
Orre</t>
        </is>
      </c>
      <c r="S73">
        <f>HYPERLINK("https://klasma.github.io/Logging_2482/artfynd/A 29725-2021 artfynd.xlsx", "A 29725-2021")</f>
        <v/>
      </c>
      <c r="T73">
        <f>HYPERLINK("https://klasma.github.io/Logging_2482/kartor/A 29725-2021 karta.png", "A 29725-2021")</f>
        <v/>
      </c>
      <c r="V73">
        <f>HYPERLINK("https://klasma.github.io/Logging_2482/klagomål/A 29725-2021 FSC-klagomål.docx", "A 29725-2021")</f>
        <v/>
      </c>
      <c r="W73">
        <f>HYPERLINK("https://klasma.github.io/Logging_2482/klagomålsmail/A 29725-2021 FSC-klagomål mail.docx", "A 29725-2021")</f>
        <v/>
      </c>
      <c r="X73">
        <f>HYPERLINK("https://klasma.github.io/Logging_2482/tillsyn/A 29725-2021 tillsynsbegäran.docx", "A 29725-2021")</f>
        <v/>
      </c>
      <c r="Y73">
        <f>HYPERLINK("https://klasma.github.io/Logging_2482/tillsynsmail/A 29725-2021 tillsynsbegäran mail.docx", "A 29725-2021")</f>
        <v/>
      </c>
      <c r="Z73">
        <f>HYPERLINK("https://klasma.github.io/Logging_2482/fåglar/A 29725-2021 prioriterade fågelarter.docx", "A 29725-2021")</f>
        <v/>
      </c>
    </row>
    <row r="74" ht="15" customHeight="1">
      <c r="A74" t="inlineStr">
        <is>
          <t>A 32918-2021</t>
        </is>
      </c>
      <c r="B74" s="1" t="n">
        <v>44375</v>
      </c>
      <c r="C74" s="1" t="n">
        <v>45472</v>
      </c>
      <c r="D74" t="inlineStr">
        <is>
          <t>VÄSTERBOTTENS LÄN</t>
        </is>
      </c>
      <c r="E74" t="inlineStr">
        <is>
          <t>SKELLEFTEÅ</t>
        </is>
      </c>
      <c r="F74" t="inlineStr">
        <is>
          <t>SCA</t>
        </is>
      </c>
      <c r="G74" t="n">
        <v>16.7</v>
      </c>
      <c r="H74" t="n">
        <v>0</v>
      </c>
      <c r="I74" t="n">
        <v>1</v>
      </c>
      <c r="J74" t="n">
        <v>2</v>
      </c>
      <c r="K74" t="n">
        <v>0</v>
      </c>
      <c r="L74" t="n">
        <v>0</v>
      </c>
      <c r="M74" t="n">
        <v>0</v>
      </c>
      <c r="N74" t="n">
        <v>0</v>
      </c>
      <c r="O74" t="n">
        <v>2</v>
      </c>
      <c r="P74" t="n">
        <v>0</v>
      </c>
      <c r="Q74" t="n">
        <v>3</v>
      </c>
      <c r="R74" s="2" t="inlineStr">
        <is>
          <t>Blå taggsvamp
Tallticka
Dropptaggsvamp</t>
        </is>
      </c>
      <c r="S74">
        <f>HYPERLINK("https://klasma.github.io/Logging_2482/artfynd/A 32918-2021 artfynd.xlsx", "A 32918-2021")</f>
        <v/>
      </c>
      <c r="T74">
        <f>HYPERLINK("https://klasma.github.io/Logging_2482/kartor/A 32918-2021 karta.png", "A 32918-2021")</f>
        <v/>
      </c>
      <c r="V74">
        <f>HYPERLINK("https://klasma.github.io/Logging_2482/klagomål/A 32918-2021 FSC-klagomål.docx", "A 32918-2021")</f>
        <v/>
      </c>
      <c r="W74">
        <f>HYPERLINK("https://klasma.github.io/Logging_2482/klagomålsmail/A 32918-2021 FSC-klagomål mail.docx", "A 32918-2021")</f>
        <v/>
      </c>
      <c r="X74">
        <f>HYPERLINK("https://klasma.github.io/Logging_2482/tillsyn/A 32918-2021 tillsynsbegäran.docx", "A 32918-2021")</f>
        <v/>
      </c>
      <c r="Y74">
        <f>HYPERLINK("https://klasma.github.io/Logging_2482/tillsynsmail/A 32918-2021 tillsynsbegäran mail.docx", "A 32918-2021")</f>
        <v/>
      </c>
    </row>
    <row r="75" ht="15" customHeight="1">
      <c r="A75" t="inlineStr">
        <is>
          <t>A 41508-2021</t>
        </is>
      </c>
      <c r="B75" s="1" t="n">
        <v>44424</v>
      </c>
      <c r="C75" s="1" t="n">
        <v>45472</v>
      </c>
      <c r="D75" t="inlineStr">
        <is>
          <t>VÄSTERBOTTENS LÄN</t>
        </is>
      </c>
      <c r="E75" t="inlineStr">
        <is>
          <t>SKELLEFTEÅ</t>
        </is>
      </c>
      <c r="F75" t="inlineStr">
        <is>
          <t>SCA</t>
        </is>
      </c>
      <c r="G75" t="n">
        <v>9.800000000000001</v>
      </c>
      <c r="H75" t="n">
        <v>0</v>
      </c>
      <c r="I75" t="n">
        <v>1</v>
      </c>
      <c r="J75" t="n">
        <v>2</v>
      </c>
      <c r="K75" t="n">
        <v>0</v>
      </c>
      <c r="L75" t="n">
        <v>0</v>
      </c>
      <c r="M75" t="n">
        <v>0</v>
      </c>
      <c r="N75" t="n">
        <v>0</v>
      </c>
      <c r="O75" t="n">
        <v>2</v>
      </c>
      <c r="P75" t="n">
        <v>0</v>
      </c>
      <c r="Q75" t="n">
        <v>3</v>
      </c>
      <c r="R75" s="2" t="inlineStr">
        <is>
          <t>Motaggsvamp
Orange taggsvamp
Dropptaggsvamp</t>
        </is>
      </c>
      <c r="S75">
        <f>HYPERLINK("https://klasma.github.io/Logging_2482/artfynd/A 41508-2021 artfynd.xlsx", "A 41508-2021")</f>
        <v/>
      </c>
      <c r="T75">
        <f>HYPERLINK("https://klasma.github.io/Logging_2482/kartor/A 41508-2021 karta.png", "A 41508-2021")</f>
        <v/>
      </c>
      <c r="V75">
        <f>HYPERLINK("https://klasma.github.io/Logging_2482/klagomål/A 41508-2021 FSC-klagomål.docx", "A 41508-2021")</f>
        <v/>
      </c>
      <c r="W75">
        <f>HYPERLINK("https://klasma.github.io/Logging_2482/klagomålsmail/A 41508-2021 FSC-klagomål mail.docx", "A 41508-2021")</f>
        <v/>
      </c>
      <c r="X75">
        <f>HYPERLINK("https://klasma.github.io/Logging_2482/tillsyn/A 41508-2021 tillsynsbegäran.docx", "A 41508-2021")</f>
        <v/>
      </c>
      <c r="Y75">
        <f>HYPERLINK("https://klasma.github.io/Logging_2482/tillsynsmail/A 41508-2021 tillsynsbegäran mail.docx", "A 41508-2021")</f>
        <v/>
      </c>
    </row>
    <row r="76" ht="15" customHeight="1">
      <c r="A76" t="inlineStr">
        <is>
          <t>A 41506-2021</t>
        </is>
      </c>
      <c r="B76" s="1" t="n">
        <v>44425</v>
      </c>
      <c r="C76" s="1" t="n">
        <v>45472</v>
      </c>
      <c r="D76" t="inlineStr">
        <is>
          <t>VÄSTERBOTTENS LÄN</t>
        </is>
      </c>
      <c r="E76" t="inlineStr">
        <is>
          <t>SKELLEFTEÅ</t>
        </is>
      </c>
      <c r="F76" t="inlineStr">
        <is>
          <t>SCA</t>
        </is>
      </c>
      <c r="G76" t="n">
        <v>4.2</v>
      </c>
      <c r="H76" t="n">
        <v>0</v>
      </c>
      <c r="I76" t="n">
        <v>1</v>
      </c>
      <c r="J76" t="n">
        <v>2</v>
      </c>
      <c r="K76" t="n">
        <v>0</v>
      </c>
      <c r="L76" t="n">
        <v>0</v>
      </c>
      <c r="M76" t="n">
        <v>0</v>
      </c>
      <c r="N76" t="n">
        <v>0</v>
      </c>
      <c r="O76" t="n">
        <v>2</v>
      </c>
      <c r="P76" t="n">
        <v>0</v>
      </c>
      <c r="Q76" t="n">
        <v>3</v>
      </c>
      <c r="R76" s="2" t="inlineStr">
        <is>
          <t>Rosenticka
Ullticka
Vedticka</t>
        </is>
      </c>
      <c r="S76">
        <f>HYPERLINK("https://klasma.github.io/Logging_2482/artfynd/A 41506-2021 artfynd.xlsx", "A 41506-2021")</f>
        <v/>
      </c>
      <c r="T76">
        <f>HYPERLINK("https://klasma.github.io/Logging_2482/kartor/A 41506-2021 karta.png", "A 41506-2021")</f>
        <v/>
      </c>
      <c r="V76">
        <f>HYPERLINK("https://klasma.github.io/Logging_2482/klagomål/A 41506-2021 FSC-klagomål.docx", "A 41506-2021")</f>
        <v/>
      </c>
      <c r="W76">
        <f>HYPERLINK("https://klasma.github.io/Logging_2482/klagomålsmail/A 41506-2021 FSC-klagomål mail.docx", "A 41506-2021")</f>
        <v/>
      </c>
      <c r="X76">
        <f>HYPERLINK("https://klasma.github.io/Logging_2482/tillsyn/A 41506-2021 tillsynsbegäran.docx", "A 41506-2021")</f>
        <v/>
      </c>
      <c r="Y76">
        <f>HYPERLINK("https://klasma.github.io/Logging_2482/tillsynsmail/A 41506-2021 tillsynsbegäran mail.docx", "A 41506-2021")</f>
        <v/>
      </c>
    </row>
    <row r="77" ht="15" customHeight="1">
      <c r="A77" t="inlineStr">
        <is>
          <t>A 62340-2021</t>
        </is>
      </c>
      <c r="B77" s="1" t="n">
        <v>44503</v>
      </c>
      <c r="C77" s="1" t="n">
        <v>45472</v>
      </c>
      <c r="D77" t="inlineStr">
        <is>
          <t>VÄSTERBOTTENS LÄN</t>
        </is>
      </c>
      <c r="E77" t="inlineStr">
        <is>
          <t>SKELLEFTEÅ</t>
        </is>
      </c>
      <c r="G77" t="n">
        <v>3.9</v>
      </c>
      <c r="H77" t="n">
        <v>0</v>
      </c>
      <c r="I77" t="n">
        <v>2</v>
      </c>
      <c r="J77" t="n">
        <v>1</v>
      </c>
      <c r="K77" t="n">
        <v>0</v>
      </c>
      <c r="L77" t="n">
        <v>0</v>
      </c>
      <c r="M77" t="n">
        <v>0</v>
      </c>
      <c r="N77" t="n">
        <v>0</v>
      </c>
      <c r="O77" t="n">
        <v>1</v>
      </c>
      <c r="P77" t="n">
        <v>0</v>
      </c>
      <c r="Q77" t="n">
        <v>3</v>
      </c>
      <c r="R77" s="2" t="inlineStr">
        <is>
          <t>Garnlav
Dropptaggsvamp
Vedticka</t>
        </is>
      </c>
      <c r="S77">
        <f>HYPERLINK("https://klasma.github.io/Logging_2482/artfynd/A 62340-2021 artfynd.xlsx", "A 62340-2021")</f>
        <v/>
      </c>
      <c r="T77">
        <f>HYPERLINK("https://klasma.github.io/Logging_2482/kartor/A 62340-2021 karta.png",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4245-2022</t>
        </is>
      </c>
      <c r="B78" s="1" t="n">
        <v>44588</v>
      </c>
      <c r="C78" s="1" t="n">
        <v>45472</v>
      </c>
      <c r="D78" t="inlineStr">
        <is>
          <t>VÄSTERBOTTENS LÄN</t>
        </is>
      </c>
      <c r="E78" t="inlineStr">
        <is>
          <t>SKELLEFTEÅ</t>
        </is>
      </c>
      <c r="G78" t="n">
        <v>0.2</v>
      </c>
      <c r="H78" t="n">
        <v>0</v>
      </c>
      <c r="I78" t="n">
        <v>0</v>
      </c>
      <c r="J78" t="n">
        <v>3</v>
      </c>
      <c r="K78" t="n">
        <v>0</v>
      </c>
      <c r="L78" t="n">
        <v>0</v>
      </c>
      <c r="M78" t="n">
        <v>0</v>
      </c>
      <c r="N78" t="n">
        <v>0</v>
      </c>
      <c r="O78" t="n">
        <v>3</v>
      </c>
      <c r="P78" t="n">
        <v>0</v>
      </c>
      <c r="Q78" t="n">
        <v>3</v>
      </c>
      <c r="R78" s="2" t="inlineStr">
        <is>
          <t>Garnlav
Granticka
Harticka</t>
        </is>
      </c>
      <c r="S78">
        <f>HYPERLINK("https://klasma.github.io/Logging_2482/artfynd/A 4245-2022 artfynd.xlsx", "A 4245-2022")</f>
        <v/>
      </c>
      <c r="T78">
        <f>HYPERLINK("https://klasma.github.io/Logging_2482/kartor/A 4245-2022 karta.png", "A 4245-2022")</f>
        <v/>
      </c>
      <c r="V78">
        <f>HYPERLINK("https://klasma.github.io/Logging_2482/klagomål/A 4245-2022 FSC-klagomål.docx", "A 4245-2022")</f>
        <v/>
      </c>
      <c r="W78">
        <f>HYPERLINK("https://klasma.github.io/Logging_2482/klagomålsmail/A 4245-2022 FSC-klagomål mail.docx", "A 4245-2022")</f>
        <v/>
      </c>
      <c r="X78">
        <f>HYPERLINK("https://klasma.github.io/Logging_2482/tillsyn/A 4245-2022 tillsynsbegäran.docx", "A 4245-2022")</f>
        <v/>
      </c>
      <c r="Y78">
        <f>HYPERLINK("https://klasma.github.io/Logging_2482/tillsynsmail/A 4245-2022 tillsynsbegäran mail.docx", "A 4245-2022")</f>
        <v/>
      </c>
    </row>
    <row r="79" ht="15" customHeight="1">
      <c r="A79" t="inlineStr">
        <is>
          <t>A 14498-2022</t>
        </is>
      </c>
      <c r="B79" s="1" t="n">
        <v>44655</v>
      </c>
      <c r="C79" s="1" t="n">
        <v>45472</v>
      </c>
      <c r="D79" t="inlineStr">
        <is>
          <t>VÄSTERBOTTENS LÄN</t>
        </is>
      </c>
      <c r="E79" t="inlineStr">
        <is>
          <t>SKELLEFTEÅ</t>
        </is>
      </c>
      <c r="G79" t="n">
        <v>8.6</v>
      </c>
      <c r="H79" t="n">
        <v>0</v>
      </c>
      <c r="I79" t="n">
        <v>0</v>
      </c>
      <c r="J79" t="n">
        <v>3</v>
      </c>
      <c r="K79" t="n">
        <v>0</v>
      </c>
      <c r="L79" t="n">
        <v>0</v>
      </c>
      <c r="M79" t="n">
        <v>0</v>
      </c>
      <c r="N79" t="n">
        <v>0</v>
      </c>
      <c r="O79" t="n">
        <v>3</v>
      </c>
      <c r="P79" t="n">
        <v>0</v>
      </c>
      <c r="Q79" t="n">
        <v>3</v>
      </c>
      <c r="R79" s="2" t="inlineStr">
        <is>
          <t>Garnlav
Granticka
Ullticka</t>
        </is>
      </c>
      <c r="S79">
        <f>HYPERLINK("https://klasma.github.io/Logging_2482/artfynd/A 14498-2022 artfynd.xlsx", "A 14498-2022")</f>
        <v/>
      </c>
      <c r="T79">
        <f>HYPERLINK("https://klasma.github.io/Logging_2482/kartor/A 14498-2022 karta.png", "A 14498-2022")</f>
        <v/>
      </c>
      <c r="V79">
        <f>HYPERLINK("https://klasma.github.io/Logging_2482/klagomål/A 14498-2022 FSC-klagomål.docx", "A 14498-2022")</f>
        <v/>
      </c>
      <c r="W79">
        <f>HYPERLINK("https://klasma.github.io/Logging_2482/klagomålsmail/A 14498-2022 FSC-klagomål mail.docx", "A 14498-2022")</f>
        <v/>
      </c>
      <c r="X79">
        <f>HYPERLINK("https://klasma.github.io/Logging_2482/tillsyn/A 14498-2022 tillsynsbegäran.docx", "A 14498-2022")</f>
        <v/>
      </c>
      <c r="Y79">
        <f>HYPERLINK("https://klasma.github.io/Logging_2482/tillsynsmail/A 14498-2022 tillsynsbegäran mail.docx", "A 14498-2022")</f>
        <v/>
      </c>
    </row>
    <row r="80" ht="15" customHeight="1">
      <c r="A80" t="inlineStr">
        <is>
          <t>A 19803-2022</t>
        </is>
      </c>
      <c r="B80" s="1" t="n">
        <v>44694</v>
      </c>
      <c r="C80" s="1" t="n">
        <v>45472</v>
      </c>
      <c r="D80" t="inlineStr">
        <is>
          <t>VÄSTERBOTTENS LÄN</t>
        </is>
      </c>
      <c r="E80" t="inlineStr">
        <is>
          <t>SKELLEFTEÅ</t>
        </is>
      </c>
      <c r="F80" t="inlineStr">
        <is>
          <t>SCA</t>
        </is>
      </c>
      <c r="G80" t="n">
        <v>5.6</v>
      </c>
      <c r="H80" t="n">
        <v>1</v>
      </c>
      <c r="I80" t="n">
        <v>0</v>
      </c>
      <c r="J80" t="n">
        <v>3</v>
      </c>
      <c r="K80" t="n">
        <v>0</v>
      </c>
      <c r="L80" t="n">
        <v>0</v>
      </c>
      <c r="M80" t="n">
        <v>0</v>
      </c>
      <c r="N80" t="n">
        <v>0</v>
      </c>
      <c r="O80" t="n">
        <v>3</v>
      </c>
      <c r="P80" t="n">
        <v>0</v>
      </c>
      <c r="Q80" t="n">
        <v>3</v>
      </c>
      <c r="R80" s="2" t="inlineStr">
        <is>
          <t>Rosenticka
Spillkråka
Vitgrynig nållav</t>
        </is>
      </c>
      <c r="S80">
        <f>HYPERLINK("https://klasma.github.io/Logging_2482/artfynd/A 19803-2022 artfynd.xlsx", "A 19803-2022")</f>
        <v/>
      </c>
      <c r="T80">
        <f>HYPERLINK("https://klasma.github.io/Logging_2482/kartor/A 19803-2022 karta.png", "A 19803-2022")</f>
        <v/>
      </c>
      <c r="V80">
        <f>HYPERLINK("https://klasma.github.io/Logging_2482/klagomål/A 19803-2022 FSC-klagomål.docx", "A 19803-2022")</f>
        <v/>
      </c>
      <c r="W80">
        <f>HYPERLINK("https://klasma.github.io/Logging_2482/klagomålsmail/A 19803-2022 FSC-klagomål mail.docx", "A 19803-2022")</f>
        <v/>
      </c>
      <c r="X80">
        <f>HYPERLINK("https://klasma.github.io/Logging_2482/tillsyn/A 19803-2022 tillsynsbegäran.docx", "A 19803-2022")</f>
        <v/>
      </c>
      <c r="Y80">
        <f>HYPERLINK("https://klasma.github.io/Logging_2482/tillsynsmail/A 19803-2022 tillsynsbegäran mail.docx", "A 19803-2022")</f>
        <v/>
      </c>
      <c r="Z80">
        <f>HYPERLINK("https://klasma.github.io/Logging_2482/fåglar/A 19803-2022 prioriterade fågelarter.docx", "A 19803-2022")</f>
        <v/>
      </c>
    </row>
    <row r="81" ht="15" customHeight="1">
      <c r="A81" t="inlineStr">
        <is>
          <t>A 40987-2022</t>
        </is>
      </c>
      <c r="B81" s="1" t="n">
        <v>44823</v>
      </c>
      <c r="C81" s="1" t="n">
        <v>45472</v>
      </c>
      <c r="D81" t="inlineStr">
        <is>
          <t>VÄSTERBOTTENS LÄN</t>
        </is>
      </c>
      <c r="E81" t="inlineStr">
        <is>
          <t>SKELLEFTEÅ</t>
        </is>
      </c>
      <c r="G81" t="n">
        <v>7.1</v>
      </c>
      <c r="H81" t="n">
        <v>0</v>
      </c>
      <c r="I81" t="n">
        <v>2</v>
      </c>
      <c r="J81" t="n">
        <v>1</v>
      </c>
      <c r="K81" t="n">
        <v>0</v>
      </c>
      <c r="L81" t="n">
        <v>0</v>
      </c>
      <c r="M81" t="n">
        <v>0</v>
      </c>
      <c r="N81" t="n">
        <v>0</v>
      </c>
      <c r="O81" t="n">
        <v>1</v>
      </c>
      <c r="P81" t="n">
        <v>0</v>
      </c>
      <c r="Q81" t="n">
        <v>3</v>
      </c>
      <c r="R81" s="2" t="inlineStr">
        <is>
          <t>Blå taggsvamp
Bårdlav
Norrlandslav</t>
        </is>
      </c>
      <c r="S81">
        <f>HYPERLINK("https://klasma.github.io/Logging_2482/artfynd/A 40987-2022 artfynd.xlsx", "A 40987-2022")</f>
        <v/>
      </c>
      <c r="T81">
        <f>HYPERLINK("https://klasma.github.io/Logging_2482/kartor/A 40987-2022 karta.png", "A 40987-2022")</f>
        <v/>
      </c>
      <c r="V81">
        <f>HYPERLINK("https://klasma.github.io/Logging_2482/klagomål/A 40987-2022 FSC-klagomål.docx", "A 40987-2022")</f>
        <v/>
      </c>
      <c r="W81">
        <f>HYPERLINK("https://klasma.github.io/Logging_2482/klagomålsmail/A 40987-2022 FSC-klagomål mail.docx", "A 40987-2022")</f>
        <v/>
      </c>
      <c r="X81">
        <f>HYPERLINK("https://klasma.github.io/Logging_2482/tillsyn/A 40987-2022 tillsynsbegäran.docx", "A 40987-2022")</f>
        <v/>
      </c>
      <c r="Y81">
        <f>HYPERLINK("https://klasma.github.io/Logging_2482/tillsynsmail/A 40987-2022 tillsynsbegäran mail.docx", "A 40987-2022")</f>
        <v/>
      </c>
    </row>
    <row r="82" ht="15" customHeight="1">
      <c r="A82" t="inlineStr">
        <is>
          <t>A 41412-2022</t>
        </is>
      </c>
      <c r="B82" s="1" t="n">
        <v>44826</v>
      </c>
      <c r="C82" s="1" t="n">
        <v>45472</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42687-2022</t>
        </is>
      </c>
      <c r="B83" s="1" t="n">
        <v>44831</v>
      </c>
      <c r="C83" s="1" t="n">
        <v>45472</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51945-2022</t>
        </is>
      </c>
      <c r="B84" s="1" t="n">
        <v>44872</v>
      </c>
      <c r="C84" s="1" t="n">
        <v>45472</v>
      </c>
      <c r="D84" t="inlineStr">
        <is>
          <t>VÄSTERBOTTENS LÄN</t>
        </is>
      </c>
      <c r="E84" t="inlineStr">
        <is>
          <t>SKELLEFTEÅ</t>
        </is>
      </c>
      <c r="F84" t="inlineStr">
        <is>
          <t>Holmen skog AB</t>
        </is>
      </c>
      <c r="G84" t="n">
        <v>7.1</v>
      </c>
      <c r="H84" t="n">
        <v>2</v>
      </c>
      <c r="I84" t="n">
        <v>1</v>
      </c>
      <c r="J84" t="n">
        <v>0</v>
      </c>
      <c r="K84" t="n">
        <v>0</v>
      </c>
      <c r="L84" t="n">
        <v>0</v>
      </c>
      <c r="M84" t="n">
        <v>0</v>
      </c>
      <c r="N84" t="n">
        <v>0</v>
      </c>
      <c r="O84" t="n">
        <v>0</v>
      </c>
      <c r="P84" t="n">
        <v>0</v>
      </c>
      <c r="Q84" t="n">
        <v>3</v>
      </c>
      <c r="R84" s="2" t="inlineStr">
        <is>
          <t>Trådticka
Lopplummer
Revlummer</t>
        </is>
      </c>
      <c r="S84">
        <f>HYPERLINK("https://klasma.github.io/Logging_2482/artfynd/A 51945-2022 artfynd.xlsx", "A 51945-2022")</f>
        <v/>
      </c>
      <c r="T84">
        <f>HYPERLINK("https://klasma.github.io/Logging_2482/kartor/A 51945-2022 karta.png", "A 51945-2022")</f>
        <v/>
      </c>
      <c r="V84">
        <f>HYPERLINK("https://klasma.github.io/Logging_2482/klagomål/A 51945-2022 FSC-klagomål.docx", "A 51945-2022")</f>
        <v/>
      </c>
      <c r="W84">
        <f>HYPERLINK("https://klasma.github.io/Logging_2482/klagomålsmail/A 51945-2022 FSC-klagomål mail.docx", "A 51945-2022")</f>
        <v/>
      </c>
      <c r="X84">
        <f>HYPERLINK("https://klasma.github.io/Logging_2482/tillsyn/A 51945-2022 tillsynsbegäran.docx", "A 51945-2022")</f>
        <v/>
      </c>
      <c r="Y84">
        <f>HYPERLINK("https://klasma.github.io/Logging_2482/tillsynsmail/A 51945-2022 tillsynsbegäran mail.docx", "A 51945-2022")</f>
        <v/>
      </c>
    </row>
    <row r="85" ht="15" customHeight="1">
      <c r="A85" t="inlineStr">
        <is>
          <t>A 41099-2023</t>
        </is>
      </c>
      <c r="B85" s="1" t="n">
        <v>45173</v>
      </c>
      <c r="C85" s="1" t="n">
        <v>45472</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44152-2023</t>
        </is>
      </c>
      <c r="B86" s="1" t="n">
        <v>45188</v>
      </c>
      <c r="C86" s="1" t="n">
        <v>45472</v>
      </c>
      <c r="D86" t="inlineStr">
        <is>
          <t>VÄSTERBOTTENS LÄN</t>
        </is>
      </c>
      <c r="E86" t="inlineStr">
        <is>
          <t>SKELLEFTEÅ</t>
        </is>
      </c>
      <c r="F86" t="inlineStr">
        <is>
          <t>Holmen skog AB</t>
        </is>
      </c>
      <c r="G86" t="n">
        <v>9.199999999999999</v>
      </c>
      <c r="H86" t="n">
        <v>1</v>
      </c>
      <c r="I86" t="n">
        <v>0</v>
      </c>
      <c r="J86" t="n">
        <v>3</v>
      </c>
      <c r="K86" t="n">
        <v>0</v>
      </c>
      <c r="L86" t="n">
        <v>0</v>
      </c>
      <c r="M86" t="n">
        <v>0</v>
      </c>
      <c r="N86" t="n">
        <v>0</v>
      </c>
      <c r="O86" t="n">
        <v>3</v>
      </c>
      <c r="P86" t="n">
        <v>0</v>
      </c>
      <c r="Q86" t="n">
        <v>3</v>
      </c>
      <c r="R86" s="2" t="inlineStr">
        <is>
          <t>Gammelgransskål
Garnlav
Videsparv</t>
        </is>
      </c>
      <c r="S86">
        <f>HYPERLINK("https://klasma.github.io/Logging_2482/artfynd/A 44152-2023 artfynd.xlsx", "A 44152-2023")</f>
        <v/>
      </c>
      <c r="T86">
        <f>HYPERLINK("https://klasma.github.io/Logging_2482/kartor/A 44152-2023 karta.png", "A 44152-2023")</f>
        <v/>
      </c>
      <c r="V86">
        <f>HYPERLINK("https://klasma.github.io/Logging_2482/klagomål/A 44152-2023 FSC-klagomål.docx", "A 44152-2023")</f>
        <v/>
      </c>
      <c r="W86">
        <f>HYPERLINK("https://klasma.github.io/Logging_2482/klagomålsmail/A 44152-2023 FSC-klagomål mail.docx", "A 44152-2023")</f>
        <v/>
      </c>
      <c r="X86">
        <f>HYPERLINK("https://klasma.github.io/Logging_2482/tillsyn/A 44152-2023 tillsynsbegäran.docx", "A 44152-2023")</f>
        <v/>
      </c>
      <c r="Y86">
        <f>HYPERLINK("https://klasma.github.io/Logging_2482/tillsynsmail/A 44152-2023 tillsynsbegäran mail.docx", "A 44152-2023")</f>
        <v/>
      </c>
      <c r="Z86">
        <f>HYPERLINK("https://klasma.github.io/Logging_2482/fåglar/A 44152-2023 prioriterade fågelarter.docx", "A 44152-2023")</f>
        <v/>
      </c>
    </row>
    <row r="87" ht="15" customHeight="1">
      <c r="A87" t="inlineStr">
        <is>
          <t>A 56435-2023</t>
        </is>
      </c>
      <c r="B87" s="1" t="n">
        <v>45243</v>
      </c>
      <c r="C87" s="1" t="n">
        <v>45472</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58157-2023</t>
        </is>
      </c>
      <c r="B88" s="1" t="n">
        <v>45250</v>
      </c>
      <c r="C88" s="1" t="n">
        <v>45472</v>
      </c>
      <c r="D88" t="inlineStr">
        <is>
          <t>VÄSTERBOTTENS LÄN</t>
        </is>
      </c>
      <c r="E88" t="inlineStr">
        <is>
          <t>SKELLEFTEÅ</t>
        </is>
      </c>
      <c r="F88" t="inlineStr">
        <is>
          <t>Holmen skog AB</t>
        </is>
      </c>
      <c r="G88" t="n">
        <v>14.4</v>
      </c>
      <c r="H88" t="n">
        <v>0</v>
      </c>
      <c r="I88" t="n">
        <v>0</v>
      </c>
      <c r="J88" t="n">
        <v>3</v>
      </c>
      <c r="K88" t="n">
        <v>0</v>
      </c>
      <c r="L88" t="n">
        <v>0</v>
      </c>
      <c r="M88" t="n">
        <v>0</v>
      </c>
      <c r="N88" t="n">
        <v>0</v>
      </c>
      <c r="O88" t="n">
        <v>3</v>
      </c>
      <c r="P88" t="n">
        <v>0</v>
      </c>
      <c r="Q88" t="n">
        <v>3</v>
      </c>
      <c r="R88" s="2" t="inlineStr">
        <is>
          <t>Granticka
Motaggsvamp
Orange taggsvamp</t>
        </is>
      </c>
      <c r="S88">
        <f>HYPERLINK("https://klasma.github.io/Logging_2482/artfynd/A 58157-2023 artfynd.xlsx", "A 58157-2023")</f>
        <v/>
      </c>
      <c r="T88">
        <f>HYPERLINK("https://klasma.github.io/Logging_2482/kartor/A 58157-2023 karta.png", "A 58157-2023")</f>
        <v/>
      </c>
      <c r="V88">
        <f>HYPERLINK("https://klasma.github.io/Logging_2482/klagomål/A 58157-2023 FSC-klagomål.docx", "A 58157-2023")</f>
        <v/>
      </c>
      <c r="W88">
        <f>HYPERLINK("https://klasma.github.io/Logging_2482/klagomålsmail/A 58157-2023 FSC-klagomål mail.docx", "A 58157-2023")</f>
        <v/>
      </c>
      <c r="X88">
        <f>HYPERLINK("https://klasma.github.io/Logging_2482/tillsyn/A 58157-2023 tillsynsbegäran.docx", "A 58157-2023")</f>
        <v/>
      </c>
      <c r="Y88">
        <f>HYPERLINK("https://klasma.github.io/Logging_2482/tillsynsmail/A 58157-2023 tillsynsbegäran mail.docx", "A 58157-2023")</f>
        <v/>
      </c>
    </row>
    <row r="89" ht="15" customHeight="1">
      <c r="A89" t="inlineStr">
        <is>
          <t>A 62346-2023</t>
        </is>
      </c>
      <c r="B89" s="1" t="n">
        <v>45267</v>
      </c>
      <c r="C89" s="1" t="n">
        <v>45472</v>
      </c>
      <c r="D89" t="inlineStr">
        <is>
          <t>VÄSTERBOTTENS LÄN</t>
        </is>
      </c>
      <c r="E89" t="inlineStr">
        <is>
          <t>SKELLEFTEÅ</t>
        </is>
      </c>
      <c r="G89" t="n">
        <v>5.1</v>
      </c>
      <c r="H89" t="n">
        <v>0</v>
      </c>
      <c r="I89" t="n">
        <v>0</v>
      </c>
      <c r="J89" t="n">
        <v>3</v>
      </c>
      <c r="K89" t="n">
        <v>0</v>
      </c>
      <c r="L89" t="n">
        <v>0</v>
      </c>
      <c r="M89" t="n">
        <v>0</v>
      </c>
      <c r="N89" t="n">
        <v>0</v>
      </c>
      <c r="O89" t="n">
        <v>3</v>
      </c>
      <c r="P89" t="n">
        <v>0</v>
      </c>
      <c r="Q89" t="n">
        <v>3</v>
      </c>
      <c r="R89" s="2" t="inlineStr">
        <is>
          <t>Garnlav
Ullticka
Violettgrå tagellav</t>
        </is>
      </c>
      <c r="S89">
        <f>HYPERLINK("https://klasma.github.io/Logging_2482/artfynd/A 62346-2023 artfynd.xlsx", "A 62346-2023")</f>
        <v/>
      </c>
      <c r="T89">
        <f>HYPERLINK("https://klasma.github.io/Logging_2482/kartor/A 62346-2023 karta.png", "A 62346-2023")</f>
        <v/>
      </c>
      <c r="V89">
        <f>HYPERLINK("https://klasma.github.io/Logging_2482/klagomål/A 62346-2023 FSC-klagomål.docx", "A 62346-2023")</f>
        <v/>
      </c>
      <c r="W89">
        <f>HYPERLINK("https://klasma.github.io/Logging_2482/klagomålsmail/A 62346-2023 FSC-klagomål mail.docx", "A 62346-2023")</f>
        <v/>
      </c>
      <c r="X89">
        <f>HYPERLINK("https://klasma.github.io/Logging_2482/tillsyn/A 62346-2023 tillsynsbegäran.docx", "A 62346-2023")</f>
        <v/>
      </c>
      <c r="Y89">
        <f>HYPERLINK("https://klasma.github.io/Logging_2482/tillsynsmail/A 62346-2023 tillsynsbegäran mail.docx", "A 62346-2023")</f>
        <v/>
      </c>
    </row>
    <row r="90" ht="15" customHeight="1">
      <c r="A90" t="inlineStr">
        <is>
          <t>A 62595-2023</t>
        </is>
      </c>
      <c r="B90" s="1" t="n">
        <v>45267</v>
      </c>
      <c r="C90" s="1" t="n">
        <v>45472</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64850-2023</t>
        </is>
      </c>
      <c r="B91" s="1" t="n">
        <v>45282</v>
      </c>
      <c r="C91" s="1" t="n">
        <v>45472</v>
      </c>
      <c r="D91" t="inlineStr">
        <is>
          <t>VÄSTERBOTTENS LÄN</t>
        </is>
      </c>
      <c r="E91" t="inlineStr">
        <is>
          <t>SKELLEFTEÅ</t>
        </is>
      </c>
      <c r="G91" t="n">
        <v>9.9</v>
      </c>
      <c r="H91" t="n">
        <v>0</v>
      </c>
      <c r="I91" t="n">
        <v>0</v>
      </c>
      <c r="J91" t="n">
        <v>3</v>
      </c>
      <c r="K91" t="n">
        <v>0</v>
      </c>
      <c r="L91" t="n">
        <v>0</v>
      </c>
      <c r="M91" t="n">
        <v>0</v>
      </c>
      <c r="N91" t="n">
        <v>0</v>
      </c>
      <c r="O91" t="n">
        <v>3</v>
      </c>
      <c r="P91" t="n">
        <v>0</v>
      </c>
      <c r="Q91" t="n">
        <v>3</v>
      </c>
      <c r="R91" s="2" t="inlineStr">
        <is>
          <t>Gammelgransskål
Garnlav
Ullticka</t>
        </is>
      </c>
      <c r="S91">
        <f>HYPERLINK("https://klasma.github.io/Logging_2482/artfynd/A 64850-2023 artfynd.xlsx", "A 64850-2023")</f>
        <v/>
      </c>
      <c r="T91">
        <f>HYPERLINK("https://klasma.github.io/Logging_2482/kartor/A 64850-2023 karta.png", "A 64850-2023")</f>
        <v/>
      </c>
      <c r="V91">
        <f>HYPERLINK("https://klasma.github.io/Logging_2482/klagomål/A 64850-2023 FSC-klagomål.docx", "A 64850-2023")</f>
        <v/>
      </c>
      <c r="W91">
        <f>HYPERLINK("https://klasma.github.io/Logging_2482/klagomålsmail/A 64850-2023 FSC-klagomål mail.docx", "A 64850-2023")</f>
        <v/>
      </c>
      <c r="X91">
        <f>HYPERLINK("https://klasma.github.io/Logging_2482/tillsyn/A 64850-2023 tillsynsbegäran.docx", "A 64850-2023")</f>
        <v/>
      </c>
      <c r="Y91">
        <f>HYPERLINK("https://klasma.github.io/Logging_2482/tillsynsmail/A 64850-2023 tillsynsbegäran mail.docx", "A 64850-2023")</f>
        <v/>
      </c>
    </row>
    <row r="92" ht="15" customHeight="1">
      <c r="A92" t="inlineStr">
        <is>
          <t>A 2054-2024</t>
        </is>
      </c>
      <c r="B92" s="1" t="n">
        <v>45308</v>
      </c>
      <c r="C92" s="1" t="n">
        <v>45472</v>
      </c>
      <c r="D92" t="inlineStr">
        <is>
          <t>VÄSTERBOTTENS LÄN</t>
        </is>
      </c>
      <c r="E92" t="inlineStr">
        <is>
          <t>SKELLEFTEÅ</t>
        </is>
      </c>
      <c r="G92" t="n">
        <v>7.6</v>
      </c>
      <c r="H92" t="n">
        <v>1</v>
      </c>
      <c r="I92" t="n">
        <v>0</v>
      </c>
      <c r="J92" t="n">
        <v>3</v>
      </c>
      <c r="K92" t="n">
        <v>0</v>
      </c>
      <c r="L92" t="n">
        <v>0</v>
      </c>
      <c r="M92" t="n">
        <v>0</v>
      </c>
      <c r="N92" t="n">
        <v>0</v>
      </c>
      <c r="O92" t="n">
        <v>3</v>
      </c>
      <c r="P92" t="n">
        <v>0</v>
      </c>
      <c r="Q92" t="n">
        <v>3</v>
      </c>
      <c r="R92" s="2" t="inlineStr">
        <is>
          <t>Blå taggsvamp
Orange taggsvamp
Utter</t>
        </is>
      </c>
      <c r="S92">
        <f>HYPERLINK("https://klasma.github.io/Logging_2482/artfynd/A 2054-2024 artfynd.xlsx", "A 2054-2024")</f>
        <v/>
      </c>
      <c r="T92">
        <f>HYPERLINK("https://klasma.github.io/Logging_2482/kartor/A 2054-2024 karta.png", "A 2054-2024")</f>
        <v/>
      </c>
      <c r="V92">
        <f>HYPERLINK("https://klasma.github.io/Logging_2482/klagomål/A 2054-2024 FSC-klagomål.docx", "A 2054-2024")</f>
        <v/>
      </c>
      <c r="W92">
        <f>HYPERLINK("https://klasma.github.io/Logging_2482/klagomålsmail/A 2054-2024 FSC-klagomål mail.docx", "A 2054-2024")</f>
        <v/>
      </c>
      <c r="X92">
        <f>HYPERLINK("https://klasma.github.io/Logging_2482/tillsyn/A 2054-2024 tillsynsbegäran.docx", "A 2054-2024")</f>
        <v/>
      </c>
      <c r="Y92">
        <f>HYPERLINK("https://klasma.github.io/Logging_2482/tillsynsmail/A 2054-2024 tillsynsbegäran mail.docx", "A 2054-2024")</f>
        <v/>
      </c>
    </row>
    <row r="93" ht="15" customHeight="1">
      <c r="A93" t="inlineStr">
        <is>
          <t>A 2057-2024</t>
        </is>
      </c>
      <c r="B93" s="1" t="n">
        <v>45308</v>
      </c>
      <c r="C93" s="1" t="n">
        <v>45472</v>
      </c>
      <c r="D93" t="inlineStr">
        <is>
          <t>VÄSTERBOTTENS LÄN</t>
        </is>
      </c>
      <c r="E93" t="inlineStr">
        <is>
          <t>SKELLEFTEÅ</t>
        </is>
      </c>
      <c r="G93" t="n">
        <v>3.5</v>
      </c>
      <c r="H93" t="n">
        <v>1</v>
      </c>
      <c r="I93" t="n">
        <v>0</v>
      </c>
      <c r="J93" t="n">
        <v>3</v>
      </c>
      <c r="K93" t="n">
        <v>0</v>
      </c>
      <c r="L93" t="n">
        <v>0</v>
      </c>
      <c r="M93" t="n">
        <v>0</v>
      </c>
      <c r="N93" t="n">
        <v>0</v>
      </c>
      <c r="O93" t="n">
        <v>3</v>
      </c>
      <c r="P93" t="n">
        <v>0</v>
      </c>
      <c r="Q93" t="n">
        <v>3</v>
      </c>
      <c r="R93" s="2" t="inlineStr">
        <is>
          <t>Blanksvart spiklav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27290-2024</t>
        </is>
      </c>
      <c r="B94" s="1" t="n">
        <v>45472</v>
      </c>
      <c r="C94" s="1" t="n">
        <v>45472</v>
      </c>
      <c r="D94" t="inlineStr">
        <is>
          <t>VÄSTERBOTTENS LÄN</t>
        </is>
      </c>
      <c r="E94" t="inlineStr">
        <is>
          <t>SKELLEFTEÅ</t>
        </is>
      </c>
      <c r="G94" t="n">
        <v>2.6</v>
      </c>
      <c r="H94" t="n">
        <v>0</v>
      </c>
      <c r="I94" t="n">
        <v>0</v>
      </c>
      <c r="J94" t="n">
        <v>3</v>
      </c>
      <c r="K94" t="n">
        <v>0</v>
      </c>
      <c r="L94" t="n">
        <v>0</v>
      </c>
      <c r="M94" t="n">
        <v>0</v>
      </c>
      <c r="N94" t="n">
        <v>0</v>
      </c>
      <c r="O94" t="n">
        <v>3</v>
      </c>
      <c r="P94" t="n">
        <v>0</v>
      </c>
      <c r="Q94" t="n">
        <v>3</v>
      </c>
      <c r="R94" s="2" t="inlineStr">
        <is>
          <t>Granticka
Rosenticka
Ullticka</t>
        </is>
      </c>
      <c r="S94">
        <f>HYPERLINK("https://klasma.github.io/Logging_2482/artfynd/A 27290-2024 artfynd.xlsx", "A 27290-2024")</f>
        <v/>
      </c>
      <c r="T94">
        <f>HYPERLINK("https://klasma.github.io/Logging_2482/kartor/A 27290-2024 karta.png", "A 27290-2024")</f>
        <v/>
      </c>
      <c r="V94">
        <f>HYPERLINK("https://klasma.github.io/Logging_2482/klagomål/A 27290-2024 FSC-klagomål.docx", "A 27290-2024")</f>
        <v/>
      </c>
      <c r="W94">
        <f>HYPERLINK("https://klasma.github.io/Logging_2482/klagomålsmail/A 27290-2024 FSC-klagomål mail.docx", "A 27290-2024")</f>
        <v/>
      </c>
      <c r="X94">
        <f>HYPERLINK("https://klasma.github.io/Logging_2482/tillsyn/A 27290-2024 tillsynsbegäran.docx", "A 27290-2024")</f>
        <v/>
      </c>
      <c r="Y94">
        <f>HYPERLINK("https://klasma.github.io/Logging_2482/tillsynsmail/A 27290-2024 tillsynsbegäran mail.docx", "A 27290-2024")</f>
        <v/>
      </c>
    </row>
    <row r="95" ht="15" customHeight="1">
      <c r="A95" t="inlineStr">
        <is>
          <t>A 18882-2019</t>
        </is>
      </c>
      <c r="B95" s="1" t="n">
        <v>43563</v>
      </c>
      <c r="C95" s="1" t="n">
        <v>45472</v>
      </c>
      <c r="D95" t="inlineStr">
        <is>
          <t>VÄSTERBOTTENS LÄN</t>
        </is>
      </c>
      <c r="E95" t="inlineStr">
        <is>
          <t>SKELLEFTEÅ</t>
        </is>
      </c>
      <c r="F95" t="inlineStr">
        <is>
          <t>Kommuner</t>
        </is>
      </c>
      <c r="G95" t="n">
        <v>33.1</v>
      </c>
      <c r="H95" t="n">
        <v>2</v>
      </c>
      <c r="I95" t="n">
        <v>1</v>
      </c>
      <c r="J95" t="n">
        <v>0</v>
      </c>
      <c r="K95" t="n">
        <v>0</v>
      </c>
      <c r="L95" t="n">
        <v>0</v>
      </c>
      <c r="M95" t="n">
        <v>0</v>
      </c>
      <c r="N95" t="n">
        <v>0</v>
      </c>
      <c r="O95" t="n">
        <v>0</v>
      </c>
      <c r="P95" t="n">
        <v>0</v>
      </c>
      <c r="Q95" t="n">
        <v>2</v>
      </c>
      <c r="R95" s="2" t="inlineStr">
        <is>
          <t>Plattlummer
Revlummer</t>
        </is>
      </c>
      <c r="S95">
        <f>HYPERLINK("https://klasma.github.io/Logging_2482/artfynd/A 18882-2019 artfynd.xlsx", "A 18882-2019")</f>
        <v/>
      </c>
      <c r="T95">
        <f>HYPERLINK("https://klasma.github.io/Logging_2482/kartor/A 18882-2019 karta.png", "A 18882-2019")</f>
        <v/>
      </c>
      <c r="V95">
        <f>HYPERLINK("https://klasma.github.io/Logging_2482/klagomål/A 18882-2019 FSC-klagomål.docx", "A 18882-2019")</f>
        <v/>
      </c>
      <c r="W95">
        <f>HYPERLINK("https://klasma.github.io/Logging_2482/klagomålsmail/A 18882-2019 FSC-klagomål mail.docx", "A 18882-2019")</f>
        <v/>
      </c>
      <c r="X95">
        <f>HYPERLINK("https://klasma.github.io/Logging_2482/tillsyn/A 18882-2019 tillsynsbegäran.docx", "A 18882-2019")</f>
        <v/>
      </c>
      <c r="Y95">
        <f>HYPERLINK("https://klasma.github.io/Logging_2482/tillsynsmail/A 18882-2019 tillsynsbegäran mail.docx", "A 18882-2019")</f>
        <v/>
      </c>
    </row>
    <row r="96" ht="15" customHeight="1">
      <c r="A96" t="inlineStr">
        <is>
          <t>A 29514-2019</t>
        </is>
      </c>
      <c r="B96" s="1" t="n">
        <v>43627</v>
      </c>
      <c r="C96" s="1" t="n">
        <v>45472</v>
      </c>
      <c r="D96" t="inlineStr">
        <is>
          <t>VÄSTERBOTTENS LÄN</t>
        </is>
      </c>
      <c r="E96" t="inlineStr">
        <is>
          <t>SKELLEFTEÅ</t>
        </is>
      </c>
      <c r="G96" t="n">
        <v>9.5</v>
      </c>
      <c r="H96" t="n">
        <v>1</v>
      </c>
      <c r="I96" t="n">
        <v>1</v>
      </c>
      <c r="J96" t="n">
        <v>1</v>
      </c>
      <c r="K96" t="n">
        <v>0</v>
      </c>
      <c r="L96" t="n">
        <v>0</v>
      </c>
      <c r="M96" t="n">
        <v>0</v>
      </c>
      <c r="N96" t="n">
        <v>0</v>
      </c>
      <c r="O96" t="n">
        <v>1</v>
      </c>
      <c r="P96" t="n">
        <v>0</v>
      </c>
      <c r="Q96" t="n">
        <v>2</v>
      </c>
      <c r="R96" s="2" t="inlineStr">
        <is>
          <t>Ullticka
Lappranunkel</t>
        </is>
      </c>
      <c r="S96">
        <f>HYPERLINK("https://klasma.github.io/Logging_2482/artfynd/A 29514-2019 artfynd.xlsx", "A 29514-2019")</f>
        <v/>
      </c>
      <c r="T96">
        <f>HYPERLINK("https://klasma.github.io/Logging_2482/kartor/A 29514-2019 karta.png", "A 29514-2019")</f>
        <v/>
      </c>
      <c r="V96">
        <f>HYPERLINK("https://klasma.github.io/Logging_2482/klagomål/A 29514-2019 FSC-klagomål.docx", "A 29514-2019")</f>
        <v/>
      </c>
      <c r="W96">
        <f>HYPERLINK("https://klasma.github.io/Logging_2482/klagomålsmail/A 29514-2019 FSC-klagomål mail.docx", "A 29514-2019")</f>
        <v/>
      </c>
      <c r="X96">
        <f>HYPERLINK("https://klasma.github.io/Logging_2482/tillsyn/A 29514-2019 tillsynsbegäran.docx", "A 29514-2019")</f>
        <v/>
      </c>
      <c r="Y96">
        <f>HYPERLINK("https://klasma.github.io/Logging_2482/tillsynsmail/A 29514-2019 tillsynsbegäran mail.docx", "A 29514-2019")</f>
        <v/>
      </c>
    </row>
    <row r="97" ht="15" customHeight="1">
      <c r="A97" t="inlineStr">
        <is>
          <t>A 35097-2019</t>
        </is>
      </c>
      <c r="B97" s="1" t="n">
        <v>43661</v>
      </c>
      <c r="C97" s="1" t="n">
        <v>45472</v>
      </c>
      <c r="D97" t="inlineStr">
        <is>
          <t>VÄSTERBOTTENS LÄN</t>
        </is>
      </c>
      <c r="E97" t="inlineStr">
        <is>
          <t>SKELLEFTEÅ</t>
        </is>
      </c>
      <c r="F97" t="inlineStr">
        <is>
          <t>Sveaskog</t>
        </is>
      </c>
      <c r="G97" t="n">
        <v>19.2</v>
      </c>
      <c r="H97" t="n">
        <v>0</v>
      </c>
      <c r="I97" t="n">
        <v>1</v>
      </c>
      <c r="J97" t="n">
        <v>1</v>
      </c>
      <c r="K97" t="n">
        <v>0</v>
      </c>
      <c r="L97" t="n">
        <v>0</v>
      </c>
      <c r="M97" t="n">
        <v>0</v>
      </c>
      <c r="N97" t="n">
        <v>0</v>
      </c>
      <c r="O97" t="n">
        <v>1</v>
      </c>
      <c r="P97" t="n">
        <v>0</v>
      </c>
      <c r="Q97" t="n">
        <v>2</v>
      </c>
      <c r="R97" s="2" t="inlineStr">
        <is>
          <t>Grönhjon
Bronshjon</t>
        </is>
      </c>
      <c r="S97">
        <f>HYPERLINK("https://klasma.github.io/Logging_2482/artfynd/A 35097-2019 artfynd.xlsx", "A 35097-2019")</f>
        <v/>
      </c>
      <c r="T97">
        <f>HYPERLINK("https://klasma.github.io/Logging_2482/kartor/A 35097-2019 karta.png", "A 35097-2019")</f>
        <v/>
      </c>
      <c r="V97">
        <f>HYPERLINK("https://klasma.github.io/Logging_2482/klagomål/A 35097-2019 FSC-klagomål.docx", "A 35097-2019")</f>
        <v/>
      </c>
      <c r="W97">
        <f>HYPERLINK("https://klasma.github.io/Logging_2482/klagomålsmail/A 35097-2019 FSC-klagomål mail.docx", "A 35097-2019")</f>
        <v/>
      </c>
      <c r="X97">
        <f>HYPERLINK("https://klasma.github.io/Logging_2482/tillsyn/A 35097-2019 tillsynsbegäran.docx", "A 35097-2019")</f>
        <v/>
      </c>
      <c r="Y97">
        <f>HYPERLINK("https://klasma.github.io/Logging_2482/tillsynsmail/A 35097-2019 tillsynsbegäran mail.docx", "A 35097-2019")</f>
        <v/>
      </c>
    </row>
    <row r="98" ht="15" customHeight="1">
      <c r="A98" t="inlineStr">
        <is>
          <t>A 46354-2019</t>
        </is>
      </c>
      <c r="B98" s="1" t="n">
        <v>43718</v>
      </c>
      <c r="C98" s="1" t="n">
        <v>45472</v>
      </c>
      <c r="D98" t="inlineStr">
        <is>
          <t>VÄSTERBOTTENS LÄN</t>
        </is>
      </c>
      <c r="E98" t="inlineStr">
        <is>
          <t>SKELLEFTEÅ</t>
        </is>
      </c>
      <c r="F98" t="inlineStr">
        <is>
          <t>SCA</t>
        </is>
      </c>
      <c r="G98" t="n">
        <v>5.5</v>
      </c>
      <c r="H98" t="n">
        <v>2</v>
      </c>
      <c r="I98" t="n">
        <v>0</v>
      </c>
      <c r="J98" t="n">
        <v>0</v>
      </c>
      <c r="K98" t="n">
        <v>0</v>
      </c>
      <c r="L98" t="n">
        <v>0</v>
      </c>
      <c r="M98" t="n">
        <v>0</v>
      </c>
      <c r="N98" t="n">
        <v>0</v>
      </c>
      <c r="O98" t="n">
        <v>0</v>
      </c>
      <c r="P98" t="n">
        <v>0</v>
      </c>
      <c r="Q98" t="n">
        <v>2</v>
      </c>
      <c r="R98" s="2" t="inlineStr">
        <is>
          <t>Vanlig groda
Revlummer</t>
        </is>
      </c>
      <c r="S98">
        <f>HYPERLINK("https://klasma.github.io/Logging_2482/artfynd/A 46354-2019 artfynd.xlsx", "A 46354-2019")</f>
        <v/>
      </c>
      <c r="T98">
        <f>HYPERLINK("https://klasma.github.io/Logging_2482/kartor/A 46354-2019 karta.png", "A 46354-2019")</f>
        <v/>
      </c>
      <c r="V98">
        <f>HYPERLINK("https://klasma.github.io/Logging_2482/klagomål/A 46354-2019 FSC-klagomål.docx", "A 46354-2019")</f>
        <v/>
      </c>
      <c r="W98">
        <f>HYPERLINK("https://klasma.github.io/Logging_2482/klagomålsmail/A 46354-2019 FSC-klagomål mail.docx", "A 46354-2019")</f>
        <v/>
      </c>
      <c r="X98">
        <f>HYPERLINK("https://klasma.github.io/Logging_2482/tillsyn/A 46354-2019 tillsynsbegäran.docx", "A 46354-2019")</f>
        <v/>
      </c>
      <c r="Y98">
        <f>HYPERLINK("https://klasma.github.io/Logging_2482/tillsynsmail/A 46354-2019 tillsynsbegäran mail.docx", "A 46354-2019")</f>
        <v/>
      </c>
    </row>
    <row r="99" ht="15" customHeight="1">
      <c r="A99" t="inlineStr">
        <is>
          <t>A 65623-2019</t>
        </is>
      </c>
      <c r="B99" s="1" t="n">
        <v>43804</v>
      </c>
      <c r="C99" s="1" t="n">
        <v>45472</v>
      </c>
      <c r="D99" t="inlineStr">
        <is>
          <t>VÄSTERBOTTENS LÄN</t>
        </is>
      </c>
      <c r="E99" t="inlineStr">
        <is>
          <t>SKELLEFTEÅ</t>
        </is>
      </c>
      <c r="G99" t="n">
        <v>1.2</v>
      </c>
      <c r="H99" t="n">
        <v>0</v>
      </c>
      <c r="I99" t="n">
        <v>1</v>
      </c>
      <c r="J99" t="n">
        <v>1</v>
      </c>
      <c r="K99" t="n">
        <v>0</v>
      </c>
      <c r="L99" t="n">
        <v>0</v>
      </c>
      <c r="M99" t="n">
        <v>0</v>
      </c>
      <c r="N99" t="n">
        <v>0</v>
      </c>
      <c r="O99" t="n">
        <v>1</v>
      </c>
      <c r="P99" t="n">
        <v>0</v>
      </c>
      <c r="Q99" t="n">
        <v>2</v>
      </c>
      <c r="R99" s="2" t="inlineStr">
        <is>
          <t>Granticka
Vedticka</t>
        </is>
      </c>
      <c r="S99">
        <f>HYPERLINK("https://klasma.github.io/Logging_2482/artfynd/A 65623-2019 artfynd.xlsx", "A 65623-2019")</f>
        <v/>
      </c>
      <c r="T99">
        <f>HYPERLINK("https://klasma.github.io/Logging_2482/kartor/A 65623-2019 karta.png", "A 65623-2019")</f>
        <v/>
      </c>
      <c r="V99">
        <f>HYPERLINK("https://klasma.github.io/Logging_2482/klagomål/A 65623-2019 FSC-klagomål.docx", "A 65623-2019")</f>
        <v/>
      </c>
      <c r="W99">
        <f>HYPERLINK("https://klasma.github.io/Logging_2482/klagomålsmail/A 65623-2019 FSC-klagomål mail.docx", "A 65623-2019")</f>
        <v/>
      </c>
      <c r="X99">
        <f>HYPERLINK("https://klasma.github.io/Logging_2482/tillsyn/A 65623-2019 tillsynsbegäran.docx", "A 65623-2019")</f>
        <v/>
      </c>
      <c r="Y99">
        <f>HYPERLINK("https://klasma.github.io/Logging_2482/tillsynsmail/A 65623-2019 tillsynsbegäran mail.docx", "A 65623-2019")</f>
        <v/>
      </c>
    </row>
    <row r="100" ht="15" customHeight="1">
      <c r="A100" t="inlineStr">
        <is>
          <t>A 40134-2020</t>
        </is>
      </c>
      <c r="B100" s="1" t="n">
        <v>44067</v>
      </c>
      <c r="C100" s="1" t="n">
        <v>45472</v>
      </c>
      <c r="D100" t="inlineStr">
        <is>
          <t>VÄSTERBOTTENS LÄN</t>
        </is>
      </c>
      <c r="E100" t="inlineStr">
        <is>
          <t>SKELLEFTEÅ</t>
        </is>
      </c>
      <c r="G100" t="n">
        <v>6.1</v>
      </c>
      <c r="H100" t="n">
        <v>0</v>
      </c>
      <c r="I100" t="n">
        <v>1</v>
      </c>
      <c r="J100" t="n">
        <v>0</v>
      </c>
      <c r="K100" t="n">
        <v>0</v>
      </c>
      <c r="L100" t="n">
        <v>1</v>
      </c>
      <c r="M100" t="n">
        <v>0</v>
      </c>
      <c r="N100" t="n">
        <v>0</v>
      </c>
      <c r="O100" t="n">
        <v>1</v>
      </c>
      <c r="P100" t="n">
        <v>1</v>
      </c>
      <c r="Q100" t="n">
        <v>2</v>
      </c>
      <c r="R100" s="2" t="inlineStr">
        <is>
          <t>Större svartbagge
Stekelbock</t>
        </is>
      </c>
      <c r="S100">
        <f>HYPERLINK("https://klasma.github.io/Logging_2482/artfynd/A 40134-2020 artfynd.xlsx", "A 40134-2020")</f>
        <v/>
      </c>
      <c r="T100">
        <f>HYPERLINK("https://klasma.github.io/Logging_2482/kartor/A 40134-2020 karta.png", "A 40134-2020")</f>
        <v/>
      </c>
      <c r="V100">
        <f>HYPERLINK("https://klasma.github.io/Logging_2482/klagomål/A 40134-2020 FSC-klagomål.docx", "A 40134-2020")</f>
        <v/>
      </c>
      <c r="W100">
        <f>HYPERLINK("https://klasma.github.io/Logging_2482/klagomålsmail/A 40134-2020 FSC-klagomål mail.docx", "A 40134-2020")</f>
        <v/>
      </c>
      <c r="X100">
        <f>HYPERLINK("https://klasma.github.io/Logging_2482/tillsyn/A 40134-2020 tillsynsbegäran.docx", "A 40134-2020")</f>
        <v/>
      </c>
      <c r="Y100">
        <f>HYPERLINK("https://klasma.github.io/Logging_2482/tillsynsmail/A 40134-2020 tillsynsbegäran mail.docx", "A 40134-2020")</f>
        <v/>
      </c>
    </row>
    <row r="101" ht="15" customHeight="1">
      <c r="A101" t="inlineStr">
        <is>
          <t>A 53541-2020</t>
        </is>
      </c>
      <c r="B101" s="1" t="n">
        <v>44124</v>
      </c>
      <c r="C101" s="1" t="n">
        <v>45472</v>
      </c>
      <c r="D101" t="inlineStr">
        <is>
          <t>VÄSTERBOTTENS LÄN</t>
        </is>
      </c>
      <c r="E101" t="inlineStr">
        <is>
          <t>SKELLEFTEÅ</t>
        </is>
      </c>
      <c r="F101" t="inlineStr">
        <is>
          <t>Sveaskog</t>
        </is>
      </c>
      <c r="G101" t="n">
        <v>4.4</v>
      </c>
      <c r="H101" t="n">
        <v>0</v>
      </c>
      <c r="I101" t="n">
        <v>1</v>
      </c>
      <c r="J101" t="n">
        <v>1</v>
      </c>
      <c r="K101" t="n">
        <v>0</v>
      </c>
      <c r="L101" t="n">
        <v>0</v>
      </c>
      <c r="M101" t="n">
        <v>0</v>
      </c>
      <c r="N101" t="n">
        <v>0</v>
      </c>
      <c r="O101" t="n">
        <v>1</v>
      </c>
      <c r="P101" t="n">
        <v>0</v>
      </c>
      <c r="Q101" t="n">
        <v>2</v>
      </c>
      <c r="R101" s="2" t="inlineStr">
        <is>
          <t>Motaggsvamp
Dropptaggsvamp</t>
        </is>
      </c>
      <c r="S101">
        <f>HYPERLINK("https://klasma.github.io/Logging_2482/artfynd/A 53541-2020 artfynd.xlsx", "A 53541-2020")</f>
        <v/>
      </c>
      <c r="T101">
        <f>HYPERLINK("https://klasma.github.io/Logging_2482/kartor/A 53541-2020 karta.png", "A 53541-2020")</f>
        <v/>
      </c>
      <c r="V101">
        <f>HYPERLINK("https://klasma.github.io/Logging_2482/klagomål/A 53541-2020 FSC-klagomål.docx", "A 53541-2020")</f>
        <v/>
      </c>
      <c r="W101">
        <f>HYPERLINK("https://klasma.github.io/Logging_2482/klagomålsmail/A 53541-2020 FSC-klagomål mail.docx", "A 53541-2020")</f>
        <v/>
      </c>
      <c r="X101">
        <f>HYPERLINK("https://klasma.github.io/Logging_2482/tillsyn/A 53541-2020 tillsynsbegäran.docx", "A 53541-2020")</f>
        <v/>
      </c>
      <c r="Y101">
        <f>HYPERLINK("https://klasma.github.io/Logging_2482/tillsynsmail/A 53541-2020 tillsynsbegäran mail.docx", "A 53541-2020")</f>
        <v/>
      </c>
    </row>
    <row r="102" ht="15" customHeight="1">
      <c r="A102" t="inlineStr">
        <is>
          <t>A 55809-2020</t>
        </is>
      </c>
      <c r="B102" s="1" t="n">
        <v>44132</v>
      </c>
      <c r="C102" s="1" t="n">
        <v>45472</v>
      </c>
      <c r="D102" t="inlineStr">
        <is>
          <t>VÄSTERBOTTENS LÄN</t>
        </is>
      </c>
      <c r="E102" t="inlineStr">
        <is>
          <t>SKELLEFTEÅ</t>
        </is>
      </c>
      <c r="F102" t="inlineStr">
        <is>
          <t>Sveaskog</t>
        </is>
      </c>
      <c r="G102" t="n">
        <v>9.9</v>
      </c>
      <c r="H102" t="n">
        <v>2</v>
      </c>
      <c r="I102" t="n">
        <v>0</v>
      </c>
      <c r="J102" t="n">
        <v>1</v>
      </c>
      <c r="K102" t="n">
        <v>0</v>
      </c>
      <c r="L102" t="n">
        <v>0</v>
      </c>
      <c r="M102" t="n">
        <v>0</v>
      </c>
      <c r="N102" t="n">
        <v>0</v>
      </c>
      <c r="O102" t="n">
        <v>1</v>
      </c>
      <c r="P102" t="n">
        <v>0</v>
      </c>
      <c r="Q102" t="n">
        <v>2</v>
      </c>
      <c r="R102" s="2" t="inlineStr">
        <is>
          <t>Nordfladdermus
Fläcknycklar</t>
        </is>
      </c>
      <c r="S102">
        <f>HYPERLINK("https://klasma.github.io/Logging_2482/artfynd/A 55809-2020 artfynd.xlsx", "A 55809-2020")</f>
        <v/>
      </c>
      <c r="T102">
        <f>HYPERLINK("https://klasma.github.io/Logging_2482/kartor/A 55809-2020 karta.png", "A 55809-2020")</f>
        <v/>
      </c>
      <c r="V102">
        <f>HYPERLINK("https://klasma.github.io/Logging_2482/klagomål/A 55809-2020 FSC-klagomål.docx", "A 55809-2020")</f>
        <v/>
      </c>
      <c r="W102">
        <f>HYPERLINK("https://klasma.github.io/Logging_2482/klagomålsmail/A 55809-2020 FSC-klagomål mail.docx", "A 55809-2020")</f>
        <v/>
      </c>
      <c r="X102">
        <f>HYPERLINK("https://klasma.github.io/Logging_2482/tillsyn/A 55809-2020 tillsynsbegäran.docx", "A 55809-2020")</f>
        <v/>
      </c>
      <c r="Y102">
        <f>HYPERLINK("https://klasma.github.io/Logging_2482/tillsynsmail/A 55809-2020 tillsynsbegäran mail.docx", "A 55809-2020")</f>
        <v/>
      </c>
    </row>
    <row r="103" ht="15" customHeight="1">
      <c r="A103" t="inlineStr">
        <is>
          <t>A 59408-2020</t>
        </is>
      </c>
      <c r="B103" s="1" t="n">
        <v>44147</v>
      </c>
      <c r="C103" s="1" t="n">
        <v>45472</v>
      </c>
      <c r="D103" t="inlineStr">
        <is>
          <t>VÄSTERBOTTENS LÄN</t>
        </is>
      </c>
      <c r="E103" t="inlineStr">
        <is>
          <t>SKELLEFTEÅ</t>
        </is>
      </c>
      <c r="G103" t="n">
        <v>2.1</v>
      </c>
      <c r="H103" t="n">
        <v>2</v>
      </c>
      <c r="I103" t="n">
        <v>0</v>
      </c>
      <c r="J103" t="n">
        <v>2</v>
      </c>
      <c r="K103" t="n">
        <v>0</v>
      </c>
      <c r="L103" t="n">
        <v>0</v>
      </c>
      <c r="M103" t="n">
        <v>0</v>
      </c>
      <c r="N103" t="n">
        <v>0</v>
      </c>
      <c r="O103" t="n">
        <v>2</v>
      </c>
      <c r="P103" t="n">
        <v>0</v>
      </c>
      <c r="Q103" t="n">
        <v>2</v>
      </c>
      <c r="R103" s="2" t="inlineStr">
        <is>
          <t>Buskskvätta
Gulsparv</t>
        </is>
      </c>
      <c r="S103">
        <f>HYPERLINK("https://klasma.github.io/Logging_2482/artfynd/A 59408-2020 artfynd.xlsx", "A 59408-2020")</f>
        <v/>
      </c>
      <c r="T103">
        <f>HYPERLINK("https://klasma.github.io/Logging_2482/kartor/A 59408-2020 karta.png", "A 59408-2020")</f>
        <v/>
      </c>
      <c r="V103">
        <f>HYPERLINK("https://klasma.github.io/Logging_2482/klagomål/A 59408-2020 FSC-klagomål.docx", "A 59408-2020")</f>
        <v/>
      </c>
      <c r="W103">
        <f>HYPERLINK("https://klasma.github.io/Logging_2482/klagomålsmail/A 59408-2020 FSC-klagomål mail.docx", "A 59408-2020")</f>
        <v/>
      </c>
      <c r="X103">
        <f>HYPERLINK("https://klasma.github.io/Logging_2482/tillsyn/A 59408-2020 tillsynsbegäran.docx", "A 59408-2020")</f>
        <v/>
      </c>
      <c r="Y103">
        <f>HYPERLINK("https://klasma.github.io/Logging_2482/tillsynsmail/A 59408-2020 tillsynsbegäran mail.docx", "A 59408-2020")</f>
        <v/>
      </c>
      <c r="Z103">
        <f>HYPERLINK("https://klasma.github.io/Logging_2482/fåglar/A 59408-2020 prioriterade fågelarter.docx", "A 59408-2020")</f>
        <v/>
      </c>
    </row>
    <row r="104" ht="15" customHeight="1">
      <c r="A104" t="inlineStr">
        <is>
          <t>A 64203-2020</t>
        </is>
      </c>
      <c r="B104" s="1" t="n">
        <v>44167</v>
      </c>
      <c r="C104" s="1" t="n">
        <v>45472</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35733-2021</t>
        </is>
      </c>
      <c r="B105" s="1" t="n">
        <v>44385</v>
      </c>
      <c r="C105" s="1" t="n">
        <v>45472</v>
      </c>
      <c r="D105" t="inlineStr">
        <is>
          <t>VÄSTERBOTTENS LÄN</t>
        </is>
      </c>
      <c r="E105" t="inlineStr">
        <is>
          <t>SKELLEFTEÅ</t>
        </is>
      </c>
      <c r="G105" t="n">
        <v>0.9</v>
      </c>
      <c r="H105" t="n">
        <v>2</v>
      </c>
      <c r="I105" t="n">
        <v>0</v>
      </c>
      <c r="J105" t="n">
        <v>1</v>
      </c>
      <c r="K105" t="n">
        <v>0</v>
      </c>
      <c r="L105" t="n">
        <v>0</v>
      </c>
      <c r="M105" t="n">
        <v>0</v>
      </c>
      <c r="N105" t="n">
        <v>0</v>
      </c>
      <c r="O105" t="n">
        <v>1</v>
      </c>
      <c r="P105" t="n">
        <v>0</v>
      </c>
      <c r="Q105" t="n">
        <v>2</v>
      </c>
      <c r="R105" s="2" t="inlineStr">
        <is>
          <t>Spillkråka
Tjäder</t>
        </is>
      </c>
      <c r="S105">
        <f>HYPERLINK("https://klasma.github.io/Logging_2482/artfynd/A 35733-2021 artfynd.xlsx", "A 35733-2021")</f>
        <v/>
      </c>
      <c r="T105">
        <f>HYPERLINK("https://klasma.github.io/Logging_2482/kartor/A 35733-2021 karta.png", "A 35733-2021")</f>
        <v/>
      </c>
      <c r="V105">
        <f>HYPERLINK("https://klasma.github.io/Logging_2482/klagomål/A 35733-2021 FSC-klagomål.docx", "A 35733-2021")</f>
        <v/>
      </c>
      <c r="W105">
        <f>HYPERLINK("https://klasma.github.io/Logging_2482/klagomålsmail/A 35733-2021 FSC-klagomål mail.docx", "A 35733-2021")</f>
        <v/>
      </c>
      <c r="X105">
        <f>HYPERLINK("https://klasma.github.io/Logging_2482/tillsyn/A 35733-2021 tillsynsbegäran.docx", "A 35733-2021")</f>
        <v/>
      </c>
      <c r="Y105">
        <f>HYPERLINK("https://klasma.github.io/Logging_2482/tillsynsmail/A 35733-2021 tillsynsbegäran mail.docx", "A 35733-2021")</f>
        <v/>
      </c>
      <c r="Z105">
        <f>HYPERLINK("https://klasma.github.io/Logging_2482/fåglar/A 35733-2021 prioriterade fågelarter.docx", "A 35733-2021")</f>
        <v/>
      </c>
    </row>
    <row r="106" ht="15" customHeight="1">
      <c r="A106" t="inlineStr">
        <is>
          <t>A 35585-2021</t>
        </is>
      </c>
      <c r="B106" s="1" t="n">
        <v>44386</v>
      </c>
      <c r="C106" s="1" t="n">
        <v>45472</v>
      </c>
      <c r="D106" t="inlineStr">
        <is>
          <t>VÄSTERBOTTENS LÄN</t>
        </is>
      </c>
      <c r="E106" t="inlineStr">
        <is>
          <t>SKELLEFTEÅ</t>
        </is>
      </c>
      <c r="F106" t="inlineStr">
        <is>
          <t>Holmen skog AB</t>
        </is>
      </c>
      <c r="G106" t="n">
        <v>8.4</v>
      </c>
      <c r="H106" t="n">
        <v>0</v>
      </c>
      <c r="I106" t="n">
        <v>0</v>
      </c>
      <c r="J106" t="n">
        <v>2</v>
      </c>
      <c r="K106" t="n">
        <v>0</v>
      </c>
      <c r="L106" t="n">
        <v>0</v>
      </c>
      <c r="M106" t="n">
        <v>0</v>
      </c>
      <c r="N106" t="n">
        <v>0</v>
      </c>
      <c r="O106" t="n">
        <v>2</v>
      </c>
      <c r="P106" t="n">
        <v>0</v>
      </c>
      <c r="Q106" t="n">
        <v>2</v>
      </c>
      <c r="R106" s="2" t="inlineStr">
        <is>
          <t>Garnlav
Ullticka</t>
        </is>
      </c>
      <c r="S106">
        <f>HYPERLINK("https://klasma.github.io/Logging_2482/artfynd/A 35585-2021 artfynd.xlsx", "A 35585-2021")</f>
        <v/>
      </c>
      <c r="T106">
        <f>HYPERLINK("https://klasma.github.io/Logging_2482/kartor/A 35585-2021 karta.png", "A 35585-2021")</f>
        <v/>
      </c>
      <c r="V106">
        <f>HYPERLINK("https://klasma.github.io/Logging_2482/klagomål/A 35585-2021 FSC-klagomål.docx", "A 35585-2021")</f>
        <v/>
      </c>
      <c r="W106">
        <f>HYPERLINK("https://klasma.github.io/Logging_2482/klagomålsmail/A 35585-2021 FSC-klagomål mail.docx", "A 35585-2021")</f>
        <v/>
      </c>
      <c r="X106">
        <f>HYPERLINK("https://klasma.github.io/Logging_2482/tillsyn/A 35585-2021 tillsynsbegäran.docx", "A 35585-2021")</f>
        <v/>
      </c>
      <c r="Y106">
        <f>HYPERLINK("https://klasma.github.io/Logging_2482/tillsynsmail/A 35585-2021 tillsynsbegäran mail.docx", "A 35585-2021")</f>
        <v/>
      </c>
    </row>
    <row r="107" ht="15" customHeight="1">
      <c r="A107" t="inlineStr">
        <is>
          <t>A 58661-2021</t>
        </is>
      </c>
      <c r="B107" s="1" t="n">
        <v>44489</v>
      </c>
      <c r="C107" s="1" t="n">
        <v>45472</v>
      </c>
      <c r="D107" t="inlineStr">
        <is>
          <t>VÄSTERBOTTENS LÄN</t>
        </is>
      </c>
      <c r="E107" t="inlineStr">
        <is>
          <t>SKELLEFTEÅ</t>
        </is>
      </c>
      <c r="F107" t="inlineStr">
        <is>
          <t>Sveaskog</t>
        </is>
      </c>
      <c r="G107" t="n">
        <v>3.2</v>
      </c>
      <c r="H107" t="n">
        <v>0</v>
      </c>
      <c r="I107" t="n">
        <v>1</v>
      </c>
      <c r="J107" t="n">
        <v>1</v>
      </c>
      <c r="K107" t="n">
        <v>0</v>
      </c>
      <c r="L107" t="n">
        <v>0</v>
      </c>
      <c r="M107" t="n">
        <v>0</v>
      </c>
      <c r="N107" t="n">
        <v>0</v>
      </c>
      <c r="O107" t="n">
        <v>1</v>
      </c>
      <c r="P107" t="n">
        <v>0</v>
      </c>
      <c r="Q107" t="n">
        <v>2</v>
      </c>
      <c r="R107" s="2" t="inlineStr">
        <is>
          <t>Vedskivlav
Bronshjon</t>
        </is>
      </c>
      <c r="S107">
        <f>HYPERLINK("https://klasma.github.io/Logging_2482/artfynd/A 58661-2021 artfynd.xlsx", "A 58661-2021")</f>
        <v/>
      </c>
      <c r="T107">
        <f>HYPERLINK("https://klasma.github.io/Logging_2482/kartor/A 58661-2021 karta.png", "A 58661-2021")</f>
        <v/>
      </c>
      <c r="V107">
        <f>HYPERLINK("https://klasma.github.io/Logging_2482/klagomål/A 58661-2021 FSC-klagomål.docx", "A 58661-2021")</f>
        <v/>
      </c>
      <c r="W107">
        <f>HYPERLINK("https://klasma.github.io/Logging_2482/klagomålsmail/A 58661-2021 FSC-klagomål mail.docx", "A 58661-2021")</f>
        <v/>
      </c>
      <c r="X107">
        <f>HYPERLINK("https://klasma.github.io/Logging_2482/tillsyn/A 58661-2021 tillsynsbegäran.docx", "A 58661-2021")</f>
        <v/>
      </c>
      <c r="Y107">
        <f>HYPERLINK("https://klasma.github.io/Logging_2482/tillsynsmail/A 58661-2021 tillsynsbegäran mail.docx", "A 58661-2021")</f>
        <v/>
      </c>
    </row>
    <row r="108" ht="15" customHeight="1">
      <c r="A108" t="inlineStr">
        <is>
          <t>A 58885-2021</t>
        </is>
      </c>
      <c r="B108" s="1" t="n">
        <v>44489</v>
      </c>
      <c r="C108" s="1" t="n">
        <v>45472</v>
      </c>
      <c r="D108" t="inlineStr">
        <is>
          <t>VÄSTERBOTTENS LÄN</t>
        </is>
      </c>
      <c r="E108" t="inlineStr">
        <is>
          <t>SKELLEFTEÅ</t>
        </is>
      </c>
      <c r="F108" t="inlineStr">
        <is>
          <t>Sveaskog</t>
        </is>
      </c>
      <c r="G108" t="n">
        <v>13.7</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58885-2021 artfynd.xlsx", "A 58885-2021")</f>
        <v/>
      </c>
      <c r="T108">
        <f>HYPERLINK("https://klasma.github.io/Logging_2482/kartor/A 58885-2021 karta.png", "A 58885-2021")</f>
        <v/>
      </c>
      <c r="V108">
        <f>HYPERLINK("https://klasma.github.io/Logging_2482/klagomål/A 58885-2021 FSC-klagomål.docx", "A 58885-2021")</f>
        <v/>
      </c>
      <c r="W108">
        <f>HYPERLINK("https://klasma.github.io/Logging_2482/klagomålsmail/A 58885-2021 FSC-klagomål mail.docx", "A 58885-2021")</f>
        <v/>
      </c>
      <c r="X108">
        <f>HYPERLINK("https://klasma.github.io/Logging_2482/tillsyn/A 58885-2021 tillsynsbegäran.docx", "A 58885-2021")</f>
        <v/>
      </c>
      <c r="Y108">
        <f>HYPERLINK("https://klasma.github.io/Logging_2482/tillsynsmail/A 58885-2021 tillsynsbegäran mail.docx", "A 58885-2021")</f>
        <v/>
      </c>
    </row>
    <row r="109" ht="15" customHeight="1">
      <c r="A109" t="inlineStr">
        <is>
          <t>A 59706-2021</t>
        </is>
      </c>
      <c r="B109" s="1" t="n">
        <v>44494</v>
      </c>
      <c r="C109" s="1" t="n">
        <v>45472</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42694-2022</t>
        </is>
      </c>
      <c r="B110" s="1" t="n">
        <v>44831</v>
      </c>
      <c r="C110" s="1" t="n">
        <v>45472</v>
      </c>
      <c r="D110" t="inlineStr">
        <is>
          <t>VÄSTERBOTTENS LÄN</t>
        </is>
      </c>
      <c r="E110" t="inlineStr">
        <is>
          <t>SKELLEFTEÅ</t>
        </is>
      </c>
      <c r="G110" t="n">
        <v>5.6</v>
      </c>
      <c r="H110" t="n">
        <v>0</v>
      </c>
      <c r="I110" t="n">
        <v>1</v>
      </c>
      <c r="J110" t="n">
        <v>1</v>
      </c>
      <c r="K110" t="n">
        <v>0</v>
      </c>
      <c r="L110" t="n">
        <v>0</v>
      </c>
      <c r="M110" t="n">
        <v>0</v>
      </c>
      <c r="N110" t="n">
        <v>0</v>
      </c>
      <c r="O110" t="n">
        <v>1</v>
      </c>
      <c r="P110" t="n">
        <v>0</v>
      </c>
      <c r="Q110" t="n">
        <v>2</v>
      </c>
      <c r="R110" s="2" t="inlineStr">
        <is>
          <t>Granticka
Vedticka</t>
        </is>
      </c>
      <c r="S110">
        <f>HYPERLINK("https://klasma.github.io/Logging_2482/artfynd/A 42694-2022 artfynd.xlsx", "A 42694-2022")</f>
        <v/>
      </c>
      <c r="T110">
        <f>HYPERLINK("https://klasma.github.io/Logging_2482/kartor/A 42694-2022 karta.png", "A 42694-2022")</f>
        <v/>
      </c>
      <c r="V110">
        <f>HYPERLINK("https://klasma.github.io/Logging_2482/klagomål/A 42694-2022 FSC-klagomål.docx", "A 42694-2022")</f>
        <v/>
      </c>
      <c r="W110">
        <f>HYPERLINK("https://klasma.github.io/Logging_2482/klagomålsmail/A 42694-2022 FSC-klagomål mail.docx", "A 42694-2022")</f>
        <v/>
      </c>
      <c r="X110">
        <f>HYPERLINK("https://klasma.github.io/Logging_2482/tillsyn/A 42694-2022 tillsynsbegäran.docx", "A 42694-2022")</f>
        <v/>
      </c>
      <c r="Y110">
        <f>HYPERLINK("https://klasma.github.io/Logging_2482/tillsynsmail/A 42694-2022 tillsynsbegäran mail.docx", "A 42694-2022")</f>
        <v/>
      </c>
    </row>
    <row r="111" ht="15" customHeight="1">
      <c r="A111" t="inlineStr">
        <is>
          <t>A 49440-2022</t>
        </is>
      </c>
      <c r="B111" s="1" t="n">
        <v>44859</v>
      </c>
      <c r="C111" s="1" t="n">
        <v>45472</v>
      </c>
      <c r="D111" t="inlineStr">
        <is>
          <t>VÄSTERBOTTENS LÄN</t>
        </is>
      </c>
      <c r="E111" t="inlineStr">
        <is>
          <t>SKELLEFTEÅ</t>
        </is>
      </c>
      <c r="G111" t="n">
        <v>1.5</v>
      </c>
      <c r="H111" t="n">
        <v>0</v>
      </c>
      <c r="I111" t="n">
        <v>0</v>
      </c>
      <c r="J111" t="n">
        <v>2</v>
      </c>
      <c r="K111" t="n">
        <v>0</v>
      </c>
      <c r="L111" t="n">
        <v>0</v>
      </c>
      <c r="M111" t="n">
        <v>0</v>
      </c>
      <c r="N111" t="n">
        <v>0</v>
      </c>
      <c r="O111" t="n">
        <v>2</v>
      </c>
      <c r="P111" t="n">
        <v>0</v>
      </c>
      <c r="Q111" t="n">
        <v>2</v>
      </c>
      <c r="R111" s="2" t="inlineStr">
        <is>
          <t>Gränsticka
Ullticka</t>
        </is>
      </c>
      <c r="S111">
        <f>HYPERLINK("https://klasma.github.io/Logging_2482/artfynd/A 49440-2022 artfynd.xlsx", "A 49440-2022")</f>
        <v/>
      </c>
      <c r="T111">
        <f>HYPERLINK("https://klasma.github.io/Logging_2482/kartor/A 49440-2022 karta.png", "A 49440-2022")</f>
        <v/>
      </c>
      <c r="V111">
        <f>HYPERLINK("https://klasma.github.io/Logging_2482/klagomål/A 49440-2022 FSC-klagomål.docx", "A 49440-2022")</f>
        <v/>
      </c>
      <c r="W111">
        <f>HYPERLINK("https://klasma.github.io/Logging_2482/klagomålsmail/A 49440-2022 FSC-klagomål mail.docx", "A 49440-2022")</f>
        <v/>
      </c>
      <c r="X111">
        <f>HYPERLINK("https://klasma.github.io/Logging_2482/tillsyn/A 49440-2022 tillsynsbegäran.docx", "A 49440-2022")</f>
        <v/>
      </c>
      <c r="Y111">
        <f>HYPERLINK("https://klasma.github.io/Logging_2482/tillsynsmail/A 49440-2022 tillsynsbegäran mail.docx", "A 49440-2022")</f>
        <v/>
      </c>
    </row>
    <row r="112" ht="15" customHeight="1">
      <c r="A112" t="inlineStr">
        <is>
          <t>A 49578-2022</t>
        </is>
      </c>
      <c r="B112" s="1" t="n">
        <v>44862</v>
      </c>
      <c r="C112" s="1" t="n">
        <v>45472</v>
      </c>
      <c r="D112" t="inlineStr">
        <is>
          <t>VÄSTERBOTTENS LÄN</t>
        </is>
      </c>
      <c r="E112" t="inlineStr">
        <is>
          <t>SKELLEFTEÅ</t>
        </is>
      </c>
      <c r="F112" t="inlineStr">
        <is>
          <t>Holmen skog AB</t>
        </is>
      </c>
      <c r="G112" t="n">
        <v>7.6</v>
      </c>
      <c r="H112" t="n">
        <v>2</v>
      </c>
      <c r="I112" t="n">
        <v>0</v>
      </c>
      <c r="J112" t="n">
        <v>0</v>
      </c>
      <c r="K112" t="n">
        <v>0</v>
      </c>
      <c r="L112" t="n">
        <v>0</v>
      </c>
      <c r="M112" t="n">
        <v>0</v>
      </c>
      <c r="N112" t="n">
        <v>0</v>
      </c>
      <c r="O112" t="n">
        <v>0</v>
      </c>
      <c r="P112" t="n">
        <v>0</v>
      </c>
      <c r="Q112" t="n">
        <v>2</v>
      </c>
      <c r="R112" s="2" t="inlineStr">
        <is>
          <t>Orre
Tjäder</t>
        </is>
      </c>
      <c r="S112">
        <f>HYPERLINK("https://klasma.github.io/Logging_2482/artfynd/A 49578-2022 artfynd.xlsx", "A 49578-2022")</f>
        <v/>
      </c>
      <c r="T112">
        <f>HYPERLINK("https://klasma.github.io/Logging_2482/kartor/A 49578-2022 karta.png", "A 49578-2022")</f>
        <v/>
      </c>
      <c r="V112">
        <f>HYPERLINK("https://klasma.github.io/Logging_2482/klagomål/A 49578-2022 FSC-klagomål.docx", "A 49578-2022")</f>
        <v/>
      </c>
      <c r="W112">
        <f>HYPERLINK("https://klasma.github.io/Logging_2482/klagomålsmail/A 49578-2022 FSC-klagomål mail.docx", "A 49578-2022")</f>
        <v/>
      </c>
      <c r="X112">
        <f>HYPERLINK("https://klasma.github.io/Logging_2482/tillsyn/A 49578-2022 tillsynsbegäran.docx", "A 49578-2022")</f>
        <v/>
      </c>
      <c r="Y112">
        <f>HYPERLINK("https://klasma.github.io/Logging_2482/tillsynsmail/A 49578-2022 tillsynsbegäran mail.docx", "A 49578-2022")</f>
        <v/>
      </c>
      <c r="Z112">
        <f>HYPERLINK("https://klasma.github.io/Logging_2482/fåglar/A 49578-2022 prioriterade fågelarter.docx", "A 49578-2022")</f>
        <v/>
      </c>
    </row>
    <row r="113" ht="15" customHeight="1">
      <c r="A113" t="inlineStr">
        <is>
          <t>A 56157-2022</t>
        </is>
      </c>
      <c r="B113" s="1" t="n">
        <v>44889</v>
      </c>
      <c r="C113" s="1" t="n">
        <v>45472</v>
      </c>
      <c r="D113" t="inlineStr">
        <is>
          <t>VÄSTERBOTTENS LÄN</t>
        </is>
      </c>
      <c r="E113" t="inlineStr">
        <is>
          <t>SKELLEFTEÅ</t>
        </is>
      </c>
      <c r="G113" t="n">
        <v>3.9</v>
      </c>
      <c r="H113" t="n">
        <v>2</v>
      </c>
      <c r="I113" t="n">
        <v>0</v>
      </c>
      <c r="J113" t="n">
        <v>0</v>
      </c>
      <c r="K113" t="n">
        <v>0</v>
      </c>
      <c r="L113" t="n">
        <v>0</v>
      </c>
      <c r="M113" t="n">
        <v>0</v>
      </c>
      <c r="N113" t="n">
        <v>0</v>
      </c>
      <c r="O113" t="n">
        <v>0</v>
      </c>
      <c r="P113" t="n">
        <v>0</v>
      </c>
      <c r="Q113" t="n">
        <v>2</v>
      </c>
      <c r="R113" s="2" t="inlineStr">
        <is>
          <t>Fläcknycklar
Revlummer</t>
        </is>
      </c>
      <c r="S113">
        <f>HYPERLINK("https://klasma.github.io/Logging_2482/artfynd/A 56157-2022 artfynd.xlsx", "A 56157-2022")</f>
        <v/>
      </c>
      <c r="T113">
        <f>HYPERLINK("https://klasma.github.io/Logging_2482/kartor/A 56157-2022 karta.png", "A 56157-2022")</f>
        <v/>
      </c>
      <c r="V113">
        <f>HYPERLINK("https://klasma.github.io/Logging_2482/klagomål/A 56157-2022 FSC-klagomål.docx", "A 56157-2022")</f>
        <v/>
      </c>
      <c r="W113">
        <f>HYPERLINK("https://klasma.github.io/Logging_2482/klagomålsmail/A 56157-2022 FSC-klagomål mail.docx", "A 56157-2022")</f>
        <v/>
      </c>
      <c r="X113">
        <f>HYPERLINK("https://klasma.github.io/Logging_2482/tillsyn/A 56157-2022 tillsynsbegäran.docx", "A 56157-2022")</f>
        <v/>
      </c>
      <c r="Y113">
        <f>HYPERLINK("https://klasma.github.io/Logging_2482/tillsynsmail/A 56157-2022 tillsynsbegäran mail.docx", "A 56157-2022")</f>
        <v/>
      </c>
    </row>
    <row r="114" ht="15" customHeight="1">
      <c r="A114" t="inlineStr">
        <is>
          <t>A 787-2023</t>
        </is>
      </c>
      <c r="B114" s="1" t="n">
        <v>44931</v>
      </c>
      <c r="C114" s="1" t="n">
        <v>45472</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901-2023</t>
        </is>
      </c>
      <c r="B115" s="1" t="n">
        <v>44931</v>
      </c>
      <c r="C115" s="1" t="n">
        <v>45472</v>
      </c>
      <c r="D115" t="inlineStr">
        <is>
          <t>VÄSTERBOTTENS LÄN</t>
        </is>
      </c>
      <c r="E115" t="inlineStr">
        <is>
          <t>SKELLEFTEÅ</t>
        </is>
      </c>
      <c r="G115" t="n">
        <v>7.7</v>
      </c>
      <c r="H115" t="n">
        <v>0</v>
      </c>
      <c r="I115" t="n">
        <v>0</v>
      </c>
      <c r="J115" t="n">
        <v>2</v>
      </c>
      <c r="K115" t="n">
        <v>0</v>
      </c>
      <c r="L115" t="n">
        <v>0</v>
      </c>
      <c r="M115" t="n">
        <v>0</v>
      </c>
      <c r="N115" t="n">
        <v>0</v>
      </c>
      <c r="O115" t="n">
        <v>2</v>
      </c>
      <c r="P115" t="n">
        <v>0</v>
      </c>
      <c r="Q115" t="n">
        <v>2</v>
      </c>
      <c r="R115" s="2" t="inlineStr">
        <is>
          <t>Garnlav
Skogshare</t>
        </is>
      </c>
      <c r="S115">
        <f>HYPERLINK("https://klasma.github.io/Logging_2482/artfynd/A 901-2023 artfynd.xlsx", "A 901-2023")</f>
        <v/>
      </c>
      <c r="T115">
        <f>HYPERLINK("https://klasma.github.io/Logging_2482/kartor/A 901-2023 karta.png", "A 901-2023")</f>
        <v/>
      </c>
      <c r="V115">
        <f>HYPERLINK("https://klasma.github.io/Logging_2482/klagomål/A 901-2023 FSC-klagomål.docx", "A 901-2023")</f>
        <v/>
      </c>
      <c r="W115">
        <f>HYPERLINK("https://klasma.github.io/Logging_2482/klagomålsmail/A 901-2023 FSC-klagomål mail.docx", "A 901-2023")</f>
        <v/>
      </c>
      <c r="X115">
        <f>HYPERLINK("https://klasma.github.io/Logging_2482/tillsyn/A 901-2023 tillsynsbegäran.docx", "A 901-2023")</f>
        <v/>
      </c>
      <c r="Y115">
        <f>HYPERLINK("https://klasma.github.io/Logging_2482/tillsynsmail/A 901-2023 tillsynsbegäran mail.docx", "A 901-2023")</f>
        <v/>
      </c>
    </row>
    <row r="116" ht="15" customHeight="1">
      <c r="A116" t="inlineStr">
        <is>
          <t>A 11627-2023</t>
        </is>
      </c>
      <c r="B116" s="1" t="n">
        <v>44994</v>
      </c>
      <c r="C116" s="1" t="n">
        <v>45472</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29998-2023</t>
        </is>
      </c>
      <c r="B117" s="1" t="n">
        <v>45109</v>
      </c>
      <c r="C117" s="1" t="n">
        <v>45472</v>
      </c>
      <c r="D117" t="inlineStr">
        <is>
          <t>VÄSTERBOTTENS LÄN</t>
        </is>
      </c>
      <c r="E117" t="inlineStr">
        <is>
          <t>SKELLEFTEÅ</t>
        </is>
      </c>
      <c r="F117" t="inlineStr">
        <is>
          <t>Sveaskog</t>
        </is>
      </c>
      <c r="G117" t="n">
        <v>10.2</v>
      </c>
      <c r="H117" t="n">
        <v>0</v>
      </c>
      <c r="I117" t="n">
        <v>1</v>
      </c>
      <c r="J117" t="n">
        <v>1</v>
      </c>
      <c r="K117" t="n">
        <v>0</v>
      </c>
      <c r="L117" t="n">
        <v>0</v>
      </c>
      <c r="M117" t="n">
        <v>0</v>
      </c>
      <c r="N117" t="n">
        <v>0</v>
      </c>
      <c r="O117" t="n">
        <v>1</v>
      </c>
      <c r="P117" t="n">
        <v>0</v>
      </c>
      <c r="Q117" t="n">
        <v>2</v>
      </c>
      <c r="R117" s="2" t="inlineStr">
        <is>
          <t>Ullticka
Luddlav</t>
        </is>
      </c>
      <c r="S117">
        <f>HYPERLINK("https://klasma.github.io/Logging_2482/artfynd/A 29998-2023 artfynd.xlsx", "A 29998-2023")</f>
        <v/>
      </c>
      <c r="T117">
        <f>HYPERLINK("https://klasma.github.io/Logging_2482/kartor/A 29998-2023 karta.png", "A 29998-2023")</f>
        <v/>
      </c>
      <c r="V117">
        <f>HYPERLINK("https://klasma.github.io/Logging_2482/klagomål/A 29998-2023 FSC-klagomål.docx", "A 29998-2023")</f>
        <v/>
      </c>
      <c r="W117">
        <f>HYPERLINK("https://klasma.github.io/Logging_2482/klagomålsmail/A 29998-2023 FSC-klagomål mail.docx", "A 29998-2023")</f>
        <v/>
      </c>
      <c r="X117">
        <f>HYPERLINK("https://klasma.github.io/Logging_2482/tillsyn/A 29998-2023 tillsynsbegäran.docx", "A 29998-2023")</f>
        <v/>
      </c>
      <c r="Y117">
        <f>HYPERLINK("https://klasma.github.io/Logging_2482/tillsynsmail/A 29998-2023 tillsynsbegäran mail.docx", "A 29998-2023")</f>
        <v/>
      </c>
    </row>
    <row r="118" ht="15" customHeight="1">
      <c r="A118" t="inlineStr">
        <is>
          <t>A 35513-2023</t>
        </is>
      </c>
      <c r="B118" s="1" t="n">
        <v>45147</v>
      </c>
      <c r="C118" s="1" t="n">
        <v>45472</v>
      </c>
      <c r="D118" t="inlineStr">
        <is>
          <t>VÄSTERBOTTENS LÄN</t>
        </is>
      </c>
      <c r="E118" t="inlineStr">
        <is>
          <t>SKELLEFTEÅ</t>
        </is>
      </c>
      <c r="F118" t="inlineStr">
        <is>
          <t>Holmen skog AB</t>
        </is>
      </c>
      <c r="G118" t="n">
        <v>16.9</v>
      </c>
      <c r="H118" t="n">
        <v>0</v>
      </c>
      <c r="I118" t="n">
        <v>0</v>
      </c>
      <c r="J118" t="n">
        <v>2</v>
      </c>
      <c r="K118" t="n">
        <v>0</v>
      </c>
      <c r="L118" t="n">
        <v>0</v>
      </c>
      <c r="M118" t="n">
        <v>0</v>
      </c>
      <c r="N118" t="n">
        <v>0</v>
      </c>
      <c r="O118" t="n">
        <v>2</v>
      </c>
      <c r="P118" t="n">
        <v>0</v>
      </c>
      <c r="Q118" t="n">
        <v>2</v>
      </c>
      <c r="R118" s="2" t="inlineStr">
        <is>
          <t>Gultoppig fingersvamp
Orange taggsvamp</t>
        </is>
      </c>
      <c r="S118">
        <f>HYPERLINK("https://klasma.github.io/Logging_2482/artfynd/A 35513-2023 artfynd.xlsx", "A 35513-2023")</f>
        <v/>
      </c>
      <c r="T118">
        <f>HYPERLINK("https://klasma.github.io/Logging_2482/kartor/A 35513-2023 karta.png", "A 35513-2023")</f>
        <v/>
      </c>
      <c r="V118">
        <f>HYPERLINK("https://klasma.github.io/Logging_2482/klagomål/A 35513-2023 FSC-klagomål.docx", "A 35513-2023")</f>
        <v/>
      </c>
      <c r="W118">
        <f>HYPERLINK("https://klasma.github.io/Logging_2482/klagomålsmail/A 35513-2023 FSC-klagomål mail.docx", "A 35513-2023")</f>
        <v/>
      </c>
      <c r="X118">
        <f>HYPERLINK("https://klasma.github.io/Logging_2482/tillsyn/A 35513-2023 tillsynsbegäran.docx", "A 35513-2023")</f>
        <v/>
      </c>
      <c r="Y118">
        <f>HYPERLINK("https://klasma.github.io/Logging_2482/tillsynsmail/A 35513-2023 tillsynsbegäran mail.docx", "A 35513-2023")</f>
        <v/>
      </c>
    </row>
    <row r="119" ht="15" customHeight="1">
      <c r="A119" t="inlineStr">
        <is>
          <t>A 40742-2023</t>
        </is>
      </c>
      <c r="B119" s="1" t="n">
        <v>45170</v>
      </c>
      <c r="C119" s="1" t="n">
        <v>45472</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43250-2023</t>
        </is>
      </c>
      <c r="B120" s="1" t="n">
        <v>45180</v>
      </c>
      <c r="C120" s="1" t="n">
        <v>45472</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42786-2023</t>
        </is>
      </c>
      <c r="B121" s="1" t="n">
        <v>45181</v>
      </c>
      <c r="C121" s="1" t="n">
        <v>45472</v>
      </c>
      <c r="D121" t="inlineStr">
        <is>
          <t>VÄSTERBOTTENS LÄN</t>
        </is>
      </c>
      <c r="E121" t="inlineStr">
        <is>
          <t>SKELLEFTEÅ</t>
        </is>
      </c>
      <c r="G121" t="n">
        <v>9.199999999999999</v>
      </c>
      <c r="H121" t="n">
        <v>0</v>
      </c>
      <c r="I121" t="n">
        <v>0</v>
      </c>
      <c r="J121" t="n">
        <v>2</v>
      </c>
      <c r="K121" t="n">
        <v>0</v>
      </c>
      <c r="L121" t="n">
        <v>0</v>
      </c>
      <c r="M121" t="n">
        <v>0</v>
      </c>
      <c r="N121" t="n">
        <v>0</v>
      </c>
      <c r="O121" t="n">
        <v>2</v>
      </c>
      <c r="P121" t="n">
        <v>0</v>
      </c>
      <c r="Q121" t="n">
        <v>2</v>
      </c>
      <c r="R121" s="2" t="inlineStr">
        <is>
          <t>Garnlav
Kärrängsfly</t>
        </is>
      </c>
      <c r="S121">
        <f>HYPERLINK("https://klasma.github.io/Logging_2482/artfynd/A 42786-2023 artfynd.xlsx", "A 42786-2023")</f>
        <v/>
      </c>
      <c r="T121">
        <f>HYPERLINK("https://klasma.github.io/Logging_2482/kartor/A 42786-2023 karta.png", "A 42786-2023")</f>
        <v/>
      </c>
      <c r="V121">
        <f>HYPERLINK("https://klasma.github.io/Logging_2482/klagomål/A 42786-2023 FSC-klagomål.docx", "A 42786-2023")</f>
        <v/>
      </c>
      <c r="W121">
        <f>HYPERLINK("https://klasma.github.io/Logging_2482/klagomålsmail/A 42786-2023 FSC-klagomål mail.docx", "A 42786-2023")</f>
        <v/>
      </c>
      <c r="X121">
        <f>HYPERLINK("https://klasma.github.io/Logging_2482/tillsyn/A 42786-2023 tillsynsbegäran.docx", "A 42786-2023")</f>
        <v/>
      </c>
      <c r="Y121">
        <f>HYPERLINK("https://klasma.github.io/Logging_2482/tillsynsmail/A 42786-2023 tillsynsbegäran mail.docx", "A 42786-2023")</f>
        <v/>
      </c>
    </row>
    <row r="122" ht="15" customHeight="1">
      <c r="A122" t="inlineStr">
        <is>
          <t>A 65013-2023</t>
        </is>
      </c>
      <c r="B122" s="1" t="n">
        <v>45287</v>
      </c>
      <c r="C122" s="1" t="n">
        <v>45472</v>
      </c>
      <c r="D122" t="inlineStr">
        <is>
          <t>VÄSTERBOTTENS LÄN</t>
        </is>
      </c>
      <c r="E122" t="inlineStr">
        <is>
          <t>SKELLEFTEÅ</t>
        </is>
      </c>
      <c r="G122" t="n">
        <v>7.7</v>
      </c>
      <c r="H122" t="n">
        <v>0</v>
      </c>
      <c r="I122" t="n">
        <v>0</v>
      </c>
      <c r="J122" t="n">
        <v>1</v>
      </c>
      <c r="K122" t="n">
        <v>1</v>
      </c>
      <c r="L122" t="n">
        <v>0</v>
      </c>
      <c r="M122" t="n">
        <v>0</v>
      </c>
      <c r="N122" t="n">
        <v>0</v>
      </c>
      <c r="O122" t="n">
        <v>2</v>
      </c>
      <c r="P122" t="n">
        <v>1</v>
      </c>
      <c r="Q122" t="n">
        <v>2</v>
      </c>
      <c r="R122" s="2" t="inlineStr">
        <is>
          <t>Smalfotad taggsvamp
Svartvit taggsvamp</t>
        </is>
      </c>
      <c r="S122">
        <f>HYPERLINK("https://klasma.github.io/Logging_2482/artfynd/A 65013-2023 artfynd.xlsx", "A 65013-2023")</f>
        <v/>
      </c>
      <c r="T122">
        <f>HYPERLINK("https://klasma.github.io/Logging_2482/kartor/A 65013-2023 karta.png", "A 65013-2023")</f>
        <v/>
      </c>
      <c r="V122">
        <f>HYPERLINK("https://klasma.github.io/Logging_2482/klagomål/A 65013-2023 FSC-klagomål.docx", "A 65013-2023")</f>
        <v/>
      </c>
      <c r="W122">
        <f>HYPERLINK("https://klasma.github.io/Logging_2482/klagomålsmail/A 65013-2023 FSC-klagomål mail.docx", "A 65013-2023")</f>
        <v/>
      </c>
      <c r="X122">
        <f>HYPERLINK("https://klasma.github.io/Logging_2482/tillsyn/A 65013-2023 tillsynsbegäran.docx", "A 65013-2023")</f>
        <v/>
      </c>
      <c r="Y122">
        <f>HYPERLINK("https://klasma.github.io/Logging_2482/tillsynsmail/A 65013-2023 tillsynsbegäran mail.docx", "A 65013-2023")</f>
        <v/>
      </c>
    </row>
    <row r="123" ht="15" customHeight="1">
      <c r="A123" t="inlineStr">
        <is>
          <t>A 1259-2024</t>
        </is>
      </c>
      <c r="B123" s="1" t="n">
        <v>45302</v>
      </c>
      <c r="C123" s="1" t="n">
        <v>45472</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20465-2019</t>
        </is>
      </c>
      <c r="B124" s="1" t="n">
        <v>43572</v>
      </c>
      <c r="C124" s="1" t="n">
        <v>45472</v>
      </c>
      <c r="D124" t="inlineStr">
        <is>
          <t>VÄSTERBOTTENS LÄN</t>
        </is>
      </c>
      <c r="E124" t="inlineStr">
        <is>
          <t>SKELLEFTEÅ</t>
        </is>
      </c>
      <c r="G124" t="n">
        <v>2.1</v>
      </c>
      <c r="H124" t="n">
        <v>0</v>
      </c>
      <c r="I124" t="n">
        <v>0</v>
      </c>
      <c r="J124" t="n">
        <v>1</v>
      </c>
      <c r="K124" t="n">
        <v>0</v>
      </c>
      <c r="L124" t="n">
        <v>0</v>
      </c>
      <c r="M124" t="n">
        <v>0</v>
      </c>
      <c r="N124" t="n">
        <v>0</v>
      </c>
      <c r="O124" t="n">
        <v>1</v>
      </c>
      <c r="P124" t="n">
        <v>0</v>
      </c>
      <c r="Q124" t="n">
        <v>1</v>
      </c>
      <c r="R124" s="2" t="inlineStr">
        <is>
          <t>Violettgrå tagellav</t>
        </is>
      </c>
      <c r="S124">
        <f>HYPERLINK("https://klasma.github.io/Logging_2482/artfynd/A 20465-2019 artfynd.xlsx", "A 20465-2019")</f>
        <v/>
      </c>
      <c r="T124">
        <f>HYPERLINK("https://klasma.github.io/Logging_2482/kartor/A 20465-2019 karta.png", "A 20465-2019")</f>
        <v/>
      </c>
      <c r="V124">
        <f>HYPERLINK("https://klasma.github.io/Logging_2482/klagomål/A 20465-2019 FSC-klagomål.docx", "A 20465-2019")</f>
        <v/>
      </c>
      <c r="W124">
        <f>HYPERLINK("https://klasma.github.io/Logging_2482/klagomålsmail/A 20465-2019 FSC-klagomål mail.docx", "A 20465-2019")</f>
        <v/>
      </c>
      <c r="X124">
        <f>HYPERLINK("https://klasma.github.io/Logging_2482/tillsyn/A 20465-2019 tillsynsbegäran.docx", "A 20465-2019")</f>
        <v/>
      </c>
      <c r="Y124">
        <f>HYPERLINK("https://klasma.github.io/Logging_2482/tillsynsmail/A 20465-2019 tillsynsbegäran mail.docx", "A 20465-2019")</f>
        <v/>
      </c>
    </row>
    <row r="125" ht="15" customHeight="1">
      <c r="A125" t="inlineStr">
        <is>
          <t>A 25651-2019</t>
        </is>
      </c>
      <c r="B125" s="1" t="n">
        <v>43602</v>
      </c>
      <c r="C125" s="1" t="n">
        <v>45472</v>
      </c>
      <c r="D125" t="inlineStr">
        <is>
          <t>VÄSTERBOTTENS LÄN</t>
        </is>
      </c>
      <c r="E125" t="inlineStr">
        <is>
          <t>SKELLEFTEÅ</t>
        </is>
      </c>
      <c r="G125" t="n">
        <v>16.9</v>
      </c>
      <c r="H125" t="n">
        <v>1</v>
      </c>
      <c r="I125" t="n">
        <v>0</v>
      </c>
      <c r="J125" t="n">
        <v>0</v>
      </c>
      <c r="K125" t="n">
        <v>0</v>
      </c>
      <c r="L125" t="n">
        <v>0</v>
      </c>
      <c r="M125" t="n">
        <v>0</v>
      </c>
      <c r="N125" t="n">
        <v>0</v>
      </c>
      <c r="O125" t="n">
        <v>0</v>
      </c>
      <c r="P125" t="n">
        <v>0</v>
      </c>
      <c r="Q125" t="n">
        <v>1</v>
      </c>
      <c r="R125" s="2" t="inlineStr">
        <is>
          <t>Fläcknycklar</t>
        </is>
      </c>
      <c r="S125">
        <f>HYPERLINK("https://klasma.github.io/Logging_2482/artfynd/A 25651-2019 artfynd.xlsx", "A 25651-2019")</f>
        <v/>
      </c>
      <c r="T125">
        <f>HYPERLINK("https://klasma.github.io/Logging_2482/kartor/A 25651-2019 karta.png", "A 25651-2019")</f>
        <v/>
      </c>
      <c r="V125">
        <f>HYPERLINK("https://klasma.github.io/Logging_2482/klagomål/A 25651-2019 FSC-klagomål.docx", "A 25651-2019")</f>
        <v/>
      </c>
      <c r="W125">
        <f>HYPERLINK("https://klasma.github.io/Logging_2482/klagomålsmail/A 25651-2019 FSC-klagomål mail.docx", "A 25651-2019")</f>
        <v/>
      </c>
      <c r="X125">
        <f>HYPERLINK("https://klasma.github.io/Logging_2482/tillsyn/A 25651-2019 tillsynsbegäran.docx", "A 25651-2019")</f>
        <v/>
      </c>
      <c r="Y125">
        <f>HYPERLINK("https://klasma.github.io/Logging_2482/tillsynsmail/A 25651-2019 tillsynsbegäran mail.docx", "A 25651-2019")</f>
        <v/>
      </c>
    </row>
    <row r="126" ht="15" customHeight="1">
      <c r="A126" t="inlineStr">
        <is>
          <t>A 51461-2019</t>
        </is>
      </c>
      <c r="B126" s="1" t="n">
        <v>43740</v>
      </c>
      <c r="C126" s="1" t="n">
        <v>45472</v>
      </c>
      <c r="D126" t="inlineStr">
        <is>
          <t>VÄSTERBOTTENS LÄN</t>
        </is>
      </c>
      <c r="E126" t="inlineStr">
        <is>
          <t>SKELLEFTEÅ</t>
        </is>
      </c>
      <c r="F126" t="inlineStr">
        <is>
          <t>Sveaskog</t>
        </is>
      </c>
      <c r="G126" t="n">
        <v>12.2</v>
      </c>
      <c r="H126" t="n">
        <v>0</v>
      </c>
      <c r="I126" t="n">
        <v>0</v>
      </c>
      <c r="J126" t="n">
        <v>0</v>
      </c>
      <c r="K126" t="n">
        <v>0</v>
      </c>
      <c r="L126" t="n">
        <v>1</v>
      </c>
      <c r="M126" t="n">
        <v>0</v>
      </c>
      <c r="N126" t="n">
        <v>0</v>
      </c>
      <c r="O126" t="n">
        <v>1</v>
      </c>
      <c r="P126" t="n">
        <v>1</v>
      </c>
      <c r="Q126" t="n">
        <v>1</v>
      </c>
      <c r="R126" s="2" t="inlineStr">
        <is>
          <t>Flodpärlmussla</t>
        </is>
      </c>
      <c r="S126">
        <f>HYPERLINK("https://klasma.github.io/Logging_2482/artfynd/A 51461-2019 artfynd.xlsx", "A 51461-2019")</f>
        <v/>
      </c>
      <c r="T126">
        <f>HYPERLINK("https://klasma.github.io/Logging_2482/kartor/A 51461-2019 karta.png", "A 51461-2019")</f>
        <v/>
      </c>
      <c r="V126">
        <f>HYPERLINK("https://klasma.github.io/Logging_2482/klagomål/A 51461-2019 FSC-klagomål.docx", "A 51461-2019")</f>
        <v/>
      </c>
      <c r="W126">
        <f>HYPERLINK("https://klasma.github.io/Logging_2482/klagomålsmail/A 51461-2019 FSC-klagomål mail.docx", "A 51461-2019")</f>
        <v/>
      </c>
      <c r="X126">
        <f>HYPERLINK("https://klasma.github.io/Logging_2482/tillsyn/A 51461-2019 tillsynsbegäran.docx", "A 51461-2019")</f>
        <v/>
      </c>
      <c r="Y126">
        <f>HYPERLINK("https://klasma.github.io/Logging_2482/tillsynsmail/A 51461-2019 tillsynsbegäran mail.docx", "A 51461-2019")</f>
        <v/>
      </c>
    </row>
    <row r="127" ht="15" customHeight="1">
      <c r="A127" t="inlineStr">
        <is>
          <t>A 63709-2019</t>
        </is>
      </c>
      <c r="B127" s="1" t="n">
        <v>43795</v>
      </c>
      <c r="C127" s="1" t="n">
        <v>45472</v>
      </c>
      <c r="D127" t="inlineStr">
        <is>
          <t>VÄSTERBOTTENS LÄN</t>
        </is>
      </c>
      <c r="E127" t="inlineStr">
        <is>
          <t>SKELLEFTEÅ</t>
        </is>
      </c>
      <c r="F127" t="inlineStr">
        <is>
          <t>Sveaskog</t>
        </is>
      </c>
      <c r="G127" t="n">
        <v>39.7</v>
      </c>
      <c r="H127" t="n">
        <v>1</v>
      </c>
      <c r="I127" t="n">
        <v>0</v>
      </c>
      <c r="J127" t="n">
        <v>0</v>
      </c>
      <c r="K127" t="n">
        <v>0</v>
      </c>
      <c r="L127" t="n">
        <v>0</v>
      </c>
      <c r="M127" t="n">
        <v>0</v>
      </c>
      <c r="N127" t="n">
        <v>0</v>
      </c>
      <c r="O127" t="n">
        <v>0</v>
      </c>
      <c r="P127" t="n">
        <v>0</v>
      </c>
      <c r="Q127" t="n">
        <v>1</v>
      </c>
      <c r="R127" s="2" t="inlineStr">
        <is>
          <t>Fläcknycklar</t>
        </is>
      </c>
      <c r="S127">
        <f>HYPERLINK("https://klasma.github.io/Logging_2482/artfynd/A 63709-2019 artfynd.xlsx", "A 63709-2019")</f>
        <v/>
      </c>
      <c r="T127">
        <f>HYPERLINK("https://klasma.github.io/Logging_2482/kartor/A 63709-2019 karta.png", "A 63709-2019")</f>
        <v/>
      </c>
      <c r="V127">
        <f>HYPERLINK("https://klasma.github.io/Logging_2482/klagomål/A 63709-2019 FSC-klagomål.docx", "A 63709-2019")</f>
        <v/>
      </c>
      <c r="W127">
        <f>HYPERLINK("https://klasma.github.io/Logging_2482/klagomålsmail/A 63709-2019 FSC-klagomål mail.docx", "A 63709-2019")</f>
        <v/>
      </c>
      <c r="X127">
        <f>HYPERLINK("https://klasma.github.io/Logging_2482/tillsyn/A 63709-2019 tillsynsbegäran.docx", "A 63709-2019")</f>
        <v/>
      </c>
      <c r="Y127">
        <f>HYPERLINK("https://klasma.github.io/Logging_2482/tillsynsmail/A 63709-2019 tillsynsbegäran mail.docx", "A 63709-2019")</f>
        <v/>
      </c>
    </row>
    <row r="128" ht="15" customHeight="1">
      <c r="A128" t="inlineStr">
        <is>
          <t>A 43180-2020</t>
        </is>
      </c>
      <c r="B128" s="1" t="n">
        <v>44076</v>
      </c>
      <c r="C128" s="1" t="n">
        <v>45472</v>
      </c>
      <c r="D128" t="inlineStr">
        <is>
          <t>VÄSTERBOTTENS LÄN</t>
        </is>
      </c>
      <c r="E128" t="inlineStr">
        <is>
          <t>SKELLEFTEÅ</t>
        </is>
      </c>
      <c r="G128" t="n">
        <v>0.6</v>
      </c>
      <c r="H128" t="n">
        <v>0</v>
      </c>
      <c r="I128" t="n">
        <v>0</v>
      </c>
      <c r="J128" t="n">
        <v>1</v>
      </c>
      <c r="K128" t="n">
        <v>0</v>
      </c>
      <c r="L128" t="n">
        <v>0</v>
      </c>
      <c r="M128" t="n">
        <v>0</v>
      </c>
      <c r="N128" t="n">
        <v>0</v>
      </c>
      <c r="O128" t="n">
        <v>1</v>
      </c>
      <c r="P128" t="n">
        <v>0</v>
      </c>
      <c r="Q128" t="n">
        <v>1</v>
      </c>
      <c r="R128" s="2" t="inlineStr">
        <is>
          <t>Garnlav</t>
        </is>
      </c>
      <c r="S128">
        <f>HYPERLINK("https://klasma.github.io/Logging_2482/artfynd/A 43180-2020 artfynd.xlsx", "A 43180-2020")</f>
        <v/>
      </c>
      <c r="T128">
        <f>HYPERLINK("https://klasma.github.io/Logging_2482/kartor/A 43180-2020 karta.png", "A 43180-2020")</f>
        <v/>
      </c>
      <c r="V128">
        <f>HYPERLINK("https://klasma.github.io/Logging_2482/klagomål/A 43180-2020 FSC-klagomål.docx", "A 43180-2020")</f>
        <v/>
      </c>
      <c r="W128">
        <f>HYPERLINK("https://klasma.github.io/Logging_2482/klagomålsmail/A 43180-2020 FSC-klagomål mail.docx", "A 43180-2020")</f>
        <v/>
      </c>
      <c r="X128">
        <f>HYPERLINK("https://klasma.github.io/Logging_2482/tillsyn/A 43180-2020 tillsynsbegäran.docx", "A 43180-2020")</f>
        <v/>
      </c>
      <c r="Y128">
        <f>HYPERLINK("https://klasma.github.io/Logging_2482/tillsynsmail/A 43180-2020 tillsynsbegäran mail.docx", "A 43180-2020")</f>
        <v/>
      </c>
    </row>
    <row r="129" ht="15" customHeight="1">
      <c r="A129" t="inlineStr">
        <is>
          <t>A 42794-2020</t>
        </is>
      </c>
      <c r="B129" s="1" t="n">
        <v>44078</v>
      </c>
      <c r="C129" s="1" t="n">
        <v>45472</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43297-2020</t>
        </is>
      </c>
      <c r="B130" s="1" t="n">
        <v>44081</v>
      </c>
      <c r="C130" s="1" t="n">
        <v>45472</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43303-2020</t>
        </is>
      </c>
      <c r="B131" s="1" t="n">
        <v>44081</v>
      </c>
      <c r="C131" s="1" t="n">
        <v>45472</v>
      </c>
      <c r="D131" t="inlineStr">
        <is>
          <t>VÄSTERBOTTENS LÄN</t>
        </is>
      </c>
      <c r="E131" t="inlineStr">
        <is>
          <t>SKELLEFTEÅ</t>
        </is>
      </c>
      <c r="F131" t="inlineStr">
        <is>
          <t>Sveaskog</t>
        </is>
      </c>
      <c r="G131" t="n">
        <v>2.8</v>
      </c>
      <c r="H131" t="n">
        <v>0</v>
      </c>
      <c r="I131" t="n">
        <v>1</v>
      </c>
      <c r="J131" t="n">
        <v>0</v>
      </c>
      <c r="K131" t="n">
        <v>0</v>
      </c>
      <c r="L131" t="n">
        <v>0</v>
      </c>
      <c r="M131" t="n">
        <v>0</v>
      </c>
      <c r="N131" t="n">
        <v>0</v>
      </c>
      <c r="O131" t="n">
        <v>0</v>
      </c>
      <c r="P131" t="n">
        <v>0</v>
      </c>
      <c r="Q131" t="n">
        <v>1</v>
      </c>
      <c r="R131" s="2" t="inlineStr">
        <is>
          <t>Stuplav</t>
        </is>
      </c>
      <c r="S131">
        <f>HYPERLINK("https://klasma.github.io/Logging_2482/artfynd/A 43303-2020 artfynd.xlsx", "A 43303-2020")</f>
        <v/>
      </c>
      <c r="T131">
        <f>HYPERLINK("https://klasma.github.io/Logging_2482/kartor/A 43303-2020 karta.png", "A 43303-2020")</f>
        <v/>
      </c>
      <c r="V131">
        <f>HYPERLINK("https://klasma.github.io/Logging_2482/klagomål/A 43303-2020 FSC-klagomål.docx", "A 43303-2020")</f>
        <v/>
      </c>
      <c r="W131">
        <f>HYPERLINK("https://klasma.github.io/Logging_2482/klagomålsmail/A 43303-2020 FSC-klagomål mail.docx", "A 43303-2020")</f>
        <v/>
      </c>
      <c r="X131">
        <f>HYPERLINK("https://klasma.github.io/Logging_2482/tillsyn/A 43303-2020 tillsynsbegäran.docx", "A 43303-2020")</f>
        <v/>
      </c>
      <c r="Y131">
        <f>HYPERLINK("https://klasma.github.io/Logging_2482/tillsynsmail/A 43303-2020 tillsynsbegäran mail.docx", "A 43303-2020")</f>
        <v/>
      </c>
    </row>
    <row r="132" ht="15" customHeight="1">
      <c r="A132" t="inlineStr">
        <is>
          <t>A 55810-2020</t>
        </is>
      </c>
      <c r="B132" s="1" t="n">
        <v>44132</v>
      </c>
      <c r="C132" s="1" t="n">
        <v>45472</v>
      </c>
      <c r="D132" t="inlineStr">
        <is>
          <t>VÄSTERBOTTENS LÄN</t>
        </is>
      </c>
      <c r="E132" t="inlineStr">
        <is>
          <t>SKELLEFTEÅ</t>
        </is>
      </c>
      <c r="F132" t="inlineStr">
        <is>
          <t>Sveaskog</t>
        </is>
      </c>
      <c r="G132" t="n">
        <v>20.1</v>
      </c>
      <c r="H132" t="n">
        <v>1</v>
      </c>
      <c r="I132" t="n">
        <v>0</v>
      </c>
      <c r="J132" t="n">
        <v>0</v>
      </c>
      <c r="K132" t="n">
        <v>0</v>
      </c>
      <c r="L132" t="n">
        <v>0</v>
      </c>
      <c r="M132" t="n">
        <v>0</v>
      </c>
      <c r="N132" t="n">
        <v>0</v>
      </c>
      <c r="O132" t="n">
        <v>0</v>
      </c>
      <c r="P132" t="n">
        <v>0</v>
      </c>
      <c r="Q132" t="n">
        <v>1</v>
      </c>
      <c r="R132" s="2" t="inlineStr">
        <is>
          <t>Fläcknycklar</t>
        </is>
      </c>
      <c r="S132">
        <f>HYPERLINK("https://klasma.github.io/Logging_2482/artfynd/A 55810-2020 artfynd.xlsx", "A 55810-2020")</f>
        <v/>
      </c>
      <c r="T132">
        <f>HYPERLINK("https://klasma.github.io/Logging_2482/kartor/A 55810-2020 karta.png", "A 55810-2020")</f>
        <v/>
      </c>
      <c r="V132">
        <f>HYPERLINK("https://klasma.github.io/Logging_2482/klagomål/A 55810-2020 FSC-klagomål.docx", "A 55810-2020")</f>
        <v/>
      </c>
      <c r="W132">
        <f>HYPERLINK("https://klasma.github.io/Logging_2482/klagomålsmail/A 55810-2020 FSC-klagomål mail.docx", "A 55810-2020")</f>
        <v/>
      </c>
      <c r="X132">
        <f>HYPERLINK("https://klasma.github.io/Logging_2482/tillsyn/A 55810-2020 tillsynsbegäran.docx", "A 55810-2020")</f>
        <v/>
      </c>
      <c r="Y132">
        <f>HYPERLINK("https://klasma.github.io/Logging_2482/tillsynsmail/A 55810-2020 tillsynsbegäran mail.docx", "A 55810-2020")</f>
        <v/>
      </c>
    </row>
    <row r="133" ht="15" customHeight="1">
      <c r="A133" t="inlineStr">
        <is>
          <t>A 35047-2021</t>
        </is>
      </c>
      <c r="B133" s="1" t="n">
        <v>44384</v>
      </c>
      <c r="C133" s="1" t="n">
        <v>45472</v>
      </c>
      <c r="D133" t="inlineStr">
        <is>
          <t>VÄSTERBOTTENS LÄN</t>
        </is>
      </c>
      <c r="E133" t="inlineStr">
        <is>
          <t>SKELLEFTEÅ</t>
        </is>
      </c>
      <c r="G133" t="n">
        <v>3.1</v>
      </c>
      <c r="H133" t="n">
        <v>0</v>
      </c>
      <c r="I133" t="n">
        <v>0</v>
      </c>
      <c r="J133" t="n">
        <v>1</v>
      </c>
      <c r="K133" t="n">
        <v>0</v>
      </c>
      <c r="L133" t="n">
        <v>0</v>
      </c>
      <c r="M133" t="n">
        <v>0</v>
      </c>
      <c r="N133" t="n">
        <v>0</v>
      </c>
      <c r="O133" t="n">
        <v>1</v>
      </c>
      <c r="P133" t="n">
        <v>0</v>
      </c>
      <c r="Q133" t="n">
        <v>1</v>
      </c>
      <c r="R133" s="2" t="inlineStr">
        <is>
          <t>Garnlav</t>
        </is>
      </c>
      <c r="S133">
        <f>HYPERLINK("https://klasma.github.io/Logging_2482/artfynd/A 35047-2021 artfynd.xlsx", "A 35047-2021")</f>
        <v/>
      </c>
      <c r="T133">
        <f>HYPERLINK("https://klasma.github.io/Logging_2482/kartor/A 35047-2021 karta.png", "A 35047-2021")</f>
        <v/>
      </c>
      <c r="V133">
        <f>HYPERLINK("https://klasma.github.io/Logging_2482/klagomål/A 35047-2021 FSC-klagomål.docx", "A 35047-2021")</f>
        <v/>
      </c>
      <c r="W133">
        <f>HYPERLINK("https://klasma.github.io/Logging_2482/klagomålsmail/A 35047-2021 FSC-klagomål mail.docx", "A 35047-2021")</f>
        <v/>
      </c>
      <c r="X133">
        <f>HYPERLINK("https://klasma.github.io/Logging_2482/tillsyn/A 35047-2021 tillsynsbegäran.docx", "A 35047-2021")</f>
        <v/>
      </c>
      <c r="Y133">
        <f>HYPERLINK("https://klasma.github.io/Logging_2482/tillsynsmail/A 35047-2021 tillsynsbegäran mail.docx", "A 35047-2021")</f>
        <v/>
      </c>
    </row>
    <row r="134" ht="15" customHeight="1">
      <c r="A134" t="inlineStr">
        <is>
          <t>A 35625-2021</t>
        </is>
      </c>
      <c r="B134" s="1" t="n">
        <v>44386</v>
      </c>
      <c r="C134" s="1" t="n">
        <v>45472</v>
      </c>
      <c r="D134" t="inlineStr">
        <is>
          <t>VÄSTERBOTTENS LÄN</t>
        </is>
      </c>
      <c r="E134" t="inlineStr">
        <is>
          <t>SKELLEFTEÅ</t>
        </is>
      </c>
      <c r="F134" t="inlineStr">
        <is>
          <t>Holmen skog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HYPERLINK("https://klasma.github.io/Logging_2482/artfynd/A 35625-2021 artfynd.xlsx", "A 35625-2021")</f>
        <v/>
      </c>
      <c r="T134">
        <f>HYPERLINK("https://klasma.github.io/Logging_2482/kartor/A 35625-2021 karta.png", "A 35625-2021")</f>
        <v/>
      </c>
      <c r="V134">
        <f>HYPERLINK("https://klasma.github.io/Logging_2482/klagomål/A 35625-2021 FSC-klagomål.docx", "A 35625-2021")</f>
        <v/>
      </c>
      <c r="W134">
        <f>HYPERLINK("https://klasma.github.io/Logging_2482/klagomålsmail/A 35625-2021 FSC-klagomål mail.docx", "A 35625-2021")</f>
        <v/>
      </c>
      <c r="X134">
        <f>HYPERLINK("https://klasma.github.io/Logging_2482/tillsyn/A 35625-2021 tillsynsbegäran.docx", "A 35625-2021")</f>
        <v/>
      </c>
      <c r="Y134">
        <f>HYPERLINK("https://klasma.github.io/Logging_2482/tillsynsmail/A 35625-2021 tillsynsbegäran mail.docx", "A 35625-2021")</f>
        <v/>
      </c>
    </row>
    <row r="135" ht="15" customHeight="1">
      <c r="A135" t="inlineStr">
        <is>
          <t>A 39946-2021</t>
        </is>
      </c>
      <c r="B135" s="1" t="n">
        <v>44417</v>
      </c>
      <c r="C135" s="1" t="n">
        <v>45472</v>
      </c>
      <c r="D135" t="inlineStr">
        <is>
          <t>VÄSTERBOTTENS LÄN</t>
        </is>
      </c>
      <c r="E135" t="inlineStr">
        <is>
          <t>SKELLEFTEÅ</t>
        </is>
      </c>
      <c r="F135" t="inlineStr">
        <is>
          <t>SCA</t>
        </is>
      </c>
      <c r="G135" t="n">
        <v>3.4</v>
      </c>
      <c r="H135" t="n">
        <v>1</v>
      </c>
      <c r="I135" t="n">
        <v>0</v>
      </c>
      <c r="J135" t="n">
        <v>0</v>
      </c>
      <c r="K135" t="n">
        <v>0</v>
      </c>
      <c r="L135" t="n">
        <v>0</v>
      </c>
      <c r="M135" t="n">
        <v>0</v>
      </c>
      <c r="N135" t="n">
        <v>0</v>
      </c>
      <c r="O135" t="n">
        <v>0</v>
      </c>
      <c r="P135" t="n">
        <v>0</v>
      </c>
      <c r="Q135" t="n">
        <v>1</v>
      </c>
      <c r="R135" s="2" t="inlineStr">
        <is>
          <t>Fläcknycklar</t>
        </is>
      </c>
      <c r="S135">
        <f>HYPERLINK("https://klasma.github.io/Logging_2482/artfynd/A 39946-2021 artfynd.xlsx", "A 39946-2021")</f>
        <v/>
      </c>
      <c r="T135">
        <f>HYPERLINK("https://klasma.github.io/Logging_2482/kartor/A 39946-2021 karta.png", "A 39946-2021")</f>
        <v/>
      </c>
      <c r="V135">
        <f>HYPERLINK("https://klasma.github.io/Logging_2482/klagomål/A 39946-2021 FSC-klagomål.docx", "A 39946-2021")</f>
        <v/>
      </c>
      <c r="W135">
        <f>HYPERLINK("https://klasma.github.io/Logging_2482/klagomålsmail/A 39946-2021 FSC-klagomål mail.docx", "A 39946-2021")</f>
        <v/>
      </c>
      <c r="X135">
        <f>HYPERLINK("https://klasma.github.io/Logging_2482/tillsyn/A 39946-2021 tillsynsbegäran.docx", "A 39946-2021")</f>
        <v/>
      </c>
      <c r="Y135">
        <f>HYPERLINK("https://klasma.github.io/Logging_2482/tillsynsmail/A 39946-2021 tillsynsbegäran mail.docx", "A 39946-2021")</f>
        <v/>
      </c>
    </row>
    <row r="136" ht="15" customHeight="1">
      <c r="A136" t="inlineStr">
        <is>
          <t>A 57738-2021</t>
        </is>
      </c>
      <c r="B136" s="1" t="n">
        <v>44484</v>
      </c>
      <c r="C136" s="1" t="n">
        <v>45472</v>
      </c>
      <c r="D136" t="inlineStr">
        <is>
          <t>VÄSTERBOTTENS LÄN</t>
        </is>
      </c>
      <c r="E136" t="inlineStr">
        <is>
          <t>SKELLEFTEÅ</t>
        </is>
      </c>
      <c r="G136" t="n">
        <v>11.4</v>
      </c>
      <c r="H136" t="n">
        <v>0</v>
      </c>
      <c r="I136" t="n">
        <v>0</v>
      </c>
      <c r="J136" t="n">
        <v>1</v>
      </c>
      <c r="K136" t="n">
        <v>0</v>
      </c>
      <c r="L136" t="n">
        <v>0</v>
      </c>
      <c r="M136" t="n">
        <v>0</v>
      </c>
      <c r="N136" t="n">
        <v>0</v>
      </c>
      <c r="O136" t="n">
        <v>1</v>
      </c>
      <c r="P136" t="n">
        <v>0</v>
      </c>
      <c r="Q136" t="n">
        <v>1</v>
      </c>
      <c r="R136" s="2" t="inlineStr">
        <is>
          <t>Doftskinn</t>
        </is>
      </c>
      <c r="S136">
        <f>HYPERLINK("https://klasma.github.io/Logging_2482/artfynd/A 57738-2021 artfynd.xlsx", "A 57738-2021")</f>
        <v/>
      </c>
      <c r="T136">
        <f>HYPERLINK("https://klasma.github.io/Logging_2482/kartor/A 57738-2021 karta.png", "A 57738-2021")</f>
        <v/>
      </c>
      <c r="V136">
        <f>HYPERLINK("https://klasma.github.io/Logging_2482/klagomål/A 57738-2021 FSC-klagomål.docx", "A 57738-2021")</f>
        <v/>
      </c>
      <c r="W136">
        <f>HYPERLINK("https://klasma.github.io/Logging_2482/klagomålsmail/A 57738-2021 FSC-klagomål mail.docx", "A 57738-2021")</f>
        <v/>
      </c>
      <c r="X136">
        <f>HYPERLINK("https://klasma.github.io/Logging_2482/tillsyn/A 57738-2021 tillsynsbegäran.docx", "A 57738-2021")</f>
        <v/>
      </c>
      <c r="Y136">
        <f>HYPERLINK("https://klasma.github.io/Logging_2482/tillsynsmail/A 57738-2021 tillsynsbegäran mail.docx", "A 57738-2021")</f>
        <v/>
      </c>
    </row>
    <row r="137" ht="15" customHeight="1">
      <c r="A137" t="inlineStr">
        <is>
          <t>A 58766-2021</t>
        </is>
      </c>
      <c r="B137" s="1" t="n">
        <v>44489</v>
      </c>
      <c r="C137" s="1" t="n">
        <v>45472</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61658-2021</t>
        </is>
      </c>
      <c r="B138" s="1" t="n">
        <v>44501</v>
      </c>
      <c r="C138" s="1" t="n">
        <v>45472</v>
      </c>
      <c r="D138" t="inlineStr">
        <is>
          <t>VÄSTERBOTTENS LÄN</t>
        </is>
      </c>
      <c r="E138" t="inlineStr">
        <is>
          <t>SKELLEFTEÅ</t>
        </is>
      </c>
      <c r="F138" t="inlineStr">
        <is>
          <t>Sveaskog</t>
        </is>
      </c>
      <c r="G138" t="n">
        <v>16.3</v>
      </c>
      <c r="H138" t="n">
        <v>1</v>
      </c>
      <c r="I138" t="n">
        <v>0</v>
      </c>
      <c r="J138" t="n">
        <v>0</v>
      </c>
      <c r="K138" t="n">
        <v>0</v>
      </c>
      <c r="L138" t="n">
        <v>0</v>
      </c>
      <c r="M138" t="n">
        <v>0</v>
      </c>
      <c r="N138" t="n">
        <v>0</v>
      </c>
      <c r="O138" t="n">
        <v>0</v>
      </c>
      <c r="P138" t="n">
        <v>0</v>
      </c>
      <c r="Q138" t="n">
        <v>1</v>
      </c>
      <c r="R138" s="2" t="inlineStr">
        <is>
          <t>Revlummer</t>
        </is>
      </c>
      <c r="S138">
        <f>HYPERLINK("https://klasma.github.io/Logging_2482/artfynd/A 61658-2021 artfynd.xlsx", "A 61658-2021")</f>
        <v/>
      </c>
      <c r="T138">
        <f>HYPERLINK("https://klasma.github.io/Logging_2482/kartor/A 61658-2021 karta.png", "A 61658-2021")</f>
        <v/>
      </c>
      <c r="V138">
        <f>HYPERLINK("https://klasma.github.io/Logging_2482/klagomål/A 61658-2021 FSC-klagomål.docx", "A 61658-2021")</f>
        <v/>
      </c>
      <c r="W138">
        <f>HYPERLINK("https://klasma.github.io/Logging_2482/klagomålsmail/A 61658-2021 FSC-klagomål mail.docx", "A 61658-2021")</f>
        <v/>
      </c>
      <c r="X138">
        <f>HYPERLINK("https://klasma.github.io/Logging_2482/tillsyn/A 61658-2021 tillsynsbegäran.docx", "A 61658-2021")</f>
        <v/>
      </c>
      <c r="Y138">
        <f>HYPERLINK("https://klasma.github.io/Logging_2482/tillsynsmail/A 61658-2021 tillsynsbegäran mail.docx", "A 61658-2021")</f>
        <v/>
      </c>
    </row>
    <row r="139" ht="15" customHeight="1">
      <c r="A139" t="inlineStr">
        <is>
          <t>A 62436-2021</t>
        </is>
      </c>
      <c r="B139" s="1" t="n">
        <v>44503</v>
      </c>
      <c r="C139" s="1" t="n">
        <v>45472</v>
      </c>
      <c r="D139" t="inlineStr">
        <is>
          <t>VÄSTERBOTTENS LÄN</t>
        </is>
      </c>
      <c r="E139" t="inlineStr">
        <is>
          <t>SKELLEFTEÅ</t>
        </is>
      </c>
      <c r="F139" t="inlineStr">
        <is>
          <t>Holmen skog AB</t>
        </is>
      </c>
      <c r="G139" t="n">
        <v>19.5</v>
      </c>
      <c r="H139" t="n">
        <v>0</v>
      </c>
      <c r="I139" t="n">
        <v>0</v>
      </c>
      <c r="J139" t="n">
        <v>1</v>
      </c>
      <c r="K139" t="n">
        <v>0</v>
      </c>
      <c r="L139" t="n">
        <v>0</v>
      </c>
      <c r="M139" t="n">
        <v>0</v>
      </c>
      <c r="N139" t="n">
        <v>0</v>
      </c>
      <c r="O139" t="n">
        <v>1</v>
      </c>
      <c r="P139" t="n">
        <v>0</v>
      </c>
      <c r="Q139" t="n">
        <v>1</v>
      </c>
      <c r="R139" s="2" t="inlineStr">
        <is>
          <t>Lunglav</t>
        </is>
      </c>
      <c r="S139">
        <f>HYPERLINK("https://klasma.github.io/Logging_2482/artfynd/A 62436-2021 artfynd.xlsx", "A 62436-2021")</f>
        <v/>
      </c>
      <c r="T139">
        <f>HYPERLINK("https://klasma.github.io/Logging_2482/kartor/A 62436-2021 karta.png", "A 62436-2021")</f>
        <v/>
      </c>
      <c r="V139">
        <f>HYPERLINK("https://klasma.github.io/Logging_2482/klagomål/A 62436-2021 FSC-klagomål.docx", "A 62436-2021")</f>
        <v/>
      </c>
      <c r="W139">
        <f>HYPERLINK("https://klasma.github.io/Logging_2482/klagomålsmail/A 62436-2021 FSC-klagomål mail.docx", "A 62436-2021")</f>
        <v/>
      </c>
      <c r="X139">
        <f>HYPERLINK("https://klasma.github.io/Logging_2482/tillsyn/A 62436-2021 tillsynsbegäran.docx", "A 62436-2021")</f>
        <v/>
      </c>
      <c r="Y139">
        <f>HYPERLINK("https://klasma.github.io/Logging_2482/tillsynsmail/A 62436-2021 tillsynsbegäran mail.docx", "A 62436-2021")</f>
        <v/>
      </c>
    </row>
    <row r="140" ht="15" customHeight="1">
      <c r="A140" t="inlineStr">
        <is>
          <t>A 70868-2021</t>
        </is>
      </c>
      <c r="B140" s="1" t="n">
        <v>44536</v>
      </c>
      <c r="C140" s="1" t="n">
        <v>45472</v>
      </c>
      <c r="D140" t="inlineStr">
        <is>
          <t>VÄSTERBOTTENS LÄN</t>
        </is>
      </c>
      <c r="E140" t="inlineStr">
        <is>
          <t>SKELLEFTEÅ</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HYPERLINK("https://klasma.github.io/Logging_2482/artfynd/A 70868-2021 artfynd.xlsx", "A 70868-2021")</f>
        <v/>
      </c>
      <c r="T140">
        <f>HYPERLINK("https://klasma.github.io/Logging_2482/kartor/A 70868-2021 karta.png", "A 70868-2021")</f>
        <v/>
      </c>
      <c r="V140">
        <f>HYPERLINK("https://klasma.github.io/Logging_2482/klagomål/A 70868-2021 FSC-klagomål.docx", "A 70868-2021")</f>
        <v/>
      </c>
      <c r="W140">
        <f>HYPERLINK("https://klasma.github.io/Logging_2482/klagomålsmail/A 70868-2021 FSC-klagomål mail.docx", "A 70868-2021")</f>
        <v/>
      </c>
      <c r="X140">
        <f>HYPERLINK("https://klasma.github.io/Logging_2482/tillsyn/A 70868-2021 tillsynsbegäran.docx", "A 70868-2021")</f>
        <v/>
      </c>
      <c r="Y140">
        <f>HYPERLINK("https://klasma.github.io/Logging_2482/tillsynsmail/A 70868-2021 tillsynsbegäran mail.docx", "A 70868-2021")</f>
        <v/>
      </c>
    </row>
    <row r="141" ht="15" customHeight="1">
      <c r="A141" t="inlineStr">
        <is>
          <t>A 72939-2021</t>
        </is>
      </c>
      <c r="B141" s="1" t="n">
        <v>44547</v>
      </c>
      <c r="C141" s="1" t="n">
        <v>45472</v>
      </c>
      <c r="D141" t="inlineStr">
        <is>
          <t>VÄSTERBOTTENS LÄN</t>
        </is>
      </c>
      <c r="E141" t="inlineStr">
        <is>
          <t>SKELLEFTEÅ</t>
        </is>
      </c>
      <c r="G141" t="n">
        <v>14.8</v>
      </c>
      <c r="H141" t="n">
        <v>0</v>
      </c>
      <c r="I141" t="n">
        <v>1</v>
      </c>
      <c r="J141" t="n">
        <v>0</v>
      </c>
      <c r="K141" t="n">
        <v>0</v>
      </c>
      <c r="L141" t="n">
        <v>0</v>
      </c>
      <c r="M141" t="n">
        <v>0</v>
      </c>
      <c r="N141" t="n">
        <v>0</v>
      </c>
      <c r="O141" t="n">
        <v>0</v>
      </c>
      <c r="P141" t="n">
        <v>0</v>
      </c>
      <c r="Q141" t="n">
        <v>1</v>
      </c>
      <c r="R141" s="2" t="inlineStr">
        <is>
          <t>Dropptaggsvamp</t>
        </is>
      </c>
      <c r="S141">
        <f>HYPERLINK("https://klasma.github.io/Logging_2482/artfynd/A 72939-2021 artfynd.xlsx", "A 72939-2021")</f>
        <v/>
      </c>
      <c r="T141">
        <f>HYPERLINK("https://klasma.github.io/Logging_2482/kartor/A 72939-2021 karta.png", "A 72939-2021")</f>
        <v/>
      </c>
      <c r="V141">
        <f>HYPERLINK("https://klasma.github.io/Logging_2482/klagomål/A 72939-2021 FSC-klagomål.docx", "A 72939-2021")</f>
        <v/>
      </c>
      <c r="W141">
        <f>HYPERLINK("https://klasma.github.io/Logging_2482/klagomålsmail/A 72939-2021 FSC-klagomål mail.docx", "A 72939-2021")</f>
        <v/>
      </c>
      <c r="X141">
        <f>HYPERLINK("https://klasma.github.io/Logging_2482/tillsyn/A 72939-2021 tillsynsbegäran.docx", "A 72939-2021")</f>
        <v/>
      </c>
      <c r="Y141">
        <f>HYPERLINK("https://klasma.github.io/Logging_2482/tillsynsmail/A 72939-2021 tillsynsbegäran mail.docx", "A 72939-2021")</f>
        <v/>
      </c>
    </row>
    <row r="142" ht="15" customHeight="1">
      <c r="A142" t="inlineStr">
        <is>
          <t>A 12963-2022</t>
        </is>
      </c>
      <c r="B142" s="1" t="n">
        <v>44642</v>
      </c>
      <c r="C142" s="1" t="n">
        <v>45472</v>
      </c>
      <c r="D142" t="inlineStr">
        <is>
          <t>VÄSTERBOTTENS LÄN</t>
        </is>
      </c>
      <c r="E142" t="inlineStr">
        <is>
          <t>SKELLEFTEÅ</t>
        </is>
      </c>
      <c r="G142" t="n">
        <v>4.3</v>
      </c>
      <c r="H142" t="n">
        <v>1</v>
      </c>
      <c r="I142" t="n">
        <v>0</v>
      </c>
      <c r="J142" t="n">
        <v>1</v>
      </c>
      <c r="K142" t="n">
        <v>0</v>
      </c>
      <c r="L142" t="n">
        <v>0</v>
      </c>
      <c r="M142" t="n">
        <v>0</v>
      </c>
      <c r="N142" t="n">
        <v>0</v>
      </c>
      <c r="O142" t="n">
        <v>1</v>
      </c>
      <c r="P142" t="n">
        <v>0</v>
      </c>
      <c r="Q142" t="n">
        <v>1</v>
      </c>
      <c r="R142" s="2" t="inlineStr">
        <is>
          <t>Duvhök</t>
        </is>
      </c>
      <c r="S142">
        <f>HYPERLINK("https://klasma.github.io/Logging_2482/artfynd/A 12963-2022 artfynd.xlsx", "A 12963-2022")</f>
        <v/>
      </c>
      <c r="T142">
        <f>HYPERLINK("https://klasma.github.io/Logging_2482/kartor/A 12963-2022 karta.png", "A 12963-2022")</f>
        <v/>
      </c>
      <c r="V142">
        <f>HYPERLINK("https://klasma.github.io/Logging_2482/klagomål/A 12963-2022 FSC-klagomål.docx", "A 12963-2022")</f>
        <v/>
      </c>
      <c r="W142">
        <f>HYPERLINK("https://klasma.github.io/Logging_2482/klagomålsmail/A 12963-2022 FSC-klagomål mail.docx", "A 12963-2022")</f>
        <v/>
      </c>
      <c r="X142">
        <f>HYPERLINK("https://klasma.github.io/Logging_2482/tillsyn/A 12963-2022 tillsynsbegäran.docx", "A 12963-2022")</f>
        <v/>
      </c>
      <c r="Y142">
        <f>HYPERLINK("https://klasma.github.io/Logging_2482/tillsynsmail/A 12963-2022 tillsynsbegäran mail.docx", "A 12963-2022")</f>
        <v/>
      </c>
      <c r="Z142">
        <f>HYPERLINK("https://klasma.github.io/Logging_2482/fåglar/A 12963-2022 prioriterade fågelarter.docx", "A 12963-2022")</f>
        <v/>
      </c>
    </row>
    <row r="143" ht="15" customHeight="1">
      <c r="A143" t="inlineStr">
        <is>
          <t>A 14277-2022</t>
        </is>
      </c>
      <c r="B143" s="1" t="n">
        <v>44651</v>
      </c>
      <c r="C143" s="1" t="n">
        <v>45472</v>
      </c>
      <c r="D143" t="inlineStr">
        <is>
          <t>VÄSTERBOTTENS LÄN</t>
        </is>
      </c>
      <c r="E143" t="inlineStr">
        <is>
          <t>SKELLEFTEÅ</t>
        </is>
      </c>
      <c r="G143" t="n">
        <v>7.4</v>
      </c>
      <c r="H143" t="n">
        <v>1</v>
      </c>
      <c r="I143" t="n">
        <v>0</v>
      </c>
      <c r="J143" t="n">
        <v>0</v>
      </c>
      <c r="K143" t="n">
        <v>0</v>
      </c>
      <c r="L143" t="n">
        <v>0</v>
      </c>
      <c r="M143" t="n">
        <v>0</v>
      </c>
      <c r="N143" t="n">
        <v>0</v>
      </c>
      <c r="O143" t="n">
        <v>0</v>
      </c>
      <c r="P143" t="n">
        <v>0</v>
      </c>
      <c r="Q143" t="n">
        <v>1</v>
      </c>
      <c r="R143" s="2" t="inlineStr">
        <is>
          <t>Fläcknycklar</t>
        </is>
      </c>
      <c r="S143">
        <f>HYPERLINK("https://klasma.github.io/Logging_2482/artfynd/A 14277-2022 artfynd.xlsx", "A 14277-2022")</f>
        <v/>
      </c>
      <c r="T143">
        <f>HYPERLINK("https://klasma.github.io/Logging_2482/kartor/A 14277-2022 karta.png", "A 14277-2022")</f>
        <v/>
      </c>
      <c r="V143">
        <f>HYPERLINK("https://klasma.github.io/Logging_2482/klagomål/A 14277-2022 FSC-klagomål.docx", "A 14277-2022")</f>
        <v/>
      </c>
      <c r="W143">
        <f>HYPERLINK("https://klasma.github.io/Logging_2482/klagomålsmail/A 14277-2022 FSC-klagomål mail.docx", "A 14277-2022")</f>
        <v/>
      </c>
      <c r="X143">
        <f>HYPERLINK("https://klasma.github.io/Logging_2482/tillsyn/A 14277-2022 tillsynsbegäran.docx", "A 14277-2022")</f>
        <v/>
      </c>
      <c r="Y143">
        <f>HYPERLINK("https://klasma.github.io/Logging_2482/tillsynsmail/A 14277-2022 tillsynsbegäran mail.docx", "A 14277-2022")</f>
        <v/>
      </c>
    </row>
    <row r="144" ht="15" customHeight="1">
      <c r="A144" t="inlineStr">
        <is>
          <t>A 17336-2022</t>
        </is>
      </c>
      <c r="B144" s="1" t="n">
        <v>44678</v>
      </c>
      <c r="C144" s="1" t="n">
        <v>45472</v>
      </c>
      <c r="D144" t="inlineStr">
        <is>
          <t>VÄSTERBOTTENS LÄN</t>
        </is>
      </c>
      <c r="E144" t="inlineStr">
        <is>
          <t>SKELLEFTEÅ</t>
        </is>
      </c>
      <c r="G144" t="n">
        <v>0.5</v>
      </c>
      <c r="H144" t="n">
        <v>0</v>
      </c>
      <c r="I144" t="n">
        <v>0</v>
      </c>
      <c r="J144" t="n">
        <v>1</v>
      </c>
      <c r="K144" t="n">
        <v>0</v>
      </c>
      <c r="L144" t="n">
        <v>0</v>
      </c>
      <c r="M144" t="n">
        <v>0</v>
      </c>
      <c r="N144" t="n">
        <v>0</v>
      </c>
      <c r="O144" t="n">
        <v>1</v>
      </c>
      <c r="P144" t="n">
        <v>0</v>
      </c>
      <c r="Q144" t="n">
        <v>1</v>
      </c>
      <c r="R144" s="2" t="inlineStr">
        <is>
          <t>Doftskinn</t>
        </is>
      </c>
      <c r="S144">
        <f>HYPERLINK("https://klasma.github.io/Logging_2482/artfynd/A 17336-2022 artfynd.xlsx", "A 17336-2022")</f>
        <v/>
      </c>
      <c r="T144">
        <f>HYPERLINK("https://klasma.github.io/Logging_2482/kartor/A 17336-2022 karta.png", "A 17336-2022")</f>
        <v/>
      </c>
      <c r="V144">
        <f>HYPERLINK("https://klasma.github.io/Logging_2482/klagomål/A 17336-2022 FSC-klagomål.docx", "A 17336-2022")</f>
        <v/>
      </c>
      <c r="W144">
        <f>HYPERLINK("https://klasma.github.io/Logging_2482/klagomålsmail/A 17336-2022 FSC-klagomål mail.docx", "A 17336-2022")</f>
        <v/>
      </c>
      <c r="X144">
        <f>HYPERLINK("https://klasma.github.io/Logging_2482/tillsyn/A 17336-2022 tillsynsbegäran.docx", "A 17336-2022")</f>
        <v/>
      </c>
      <c r="Y144">
        <f>HYPERLINK("https://klasma.github.io/Logging_2482/tillsynsmail/A 17336-2022 tillsynsbegäran mail.docx", "A 17336-2022")</f>
        <v/>
      </c>
    </row>
    <row r="145" ht="15" customHeight="1">
      <c r="A145" t="inlineStr">
        <is>
          <t>A 24885-2022</t>
        </is>
      </c>
      <c r="B145" s="1" t="n">
        <v>44728</v>
      </c>
      <c r="C145" s="1" t="n">
        <v>45472</v>
      </c>
      <c r="D145" t="inlineStr">
        <is>
          <t>VÄSTERBOTTENS LÄN</t>
        </is>
      </c>
      <c r="E145" t="inlineStr">
        <is>
          <t>SKELLEFTEÅ</t>
        </is>
      </c>
      <c r="F145" t="inlineStr">
        <is>
          <t>Holmen skog AB</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HYPERLINK("https://klasma.github.io/Logging_2482/artfynd/A 24885-2022 artfynd.xlsx", "A 24885-2022")</f>
        <v/>
      </c>
      <c r="T145">
        <f>HYPERLINK("https://klasma.github.io/Logging_2482/kartor/A 24885-2022 karta.png", "A 24885-2022")</f>
        <v/>
      </c>
      <c r="V145">
        <f>HYPERLINK("https://klasma.github.io/Logging_2482/klagomål/A 24885-2022 FSC-klagomål.docx", "A 24885-2022")</f>
        <v/>
      </c>
      <c r="W145">
        <f>HYPERLINK("https://klasma.github.io/Logging_2482/klagomålsmail/A 24885-2022 FSC-klagomål mail.docx", "A 24885-2022")</f>
        <v/>
      </c>
      <c r="X145">
        <f>HYPERLINK("https://klasma.github.io/Logging_2482/tillsyn/A 24885-2022 tillsynsbegäran.docx", "A 24885-2022")</f>
        <v/>
      </c>
      <c r="Y145">
        <f>HYPERLINK("https://klasma.github.io/Logging_2482/tillsynsmail/A 24885-2022 tillsynsbegäran mail.docx", "A 24885-2022")</f>
        <v/>
      </c>
    </row>
    <row r="146" ht="15" customHeight="1">
      <c r="A146" t="inlineStr">
        <is>
          <t>A 36531-2022</t>
        </is>
      </c>
      <c r="B146" s="1" t="n">
        <v>44804</v>
      </c>
      <c r="C146" s="1" t="n">
        <v>45472</v>
      </c>
      <c r="D146" t="inlineStr">
        <is>
          <t>VÄSTERBOTTENS LÄN</t>
        </is>
      </c>
      <c r="E146" t="inlineStr">
        <is>
          <t>SKELLEFTEÅ</t>
        </is>
      </c>
      <c r="F146" t="inlineStr">
        <is>
          <t>Kommuner</t>
        </is>
      </c>
      <c r="G146" t="n">
        <v>3.1</v>
      </c>
      <c r="H146" t="n">
        <v>0</v>
      </c>
      <c r="I146" t="n">
        <v>1</v>
      </c>
      <c r="J146" t="n">
        <v>0</v>
      </c>
      <c r="K146" t="n">
        <v>0</v>
      </c>
      <c r="L146" t="n">
        <v>0</v>
      </c>
      <c r="M146" t="n">
        <v>0</v>
      </c>
      <c r="N146" t="n">
        <v>0</v>
      </c>
      <c r="O146" t="n">
        <v>0</v>
      </c>
      <c r="P146" t="n">
        <v>0</v>
      </c>
      <c r="Q146" t="n">
        <v>1</v>
      </c>
      <c r="R146" s="2" t="inlineStr">
        <is>
          <t>Dropptaggsvamp</t>
        </is>
      </c>
      <c r="S146">
        <f>HYPERLINK("https://klasma.github.io/Logging_2482/artfynd/A 36531-2022 artfynd.xlsx", "A 36531-2022")</f>
        <v/>
      </c>
      <c r="T146">
        <f>HYPERLINK("https://klasma.github.io/Logging_2482/kartor/A 36531-2022 karta.png", "A 36531-2022")</f>
        <v/>
      </c>
      <c r="V146">
        <f>HYPERLINK("https://klasma.github.io/Logging_2482/klagomål/A 36531-2022 FSC-klagomål.docx", "A 36531-2022")</f>
        <v/>
      </c>
      <c r="W146">
        <f>HYPERLINK("https://klasma.github.io/Logging_2482/klagomålsmail/A 36531-2022 FSC-klagomål mail.docx", "A 36531-2022")</f>
        <v/>
      </c>
      <c r="X146">
        <f>HYPERLINK("https://klasma.github.io/Logging_2482/tillsyn/A 36531-2022 tillsynsbegäran.docx", "A 36531-2022")</f>
        <v/>
      </c>
      <c r="Y146">
        <f>HYPERLINK("https://klasma.github.io/Logging_2482/tillsynsmail/A 36531-2022 tillsynsbegäran mail.docx", "A 36531-2022")</f>
        <v/>
      </c>
    </row>
    <row r="147" ht="15" customHeight="1">
      <c r="A147" t="inlineStr">
        <is>
          <t>A 42674-2022</t>
        </is>
      </c>
      <c r="B147" s="1" t="n">
        <v>44831</v>
      </c>
      <c r="C147" s="1" t="n">
        <v>45472</v>
      </c>
      <c r="D147" t="inlineStr">
        <is>
          <t>VÄSTERBOTTENS LÄN</t>
        </is>
      </c>
      <c r="E147" t="inlineStr">
        <is>
          <t>SKELLEFTEÅ</t>
        </is>
      </c>
      <c r="G147" t="n">
        <v>4.4</v>
      </c>
      <c r="H147" t="n">
        <v>0</v>
      </c>
      <c r="I147" t="n">
        <v>0</v>
      </c>
      <c r="J147" t="n">
        <v>1</v>
      </c>
      <c r="K147" t="n">
        <v>0</v>
      </c>
      <c r="L147" t="n">
        <v>0</v>
      </c>
      <c r="M147" t="n">
        <v>0</v>
      </c>
      <c r="N147" t="n">
        <v>0</v>
      </c>
      <c r="O147" t="n">
        <v>1</v>
      </c>
      <c r="P147" t="n">
        <v>0</v>
      </c>
      <c r="Q147" t="n">
        <v>1</v>
      </c>
      <c r="R147" s="2" t="inlineStr">
        <is>
          <t>Granticka</t>
        </is>
      </c>
      <c r="S147">
        <f>HYPERLINK("https://klasma.github.io/Logging_2482/artfynd/A 42674-2022 artfynd.xlsx", "A 42674-2022")</f>
        <v/>
      </c>
      <c r="T147">
        <f>HYPERLINK("https://klasma.github.io/Logging_2482/kartor/A 42674-2022 karta.png", "A 42674-2022")</f>
        <v/>
      </c>
      <c r="V147">
        <f>HYPERLINK("https://klasma.github.io/Logging_2482/klagomål/A 42674-2022 FSC-klagomål.docx", "A 42674-2022")</f>
        <v/>
      </c>
      <c r="W147">
        <f>HYPERLINK("https://klasma.github.io/Logging_2482/klagomålsmail/A 42674-2022 FSC-klagomål mail.docx", "A 42674-2022")</f>
        <v/>
      </c>
      <c r="X147">
        <f>HYPERLINK("https://klasma.github.io/Logging_2482/tillsyn/A 42674-2022 tillsynsbegäran.docx", "A 42674-2022")</f>
        <v/>
      </c>
      <c r="Y147">
        <f>HYPERLINK("https://klasma.github.io/Logging_2482/tillsynsmail/A 42674-2022 tillsynsbegäran mail.docx", "A 42674-2022")</f>
        <v/>
      </c>
    </row>
    <row r="148" ht="15" customHeight="1">
      <c r="A148" t="inlineStr">
        <is>
          <t>A 47963-2022</t>
        </is>
      </c>
      <c r="B148" s="1" t="n">
        <v>44855</v>
      </c>
      <c r="C148" s="1" t="n">
        <v>45472</v>
      </c>
      <c r="D148" t="inlineStr">
        <is>
          <t>VÄSTERBOTTENS LÄN</t>
        </is>
      </c>
      <c r="E148" t="inlineStr">
        <is>
          <t>SKELLEFTEÅ</t>
        </is>
      </c>
      <c r="F148" t="inlineStr">
        <is>
          <t>Holmen skog AB</t>
        </is>
      </c>
      <c r="G148" t="n">
        <v>18.7</v>
      </c>
      <c r="H148" t="n">
        <v>0</v>
      </c>
      <c r="I148" t="n">
        <v>1</v>
      </c>
      <c r="J148" t="n">
        <v>0</v>
      </c>
      <c r="K148" t="n">
        <v>0</v>
      </c>
      <c r="L148" t="n">
        <v>0</v>
      </c>
      <c r="M148" t="n">
        <v>0</v>
      </c>
      <c r="N148" t="n">
        <v>0</v>
      </c>
      <c r="O148" t="n">
        <v>0</v>
      </c>
      <c r="P148" t="n">
        <v>0</v>
      </c>
      <c r="Q148" t="n">
        <v>1</v>
      </c>
      <c r="R148" s="2" t="inlineStr">
        <is>
          <t>Skinnlav</t>
        </is>
      </c>
      <c r="S148">
        <f>HYPERLINK("https://klasma.github.io/Logging_2482/artfynd/A 47963-2022 artfynd.xlsx", "A 47963-2022")</f>
        <v/>
      </c>
      <c r="T148">
        <f>HYPERLINK("https://klasma.github.io/Logging_2482/kartor/A 47963-2022 karta.png", "A 47963-2022")</f>
        <v/>
      </c>
      <c r="V148">
        <f>HYPERLINK("https://klasma.github.io/Logging_2482/klagomål/A 47963-2022 FSC-klagomål.docx", "A 47963-2022")</f>
        <v/>
      </c>
      <c r="W148">
        <f>HYPERLINK("https://klasma.github.io/Logging_2482/klagomålsmail/A 47963-2022 FSC-klagomål mail.docx", "A 47963-2022")</f>
        <v/>
      </c>
      <c r="X148">
        <f>HYPERLINK("https://klasma.github.io/Logging_2482/tillsyn/A 47963-2022 tillsynsbegäran.docx", "A 47963-2022")</f>
        <v/>
      </c>
      <c r="Y148">
        <f>HYPERLINK("https://klasma.github.io/Logging_2482/tillsynsmail/A 47963-2022 tillsynsbegäran mail.docx", "A 47963-2022")</f>
        <v/>
      </c>
    </row>
    <row r="149" ht="15" customHeight="1">
      <c r="A149" t="inlineStr">
        <is>
          <t>A 49588-2022</t>
        </is>
      </c>
      <c r="B149" s="1" t="n">
        <v>44862</v>
      </c>
      <c r="C149" s="1" t="n">
        <v>45472</v>
      </c>
      <c r="D149" t="inlineStr">
        <is>
          <t>VÄSTERBOTTENS LÄN</t>
        </is>
      </c>
      <c r="E149" t="inlineStr">
        <is>
          <t>SKELLEFTEÅ</t>
        </is>
      </c>
      <c r="F149" t="inlineStr">
        <is>
          <t>Holmen skog AB</t>
        </is>
      </c>
      <c r="G149" t="n">
        <v>6.1</v>
      </c>
      <c r="H149" t="n">
        <v>0</v>
      </c>
      <c r="I149" t="n">
        <v>0</v>
      </c>
      <c r="J149" t="n">
        <v>1</v>
      </c>
      <c r="K149" t="n">
        <v>0</v>
      </c>
      <c r="L149" t="n">
        <v>0</v>
      </c>
      <c r="M149" t="n">
        <v>0</v>
      </c>
      <c r="N149" t="n">
        <v>0</v>
      </c>
      <c r="O149" t="n">
        <v>1</v>
      </c>
      <c r="P149" t="n">
        <v>0</v>
      </c>
      <c r="Q149" t="n">
        <v>1</v>
      </c>
      <c r="R149" s="2" t="inlineStr">
        <is>
          <t>Lunglav</t>
        </is>
      </c>
      <c r="S149">
        <f>HYPERLINK("https://klasma.github.io/Logging_2482/artfynd/A 49588-2022 artfynd.xlsx", "A 49588-2022")</f>
        <v/>
      </c>
      <c r="T149">
        <f>HYPERLINK("https://klasma.github.io/Logging_2482/kartor/A 49588-2022 karta.png", "A 49588-2022")</f>
        <v/>
      </c>
      <c r="V149">
        <f>HYPERLINK("https://klasma.github.io/Logging_2482/klagomål/A 49588-2022 FSC-klagomål.docx", "A 49588-2022")</f>
        <v/>
      </c>
      <c r="W149">
        <f>HYPERLINK("https://klasma.github.io/Logging_2482/klagomålsmail/A 49588-2022 FSC-klagomål mail.docx", "A 49588-2022")</f>
        <v/>
      </c>
      <c r="X149">
        <f>HYPERLINK("https://klasma.github.io/Logging_2482/tillsyn/A 49588-2022 tillsynsbegäran.docx", "A 49588-2022")</f>
        <v/>
      </c>
      <c r="Y149">
        <f>HYPERLINK("https://klasma.github.io/Logging_2482/tillsynsmail/A 49588-2022 tillsynsbegäran mail.docx", "A 49588-2022")</f>
        <v/>
      </c>
    </row>
    <row r="150" ht="15" customHeight="1">
      <c r="A150" t="inlineStr">
        <is>
          <t>A 49842-2022</t>
        </is>
      </c>
      <c r="B150" s="1" t="n">
        <v>44862</v>
      </c>
      <c r="C150" s="1" t="n">
        <v>45472</v>
      </c>
      <c r="D150" t="inlineStr">
        <is>
          <t>VÄSTERBOTTENS LÄN</t>
        </is>
      </c>
      <c r="E150" t="inlineStr">
        <is>
          <t>SKELLEFTEÅ</t>
        </is>
      </c>
      <c r="G150" t="n">
        <v>7</v>
      </c>
      <c r="H150" t="n">
        <v>0</v>
      </c>
      <c r="I150" t="n">
        <v>0</v>
      </c>
      <c r="J150" t="n">
        <v>1</v>
      </c>
      <c r="K150" t="n">
        <v>0</v>
      </c>
      <c r="L150" t="n">
        <v>0</v>
      </c>
      <c r="M150" t="n">
        <v>0</v>
      </c>
      <c r="N150" t="n">
        <v>0</v>
      </c>
      <c r="O150" t="n">
        <v>1</v>
      </c>
      <c r="P150" t="n">
        <v>0</v>
      </c>
      <c r="Q150" t="n">
        <v>1</v>
      </c>
      <c r="R150" s="2" t="inlineStr">
        <is>
          <t>Blå taggsvamp</t>
        </is>
      </c>
      <c r="S150">
        <f>HYPERLINK("https://klasma.github.io/Logging_2482/artfynd/A 49842-2022 artfynd.xlsx", "A 49842-2022")</f>
        <v/>
      </c>
      <c r="T150">
        <f>HYPERLINK("https://klasma.github.io/Logging_2482/kartor/A 49842-2022 karta.png", "A 49842-2022")</f>
        <v/>
      </c>
      <c r="V150">
        <f>HYPERLINK("https://klasma.github.io/Logging_2482/klagomål/A 49842-2022 FSC-klagomål.docx", "A 49842-2022")</f>
        <v/>
      </c>
      <c r="W150">
        <f>HYPERLINK("https://klasma.github.io/Logging_2482/klagomålsmail/A 49842-2022 FSC-klagomål mail.docx", "A 49842-2022")</f>
        <v/>
      </c>
      <c r="X150">
        <f>HYPERLINK("https://klasma.github.io/Logging_2482/tillsyn/A 49842-2022 tillsynsbegäran.docx", "A 49842-2022")</f>
        <v/>
      </c>
      <c r="Y150">
        <f>HYPERLINK("https://klasma.github.io/Logging_2482/tillsynsmail/A 49842-2022 tillsynsbegäran mail.docx", "A 49842-2022")</f>
        <v/>
      </c>
    </row>
    <row r="151" ht="15" customHeight="1">
      <c r="A151" t="inlineStr">
        <is>
          <t>A 53071-2022</t>
        </is>
      </c>
      <c r="B151" s="1" t="n">
        <v>44873</v>
      </c>
      <c r="C151" s="1" t="n">
        <v>45472</v>
      </c>
      <c r="D151" t="inlineStr">
        <is>
          <t>VÄSTERBOTTENS LÄN</t>
        </is>
      </c>
      <c r="E151" t="inlineStr">
        <is>
          <t>SKELLEFTEÅ</t>
        </is>
      </c>
      <c r="G151" t="n">
        <v>10.6</v>
      </c>
      <c r="H151" t="n">
        <v>0</v>
      </c>
      <c r="I151" t="n">
        <v>0</v>
      </c>
      <c r="J151" t="n">
        <v>1</v>
      </c>
      <c r="K151" t="n">
        <v>0</v>
      </c>
      <c r="L151" t="n">
        <v>0</v>
      </c>
      <c r="M151" t="n">
        <v>0</v>
      </c>
      <c r="N151" t="n">
        <v>0</v>
      </c>
      <c r="O151" t="n">
        <v>1</v>
      </c>
      <c r="P151" t="n">
        <v>0</v>
      </c>
      <c r="Q151" t="n">
        <v>1</v>
      </c>
      <c r="R151" s="2" t="inlineStr">
        <is>
          <t>Granticka</t>
        </is>
      </c>
      <c r="S151">
        <f>HYPERLINK("https://klasma.github.io/Logging_2482/artfynd/A 53071-2022 artfynd.xlsx", "A 53071-2022")</f>
        <v/>
      </c>
      <c r="T151">
        <f>HYPERLINK("https://klasma.github.io/Logging_2482/kartor/A 53071-2022 karta.png", "A 53071-2022")</f>
        <v/>
      </c>
      <c r="V151">
        <f>HYPERLINK("https://klasma.github.io/Logging_2482/klagomål/A 53071-2022 FSC-klagomål.docx", "A 53071-2022")</f>
        <v/>
      </c>
      <c r="W151">
        <f>HYPERLINK("https://klasma.github.io/Logging_2482/klagomålsmail/A 53071-2022 FSC-klagomål mail.docx", "A 53071-2022")</f>
        <v/>
      </c>
      <c r="X151">
        <f>HYPERLINK("https://klasma.github.io/Logging_2482/tillsyn/A 53071-2022 tillsynsbegäran.docx", "A 53071-2022")</f>
        <v/>
      </c>
      <c r="Y151">
        <f>HYPERLINK("https://klasma.github.io/Logging_2482/tillsynsmail/A 53071-2022 tillsynsbegäran mail.docx", "A 53071-2022")</f>
        <v/>
      </c>
    </row>
    <row r="152" ht="15" customHeight="1">
      <c r="A152" t="inlineStr">
        <is>
          <t>A 53137-2022</t>
        </is>
      </c>
      <c r="B152" s="1" t="n">
        <v>44876</v>
      </c>
      <c r="C152" s="1" t="n">
        <v>45472</v>
      </c>
      <c r="D152" t="inlineStr">
        <is>
          <t>VÄSTERBOTTENS LÄN</t>
        </is>
      </c>
      <c r="E152" t="inlineStr">
        <is>
          <t>SKELLEFTEÅ</t>
        </is>
      </c>
      <c r="F152" t="inlineStr">
        <is>
          <t>Holmen skog AB</t>
        </is>
      </c>
      <c r="G152" t="n">
        <v>7.5</v>
      </c>
      <c r="H152" t="n">
        <v>0</v>
      </c>
      <c r="I152" t="n">
        <v>0</v>
      </c>
      <c r="J152" t="n">
        <v>1</v>
      </c>
      <c r="K152" t="n">
        <v>0</v>
      </c>
      <c r="L152" t="n">
        <v>0</v>
      </c>
      <c r="M152" t="n">
        <v>0</v>
      </c>
      <c r="N152" t="n">
        <v>0</v>
      </c>
      <c r="O152" t="n">
        <v>1</v>
      </c>
      <c r="P152" t="n">
        <v>0</v>
      </c>
      <c r="Q152" t="n">
        <v>1</v>
      </c>
      <c r="R152" s="2" t="inlineStr">
        <is>
          <t>Garnlav</t>
        </is>
      </c>
      <c r="S152">
        <f>HYPERLINK("https://klasma.github.io/Logging_2482/artfynd/A 53137-2022 artfynd.xlsx", "A 53137-2022")</f>
        <v/>
      </c>
      <c r="T152">
        <f>HYPERLINK("https://klasma.github.io/Logging_2482/kartor/A 53137-2022 karta.png", "A 53137-2022")</f>
        <v/>
      </c>
      <c r="V152">
        <f>HYPERLINK("https://klasma.github.io/Logging_2482/klagomål/A 53137-2022 FSC-klagomål.docx", "A 53137-2022")</f>
        <v/>
      </c>
      <c r="W152">
        <f>HYPERLINK("https://klasma.github.io/Logging_2482/klagomålsmail/A 53137-2022 FSC-klagomål mail.docx", "A 53137-2022")</f>
        <v/>
      </c>
      <c r="X152">
        <f>HYPERLINK("https://klasma.github.io/Logging_2482/tillsyn/A 53137-2022 tillsynsbegäran.docx", "A 53137-2022")</f>
        <v/>
      </c>
      <c r="Y152">
        <f>HYPERLINK("https://klasma.github.io/Logging_2482/tillsynsmail/A 53137-2022 tillsynsbegäran mail.docx", "A 53137-2022")</f>
        <v/>
      </c>
    </row>
    <row r="153" ht="15" customHeight="1">
      <c r="A153" t="inlineStr">
        <is>
          <t>A 54058-2022</t>
        </is>
      </c>
      <c r="B153" s="1" t="n">
        <v>44881</v>
      </c>
      <c r="C153" s="1" t="n">
        <v>45472</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58306-2022</t>
        </is>
      </c>
      <c r="B154" s="1" t="n">
        <v>44901</v>
      </c>
      <c r="C154" s="1" t="n">
        <v>45472</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Lunglav</t>
        </is>
      </c>
      <c r="S154">
        <f>HYPERLINK("https://klasma.github.io/Logging_2482/artfynd/A 58306-2022 artfynd.xlsx", "A 58306-2022")</f>
        <v/>
      </c>
      <c r="T154">
        <f>HYPERLINK("https://klasma.github.io/Logging_2482/kartor/A 58306-2022 karta.png", "A 58306-2022")</f>
        <v/>
      </c>
      <c r="V154">
        <f>HYPERLINK("https://klasma.github.io/Logging_2482/klagomål/A 58306-2022 FSC-klagomål.docx", "A 58306-2022")</f>
        <v/>
      </c>
      <c r="W154">
        <f>HYPERLINK("https://klasma.github.io/Logging_2482/klagomålsmail/A 58306-2022 FSC-klagomål mail.docx", "A 58306-2022")</f>
        <v/>
      </c>
      <c r="X154">
        <f>HYPERLINK("https://klasma.github.io/Logging_2482/tillsyn/A 58306-2022 tillsynsbegäran.docx", "A 58306-2022")</f>
        <v/>
      </c>
      <c r="Y154">
        <f>HYPERLINK("https://klasma.github.io/Logging_2482/tillsynsmail/A 58306-2022 tillsynsbegäran mail.docx", "A 58306-2022")</f>
        <v/>
      </c>
    </row>
    <row r="155" ht="15" customHeight="1">
      <c r="A155" t="inlineStr">
        <is>
          <t>A 60231-2022</t>
        </is>
      </c>
      <c r="B155" s="1" t="n">
        <v>44910</v>
      </c>
      <c r="C155" s="1" t="n">
        <v>45472</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60586-2022</t>
        </is>
      </c>
      <c r="B156" s="1" t="n">
        <v>44911</v>
      </c>
      <c r="C156" s="1" t="n">
        <v>45472</v>
      </c>
      <c r="D156" t="inlineStr">
        <is>
          <t>VÄSTERBOTTENS LÄN</t>
        </is>
      </c>
      <c r="E156" t="inlineStr">
        <is>
          <t>SKELLEFTEÅ</t>
        </is>
      </c>
      <c r="F156" t="inlineStr">
        <is>
          <t>Sveaskog</t>
        </is>
      </c>
      <c r="G156" t="n">
        <v>10.8</v>
      </c>
      <c r="H156" t="n">
        <v>0</v>
      </c>
      <c r="I156" t="n">
        <v>0</v>
      </c>
      <c r="J156" t="n">
        <v>1</v>
      </c>
      <c r="K156" t="n">
        <v>0</v>
      </c>
      <c r="L156" t="n">
        <v>0</v>
      </c>
      <c r="M156" t="n">
        <v>0</v>
      </c>
      <c r="N156" t="n">
        <v>0</v>
      </c>
      <c r="O156" t="n">
        <v>1</v>
      </c>
      <c r="P156" t="n">
        <v>0</v>
      </c>
      <c r="Q156" t="n">
        <v>1</v>
      </c>
      <c r="R156" s="2" t="inlineStr">
        <is>
          <t>Garnlav</t>
        </is>
      </c>
      <c r="S156">
        <f>HYPERLINK("https://klasma.github.io/Logging_2482/artfynd/A 60586-2022 artfynd.xlsx", "A 60586-2022")</f>
        <v/>
      </c>
      <c r="T156">
        <f>HYPERLINK("https://klasma.github.io/Logging_2482/kartor/A 60586-2022 karta.png", "A 60586-2022")</f>
        <v/>
      </c>
      <c r="V156">
        <f>HYPERLINK("https://klasma.github.io/Logging_2482/klagomål/A 60586-2022 FSC-klagomål.docx", "A 60586-2022")</f>
        <v/>
      </c>
      <c r="W156">
        <f>HYPERLINK("https://klasma.github.io/Logging_2482/klagomålsmail/A 60586-2022 FSC-klagomål mail.docx", "A 60586-2022")</f>
        <v/>
      </c>
      <c r="X156">
        <f>HYPERLINK("https://klasma.github.io/Logging_2482/tillsyn/A 60586-2022 tillsynsbegäran.docx", "A 60586-2022")</f>
        <v/>
      </c>
      <c r="Y156">
        <f>HYPERLINK("https://klasma.github.io/Logging_2482/tillsynsmail/A 60586-2022 tillsynsbegäran mail.docx", "A 60586-2022")</f>
        <v/>
      </c>
    </row>
    <row r="157" ht="15" customHeight="1">
      <c r="A157" t="inlineStr">
        <is>
          <t>A 609-2023</t>
        </is>
      </c>
      <c r="B157" s="1" t="n">
        <v>44928</v>
      </c>
      <c r="C157" s="1" t="n">
        <v>45472</v>
      </c>
      <c r="D157" t="inlineStr">
        <is>
          <t>VÄSTERBOTTENS LÄN</t>
        </is>
      </c>
      <c r="E157" t="inlineStr">
        <is>
          <t>SKELLEFTEÅ</t>
        </is>
      </c>
      <c r="G157" t="n">
        <v>20.1</v>
      </c>
      <c r="H157" t="n">
        <v>0</v>
      </c>
      <c r="I157" t="n">
        <v>0</v>
      </c>
      <c r="J157" t="n">
        <v>1</v>
      </c>
      <c r="K157" t="n">
        <v>0</v>
      </c>
      <c r="L157" t="n">
        <v>0</v>
      </c>
      <c r="M157" t="n">
        <v>0</v>
      </c>
      <c r="N157" t="n">
        <v>0</v>
      </c>
      <c r="O157" t="n">
        <v>1</v>
      </c>
      <c r="P157" t="n">
        <v>0</v>
      </c>
      <c r="Q157" t="n">
        <v>1</v>
      </c>
      <c r="R157" s="2" t="inlineStr">
        <is>
          <t>Granticka</t>
        </is>
      </c>
      <c r="S157">
        <f>HYPERLINK("https://klasma.github.io/Logging_2482/artfynd/A 609-2023 artfynd.xlsx", "A 609-2023")</f>
        <v/>
      </c>
      <c r="T157">
        <f>HYPERLINK("https://klasma.github.io/Logging_2482/kartor/A 609-2023 karta.png", "A 609-2023")</f>
        <v/>
      </c>
      <c r="V157">
        <f>HYPERLINK("https://klasma.github.io/Logging_2482/klagomål/A 609-2023 FSC-klagomål.docx", "A 609-2023")</f>
        <v/>
      </c>
      <c r="W157">
        <f>HYPERLINK("https://klasma.github.io/Logging_2482/klagomålsmail/A 609-2023 FSC-klagomål mail.docx", "A 609-2023")</f>
        <v/>
      </c>
      <c r="X157">
        <f>HYPERLINK("https://klasma.github.io/Logging_2482/tillsyn/A 609-2023 tillsynsbegäran.docx", "A 609-2023")</f>
        <v/>
      </c>
      <c r="Y157">
        <f>HYPERLINK("https://klasma.github.io/Logging_2482/tillsynsmail/A 609-2023 tillsynsbegäran mail.docx", "A 609-2023")</f>
        <v/>
      </c>
    </row>
    <row r="158" ht="15" customHeight="1">
      <c r="A158" t="inlineStr">
        <is>
          <t>A 9652-2023</t>
        </is>
      </c>
      <c r="B158" s="1" t="n">
        <v>44978</v>
      </c>
      <c r="C158" s="1" t="n">
        <v>45472</v>
      </c>
      <c r="D158" t="inlineStr">
        <is>
          <t>VÄSTERBOTTENS LÄN</t>
        </is>
      </c>
      <c r="E158" t="inlineStr">
        <is>
          <t>SKELLEFTEÅ</t>
        </is>
      </c>
      <c r="G158" t="n">
        <v>1.3</v>
      </c>
      <c r="H158" t="n">
        <v>0</v>
      </c>
      <c r="I158" t="n">
        <v>0</v>
      </c>
      <c r="J158" t="n">
        <v>1</v>
      </c>
      <c r="K158" t="n">
        <v>0</v>
      </c>
      <c r="L158" t="n">
        <v>0</v>
      </c>
      <c r="M158" t="n">
        <v>0</v>
      </c>
      <c r="N158" t="n">
        <v>0</v>
      </c>
      <c r="O158" t="n">
        <v>1</v>
      </c>
      <c r="P158" t="n">
        <v>0</v>
      </c>
      <c r="Q158" t="n">
        <v>1</v>
      </c>
      <c r="R158" s="2" t="inlineStr">
        <is>
          <t>Ullticka</t>
        </is>
      </c>
      <c r="S158">
        <f>HYPERLINK("https://klasma.github.io/Logging_2482/artfynd/A 9652-2023 artfynd.xlsx", "A 9652-2023")</f>
        <v/>
      </c>
      <c r="T158">
        <f>HYPERLINK("https://klasma.github.io/Logging_2482/kartor/A 9652-2023 karta.png", "A 9652-2023")</f>
        <v/>
      </c>
      <c r="V158">
        <f>HYPERLINK("https://klasma.github.io/Logging_2482/klagomål/A 9652-2023 FSC-klagomål.docx", "A 9652-2023")</f>
        <v/>
      </c>
      <c r="W158">
        <f>HYPERLINK("https://klasma.github.io/Logging_2482/klagomålsmail/A 9652-2023 FSC-klagomål mail.docx", "A 9652-2023")</f>
        <v/>
      </c>
      <c r="X158">
        <f>HYPERLINK("https://klasma.github.io/Logging_2482/tillsyn/A 9652-2023 tillsynsbegäran.docx", "A 9652-2023")</f>
        <v/>
      </c>
      <c r="Y158">
        <f>HYPERLINK("https://klasma.github.io/Logging_2482/tillsynsmail/A 9652-2023 tillsynsbegäran mail.docx", "A 9652-2023")</f>
        <v/>
      </c>
    </row>
    <row r="159" ht="15" customHeight="1">
      <c r="A159" t="inlineStr">
        <is>
          <t>A 10069-2023</t>
        </is>
      </c>
      <c r="B159" s="1" t="n">
        <v>44985</v>
      </c>
      <c r="C159" s="1" t="n">
        <v>45472</v>
      </c>
      <c r="D159" t="inlineStr">
        <is>
          <t>VÄSTERBOTTENS LÄN</t>
        </is>
      </c>
      <c r="E159" t="inlineStr">
        <is>
          <t>SKELLEFTEÅ</t>
        </is>
      </c>
      <c r="G159" t="n">
        <v>11.9</v>
      </c>
      <c r="H159" t="n">
        <v>1</v>
      </c>
      <c r="I159" t="n">
        <v>0</v>
      </c>
      <c r="J159" t="n">
        <v>0</v>
      </c>
      <c r="K159" t="n">
        <v>1</v>
      </c>
      <c r="L159" t="n">
        <v>0</v>
      </c>
      <c r="M159" t="n">
        <v>0</v>
      </c>
      <c r="N159" t="n">
        <v>0</v>
      </c>
      <c r="O159" t="n">
        <v>1</v>
      </c>
      <c r="P159" t="n">
        <v>1</v>
      </c>
      <c r="Q159" t="n">
        <v>1</v>
      </c>
      <c r="R159" s="2" t="inlineStr">
        <is>
          <t>Knärot</t>
        </is>
      </c>
      <c r="S159">
        <f>HYPERLINK("https://klasma.github.io/Logging_2482/artfynd/A 10069-2023 artfynd.xlsx", "A 10069-2023")</f>
        <v/>
      </c>
      <c r="T159">
        <f>HYPERLINK("https://klasma.github.io/Logging_2482/kartor/A 10069-2023 karta.png", "A 10069-2023")</f>
        <v/>
      </c>
      <c r="U159">
        <f>HYPERLINK("https://klasma.github.io/Logging_2482/knärot/A 10069-2023 karta knärot.png", "A 10069-2023")</f>
        <v/>
      </c>
      <c r="V159">
        <f>HYPERLINK("https://klasma.github.io/Logging_2482/klagomål/A 10069-2023 FSC-klagomål.docx", "A 10069-2023")</f>
        <v/>
      </c>
      <c r="W159">
        <f>HYPERLINK("https://klasma.github.io/Logging_2482/klagomålsmail/A 10069-2023 FSC-klagomål mail.docx", "A 10069-2023")</f>
        <v/>
      </c>
      <c r="X159">
        <f>HYPERLINK("https://klasma.github.io/Logging_2482/tillsyn/A 10069-2023 tillsynsbegäran.docx", "A 10069-2023")</f>
        <v/>
      </c>
      <c r="Y159">
        <f>HYPERLINK("https://klasma.github.io/Logging_2482/tillsynsmail/A 10069-2023 tillsynsbegäran mail.docx", "A 10069-2023")</f>
        <v/>
      </c>
    </row>
    <row r="160" ht="15" customHeight="1">
      <c r="A160" t="inlineStr">
        <is>
          <t>A 11891-2023</t>
        </is>
      </c>
      <c r="B160" s="1" t="n">
        <v>44994</v>
      </c>
      <c r="C160" s="1" t="n">
        <v>45472</v>
      </c>
      <c r="D160" t="inlineStr">
        <is>
          <t>VÄSTERBOTTENS LÄN</t>
        </is>
      </c>
      <c r="E160" t="inlineStr">
        <is>
          <t>SKELLEFTEÅ</t>
        </is>
      </c>
      <c r="G160" t="n">
        <v>10.5</v>
      </c>
      <c r="H160" t="n">
        <v>0</v>
      </c>
      <c r="I160" t="n">
        <v>0</v>
      </c>
      <c r="J160" t="n">
        <v>1</v>
      </c>
      <c r="K160" t="n">
        <v>0</v>
      </c>
      <c r="L160" t="n">
        <v>0</v>
      </c>
      <c r="M160" t="n">
        <v>0</v>
      </c>
      <c r="N160" t="n">
        <v>0</v>
      </c>
      <c r="O160" t="n">
        <v>1</v>
      </c>
      <c r="P160" t="n">
        <v>0</v>
      </c>
      <c r="Q160" t="n">
        <v>1</v>
      </c>
      <c r="R160" s="2" t="inlineStr">
        <is>
          <t>Violettgrå tagellav</t>
        </is>
      </c>
      <c r="S160">
        <f>HYPERLINK("https://klasma.github.io/Logging_2482/artfynd/A 11891-2023 artfynd.xlsx", "A 11891-2023")</f>
        <v/>
      </c>
      <c r="T160">
        <f>HYPERLINK("https://klasma.github.io/Logging_2482/kartor/A 11891-2023 karta.png", "A 11891-2023")</f>
        <v/>
      </c>
      <c r="V160">
        <f>HYPERLINK("https://klasma.github.io/Logging_2482/klagomål/A 11891-2023 FSC-klagomål.docx", "A 11891-2023")</f>
        <v/>
      </c>
      <c r="W160">
        <f>HYPERLINK("https://klasma.github.io/Logging_2482/klagomålsmail/A 11891-2023 FSC-klagomål mail.docx", "A 11891-2023")</f>
        <v/>
      </c>
      <c r="X160">
        <f>HYPERLINK("https://klasma.github.io/Logging_2482/tillsyn/A 11891-2023 tillsynsbegäran.docx", "A 11891-2023")</f>
        <v/>
      </c>
      <c r="Y160">
        <f>HYPERLINK("https://klasma.github.io/Logging_2482/tillsynsmail/A 11891-2023 tillsynsbegäran mail.docx", "A 11891-2023")</f>
        <v/>
      </c>
    </row>
    <row r="161" ht="15" customHeight="1">
      <c r="A161" t="inlineStr">
        <is>
          <t>A 27358-2023</t>
        </is>
      </c>
      <c r="B161" s="1" t="n">
        <v>45096</v>
      </c>
      <c r="C161" s="1" t="n">
        <v>45472</v>
      </c>
      <c r="D161" t="inlineStr">
        <is>
          <t>VÄSTERBOTTENS LÄN</t>
        </is>
      </c>
      <c r="E161" t="inlineStr">
        <is>
          <t>SKELLEFTEÅ</t>
        </is>
      </c>
      <c r="G161" t="n">
        <v>5</v>
      </c>
      <c r="H161" t="n">
        <v>1</v>
      </c>
      <c r="I161" t="n">
        <v>0</v>
      </c>
      <c r="J161" t="n">
        <v>0</v>
      </c>
      <c r="K161" t="n">
        <v>1</v>
      </c>
      <c r="L161" t="n">
        <v>0</v>
      </c>
      <c r="M161" t="n">
        <v>0</v>
      </c>
      <c r="N161" t="n">
        <v>0</v>
      </c>
      <c r="O161" t="n">
        <v>1</v>
      </c>
      <c r="P161" t="n">
        <v>1</v>
      </c>
      <c r="Q161" t="n">
        <v>1</v>
      </c>
      <c r="R161" s="2" t="inlineStr">
        <is>
          <t>Knärot</t>
        </is>
      </c>
      <c r="S161">
        <f>HYPERLINK("https://klasma.github.io/Logging_2482/artfynd/A 27358-2023 artfynd.xlsx", "A 27358-2023")</f>
        <v/>
      </c>
      <c r="T161">
        <f>HYPERLINK("https://klasma.github.io/Logging_2482/kartor/A 27358-2023 karta.png", "A 27358-2023")</f>
        <v/>
      </c>
      <c r="U161">
        <f>HYPERLINK("https://klasma.github.io/Logging_2482/knärot/A 27358-2023 karta knärot.png", "A 27358-2023")</f>
        <v/>
      </c>
      <c r="V161">
        <f>HYPERLINK("https://klasma.github.io/Logging_2482/klagomål/A 27358-2023 FSC-klagomål.docx", "A 27358-2023")</f>
        <v/>
      </c>
      <c r="W161">
        <f>HYPERLINK("https://klasma.github.io/Logging_2482/klagomålsmail/A 27358-2023 FSC-klagomål mail.docx", "A 27358-2023")</f>
        <v/>
      </c>
      <c r="X161">
        <f>HYPERLINK("https://klasma.github.io/Logging_2482/tillsyn/A 27358-2023 tillsynsbegäran.docx", "A 27358-2023")</f>
        <v/>
      </c>
      <c r="Y161">
        <f>HYPERLINK("https://klasma.github.io/Logging_2482/tillsynsmail/A 27358-2023 tillsynsbegäran mail.docx", "A 27358-2023")</f>
        <v/>
      </c>
    </row>
    <row r="162" ht="15" customHeight="1">
      <c r="A162" t="inlineStr">
        <is>
          <t>A 28448-2023</t>
        </is>
      </c>
      <c r="B162" s="1" t="n">
        <v>45103</v>
      </c>
      <c r="C162" s="1" t="n">
        <v>45472</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30703-2023</t>
        </is>
      </c>
      <c r="B163" s="1" t="n">
        <v>45112</v>
      </c>
      <c r="C163" s="1" t="n">
        <v>45472</v>
      </c>
      <c r="D163" t="inlineStr">
        <is>
          <t>VÄSTERBOTTENS LÄN</t>
        </is>
      </c>
      <c r="E163" t="inlineStr">
        <is>
          <t>SKELLEFTEÅ</t>
        </is>
      </c>
      <c r="F163" t="inlineStr">
        <is>
          <t>Sveaskog</t>
        </is>
      </c>
      <c r="G163" t="n">
        <v>10.9</v>
      </c>
      <c r="H163" t="n">
        <v>1</v>
      </c>
      <c r="I163" t="n">
        <v>0</v>
      </c>
      <c r="J163" t="n">
        <v>0</v>
      </c>
      <c r="K163" t="n">
        <v>0</v>
      </c>
      <c r="L163" t="n">
        <v>0</v>
      </c>
      <c r="M163" t="n">
        <v>0</v>
      </c>
      <c r="N163" t="n">
        <v>0</v>
      </c>
      <c r="O163" t="n">
        <v>0</v>
      </c>
      <c r="P163" t="n">
        <v>0</v>
      </c>
      <c r="Q163" t="n">
        <v>1</v>
      </c>
      <c r="R163" s="2" t="inlineStr">
        <is>
          <t>Fläcknycklar</t>
        </is>
      </c>
      <c r="S163">
        <f>HYPERLINK("https://klasma.github.io/Logging_2482/artfynd/A 30703-2023 artfynd.xlsx", "A 30703-2023")</f>
        <v/>
      </c>
      <c r="T163">
        <f>HYPERLINK("https://klasma.github.io/Logging_2482/kartor/A 30703-2023 karta.png", "A 30703-2023")</f>
        <v/>
      </c>
      <c r="V163">
        <f>HYPERLINK("https://klasma.github.io/Logging_2482/klagomål/A 30703-2023 FSC-klagomål.docx", "A 30703-2023")</f>
        <v/>
      </c>
      <c r="W163">
        <f>HYPERLINK("https://klasma.github.io/Logging_2482/klagomålsmail/A 30703-2023 FSC-klagomål mail.docx", "A 30703-2023")</f>
        <v/>
      </c>
      <c r="X163">
        <f>HYPERLINK("https://klasma.github.io/Logging_2482/tillsyn/A 30703-2023 tillsynsbegäran.docx", "A 30703-2023")</f>
        <v/>
      </c>
      <c r="Y163">
        <f>HYPERLINK("https://klasma.github.io/Logging_2482/tillsynsmail/A 30703-2023 tillsynsbegäran mail.docx", "A 30703-2023")</f>
        <v/>
      </c>
    </row>
    <row r="164" ht="15" customHeight="1">
      <c r="A164" t="inlineStr">
        <is>
          <t>A 32566-2023</t>
        </is>
      </c>
      <c r="B164" s="1" t="n">
        <v>45121</v>
      </c>
      <c r="C164" s="1" t="n">
        <v>45472</v>
      </c>
      <c r="D164" t="inlineStr">
        <is>
          <t>VÄSTERBOTTENS LÄN</t>
        </is>
      </c>
      <c r="E164" t="inlineStr">
        <is>
          <t>SKELLEFTEÅ</t>
        </is>
      </c>
      <c r="F164" t="inlineStr">
        <is>
          <t>Holmen skog AB</t>
        </is>
      </c>
      <c r="G164" t="n">
        <v>13</v>
      </c>
      <c r="H164" t="n">
        <v>1</v>
      </c>
      <c r="I164" t="n">
        <v>0</v>
      </c>
      <c r="J164" t="n">
        <v>0</v>
      </c>
      <c r="K164" t="n">
        <v>0</v>
      </c>
      <c r="L164" t="n">
        <v>0</v>
      </c>
      <c r="M164" t="n">
        <v>0</v>
      </c>
      <c r="N164" t="n">
        <v>0</v>
      </c>
      <c r="O164" t="n">
        <v>0</v>
      </c>
      <c r="P164" t="n">
        <v>0</v>
      </c>
      <c r="Q164" t="n">
        <v>1</v>
      </c>
      <c r="R164" s="2" t="inlineStr">
        <is>
          <t>Revlummer</t>
        </is>
      </c>
      <c r="S164">
        <f>HYPERLINK("https://klasma.github.io/Logging_2482/artfynd/A 32566-2023 artfynd.xlsx", "A 32566-2023")</f>
        <v/>
      </c>
      <c r="T164">
        <f>HYPERLINK("https://klasma.github.io/Logging_2482/kartor/A 32566-2023 karta.png", "A 32566-2023")</f>
        <v/>
      </c>
      <c r="V164">
        <f>HYPERLINK("https://klasma.github.io/Logging_2482/klagomål/A 32566-2023 FSC-klagomål.docx", "A 32566-2023")</f>
        <v/>
      </c>
      <c r="W164">
        <f>HYPERLINK("https://klasma.github.io/Logging_2482/klagomålsmail/A 32566-2023 FSC-klagomål mail.docx", "A 32566-2023")</f>
        <v/>
      </c>
      <c r="X164">
        <f>HYPERLINK("https://klasma.github.io/Logging_2482/tillsyn/A 32566-2023 tillsynsbegäran.docx", "A 32566-2023")</f>
        <v/>
      </c>
      <c r="Y164">
        <f>HYPERLINK("https://klasma.github.io/Logging_2482/tillsynsmail/A 32566-2023 tillsynsbegäran mail.docx", "A 32566-2023")</f>
        <v/>
      </c>
    </row>
    <row r="165" ht="15" customHeight="1">
      <c r="A165" t="inlineStr">
        <is>
          <t>A 36628-2023</t>
        </is>
      </c>
      <c r="B165" s="1" t="n">
        <v>45153</v>
      </c>
      <c r="C165" s="1" t="n">
        <v>45472</v>
      </c>
      <c r="D165" t="inlineStr">
        <is>
          <t>VÄSTERBOTTENS LÄN</t>
        </is>
      </c>
      <c r="E165" t="inlineStr">
        <is>
          <t>SKELLEFTEÅ</t>
        </is>
      </c>
      <c r="F165" t="inlineStr">
        <is>
          <t>Holmen skog AB</t>
        </is>
      </c>
      <c r="G165" t="n">
        <v>4.6</v>
      </c>
      <c r="H165" t="n">
        <v>0</v>
      </c>
      <c r="I165" t="n">
        <v>0</v>
      </c>
      <c r="J165" t="n">
        <v>1</v>
      </c>
      <c r="K165" t="n">
        <v>0</v>
      </c>
      <c r="L165" t="n">
        <v>0</v>
      </c>
      <c r="M165" t="n">
        <v>0</v>
      </c>
      <c r="N165" t="n">
        <v>0</v>
      </c>
      <c r="O165" t="n">
        <v>1</v>
      </c>
      <c r="P165" t="n">
        <v>0</v>
      </c>
      <c r="Q165" t="n">
        <v>1</v>
      </c>
      <c r="R165" s="2" t="inlineStr">
        <is>
          <t>Gultoppig fingersvamp</t>
        </is>
      </c>
      <c r="S165">
        <f>HYPERLINK("https://klasma.github.io/Logging_2482/artfynd/A 36628-2023 artfynd.xlsx", "A 36628-2023")</f>
        <v/>
      </c>
      <c r="T165">
        <f>HYPERLINK("https://klasma.github.io/Logging_2482/kartor/A 36628-2023 karta.png", "A 36628-2023")</f>
        <v/>
      </c>
      <c r="V165">
        <f>HYPERLINK("https://klasma.github.io/Logging_2482/klagomål/A 36628-2023 FSC-klagomål.docx", "A 36628-2023")</f>
        <v/>
      </c>
      <c r="W165">
        <f>HYPERLINK("https://klasma.github.io/Logging_2482/klagomålsmail/A 36628-2023 FSC-klagomål mail.docx", "A 36628-2023")</f>
        <v/>
      </c>
      <c r="X165">
        <f>HYPERLINK("https://klasma.github.io/Logging_2482/tillsyn/A 36628-2023 tillsynsbegäran.docx", "A 36628-2023")</f>
        <v/>
      </c>
      <c r="Y165">
        <f>HYPERLINK("https://klasma.github.io/Logging_2482/tillsynsmail/A 36628-2023 tillsynsbegäran mail.docx", "A 36628-2023")</f>
        <v/>
      </c>
    </row>
    <row r="166" ht="15" customHeight="1">
      <c r="A166" t="inlineStr">
        <is>
          <t>A 38455-2023</t>
        </is>
      </c>
      <c r="B166" s="1" t="n">
        <v>45162</v>
      </c>
      <c r="C166" s="1" t="n">
        <v>45472</v>
      </c>
      <c r="D166" t="inlineStr">
        <is>
          <t>VÄSTERBOTTENS LÄN</t>
        </is>
      </c>
      <c r="E166" t="inlineStr">
        <is>
          <t>SKELLEFTEÅ</t>
        </is>
      </c>
      <c r="G166" t="n">
        <v>10.4</v>
      </c>
      <c r="H166" t="n">
        <v>0</v>
      </c>
      <c r="I166" t="n">
        <v>1</v>
      </c>
      <c r="J166" t="n">
        <v>0</v>
      </c>
      <c r="K166" t="n">
        <v>0</v>
      </c>
      <c r="L166" t="n">
        <v>0</v>
      </c>
      <c r="M166" t="n">
        <v>0</v>
      </c>
      <c r="N166" t="n">
        <v>0</v>
      </c>
      <c r="O166" t="n">
        <v>0</v>
      </c>
      <c r="P166" t="n">
        <v>0</v>
      </c>
      <c r="Q166" t="n">
        <v>1</v>
      </c>
      <c r="R166" s="2" t="inlineStr">
        <is>
          <t>Bårdlav</t>
        </is>
      </c>
      <c r="S166">
        <f>HYPERLINK("https://klasma.github.io/Logging_2482/artfynd/A 38455-2023 artfynd.xlsx", "A 38455-2023")</f>
        <v/>
      </c>
      <c r="T166">
        <f>HYPERLINK("https://klasma.github.io/Logging_2482/kartor/A 38455-2023 karta.png", "A 38455-2023")</f>
        <v/>
      </c>
      <c r="V166">
        <f>HYPERLINK("https://klasma.github.io/Logging_2482/klagomål/A 38455-2023 FSC-klagomål.docx", "A 38455-2023")</f>
        <v/>
      </c>
      <c r="W166">
        <f>HYPERLINK("https://klasma.github.io/Logging_2482/klagomålsmail/A 38455-2023 FSC-klagomål mail.docx", "A 38455-2023")</f>
        <v/>
      </c>
      <c r="X166">
        <f>HYPERLINK("https://klasma.github.io/Logging_2482/tillsyn/A 38455-2023 tillsynsbegäran.docx", "A 38455-2023")</f>
        <v/>
      </c>
      <c r="Y166">
        <f>HYPERLINK("https://klasma.github.io/Logging_2482/tillsynsmail/A 38455-2023 tillsynsbegäran mail.docx", "A 38455-2023")</f>
        <v/>
      </c>
    </row>
    <row r="167" ht="15" customHeight="1">
      <c r="A167" t="inlineStr">
        <is>
          <t>A 41087-2023</t>
        </is>
      </c>
      <c r="B167" s="1" t="n">
        <v>45173</v>
      </c>
      <c r="C167" s="1" t="n">
        <v>45472</v>
      </c>
      <c r="D167" t="inlineStr">
        <is>
          <t>VÄSTERBOTTENS LÄN</t>
        </is>
      </c>
      <c r="E167" t="inlineStr">
        <is>
          <t>SKELLEFTEÅ</t>
        </is>
      </c>
      <c r="F167" t="inlineStr">
        <is>
          <t>Holmen skog AB</t>
        </is>
      </c>
      <c r="G167" t="n">
        <v>10</v>
      </c>
      <c r="H167" t="n">
        <v>0</v>
      </c>
      <c r="I167" t="n">
        <v>0</v>
      </c>
      <c r="J167" t="n">
        <v>0</v>
      </c>
      <c r="K167" t="n">
        <v>0</v>
      </c>
      <c r="L167" t="n">
        <v>1</v>
      </c>
      <c r="M167" t="n">
        <v>0</v>
      </c>
      <c r="N167" t="n">
        <v>0</v>
      </c>
      <c r="O167" t="n">
        <v>1</v>
      </c>
      <c r="P167" t="n">
        <v>1</v>
      </c>
      <c r="Q167" t="n">
        <v>1</v>
      </c>
      <c r="R167" s="2" t="inlineStr">
        <is>
          <t>Flodpärlmussla</t>
        </is>
      </c>
      <c r="S167">
        <f>HYPERLINK("https://klasma.github.io/Logging_2482/artfynd/A 41087-2023 artfynd.xlsx", "A 41087-2023")</f>
        <v/>
      </c>
      <c r="T167">
        <f>HYPERLINK("https://klasma.github.io/Logging_2482/kartor/A 41087-2023 karta.png", "A 41087-2023")</f>
        <v/>
      </c>
      <c r="V167">
        <f>HYPERLINK("https://klasma.github.io/Logging_2482/klagomål/A 41087-2023 FSC-klagomål.docx", "A 41087-2023")</f>
        <v/>
      </c>
      <c r="W167">
        <f>HYPERLINK("https://klasma.github.io/Logging_2482/klagomålsmail/A 41087-2023 FSC-klagomål mail.docx", "A 41087-2023")</f>
        <v/>
      </c>
      <c r="X167">
        <f>HYPERLINK("https://klasma.github.io/Logging_2482/tillsyn/A 41087-2023 tillsynsbegäran.docx", "A 41087-2023")</f>
        <v/>
      </c>
      <c r="Y167">
        <f>HYPERLINK("https://klasma.github.io/Logging_2482/tillsynsmail/A 41087-2023 tillsynsbegäran mail.docx", "A 41087-2023")</f>
        <v/>
      </c>
    </row>
    <row r="168" ht="15" customHeight="1">
      <c r="A168" t="inlineStr">
        <is>
          <t>A 41055-2023</t>
        </is>
      </c>
      <c r="B168" s="1" t="n">
        <v>45173</v>
      </c>
      <c r="C168" s="1" t="n">
        <v>45472</v>
      </c>
      <c r="D168" t="inlineStr">
        <is>
          <t>VÄSTERBOTTENS LÄN</t>
        </is>
      </c>
      <c r="E168" t="inlineStr">
        <is>
          <t>SKELLEFTEÅ</t>
        </is>
      </c>
      <c r="F168" t="inlineStr">
        <is>
          <t>Holmen skog AB</t>
        </is>
      </c>
      <c r="G168" t="n">
        <v>4.4</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41055-2023 artfynd.xlsx", "A 41055-2023")</f>
        <v/>
      </c>
      <c r="T168">
        <f>HYPERLINK("https://klasma.github.io/Logging_2482/kartor/A 41055-2023 karta.png", "A 41055-2023")</f>
        <v/>
      </c>
      <c r="V168">
        <f>HYPERLINK("https://klasma.github.io/Logging_2482/klagomål/A 41055-2023 FSC-klagomål.docx", "A 41055-2023")</f>
        <v/>
      </c>
      <c r="W168">
        <f>HYPERLINK("https://klasma.github.io/Logging_2482/klagomålsmail/A 41055-2023 FSC-klagomål mail.docx", "A 41055-2023")</f>
        <v/>
      </c>
      <c r="X168">
        <f>HYPERLINK("https://klasma.github.io/Logging_2482/tillsyn/A 41055-2023 tillsynsbegäran.docx", "A 41055-2023")</f>
        <v/>
      </c>
      <c r="Y168">
        <f>HYPERLINK("https://klasma.github.io/Logging_2482/tillsynsmail/A 41055-2023 tillsynsbegäran mail.docx", "A 41055-2023")</f>
        <v/>
      </c>
    </row>
    <row r="169" ht="15" customHeight="1">
      <c r="A169" t="inlineStr">
        <is>
          <t>A 47056-2023</t>
        </is>
      </c>
      <c r="B169" s="1" t="n">
        <v>45201</v>
      </c>
      <c r="C169" s="1" t="n">
        <v>45472</v>
      </c>
      <c r="D169" t="inlineStr">
        <is>
          <t>VÄSTERBOTTENS LÄN</t>
        </is>
      </c>
      <c r="E169" t="inlineStr">
        <is>
          <t>SKELLEFTEÅ</t>
        </is>
      </c>
      <c r="F169" t="inlineStr">
        <is>
          <t>Sveaskog</t>
        </is>
      </c>
      <c r="G169" t="n">
        <v>10.6</v>
      </c>
      <c r="H169" t="n">
        <v>0</v>
      </c>
      <c r="I169" t="n">
        <v>0</v>
      </c>
      <c r="J169" t="n">
        <v>1</v>
      </c>
      <c r="K169" t="n">
        <v>0</v>
      </c>
      <c r="L169" t="n">
        <v>0</v>
      </c>
      <c r="M169" t="n">
        <v>0</v>
      </c>
      <c r="N169" t="n">
        <v>0</v>
      </c>
      <c r="O169" t="n">
        <v>1</v>
      </c>
      <c r="P169" t="n">
        <v>0</v>
      </c>
      <c r="Q169" t="n">
        <v>1</v>
      </c>
      <c r="R169" s="2" t="inlineStr">
        <is>
          <t>Ullticka</t>
        </is>
      </c>
      <c r="S169">
        <f>HYPERLINK("https://klasma.github.io/Logging_2482/artfynd/A 47056-2023 artfynd.xlsx", "A 47056-2023")</f>
        <v/>
      </c>
      <c r="T169">
        <f>HYPERLINK("https://klasma.github.io/Logging_2482/kartor/A 47056-2023 karta.png", "A 47056-2023")</f>
        <v/>
      </c>
      <c r="V169">
        <f>HYPERLINK("https://klasma.github.io/Logging_2482/klagomål/A 47056-2023 FSC-klagomål.docx", "A 47056-2023")</f>
        <v/>
      </c>
      <c r="W169">
        <f>HYPERLINK("https://klasma.github.io/Logging_2482/klagomålsmail/A 47056-2023 FSC-klagomål mail.docx", "A 47056-2023")</f>
        <v/>
      </c>
      <c r="X169">
        <f>HYPERLINK("https://klasma.github.io/Logging_2482/tillsyn/A 47056-2023 tillsynsbegäran.docx", "A 47056-2023")</f>
        <v/>
      </c>
      <c r="Y169">
        <f>HYPERLINK("https://klasma.github.io/Logging_2482/tillsynsmail/A 47056-2023 tillsynsbegäran mail.docx", "A 47056-2023")</f>
        <v/>
      </c>
    </row>
    <row r="170" ht="15" customHeight="1">
      <c r="A170" t="inlineStr">
        <is>
          <t>A 49322-2023</t>
        </is>
      </c>
      <c r="B170" s="1" t="n">
        <v>45211</v>
      </c>
      <c r="C170" s="1" t="n">
        <v>45472</v>
      </c>
      <c r="D170" t="inlineStr">
        <is>
          <t>VÄSTERBOTTENS LÄN</t>
        </is>
      </c>
      <c r="E170" t="inlineStr">
        <is>
          <t>SKELLEFTEÅ</t>
        </is>
      </c>
      <c r="G170" t="n">
        <v>24.9</v>
      </c>
      <c r="H170" t="n">
        <v>1</v>
      </c>
      <c r="I170" t="n">
        <v>0</v>
      </c>
      <c r="J170" t="n">
        <v>1</v>
      </c>
      <c r="K170" t="n">
        <v>0</v>
      </c>
      <c r="L170" t="n">
        <v>0</v>
      </c>
      <c r="M170" t="n">
        <v>0</v>
      </c>
      <c r="N170" t="n">
        <v>0</v>
      </c>
      <c r="O170" t="n">
        <v>1</v>
      </c>
      <c r="P170" t="n">
        <v>0</v>
      </c>
      <c r="Q170" t="n">
        <v>1</v>
      </c>
      <c r="R170" s="2" t="inlineStr">
        <is>
          <t>Spillkråka</t>
        </is>
      </c>
      <c r="S170">
        <f>HYPERLINK("https://klasma.github.io/Logging_2482/artfynd/A 49322-2023 artfynd.xlsx", "A 49322-2023")</f>
        <v/>
      </c>
      <c r="T170">
        <f>HYPERLINK("https://klasma.github.io/Logging_2482/kartor/A 49322-2023 karta.png", "A 49322-2023")</f>
        <v/>
      </c>
      <c r="U170">
        <f>HYPERLINK("https://klasma.github.io/Logging_2482/knärot/A 49322-2023 karta knärot.png", "A 49322-2023")</f>
        <v/>
      </c>
      <c r="V170">
        <f>HYPERLINK("https://klasma.github.io/Logging_2482/klagomål/A 49322-2023 FSC-klagomål.docx", "A 49322-2023")</f>
        <v/>
      </c>
      <c r="W170">
        <f>HYPERLINK("https://klasma.github.io/Logging_2482/klagomålsmail/A 49322-2023 FSC-klagomål mail.docx", "A 49322-2023")</f>
        <v/>
      </c>
      <c r="X170">
        <f>HYPERLINK("https://klasma.github.io/Logging_2482/tillsyn/A 49322-2023 tillsynsbegäran.docx", "A 49322-2023")</f>
        <v/>
      </c>
      <c r="Y170">
        <f>HYPERLINK("https://klasma.github.io/Logging_2482/tillsynsmail/A 49322-2023 tillsynsbegäran mail.docx", "A 49322-2023")</f>
        <v/>
      </c>
      <c r="Z170">
        <f>HYPERLINK("https://klasma.github.io/Logging_2482/fåglar/A 49322-2023 prioriterade fågelarter.docx", "A 49322-2023")</f>
        <v/>
      </c>
    </row>
    <row r="171" ht="15" customHeight="1">
      <c r="A171" t="inlineStr">
        <is>
          <t>A 52484-2023</t>
        </is>
      </c>
      <c r="B171" s="1" t="n">
        <v>45225</v>
      </c>
      <c r="C171" s="1" t="n">
        <v>45472</v>
      </c>
      <c r="D171" t="inlineStr">
        <is>
          <t>VÄSTERBOTTENS LÄN</t>
        </is>
      </c>
      <c r="E171" t="inlineStr">
        <is>
          <t>SKELLEFTEÅ</t>
        </is>
      </c>
      <c r="G171" t="n">
        <v>2.4</v>
      </c>
      <c r="H171" t="n">
        <v>1</v>
      </c>
      <c r="I171" t="n">
        <v>0</v>
      </c>
      <c r="J171" t="n">
        <v>1</v>
      </c>
      <c r="K171" t="n">
        <v>0</v>
      </c>
      <c r="L171" t="n">
        <v>0</v>
      </c>
      <c r="M171" t="n">
        <v>0</v>
      </c>
      <c r="N171" t="n">
        <v>0</v>
      </c>
      <c r="O171" t="n">
        <v>1</v>
      </c>
      <c r="P171" t="n">
        <v>0</v>
      </c>
      <c r="Q171" t="n">
        <v>1</v>
      </c>
      <c r="R171" s="2" t="inlineStr">
        <is>
          <t>Pilgrimsfalk</t>
        </is>
      </c>
      <c r="S171">
        <f>HYPERLINK("https://klasma.github.io/Logging_2482/artfynd/A 52484-2023 artfynd.xlsx", "A 52484-2023")</f>
        <v/>
      </c>
      <c r="T171">
        <f>HYPERLINK("https://klasma.github.io/Logging_2482/kartor/A 52484-2023 karta.png", "A 52484-2023")</f>
        <v/>
      </c>
      <c r="V171">
        <f>HYPERLINK("https://klasma.github.io/Logging_2482/klagomål/A 52484-2023 FSC-klagomål.docx", "A 52484-2023")</f>
        <v/>
      </c>
      <c r="W171">
        <f>HYPERLINK("https://klasma.github.io/Logging_2482/klagomålsmail/A 52484-2023 FSC-klagomål mail.docx", "A 52484-2023")</f>
        <v/>
      </c>
      <c r="X171">
        <f>HYPERLINK("https://klasma.github.io/Logging_2482/tillsyn/A 52484-2023 tillsynsbegäran.docx", "A 52484-2023")</f>
        <v/>
      </c>
      <c r="Y171">
        <f>HYPERLINK("https://klasma.github.io/Logging_2482/tillsynsmail/A 52484-2023 tillsynsbegäran mail.docx", "A 52484-2023")</f>
        <v/>
      </c>
      <c r="Z171">
        <f>HYPERLINK("https://klasma.github.io/Logging_2482/fåglar/A 52484-2023 prioriterade fågelarter.docx", "A 52484-2023")</f>
        <v/>
      </c>
    </row>
    <row r="172" ht="15" customHeight="1">
      <c r="A172" t="inlineStr">
        <is>
          <t>A 54488-2023</t>
        </is>
      </c>
      <c r="B172" s="1" t="n">
        <v>45226</v>
      </c>
      <c r="C172" s="1" t="n">
        <v>45472</v>
      </c>
      <c r="D172" t="inlineStr">
        <is>
          <t>VÄSTERBOTTENS LÄN</t>
        </is>
      </c>
      <c r="E172" t="inlineStr">
        <is>
          <t>SKELLEFTEÅ</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HYPERLINK("https://klasma.github.io/Logging_2482/artfynd/A 54488-2023 artfynd.xlsx", "A 54488-2023")</f>
        <v/>
      </c>
      <c r="T172">
        <f>HYPERLINK("https://klasma.github.io/Logging_2482/kartor/A 54488-2023 karta.png", "A 54488-2023")</f>
        <v/>
      </c>
      <c r="V172">
        <f>HYPERLINK("https://klasma.github.io/Logging_2482/klagomål/A 54488-2023 FSC-klagomål.docx", "A 54488-2023")</f>
        <v/>
      </c>
      <c r="W172">
        <f>HYPERLINK("https://klasma.github.io/Logging_2482/klagomålsmail/A 54488-2023 FSC-klagomål mail.docx", "A 54488-2023")</f>
        <v/>
      </c>
      <c r="X172">
        <f>HYPERLINK("https://klasma.github.io/Logging_2482/tillsyn/A 54488-2023 tillsynsbegäran.docx", "A 54488-2023")</f>
        <v/>
      </c>
      <c r="Y172">
        <f>HYPERLINK("https://klasma.github.io/Logging_2482/tillsynsmail/A 54488-2023 tillsynsbegäran mail.docx", "A 54488-2023")</f>
        <v/>
      </c>
    </row>
    <row r="173" ht="15" customHeight="1">
      <c r="A173" t="inlineStr">
        <is>
          <t>A 55839-2023</t>
        </is>
      </c>
      <c r="B173" s="1" t="n">
        <v>45239</v>
      </c>
      <c r="C173" s="1" t="n">
        <v>45472</v>
      </c>
      <c r="D173" t="inlineStr">
        <is>
          <t>VÄSTERBOTTENS LÄN</t>
        </is>
      </c>
      <c r="E173" t="inlineStr">
        <is>
          <t>SKELLEFTEÅ</t>
        </is>
      </c>
      <c r="F173" t="inlineStr">
        <is>
          <t>Kommuner</t>
        </is>
      </c>
      <c r="G173" t="n">
        <v>0.8</v>
      </c>
      <c r="H173" t="n">
        <v>1</v>
      </c>
      <c r="I173" t="n">
        <v>1</v>
      </c>
      <c r="J173" t="n">
        <v>0</v>
      </c>
      <c r="K173" t="n">
        <v>0</v>
      </c>
      <c r="L173" t="n">
        <v>0</v>
      </c>
      <c r="M173" t="n">
        <v>0</v>
      </c>
      <c r="N173" t="n">
        <v>0</v>
      </c>
      <c r="O173" t="n">
        <v>0</v>
      </c>
      <c r="P173" t="n">
        <v>0</v>
      </c>
      <c r="Q173" t="n">
        <v>1</v>
      </c>
      <c r="R173" s="2" t="inlineStr">
        <is>
          <t>Plattlummer</t>
        </is>
      </c>
      <c r="S173">
        <f>HYPERLINK("https://klasma.github.io/Logging_2482/artfynd/A 55839-2023 artfynd.xlsx", "A 55839-2023")</f>
        <v/>
      </c>
      <c r="T173">
        <f>HYPERLINK("https://klasma.github.io/Logging_2482/kartor/A 55839-2023 karta.png", "A 55839-2023")</f>
        <v/>
      </c>
      <c r="V173">
        <f>HYPERLINK("https://klasma.github.io/Logging_2482/klagomål/A 55839-2023 FSC-klagomål.docx", "A 55839-2023")</f>
        <v/>
      </c>
      <c r="W173">
        <f>HYPERLINK("https://klasma.github.io/Logging_2482/klagomålsmail/A 55839-2023 FSC-klagomål mail.docx", "A 55839-2023")</f>
        <v/>
      </c>
      <c r="X173">
        <f>HYPERLINK("https://klasma.github.io/Logging_2482/tillsyn/A 55839-2023 tillsynsbegäran.docx", "A 55839-2023")</f>
        <v/>
      </c>
      <c r="Y173">
        <f>HYPERLINK("https://klasma.github.io/Logging_2482/tillsynsmail/A 55839-2023 tillsynsbegäran mail.docx", "A 55839-2023")</f>
        <v/>
      </c>
    </row>
    <row r="174" ht="15" customHeight="1">
      <c r="A174" t="inlineStr">
        <is>
          <t>A 65012-2023</t>
        </is>
      </c>
      <c r="B174" s="1" t="n">
        <v>45287</v>
      </c>
      <c r="C174" s="1" t="n">
        <v>45472</v>
      </c>
      <c r="D174" t="inlineStr">
        <is>
          <t>VÄSTERBOTTENS LÄN</t>
        </is>
      </c>
      <c r="E174" t="inlineStr">
        <is>
          <t>SKELLEFTEÅ</t>
        </is>
      </c>
      <c r="G174" t="n">
        <v>2.2</v>
      </c>
      <c r="H174" t="n">
        <v>1</v>
      </c>
      <c r="I174" t="n">
        <v>0</v>
      </c>
      <c r="J174" t="n">
        <v>1</v>
      </c>
      <c r="K174" t="n">
        <v>0</v>
      </c>
      <c r="L174" t="n">
        <v>0</v>
      </c>
      <c r="M174" t="n">
        <v>0</v>
      </c>
      <c r="N174" t="n">
        <v>0</v>
      </c>
      <c r="O174" t="n">
        <v>1</v>
      </c>
      <c r="P174" t="n">
        <v>0</v>
      </c>
      <c r="Q174" t="n">
        <v>1</v>
      </c>
      <c r="R174" s="2" t="inlineStr">
        <is>
          <t>Tretåig hackspett</t>
        </is>
      </c>
      <c r="S174">
        <f>HYPERLINK("https://klasma.github.io/Logging_2482/artfynd/A 65012-2023 artfynd.xlsx", "A 65012-2023")</f>
        <v/>
      </c>
      <c r="T174">
        <f>HYPERLINK("https://klasma.github.io/Logging_2482/kartor/A 65012-2023 karta.png", "A 65012-2023")</f>
        <v/>
      </c>
      <c r="V174">
        <f>HYPERLINK("https://klasma.github.io/Logging_2482/klagomål/A 65012-2023 FSC-klagomål.docx", "A 65012-2023")</f>
        <v/>
      </c>
      <c r="W174">
        <f>HYPERLINK("https://klasma.github.io/Logging_2482/klagomålsmail/A 65012-2023 FSC-klagomål mail.docx", "A 65012-2023")</f>
        <v/>
      </c>
      <c r="X174">
        <f>HYPERLINK("https://klasma.github.io/Logging_2482/tillsyn/A 65012-2023 tillsynsbegäran.docx", "A 65012-2023")</f>
        <v/>
      </c>
      <c r="Y174">
        <f>HYPERLINK("https://klasma.github.io/Logging_2482/tillsynsmail/A 65012-2023 tillsynsbegäran mail.docx", "A 65012-2023")</f>
        <v/>
      </c>
      <c r="Z174">
        <f>HYPERLINK("https://klasma.github.io/Logging_2482/fåglar/A 65012-2023 prioriterade fågelarter.docx", "A 65012-2023")</f>
        <v/>
      </c>
    </row>
    <row r="175" ht="15" customHeight="1">
      <c r="A175" t="inlineStr">
        <is>
          <t>A 488-2024</t>
        </is>
      </c>
      <c r="B175" s="1" t="n">
        <v>45298</v>
      </c>
      <c r="C175" s="1" t="n">
        <v>45472</v>
      </c>
      <c r="D175" t="inlineStr">
        <is>
          <t>VÄSTERBOTTENS LÄN</t>
        </is>
      </c>
      <c r="E175" t="inlineStr">
        <is>
          <t>SKELLEFTEÅ</t>
        </is>
      </c>
      <c r="G175" t="n">
        <v>3.6</v>
      </c>
      <c r="H175" t="n">
        <v>1</v>
      </c>
      <c r="I175" t="n">
        <v>0</v>
      </c>
      <c r="J175" t="n">
        <v>1</v>
      </c>
      <c r="K175" t="n">
        <v>0</v>
      </c>
      <c r="L175" t="n">
        <v>0</v>
      </c>
      <c r="M175" t="n">
        <v>0</v>
      </c>
      <c r="N175" t="n">
        <v>0</v>
      </c>
      <c r="O175" t="n">
        <v>1</v>
      </c>
      <c r="P175" t="n">
        <v>0</v>
      </c>
      <c r="Q175" t="n">
        <v>1</v>
      </c>
      <c r="R175" s="2" t="inlineStr">
        <is>
          <t>Spillkråka</t>
        </is>
      </c>
      <c r="S175">
        <f>HYPERLINK("https://klasma.github.io/Logging_2482/artfynd/A 488-2024 artfynd.xlsx", "A 488-2024")</f>
        <v/>
      </c>
      <c r="T175">
        <f>HYPERLINK("https://klasma.github.io/Logging_2482/kartor/A 488-2024 karta.png", "A 488-2024")</f>
        <v/>
      </c>
      <c r="V175">
        <f>HYPERLINK("https://klasma.github.io/Logging_2482/klagomål/A 488-2024 FSC-klagomål.docx", "A 488-2024")</f>
        <v/>
      </c>
      <c r="W175">
        <f>HYPERLINK("https://klasma.github.io/Logging_2482/klagomålsmail/A 488-2024 FSC-klagomål mail.docx", "A 488-2024")</f>
        <v/>
      </c>
      <c r="X175">
        <f>HYPERLINK("https://klasma.github.io/Logging_2482/tillsyn/A 488-2024 tillsynsbegäran.docx", "A 488-2024")</f>
        <v/>
      </c>
      <c r="Y175">
        <f>HYPERLINK("https://klasma.github.io/Logging_2482/tillsynsmail/A 488-2024 tillsynsbegäran mail.docx", "A 488-2024")</f>
        <v/>
      </c>
      <c r="Z175">
        <f>HYPERLINK("https://klasma.github.io/Logging_2482/fåglar/A 488-2024 prioriterade fågelarter.docx", "A 488-2024")</f>
        <v/>
      </c>
    </row>
    <row r="176" ht="15" customHeight="1">
      <c r="A176" t="inlineStr">
        <is>
          <t>A 2056-2024</t>
        </is>
      </c>
      <c r="B176" s="1" t="n">
        <v>45308</v>
      </c>
      <c r="C176" s="1" t="n">
        <v>45472</v>
      </c>
      <c r="D176" t="inlineStr">
        <is>
          <t>VÄSTERBOTTENS LÄN</t>
        </is>
      </c>
      <c r="E176" t="inlineStr">
        <is>
          <t>SKELLEFTEÅ</t>
        </is>
      </c>
      <c r="G176" t="n">
        <v>1.6</v>
      </c>
      <c r="H176" t="n">
        <v>1</v>
      </c>
      <c r="I176" t="n">
        <v>0</v>
      </c>
      <c r="J176" t="n">
        <v>1</v>
      </c>
      <c r="K176" t="n">
        <v>0</v>
      </c>
      <c r="L176" t="n">
        <v>0</v>
      </c>
      <c r="M176" t="n">
        <v>0</v>
      </c>
      <c r="N176" t="n">
        <v>0</v>
      </c>
      <c r="O176" t="n">
        <v>1</v>
      </c>
      <c r="P176" t="n">
        <v>0</v>
      </c>
      <c r="Q176" t="n">
        <v>1</v>
      </c>
      <c r="R176" s="2" t="inlineStr">
        <is>
          <t>Järpe</t>
        </is>
      </c>
      <c r="S176">
        <f>HYPERLINK("https://klasma.github.io/Logging_2482/artfynd/A 2056-2024 artfynd.xlsx", "A 2056-2024")</f>
        <v/>
      </c>
      <c r="T176">
        <f>HYPERLINK("https://klasma.github.io/Logging_2482/kartor/A 2056-2024 karta.png", "A 2056-2024")</f>
        <v/>
      </c>
      <c r="V176">
        <f>HYPERLINK("https://klasma.github.io/Logging_2482/klagomål/A 2056-2024 FSC-klagomål.docx", "A 2056-2024")</f>
        <v/>
      </c>
      <c r="W176">
        <f>HYPERLINK("https://klasma.github.io/Logging_2482/klagomålsmail/A 2056-2024 FSC-klagomål mail.docx", "A 2056-2024")</f>
        <v/>
      </c>
      <c r="X176">
        <f>HYPERLINK("https://klasma.github.io/Logging_2482/tillsyn/A 2056-2024 tillsynsbegäran.docx", "A 2056-2024")</f>
        <v/>
      </c>
      <c r="Y176">
        <f>HYPERLINK("https://klasma.github.io/Logging_2482/tillsynsmail/A 2056-2024 tillsynsbegäran mail.docx", "A 2056-2024")</f>
        <v/>
      </c>
      <c r="Z176">
        <f>HYPERLINK("https://klasma.github.io/Logging_2482/fåglar/A 2056-2024 prioriterade fågelarter.docx", "A 2056-2024")</f>
        <v/>
      </c>
    </row>
    <row r="177" ht="15" customHeight="1">
      <c r="A177" t="inlineStr">
        <is>
          <t>A 3939-2024</t>
        </is>
      </c>
      <c r="B177" s="1" t="n">
        <v>45322</v>
      </c>
      <c r="C177" s="1" t="n">
        <v>45472</v>
      </c>
      <c r="D177" t="inlineStr">
        <is>
          <t>VÄSTERBOTTENS LÄN</t>
        </is>
      </c>
      <c r="E177" t="inlineStr">
        <is>
          <t>SKELLEFTEÅ</t>
        </is>
      </c>
      <c r="G177" t="n">
        <v>1.9</v>
      </c>
      <c r="H177" t="n">
        <v>0</v>
      </c>
      <c r="I177" t="n">
        <v>1</v>
      </c>
      <c r="J177" t="n">
        <v>0</v>
      </c>
      <c r="K177" t="n">
        <v>0</v>
      </c>
      <c r="L177" t="n">
        <v>0</v>
      </c>
      <c r="M177" t="n">
        <v>0</v>
      </c>
      <c r="N177" t="n">
        <v>0</v>
      </c>
      <c r="O177" t="n">
        <v>0</v>
      </c>
      <c r="P177" t="n">
        <v>0</v>
      </c>
      <c r="Q177" t="n">
        <v>1</v>
      </c>
      <c r="R177" s="2" t="inlineStr">
        <is>
          <t>Ögonpyrola</t>
        </is>
      </c>
      <c r="S177">
        <f>HYPERLINK("https://klasma.github.io/Logging_2482/artfynd/A 3939-2024 artfynd.xlsx", "A 3939-2024")</f>
        <v/>
      </c>
      <c r="T177">
        <f>HYPERLINK("https://klasma.github.io/Logging_2482/kartor/A 3939-2024 karta.png", "A 3939-2024")</f>
        <v/>
      </c>
      <c r="V177">
        <f>HYPERLINK("https://klasma.github.io/Logging_2482/klagomål/A 3939-2024 FSC-klagomål.docx", "A 3939-2024")</f>
        <v/>
      </c>
      <c r="W177">
        <f>HYPERLINK("https://klasma.github.io/Logging_2482/klagomålsmail/A 3939-2024 FSC-klagomål mail.docx", "A 3939-2024")</f>
        <v/>
      </c>
      <c r="X177">
        <f>HYPERLINK("https://klasma.github.io/Logging_2482/tillsyn/A 3939-2024 tillsynsbegäran.docx", "A 3939-2024")</f>
        <v/>
      </c>
      <c r="Y177">
        <f>HYPERLINK("https://klasma.github.io/Logging_2482/tillsynsmail/A 3939-2024 tillsynsbegäran mail.docx", "A 3939-2024")</f>
        <v/>
      </c>
    </row>
    <row r="178" ht="15" customHeight="1">
      <c r="A178" t="inlineStr">
        <is>
          <t>A 11533-2024</t>
        </is>
      </c>
      <c r="B178" s="1" t="n">
        <v>45372</v>
      </c>
      <c r="C178" s="1" t="n">
        <v>45472</v>
      </c>
      <c r="D178" t="inlineStr">
        <is>
          <t>VÄSTERBOTTENS LÄN</t>
        </is>
      </c>
      <c r="E178" t="inlineStr">
        <is>
          <t>SKELLEFTEÅ</t>
        </is>
      </c>
      <c r="G178" t="n">
        <v>7.6</v>
      </c>
      <c r="H178" t="n">
        <v>0</v>
      </c>
      <c r="I178" t="n">
        <v>0</v>
      </c>
      <c r="J178" t="n">
        <v>1</v>
      </c>
      <c r="K178" t="n">
        <v>0</v>
      </c>
      <c r="L178" t="n">
        <v>0</v>
      </c>
      <c r="M178" t="n">
        <v>0</v>
      </c>
      <c r="N178" t="n">
        <v>0</v>
      </c>
      <c r="O178" t="n">
        <v>1</v>
      </c>
      <c r="P178" t="n">
        <v>0</v>
      </c>
      <c r="Q178" t="n">
        <v>1</v>
      </c>
      <c r="R178" s="2" t="inlineStr">
        <is>
          <t>Garnlav</t>
        </is>
      </c>
      <c r="S178">
        <f>HYPERLINK("https://klasma.github.io/Logging_2482/artfynd/A 11533-2024 artfynd.xlsx", "A 11533-2024")</f>
        <v/>
      </c>
      <c r="T178">
        <f>HYPERLINK("https://klasma.github.io/Logging_2482/kartor/A 11533-2024 karta.png", "A 11533-2024")</f>
        <v/>
      </c>
      <c r="V178">
        <f>HYPERLINK("https://klasma.github.io/Logging_2482/klagomål/A 11533-2024 FSC-klagomål.docx", "A 11533-2024")</f>
        <v/>
      </c>
      <c r="W178">
        <f>HYPERLINK("https://klasma.github.io/Logging_2482/klagomålsmail/A 11533-2024 FSC-klagomål mail.docx", "A 11533-2024")</f>
        <v/>
      </c>
      <c r="X178">
        <f>HYPERLINK("https://klasma.github.io/Logging_2482/tillsyn/A 11533-2024 tillsynsbegäran.docx", "A 11533-2024")</f>
        <v/>
      </c>
      <c r="Y178">
        <f>HYPERLINK("https://klasma.github.io/Logging_2482/tillsynsmail/A 11533-2024 tillsynsbegäran mail.docx", "A 11533-2024")</f>
        <v/>
      </c>
    </row>
    <row r="179" ht="15" customHeight="1">
      <c r="A179" t="inlineStr">
        <is>
          <t>A 14439-2024</t>
        </is>
      </c>
      <c r="B179" s="1" t="n">
        <v>45394</v>
      </c>
      <c r="C179" s="1" t="n">
        <v>45472</v>
      </c>
      <c r="D179" t="inlineStr">
        <is>
          <t>VÄSTERBOTTENS LÄN</t>
        </is>
      </c>
      <c r="E179" t="inlineStr">
        <is>
          <t>SKELLEFTEÅ</t>
        </is>
      </c>
      <c r="G179" t="n">
        <v>9.199999999999999</v>
      </c>
      <c r="H179" t="n">
        <v>0</v>
      </c>
      <c r="I179" t="n">
        <v>0</v>
      </c>
      <c r="J179" t="n">
        <v>1</v>
      </c>
      <c r="K179" t="n">
        <v>0</v>
      </c>
      <c r="L179" t="n">
        <v>0</v>
      </c>
      <c r="M179" t="n">
        <v>0</v>
      </c>
      <c r="N179" t="n">
        <v>0</v>
      </c>
      <c r="O179" t="n">
        <v>1</v>
      </c>
      <c r="P179" t="n">
        <v>0</v>
      </c>
      <c r="Q179" t="n">
        <v>1</v>
      </c>
      <c r="R179" s="2" t="inlineStr">
        <is>
          <t>Garnlav</t>
        </is>
      </c>
      <c r="S179">
        <f>HYPERLINK("https://klasma.github.io/Logging_2482/artfynd/A 14439-2024 artfynd.xlsx", "A 14439-2024")</f>
        <v/>
      </c>
      <c r="T179">
        <f>HYPERLINK("https://klasma.github.io/Logging_2482/kartor/A 14439-2024 karta.png", "A 14439-2024")</f>
        <v/>
      </c>
      <c r="V179">
        <f>HYPERLINK("https://klasma.github.io/Logging_2482/klagomål/A 14439-2024 FSC-klagomål.docx", "A 14439-2024")</f>
        <v/>
      </c>
      <c r="W179">
        <f>HYPERLINK("https://klasma.github.io/Logging_2482/klagomålsmail/A 14439-2024 FSC-klagomål mail.docx", "A 14439-2024")</f>
        <v/>
      </c>
      <c r="X179">
        <f>HYPERLINK("https://klasma.github.io/Logging_2482/tillsyn/A 14439-2024 tillsynsbegäran.docx", "A 14439-2024")</f>
        <v/>
      </c>
      <c r="Y179">
        <f>HYPERLINK("https://klasma.github.io/Logging_2482/tillsynsmail/A 14439-2024 tillsynsbegäran mail.docx", "A 14439-2024")</f>
        <v/>
      </c>
    </row>
    <row r="180" ht="15" customHeight="1">
      <c r="A180" t="inlineStr">
        <is>
          <t>A 14641-2024</t>
        </is>
      </c>
      <c r="B180" s="1" t="n">
        <v>45397</v>
      </c>
      <c r="C180" s="1" t="n">
        <v>45472</v>
      </c>
      <c r="D180" t="inlineStr">
        <is>
          <t>VÄSTERBOTTENS LÄN</t>
        </is>
      </c>
      <c r="E180" t="inlineStr">
        <is>
          <t>SKELLEFTEÅ</t>
        </is>
      </c>
      <c r="G180" t="n">
        <v>0.5</v>
      </c>
      <c r="H180" t="n">
        <v>1</v>
      </c>
      <c r="I180" t="n">
        <v>0</v>
      </c>
      <c r="J180" t="n">
        <v>0</v>
      </c>
      <c r="K180" t="n">
        <v>1</v>
      </c>
      <c r="L180" t="n">
        <v>0</v>
      </c>
      <c r="M180" t="n">
        <v>0</v>
      </c>
      <c r="N180" t="n">
        <v>0</v>
      </c>
      <c r="O180" t="n">
        <v>1</v>
      </c>
      <c r="P180" t="n">
        <v>1</v>
      </c>
      <c r="Q180" t="n">
        <v>1</v>
      </c>
      <c r="R180" s="2" t="inlineStr">
        <is>
          <t>Knärot</t>
        </is>
      </c>
      <c r="S180">
        <f>HYPERLINK("https://klasma.github.io/Logging_2482/artfynd/A 14641-2024 artfynd.xlsx", "A 14641-2024")</f>
        <v/>
      </c>
      <c r="T180">
        <f>HYPERLINK("https://klasma.github.io/Logging_2482/kartor/A 14641-2024 karta.png", "A 14641-2024")</f>
        <v/>
      </c>
      <c r="U180">
        <f>HYPERLINK("https://klasma.github.io/Logging_2482/knärot/A 14641-2024 karta knärot.png", "A 14641-2024")</f>
        <v/>
      </c>
      <c r="V180">
        <f>HYPERLINK("https://klasma.github.io/Logging_2482/klagomål/A 14641-2024 FSC-klagomål.docx", "A 14641-2024")</f>
        <v/>
      </c>
      <c r="W180">
        <f>HYPERLINK("https://klasma.github.io/Logging_2482/klagomålsmail/A 14641-2024 FSC-klagomål mail.docx", "A 14641-2024")</f>
        <v/>
      </c>
      <c r="X180">
        <f>HYPERLINK("https://klasma.github.io/Logging_2482/tillsyn/A 14641-2024 tillsynsbegäran.docx", "A 14641-2024")</f>
        <v/>
      </c>
      <c r="Y180">
        <f>HYPERLINK("https://klasma.github.io/Logging_2482/tillsynsmail/A 14641-2024 tillsynsbegäran mail.docx", "A 14641-2024")</f>
        <v/>
      </c>
    </row>
    <row r="181" ht="15" customHeight="1">
      <c r="A181" t="inlineStr">
        <is>
          <t>A 15134-2024</t>
        </is>
      </c>
      <c r="B181" s="1" t="n">
        <v>45399</v>
      </c>
      <c r="C181" s="1" t="n">
        <v>45472</v>
      </c>
      <c r="D181" t="inlineStr">
        <is>
          <t>VÄSTERBOTTENS LÄN</t>
        </is>
      </c>
      <c r="E181" t="inlineStr">
        <is>
          <t>SKELLEFTEÅ</t>
        </is>
      </c>
      <c r="G181" t="n">
        <v>11.1</v>
      </c>
      <c r="H181" t="n">
        <v>0</v>
      </c>
      <c r="I181" t="n">
        <v>0</v>
      </c>
      <c r="J181" t="n">
        <v>1</v>
      </c>
      <c r="K181" t="n">
        <v>0</v>
      </c>
      <c r="L181" t="n">
        <v>0</v>
      </c>
      <c r="M181" t="n">
        <v>0</v>
      </c>
      <c r="N181" t="n">
        <v>0</v>
      </c>
      <c r="O181" t="n">
        <v>1</v>
      </c>
      <c r="P181" t="n">
        <v>0</v>
      </c>
      <c r="Q181" t="n">
        <v>1</v>
      </c>
      <c r="R181" s="2" t="inlineStr">
        <is>
          <t>Granticka</t>
        </is>
      </c>
      <c r="S181">
        <f>HYPERLINK("https://klasma.github.io/Logging_2482/artfynd/A 15134-2024 artfynd.xlsx", "A 15134-2024")</f>
        <v/>
      </c>
      <c r="T181">
        <f>HYPERLINK("https://klasma.github.io/Logging_2482/kartor/A 15134-2024 karta.png", "A 15134-2024")</f>
        <v/>
      </c>
      <c r="V181">
        <f>HYPERLINK("https://klasma.github.io/Logging_2482/klagomål/A 15134-2024 FSC-klagomål.docx", "A 15134-2024")</f>
        <v/>
      </c>
      <c r="W181">
        <f>HYPERLINK("https://klasma.github.io/Logging_2482/klagomålsmail/A 15134-2024 FSC-klagomål mail.docx", "A 15134-2024")</f>
        <v/>
      </c>
      <c r="X181">
        <f>HYPERLINK("https://klasma.github.io/Logging_2482/tillsyn/A 15134-2024 tillsynsbegäran.docx", "A 15134-2024")</f>
        <v/>
      </c>
      <c r="Y181">
        <f>HYPERLINK("https://klasma.github.io/Logging_2482/tillsynsmail/A 15134-2024 tillsynsbegäran mail.docx", "A 15134-2024")</f>
        <v/>
      </c>
    </row>
    <row r="182" ht="15" customHeight="1">
      <c r="A182" t="inlineStr">
        <is>
          <t>A 20311-2024</t>
        </is>
      </c>
      <c r="B182" s="1" t="n">
        <v>45435</v>
      </c>
      <c r="C182" s="1" t="n">
        <v>45472</v>
      </c>
      <c r="D182" t="inlineStr">
        <is>
          <t>VÄSTERBOTTENS LÄN</t>
        </is>
      </c>
      <c r="E182" t="inlineStr">
        <is>
          <t>SKELLEFTEÅ</t>
        </is>
      </c>
      <c r="G182" t="n">
        <v>17.3</v>
      </c>
      <c r="H182" t="n">
        <v>0</v>
      </c>
      <c r="I182" t="n">
        <v>1</v>
      </c>
      <c r="J182" t="n">
        <v>0</v>
      </c>
      <c r="K182" t="n">
        <v>0</v>
      </c>
      <c r="L182" t="n">
        <v>0</v>
      </c>
      <c r="M182" t="n">
        <v>0</v>
      </c>
      <c r="N182" t="n">
        <v>0</v>
      </c>
      <c r="O182" t="n">
        <v>0</v>
      </c>
      <c r="P182" t="n">
        <v>0</v>
      </c>
      <c r="Q182" t="n">
        <v>1</v>
      </c>
      <c r="R182" s="2" t="inlineStr">
        <is>
          <t>Sotriska</t>
        </is>
      </c>
      <c r="S182">
        <f>HYPERLINK("https://klasma.github.io/Logging_2482/artfynd/A 20311-2024 artfynd.xlsx", "A 20311-2024")</f>
        <v/>
      </c>
      <c r="T182">
        <f>HYPERLINK("https://klasma.github.io/Logging_2482/kartor/A 20311-2024 karta.png", "A 20311-2024")</f>
        <v/>
      </c>
      <c r="V182">
        <f>HYPERLINK("https://klasma.github.io/Logging_2482/klagomål/A 20311-2024 FSC-klagomål.docx", "A 20311-2024")</f>
        <v/>
      </c>
      <c r="W182">
        <f>HYPERLINK("https://klasma.github.io/Logging_2482/klagomålsmail/A 20311-2024 FSC-klagomål mail.docx", "A 20311-2024")</f>
        <v/>
      </c>
      <c r="X182">
        <f>HYPERLINK("https://klasma.github.io/Logging_2482/tillsyn/A 20311-2024 tillsynsbegäran.docx", "A 20311-2024")</f>
        <v/>
      </c>
      <c r="Y182">
        <f>HYPERLINK("https://klasma.github.io/Logging_2482/tillsynsmail/A 20311-2024 tillsynsbegäran mail.docx", "A 20311-2024")</f>
        <v/>
      </c>
    </row>
    <row r="183" ht="15" customHeight="1">
      <c r="A183" t="inlineStr">
        <is>
          <t>A 23512-2024</t>
        </is>
      </c>
      <c r="B183" s="1" t="n">
        <v>45453</v>
      </c>
      <c r="C183" s="1" t="n">
        <v>45472</v>
      </c>
      <c r="D183" t="inlineStr">
        <is>
          <t>VÄSTERBOTTENS LÄN</t>
        </is>
      </c>
      <c r="E183" t="inlineStr">
        <is>
          <t>SKELLEFTEÅ</t>
        </is>
      </c>
      <c r="F183" t="inlineStr">
        <is>
          <t>Sveaskog</t>
        </is>
      </c>
      <c r="G183" t="n">
        <v>14.9</v>
      </c>
      <c r="H183" t="n">
        <v>1</v>
      </c>
      <c r="I183" t="n">
        <v>0</v>
      </c>
      <c r="J183" t="n">
        <v>0</v>
      </c>
      <c r="K183" t="n">
        <v>0</v>
      </c>
      <c r="L183" t="n">
        <v>0</v>
      </c>
      <c r="M183" t="n">
        <v>0</v>
      </c>
      <c r="N183" t="n">
        <v>0</v>
      </c>
      <c r="O183" t="n">
        <v>0</v>
      </c>
      <c r="P183" t="n">
        <v>0</v>
      </c>
      <c r="Q183" t="n">
        <v>1</v>
      </c>
      <c r="R183" s="2" t="inlineStr">
        <is>
          <t>Fläcknycklar</t>
        </is>
      </c>
      <c r="S183">
        <f>HYPERLINK("https://klasma.github.io/Logging_2482/artfynd/A 23512-2024 artfynd.xlsx", "A 23512-2024")</f>
        <v/>
      </c>
      <c r="T183">
        <f>HYPERLINK("https://klasma.github.io/Logging_2482/kartor/A 23512-2024 karta.png", "A 23512-2024")</f>
        <v/>
      </c>
      <c r="V183">
        <f>HYPERLINK("https://klasma.github.io/Logging_2482/klagomål/A 23512-2024 FSC-klagomål.docx", "A 23512-2024")</f>
        <v/>
      </c>
      <c r="W183">
        <f>HYPERLINK("https://klasma.github.io/Logging_2482/klagomålsmail/A 23512-2024 FSC-klagomål mail.docx", "A 23512-2024")</f>
        <v/>
      </c>
      <c r="X183">
        <f>HYPERLINK("https://klasma.github.io/Logging_2482/tillsyn/A 23512-2024 tillsynsbegäran.docx", "A 23512-2024")</f>
        <v/>
      </c>
      <c r="Y183">
        <f>HYPERLINK("https://klasma.github.io/Logging_2482/tillsynsmail/A 23512-2024 tillsynsbegäran mail.docx", "A 23512-2024")</f>
        <v/>
      </c>
    </row>
    <row r="184" ht="15" customHeight="1">
      <c r="A184" t="inlineStr">
        <is>
          <t>A 23721-2024</t>
        </is>
      </c>
      <c r="B184" s="1" t="n">
        <v>45454</v>
      </c>
      <c r="C184" s="1" t="n">
        <v>45472</v>
      </c>
      <c r="D184" t="inlineStr">
        <is>
          <t>VÄSTERBOTTENS LÄN</t>
        </is>
      </c>
      <c r="E184" t="inlineStr">
        <is>
          <t>SKELLEFTEÅ</t>
        </is>
      </c>
      <c r="G184" t="n">
        <v>14.8</v>
      </c>
      <c r="H184" t="n">
        <v>0</v>
      </c>
      <c r="I184" t="n">
        <v>0</v>
      </c>
      <c r="J184" t="n">
        <v>1</v>
      </c>
      <c r="K184" t="n">
        <v>0</v>
      </c>
      <c r="L184" t="n">
        <v>0</v>
      </c>
      <c r="M184" t="n">
        <v>0</v>
      </c>
      <c r="N184" t="n">
        <v>0</v>
      </c>
      <c r="O184" t="n">
        <v>1</v>
      </c>
      <c r="P184" t="n">
        <v>0</v>
      </c>
      <c r="Q184" t="n">
        <v>1</v>
      </c>
      <c r="R184" s="2" t="inlineStr">
        <is>
          <t>Orange taggsvamp</t>
        </is>
      </c>
      <c r="S184">
        <f>HYPERLINK("https://klasma.github.io/Logging_2482/artfynd/A 23721-2024 artfynd.xlsx", "A 23721-2024")</f>
        <v/>
      </c>
      <c r="T184">
        <f>HYPERLINK("https://klasma.github.io/Logging_2482/kartor/A 23721-2024 karta.png", "A 23721-2024")</f>
        <v/>
      </c>
      <c r="V184">
        <f>HYPERLINK("https://klasma.github.io/Logging_2482/klagomål/A 23721-2024 FSC-klagomål.docx", "A 23721-2024")</f>
        <v/>
      </c>
      <c r="W184">
        <f>HYPERLINK("https://klasma.github.io/Logging_2482/klagomålsmail/A 23721-2024 FSC-klagomål mail.docx", "A 23721-2024")</f>
        <v/>
      </c>
      <c r="X184">
        <f>HYPERLINK("https://klasma.github.io/Logging_2482/tillsyn/A 23721-2024 tillsynsbegäran.docx", "A 23721-2024")</f>
        <v/>
      </c>
      <c r="Y184">
        <f>HYPERLINK("https://klasma.github.io/Logging_2482/tillsynsmail/A 23721-2024 tillsynsbegäran mail.docx", "A 23721-2024")</f>
        <v/>
      </c>
    </row>
    <row r="185" ht="15" customHeight="1">
      <c r="A185" t="inlineStr">
        <is>
          <t>A 18072-2019</t>
        </is>
      </c>
      <c r="B185" s="1" t="n">
        <v>43557</v>
      </c>
      <c r="C185" s="1" t="n">
        <v>45472</v>
      </c>
      <c r="D185" t="inlineStr">
        <is>
          <t>VÄSTERBOTTENS LÄN</t>
        </is>
      </c>
      <c r="E185" t="inlineStr">
        <is>
          <t>SKELLEFTEÅ</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18271-2019</t>
        </is>
      </c>
      <c r="B186" s="1" t="n">
        <v>43557</v>
      </c>
      <c r="C186" s="1" t="n">
        <v>45472</v>
      </c>
      <c r="D186" t="inlineStr">
        <is>
          <t>VÄSTERBOTTENS LÄN</t>
        </is>
      </c>
      <c r="E186" t="inlineStr">
        <is>
          <t>SKELLEFTEÅ</t>
        </is>
      </c>
      <c r="G186" t="n">
        <v>0.4</v>
      </c>
      <c r="H186" t="n">
        <v>0</v>
      </c>
      <c r="I186" t="n">
        <v>0</v>
      </c>
      <c r="J186" t="n">
        <v>0</v>
      </c>
      <c r="K186" t="n">
        <v>0</v>
      </c>
      <c r="L186" t="n">
        <v>0</v>
      </c>
      <c r="M186" t="n">
        <v>0</v>
      </c>
      <c r="N186" t="n">
        <v>0</v>
      </c>
      <c r="O186" t="n">
        <v>0</v>
      </c>
      <c r="P186" t="n">
        <v>0</v>
      </c>
      <c r="Q186" t="n">
        <v>0</v>
      </c>
      <c r="R186" s="2" t="inlineStr"/>
    </row>
    <row r="187" ht="15" customHeight="1">
      <c r="A187" t="inlineStr">
        <is>
          <t>A 18073-2019</t>
        </is>
      </c>
      <c r="B187" s="1" t="n">
        <v>43557</v>
      </c>
      <c r="C187" s="1" t="n">
        <v>45472</v>
      </c>
      <c r="D187" t="inlineStr">
        <is>
          <t>VÄSTERBOTTENS LÄN</t>
        </is>
      </c>
      <c r="E187" t="inlineStr">
        <is>
          <t>SKELLEFTEÅ</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18201-2019</t>
        </is>
      </c>
      <c r="B188" s="1" t="n">
        <v>43558</v>
      </c>
      <c r="C188" s="1" t="n">
        <v>45472</v>
      </c>
      <c r="D188" t="inlineStr">
        <is>
          <t>VÄSTERBOTTENS LÄN</t>
        </is>
      </c>
      <c r="E188" t="inlineStr">
        <is>
          <t>SKELLEFTEÅ</t>
        </is>
      </c>
      <c r="G188" t="n">
        <v>2.5</v>
      </c>
      <c r="H188" t="n">
        <v>0</v>
      </c>
      <c r="I188" t="n">
        <v>0</v>
      </c>
      <c r="J188" t="n">
        <v>0</v>
      </c>
      <c r="K188" t="n">
        <v>0</v>
      </c>
      <c r="L188" t="n">
        <v>0</v>
      </c>
      <c r="M188" t="n">
        <v>0</v>
      </c>
      <c r="N188" t="n">
        <v>0</v>
      </c>
      <c r="O188" t="n">
        <v>0</v>
      </c>
      <c r="P188" t="n">
        <v>0</v>
      </c>
      <c r="Q188" t="n">
        <v>0</v>
      </c>
      <c r="R188" s="2" t="inlineStr"/>
    </row>
    <row r="189" ht="15" customHeight="1">
      <c r="A189" t="inlineStr">
        <is>
          <t>A 18202-2019</t>
        </is>
      </c>
      <c r="B189" s="1" t="n">
        <v>43558</v>
      </c>
      <c r="C189" s="1" t="n">
        <v>45472</v>
      </c>
      <c r="D189" t="inlineStr">
        <is>
          <t>VÄSTERBOTTENS LÄN</t>
        </is>
      </c>
      <c r="E189" t="inlineStr">
        <is>
          <t>SKELLEFTEÅ</t>
        </is>
      </c>
      <c r="G189" t="n">
        <v>0.8</v>
      </c>
      <c r="H189" t="n">
        <v>0</v>
      </c>
      <c r="I189" t="n">
        <v>0</v>
      </c>
      <c r="J189" t="n">
        <v>0</v>
      </c>
      <c r="K189" t="n">
        <v>0</v>
      </c>
      <c r="L189" t="n">
        <v>0</v>
      </c>
      <c r="M189" t="n">
        <v>0</v>
      </c>
      <c r="N189" t="n">
        <v>0</v>
      </c>
      <c r="O189" t="n">
        <v>0</v>
      </c>
      <c r="P189" t="n">
        <v>0</v>
      </c>
      <c r="Q189" t="n">
        <v>0</v>
      </c>
      <c r="R189" s="2" t="inlineStr"/>
    </row>
    <row r="190" ht="15" customHeight="1">
      <c r="A190" t="inlineStr">
        <is>
          <t>A 18137-2019</t>
        </is>
      </c>
      <c r="B190" s="1" t="n">
        <v>43558</v>
      </c>
      <c r="C190" s="1" t="n">
        <v>45472</v>
      </c>
      <c r="D190" t="inlineStr">
        <is>
          <t>VÄSTERBOTTENS LÄN</t>
        </is>
      </c>
      <c r="E190" t="inlineStr">
        <is>
          <t>SKELLEFTEÅ</t>
        </is>
      </c>
      <c r="G190" t="n">
        <v>10</v>
      </c>
      <c r="H190" t="n">
        <v>0</v>
      </c>
      <c r="I190" t="n">
        <v>0</v>
      </c>
      <c r="J190" t="n">
        <v>0</v>
      </c>
      <c r="K190" t="n">
        <v>0</v>
      </c>
      <c r="L190" t="n">
        <v>0</v>
      </c>
      <c r="M190" t="n">
        <v>0</v>
      </c>
      <c r="N190" t="n">
        <v>0</v>
      </c>
      <c r="O190" t="n">
        <v>0</v>
      </c>
      <c r="P190" t="n">
        <v>0</v>
      </c>
      <c r="Q190" t="n">
        <v>0</v>
      </c>
      <c r="R190" s="2" t="inlineStr"/>
    </row>
    <row r="191" ht="15" customHeight="1">
      <c r="A191" t="inlineStr">
        <is>
          <t>A 18714-2019</t>
        </is>
      </c>
      <c r="B191" s="1" t="n">
        <v>43560</v>
      </c>
      <c r="C191" s="1" t="n">
        <v>45472</v>
      </c>
      <c r="D191" t="inlineStr">
        <is>
          <t>VÄSTERBOTTENS LÄN</t>
        </is>
      </c>
      <c r="E191" t="inlineStr">
        <is>
          <t>SKELLEFTEÅ</t>
        </is>
      </c>
      <c r="G191" t="n">
        <v>1.6</v>
      </c>
      <c r="H191" t="n">
        <v>0</v>
      </c>
      <c r="I191" t="n">
        <v>0</v>
      </c>
      <c r="J191" t="n">
        <v>0</v>
      </c>
      <c r="K191" t="n">
        <v>0</v>
      </c>
      <c r="L191" t="n">
        <v>0</v>
      </c>
      <c r="M191" t="n">
        <v>0</v>
      </c>
      <c r="N191" t="n">
        <v>0</v>
      </c>
      <c r="O191" t="n">
        <v>0</v>
      </c>
      <c r="P191" t="n">
        <v>0</v>
      </c>
      <c r="Q191" t="n">
        <v>0</v>
      </c>
      <c r="R191" s="2" t="inlineStr"/>
    </row>
    <row r="192" ht="15" customHeight="1">
      <c r="A192" t="inlineStr">
        <is>
          <t>A 18712-2019</t>
        </is>
      </c>
      <c r="B192" s="1" t="n">
        <v>43560</v>
      </c>
      <c r="C192" s="1" t="n">
        <v>45472</v>
      </c>
      <c r="D192" t="inlineStr">
        <is>
          <t>VÄSTERBOTTENS LÄN</t>
        </is>
      </c>
      <c r="E192" t="inlineStr">
        <is>
          <t>SKELLEFTEÅ</t>
        </is>
      </c>
      <c r="F192" t="inlineStr">
        <is>
          <t>Övriga Aktiebolag</t>
        </is>
      </c>
      <c r="G192" t="n">
        <v>2.2</v>
      </c>
      <c r="H192" t="n">
        <v>0</v>
      </c>
      <c r="I192" t="n">
        <v>0</v>
      </c>
      <c r="J192" t="n">
        <v>0</v>
      </c>
      <c r="K192" t="n">
        <v>0</v>
      </c>
      <c r="L192" t="n">
        <v>0</v>
      </c>
      <c r="M192" t="n">
        <v>0</v>
      </c>
      <c r="N192" t="n">
        <v>0</v>
      </c>
      <c r="O192" t="n">
        <v>0</v>
      </c>
      <c r="P192" t="n">
        <v>0</v>
      </c>
      <c r="Q192" t="n">
        <v>0</v>
      </c>
      <c r="R192" s="2" t="inlineStr"/>
    </row>
    <row r="193" ht="15" customHeight="1">
      <c r="A193" t="inlineStr">
        <is>
          <t>A 19101-2019</t>
        </is>
      </c>
      <c r="B193" s="1" t="n">
        <v>43563</v>
      </c>
      <c r="C193" s="1" t="n">
        <v>45472</v>
      </c>
      <c r="D193" t="inlineStr">
        <is>
          <t>VÄSTERBOTTENS LÄN</t>
        </is>
      </c>
      <c r="E193" t="inlineStr">
        <is>
          <t>SKELLEFTEÅ</t>
        </is>
      </c>
      <c r="G193" t="n">
        <v>0.5</v>
      </c>
      <c r="H193" t="n">
        <v>0</v>
      </c>
      <c r="I193" t="n">
        <v>0</v>
      </c>
      <c r="J193" t="n">
        <v>0</v>
      </c>
      <c r="K193" t="n">
        <v>0</v>
      </c>
      <c r="L193" t="n">
        <v>0</v>
      </c>
      <c r="M193" t="n">
        <v>0</v>
      </c>
      <c r="N193" t="n">
        <v>0</v>
      </c>
      <c r="O193" t="n">
        <v>0</v>
      </c>
      <c r="P193" t="n">
        <v>0</v>
      </c>
      <c r="Q193" t="n">
        <v>0</v>
      </c>
      <c r="R193" s="2" t="inlineStr"/>
    </row>
    <row r="194" ht="15" customHeight="1">
      <c r="A194" t="inlineStr">
        <is>
          <t>A 19059-2019</t>
        </is>
      </c>
      <c r="B194" s="1" t="n">
        <v>43563</v>
      </c>
      <c r="C194" s="1" t="n">
        <v>45472</v>
      </c>
      <c r="D194" t="inlineStr">
        <is>
          <t>VÄSTERBOTTENS LÄN</t>
        </is>
      </c>
      <c r="E194" t="inlineStr">
        <is>
          <t>SKELLEFTEÅ</t>
        </is>
      </c>
      <c r="G194" t="n">
        <v>2.5</v>
      </c>
      <c r="H194" t="n">
        <v>0</v>
      </c>
      <c r="I194" t="n">
        <v>0</v>
      </c>
      <c r="J194" t="n">
        <v>0</v>
      </c>
      <c r="K194" t="n">
        <v>0</v>
      </c>
      <c r="L194" t="n">
        <v>0</v>
      </c>
      <c r="M194" t="n">
        <v>0</v>
      </c>
      <c r="N194" t="n">
        <v>0</v>
      </c>
      <c r="O194" t="n">
        <v>0</v>
      </c>
      <c r="P194" t="n">
        <v>0</v>
      </c>
      <c r="Q194" t="n">
        <v>0</v>
      </c>
      <c r="R194" s="2" t="inlineStr"/>
    </row>
    <row r="195" ht="15" customHeight="1">
      <c r="A195" t="inlineStr">
        <is>
          <t>A 19382-2019</t>
        </is>
      </c>
      <c r="B195" s="1" t="n">
        <v>43565</v>
      </c>
      <c r="C195" s="1" t="n">
        <v>45472</v>
      </c>
      <c r="D195" t="inlineStr">
        <is>
          <t>VÄSTERBOTTENS LÄN</t>
        </is>
      </c>
      <c r="E195" t="inlineStr">
        <is>
          <t>SKELLEFTEÅ</t>
        </is>
      </c>
      <c r="G195" t="n">
        <v>0.6</v>
      </c>
      <c r="H195" t="n">
        <v>0</v>
      </c>
      <c r="I195" t="n">
        <v>0</v>
      </c>
      <c r="J195" t="n">
        <v>0</v>
      </c>
      <c r="K195" t="n">
        <v>0</v>
      </c>
      <c r="L195" t="n">
        <v>0</v>
      </c>
      <c r="M195" t="n">
        <v>0</v>
      </c>
      <c r="N195" t="n">
        <v>0</v>
      </c>
      <c r="O195" t="n">
        <v>0</v>
      </c>
      <c r="P195" t="n">
        <v>0</v>
      </c>
      <c r="Q195" t="n">
        <v>0</v>
      </c>
      <c r="R195" s="2" t="inlineStr"/>
    </row>
    <row r="196" ht="15" customHeight="1">
      <c r="A196" t="inlineStr">
        <is>
          <t>A 19530-2019</t>
        </is>
      </c>
      <c r="B196" s="1" t="n">
        <v>43565</v>
      </c>
      <c r="C196" s="1" t="n">
        <v>45472</v>
      </c>
      <c r="D196" t="inlineStr">
        <is>
          <t>VÄSTERBOTTENS LÄN</t>
        </is>
      </c>
      <c r="E196" t="inlineStr">
        <is>
          <t>SKELLEFTEÅ</t>
        </is>
      </c>
      <c r="G196" t="n">
        <v>8</v>
      </c>
      <c r="H196" t="n">
        <v>0</v>
      </c>
      <c r="I196" t="n">
        <v>0</v>
      </c>
      <c r="J196" t="n">
        <v>0</v>
      </c>
      <c r="K196" t="n">
        <v>0</v>
      </c>
      <c r="L196" t="n">
        <v>0</v>
      </c>
      <c r="M196" t="n">
        <v>0</v>
      </c>
      <c r="N196" t="n">
        <v>0</v>
      </c>
      <c r="O196" t="n">
        <v>0</v>
      </c>
      <c r="P196" t="n">
        <v>0</v>
      </c>
      <c r="Q196" t="n">
        <v>0</v>
      </c>
      <c r="R196" s="2" t="inlineStr"/>
    </row>
    <row r="197" ht="15" customHeight="1">
      <c r="A197" t="inlineStr">
        <is>
          <t>A 20163-2019</t>
        </is>
      </c>
      <c r="B197" s="1" t="n">
        <v>43567</v>
      </c>
      <c r="C197" s="1" t="n">
        <v>45472</v>
      </c>
      <c r="D197" t="inlineStr">
        <is>
          <t>VÄSTERBOTTENS LÄN</t>
        </is>
      </c>
      <c r="E197" t="inlineStr">
        <is>
          <t>SKELLEFTEÅ</t>
        </is>
      </c>
      <c r="G197" t="n">
        <v>1.3</v>
      </c>
      <c r="H197" t="n">
        <v>0</v>
      </c>
      <c r="I197" t="n">
        <v>0</v>
      </c>
      <c r="J197" t="n">
        <v>0</v>
      </c>
      <c r="K197" t="n">
        <v>0</v>
      </c>
      <c r="L197" t="n">
        <v>0</v>
      </c>
      <c r="M197" t="n">
        <v>0</v>
      </c>
      <c r="N197" t="n">
        <v>0</v>
      </c>
      <c r="O197" t="n">
        <v>0</v>
      </c>
      <c r="P197" t="n">
        <v>0</v>
      </c>
      <c r="Q197" t="n">
        <v>0</v>
      </c>
      <c r="R197" s="2" t="inlineStr"/>
    </row>
    <row r="198" ht="15" customHeight="1">
      <c r="A198" t="inlineStr">
        <is>
          <t>A 20428-2019</t>
        </is>
      </c>
      <c r="B198" s="1" t="n">
        <v>43571</v>
      </c>
      <c r="C198" s="1" t="n">
        <v>45472</v>
      </c>
      <c r="D198" t="inlineStr">
        <is>
          <t>VÄSTERBOTTENS LÄN</t>
        </is>
      </c>
      <c r="E198" t="inlineStr">
        <is>
          <t>SKELLEFTEÅ</t>
        </is>
      </c>
      <c r="G198" t="n">
        <v>0.8</v>
      </c>
      <c r="H198" t="n">
        <v>0</v>
      </c>
      <c r="I198" t="n">
        <v>0</v>
      </c>
      <c r="J198" t="n">
        <v>0</v>
      </c>
      <c r="K198" t="n">
        <v>0</v>
      </c>
      <c r="L198" t="n">
        <v>0</v>
      </c>
      <c r="M198" t="n">
        <v>0</v>
      </c>
      <c r="N198" t="n">
        <v>0</v>
      </c>
      <c r="O198" t="n">
        <v>0</v>
      </c>
      <c r="P198" t="n">
        <v>0</v>
      </c>
      <c r="Q198" t="n">
        <v>0</v>
      </c>
      <c r="R198" s="2" t="inlineStr"/>
    </row>
    <row r="199" ht="15" customHeight="1">
      <c r="A199" t="inlineStr">
        <is>
          <t>A 20584-2019</t>
        </is>
      </c>
      <c r="B199" s="1" t="n">
        <v>43572</v>
      </c>
      <c r="C199" s="1" t="n">
        <v>45472</v>
      </c>
      <c r="D199" t="inlineStr">
        <is>
          <t>VÄSTERBOTTENS LÄN</t>
        </is>
      </c>
      <c r="E199" t="inlineStr">
        <is>
          <t>SKELLEFTEÅ</t>
        </is>
      </c>
      <c r="F199" t="inlineStr">
        <is>
          <t>Kommuner</t>
        </is>
      </c>
      <c r="G199" t="n">
        <v>6.3</v>
      </c>
      <c r="H199" t="n">
        <v>0</v>
      </c>
      <c r="I199" t="n">
        <v>0</v>
      </c>
      <c r="J199" t="n">
        <v>0</v>
      </c>
      <c r="K199" t="n">
        <v>0</v>
      </c>
      <c r="L199" t="n">
        <v>0</v>
      </c>
      <c r="M199" t="n">
        <v>0</v>
      </c>
      <c r="N199" t="n">
        <v>0</v>
      </c>
      <c r="O199" t="n">
        <v>0</v>
      </c>
      <c r="P199" t="n">
        <v>0</v>
      </c>
      <c r="Q199" t="n">
        <v>0</v>
      </c>
      <c r="R199" s="2" t="inlineStr"/>
    </row>
    <row r="200" ht="15" customHeight="1">
      <c r="A200" t="inlineStr">
        <is>
          <t>A 20668-2019</t>
        </is>
      </c>
      <c r="B200" s="1" t="n">
        <v>43572</v>
      </c>
      <c r="C200" s="1" t="n">
        <v>45472</v>
      </c>
      <c r="D200" t="inlineStr">
        <is>
          <t>VÄSTERBOTTENS LÄN</t>
        </is>
      </c>
      <c r="E200" t="inlineStr">
        <is>
          <t>SKELLEFTEÅ</t>
        </is>
      </c>
      <c r="G200" t="n">
        <v>1</v>
      </c>
      <c r="H200" t="n">
        <v>0</v>
      </c>
      <c r="I200" t="n">
        <v>0</v>
      </c>
      <c r="J200" t="n">
        <v>0</v>
      </c>
      <c r="K200" t="n">
        <v>0</v>
      </c>
      <c r="L200" t="n">
        <v>0</v>
      </c>
      <c r="M200" t="n">
        <v>0</v>
      </c>
      <c r="N200" t="n">
        <v>0</v>
      </c>
      <c r="O200" t="n">
        <v>0</v>
      </c>
      <c r="P200" t="n">
        <v>0</v>
      </c>
      <c r="Q200" t="n">
        <v>0</v>
      </c>
      <c r="R200" s="2" t="inlineStr"/>
    </row>
    <row r="201" ht="15" customHeight="1">
      <c r="A201" t="inlineStr">
        <is>
          <t>A 21553-2019</t>
        </is>
      </c>
      <c r="B201" s="1" t="n">
        <v>43580</v>
      </c>
      <c r="C201" s="1" t="n">
        <v>45472</v>
      </c>
      <c r="D201" t="inlineStr">
        <is>
          <t>VÄSTERBOTTENS LÄN</t>
        </is>
      </c>
      <c r="E201" t="inlineStr">
        <is>
          <t>SKELLEFTEÅ</t>
        </is>
      </c>
      <c r="G201" t="n">
        <v>1.4</v>
      </c>
      <c r="H201" t="n">
        <v>0</v>
      </c>
      <c r="I201" t="n">
        <v>0</v>
      </c>
      <c r="J201" t="n">
        <v>0</v>
      </c>
      <c r="K201" t="n">
        <v>0</v>
      </c>
      <c r="L201" t="n">
        <v>0</v>
      </c>
      <c r="M201" t="n">
        <v>0</v>
      </c>
      <c r="N201" t="n">
        <v>0</v>
      </c>
      <c r="O201" t="n">
        <v>0</v>
      </c>
      <c r="P201" t="n">
        <v>0</v>
      </c>
      <c r="Q201" t="n">
        <v>0</v>
      </c>
      <c r="R201" s="2" t="inlineStr"/>
    </row>
    <row r="202" ht="15" customHeight="1">
      <c r="A202" t="inlineStr">
        <is>
          <t>A 21583-2019</t>
        </is>
      </c>
      <c r="B202" s="1" t="n">
        <v>43580</v>
      </c>
      <c r="C202" s="1" t="n">
        <v>45472</v>
      </c>
      <c r="D202" t="inlineStr">
        <is>
          <t>VÄSTERBOTTENS LÄN</t>
        </is>
      </c>
      <c r="E202" t="inlineStr">
        <is>
          <t>SKELLEFTEÅ</t>
        </is>
      </c>
      <c r="G202" t="n">
        <v>3.4</v>
      </c>
      <c r="H202" t="n">
        <v>0</v>
      </c>
      <c r="I202" t="n">
        <v>0</v>
      </c>
      <c r="J202" t="n">
        <v>0</v>
      </c>
      <c r="K202" t="n">
        <v>0</v>
      </c>
      <c r="L202" t="n">
        <v>0</v>
      </c>
      <c r="M202" t="n">
        <v>0</v>
      </c>
      <c r="N202" t="n">
        <v>0</v>
      </c>
      <c r="O202" t="n">
        <v>0</v>
      </c>
      <c r="P202" t="n">
        <v>0</v>
      </c>
      <c r="Q202" t="n">
        <v>0</v>
      </c>
      <c r="R202" s="2" t="inlineStr"/>
    </row>
    <row r="203" ht="15" customHeight="1">
      <c r="A203" t="inlineStr">
        <is>
          <t>A 22580-2019</t>
        </is>
      </c>
      <c r="B203" s="1" t="n">
        <v>43587</v>
      </c>
      <c r="C203" s="1" t="n">
        <v>45472</v>
      </c>
      <c r="D203" t="inlineStr">
        <is>
          <t>VÄSTERBOTTENS LÄN</t>
        </is>
      </c>
      <c r="E203" t="inlineStr">
        <is>
          <t>SKELLEFTEÅ</t>
        </is>
      </c>
      <c r="G203" t="n">
        <v>3</v>
      </c>
      <c r="H203" t="n">
        <v>0</v>
      </c>
      <c r="I203" t="n">
        <v>0</v>
      </c>
      <c r="J203" t="n">
        <v>0</v>
      </c>
      <c r="K203" t="n">
        <v>0</v>
      </c>
      <c r="L203" t="n">
        <v>0</v>
      </c>
      <c r="M203" t="n">
        <v>0</v>
      </c>
      <c r="N203" t="n">
        <v>0</v>
      </c>
      <c r="O203" t="n">
        <v>0</v>
      </c>
      <c r="P203" t="n">
        <v>0</v>
      </c>
      <c r="Q203" t="n">
        <v>0</v>
      </c>
      <c r="R203" s="2" t="inlineStr"/>
    </row>
    <row r="204" ht="15" customHeight="1">
      <c r="A204" t="inlineStr">
        <is>
          <t>A 23436-2019</t>
        </is>
      </c>
      <c r="B204" s="1" t="n">
        <v>43592</v>
      </c>
      <c r="C204" s="1" t="n">
        <v>45472</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23396-2019</t>
        </is>
      </c>
      <c r="B205" s="1" t="n">
        <v>43592</v>
      </c>
      <c r="C205" s="1" t="n">
        <v>45472</v>
      </c>
      <c r="D205" t="inlineStr">
        <is>
          <t>VÄSTERBOTTENS LÄN</t>
        </is>
      </c>
      <c r="E205" t="inlineStr">
        <is>
          <t>SKELLEFTEÅ</t>
        </is>
      </c>
      <c r="G205" t="n">
        <v>5.1</v>
      </c>
      <c r="H205" t="n">
        <v>0</v>
      </c>
      <c r="I205" t="n">
        <v>0</v>
      </c>
      <c r="J205" t="n">
        <v>0</v>
      </c>
      <c r="K205" t="n">
        <v>0</v>
      </c>
      <c r="L205" t="n">
        <v>0</v>
      </c>
      <c r="M205" t="n">
        <v>0</v>
      </c>
      <c r="N205" t="n">
        <v>0</v>
      </c>
      <c r="O205" t="n">
        <v>0</v>
      </c>
      <c r="P205" t="n">
        <v>0</v>
      </c>
      <c r="Q205" t="n">
        <v>0</v>
      </c>
      <c r="R205" s="2" t="inlineStr"/>
    </row>
    <row r="206" ht="15" customHeight="1">
      <c r="A206" t="inlineStr">
        <is>
          <t>A 24063-2019</t>
        </is>
      </c>
      <c r="B206" s="1" t="n">
        <v>43598</v>
      </c>
      <c r="C206" s="1" t="n">
        <v>45472</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24164-2019</t>
        </is>
      </c>
      <c r="B207" s="1" t="n">
        <v>43598</v>
      </c>
      <c r="C207" s="1" t="n">
        <v>45472</v>
      </c>
      <c r="D207" t="inlineStr">
        <is>
          <t>VÄSTERBOTTENS LÄN</t>
        </is>
      </c>
      <c r="E207" t="inlineStr">
        <is>
          <t>SKELLEFTEÅ</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24210-2019</t>
        </is>
      </c>
      <c r="B208" s="1" t="n">
        <v>43599</v>
      </c>
      <c r="C208" s="1" t="n">
        <v>45472</v>
      </c>
      <c r="D208" t="inlineStr">
        <is>
          <t>VÄSTERBOTTENS LÄN</t>
        </is>
      </c>
      <c r="E208" t="inlineStr">
        <is>
          <t>SKELLEFTEÅ</t>
        </is>
      </c>
      <c r="G208" t="n">
        <v>3.4</v>
      </c>
      <c r="H208" t="n">
        <v>0</v>
      </c>
      <c r="I208" t="n">
        <v>0</v>
      </c>
      <c r="J208" t="n">
        <v>0</v>
      </c>
      <c r="K208" t="n">
        <v>0</v>
      </c>
      <c r="L208" t="n">
        <v>0</v>
      </c>
      <c r="M208" t="n">
        <v>0</v>
      </c>
      <c r="N208" t="n">
        <v>0</v>
      </c>
      <c r="O208" t="n">
        <v>0</v>
      </c>
      <c r="P208" t="n">
        <v>0</v>
      </c>
      <c r="Q208" t="n">
        <v>0</v>
      </c>
      <c r="R208" s="2" t="inlineStr"/>
    </row>
    <row r="209" ht="15" customHeight="1">
      <c r="A209" t="inlineStr">
        <is>
          <t>A 26115-2019</t>
        </is>
      </c>
      <c r="B209" s="1" t="n">
        <v>43605</v>
      </c>
      <c r="C209" s="1" t="n">
        <v>45472</v>
      </c>
      <c r="D209" t="inlineStr">
        <is>
          <t>VÄSTERBOTTENS LÄN</t>
        </is>
      </c>
      <c r="E209" t="inlineStr">
        <is>
          <t>SKELLEFTEÅ</t>
        </is>
      </c>
      <c r="G209" t="n">
        <v>1.7</v>
      </c>
      <c r="H209" t="n">
        <v>0</v>
      </c>
      <c r="I209" t="n">
        <v>0</v>
      </c>
      <c r="J209" t="n">
        <v>0</v>
      </c>
      <c r="K209" t="n">
        <v>0</v>
      </c>
      <c r="L209" t="n">
        <v>0</v>
      </c>
      <c r="M209" t="n">
        <v>0</v>
      </c>
      <c r="N209" t="n">
        <v>0</v>
      </c>
      <c r="O209" t="n">
        <v>0</v>
      </c>
      <c r="P209" t="n">
        <v>0</v>
      </c>
      <c r="Q209" t="n">
        <v>0</v>
      </c>
      <c r="R209" s="2" t="inlineStr"/>
    </row>
    <row r="210" ht="15" customHeight="1">
      <c r="A210" t="inlineStr">
        <is>
          <t>A 26174-2019</t>
        </is>
      </c>
      <c r="B210" s="1" t="n">
        <v>43605</v>
      </c>
      <c r="C210" s="1" t="n">
        <v>45472</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26039-2019</t>
        </is>
      </c>
      <c r="B211" s="1" t="n">
        <v>43609</v>
      </c>
      <c r="C211" s="1" t="n">
        <v>45472</v>
      </c>
      <c r="D211" t="inlineStr">
        <is>
          <t>VÄSTERBOTTENS LÄN</t>
        </is>
      </c>
      <c r="E211" t="inlineStr">
        <is>
          <t>SKELLEFTEÅ</t>
        </is>
      </c>
      <c r="G211" t="n">
        <v>3.4</v>
      </c>
      <c r="H211" t="n">
        <v>0</v>
      </c>
      <c r="I211" t="n">
        <v>0</v>
      </c>
      <c r="J211" t="n">
        <v>0</v>
      </c>
      <c r="K211" t="n">
        <v>0</v>
      </c>
      <c r="L211" t="n">
        <v>0</v>
      </c>
      <c r="M211" t="n">
        <v>0</v>
      </c>
      <c r="N211" t="n">
        <v>0</v>
      </c>
      <c r="O211" t="n">
        <v>0</v>
      </c>
      <c r="P211" t="n">
        <v>0</v>
      </c>
      <c r="Q211" t="n">
        <v>0</v>
      </c>
      <c r="R211" s="2" t="inlineStr"/>
    </row>
    <row r="212" ht="15" customHeight="1">
      <c r="A212" t="inlineStr">
        <is>
          <t>A 26148-2019</t>
        </is>
      </c>
      <c r="B212" s="1" t="n">
        <v>43609</v>
      </c>
      <c r="C212" s="1" t="n">
        <v>45472</v>
      </c>
      <c r="D212" t="inlineStr">
        <is>
          <t>VÄSTERBOTTENS LÄN</t>
        </is>
      </c>
      <c r="E212" t="inlineStr">
        <is>
          <t>SKELLEFTEÅ</t>
        </is>
      </c>
      <c r="G212" t="n">
        <v>4.5</v>
      </c>
      <c r="H212" t="n">
        <v>0</v>
      </c>
      <c r="I212" t="n">
        <v>0</v>
      </c>
      <c r="J212" t="n">
        <v>0</v>
      </c>
      <c r="K212" t="n">
        <v>0</v>
      </c>
      <c r="L212" t="n">
        <v>0</v>
      </c>
      <c r="M212" t="n">
        <v>0</v>
      </c>
      <c r="N212" t="n">
        <v>0</v>
      </c>
      <c r="O212" t="n">
        <v>0</v>
      </c>
      <c r="P212" t="n">
        <v>0</v>
      </c>
      <c r="Q212" t="n">
        <v>0</v>
      </c>
      <c r="R212" s="2" t="inlineStr"/>
    </row>
    <row r="213" ht="15" customHeight="1">
      <c r="A213" t="inlineStr">
        <is>
          <t>A 26180-2019</t>
        </is>
      </c>
      <c r="B213" s="1" t="n">
        <v>43609</v>
      </c>
      <c r="C213" s="1" t="n">
        <v>45472</v>
      </c>
      <c r="D213" t="inlineStr">
        <is>
          <t>VÄSTERBOTTENS LÄN</t>
        </is>
      </c>
      <c r="E213" t="inlineStr">
        <is>
          <t>SKELLEFTEÅ</t>
        </is>
      </c>
      <c r="G213" t="n">
        <v>6</v>
      </c>
      <c r="H213" t="n">
        <v>0</v>
      </c>
      <c r="I213" t="n">
        <v>0</v>
      </c>
      <c r="J213" t="n">
        <v>0</v>
      </c>
      <c r="K213" t="n">
        <v>0</v>
      </c>
      <c r="L213" t="n">
        <v>0</v>
      </c>
      <c r="M213" t="n">
        <v>0</v>
      </c>
      <c r="N213" t="n">
        <v>0</v>
      </c>
      <c r="O213" t="n">
        <v>0</v>
      </c>
      <c r="P213" t="n">
        <v>0</v>
      </c>
      <c r="Q213" t="n">
        <v>0</v>
      </c>
      <c r="R213" s="2" t="inlineStr"/>
    </row>
    <row r="214" ht="15" customHeight="1">
      <c r="A214" t="inlineStr">
        <is>
          <t>A 26075-2019</t>
        </is>
      </c>
      <c r="B214" s="1" t="n">
        <v>43609</v>
      </c>
      <c r="C214" s="1" t="n">
        <v>45472</v>
      </c>
      <c r="D214" t="inlineStr">
        <is>
          <t>VÄSTERBOTTENS LÄN</t>
        </is>
      </c>
      <c r="E214" t="inlineStr">
        <is>
          <t>SKELLEFTEÅ</t>
        </is>
      </c>
      <c r="G214" t="n">
        <v>1.4</v>
      </c>
      <c r="H214" t="n">
        <v>0</v>
      </c>
      <c r="I214" t="n">
        <v>0</v>
      </c>
      <c r="J214" t="n">
        <v>0</v>
      </c>
      <c r="K214" t="n">
        <v>0</v>
      </c>
      <c r="L214" t="n">
        <v>0</v>
      </c>
      <c r="M214" t="n">
        <v>0</v>
      </c>
      <c r="N214" t="n">
        <v>0</v>
      </c>
      <c r="O214" t="n">
        <v>0</v>
      </c>
      <c r="P214" t="n">
        <v>0</v>
      </c>
      <c r="Q214" t="n">
        <v>0</v>
      </c>
      <c r="R214" s="2" t="inlineStr"/>
    </row>
    <row r="215" ht="15" customHeight="1">
      <c r="A215" t="inlineStr">
        <is>
          <t>A 26859-2019</t>
        </is>
      </c>
      <c r="B215" s="1" t="n">
        <v>43613</v>
      </c>
      <c r="C215" s="1" t="n">
        <v>45472</v>
      </c>
      <c r="D215" t="inlineStr">
        <is>
          <t>VÄSTERBOTTENS LÄN</t>
        </is>
      </c>
      <c r="E215" t="inlineStr">
        <is>
          <t>SKELLEFTEÅ</t>
        </is>
      </c>
      <c r="G215" t="n">
        <v>0.5</v>
      </c>
      <c r="H215" t="n">
        <v>0</v>
      </c>
      <c r="I215" t="n">
        <v>0</v>
      </c>
      <c r="J215" t="n">
        <v>0</v>
      </c>
      <c r="K215" t="n">
        <v>0</v>
      </c>
      <c r="L215" t="n">
        <v>0</v>
      </c>
      <c r="M215" t="n">
        <v>0</v>
      </c>
      <c r="N215" t="n">
        <v>0</v>
      </c>
      <c r="O215" t="n">
        <v>0</v>
      </c>
      <c r="P215" t="n">
        <v>0</v>
      </c>
      <c r="Q215" t="n">
        <v>0</v>
      </c>
      <c r="R215" s="2" t="inlineStr"/>
    </row>
    <row r="216" ht="15" customHeight="1">
      <c r="A216" t="inlineStr">
        <is>
          <t>A 28114-2019</t>
        </is>
      </c>
      <c r="B216" s="1" t="n">
        <v>43613</v>
      </c>
      <c r="C216" s="1" t="n">
        <v>45472</v>
      </c>
      <c r="D216" t="inlineStr">
        <is>
          <t>VÄSTERBOTTENS LÄN</t>
        </is>
      </c>
      <c r="E216" t="inlineStr">
        <is>
          <t>SKELLEFTEÅ</t>
        </is>
      </c>
      <c r="G216" t="n">
        <v>4.4</v>
      </c>
      <c r="H216" t="n">
        <v>0</v>
      </c>
      <c r="I216" t="n">
        <v>0</v>
      </c>
      <c r="J216" t="n">
        <v>0</v>
      </c>
      <c r="K216" t="n">
        <v>0</v>
      </c>
      <c r="L216" t="n">
        <v>0</v>
      </c>
      <c r="M216" t="n">
        <v>0</v>
      </c>
      <c r="N216" t="n">
        <v>0</v>
      </c>
      <c r="O216" t="n">
        <v>0</v>
      </c>
      <c r="P216" t="n">
        <v>0</v>
      </c>
      <c r="Q216" t="n">
        <v>0</v>
      </c>
      <c r="R216" s="2" t="inlineStr"/>
    </row>
    <row r="217" ht="15" customHeight="1">
      <c r="A217" t="inlineStr">
        <is>
          <t>A 26907-2019</t>
        </is>
      </c>
      <c r="B217" s="1" t="n">
        <v>43613</v>
      </c>
      <c r="C217" s="1" t="n">
        <v>45472</v>
      </c>
      <c r="D217" t="inlineStr">
        <is>
          <t>VÄSTERBOTTENS LÄN</t>
        </is>
      </c>
      <c r="E217" t="inlineStr">
        <is>
          <t>SKELLEFTEÅ</t>
        </is>
      </c>
      <c r="G217" t="n">
        <v>0.3</v>
      </c>
      <c r="H217" t="n">
        <v>0</v>
      </c>
      <c r="I217" t="n">
        <v>0</v>
      </c>
      <c r="J217" t="n">
        <v>0</v>
      </c>
      <c r="K217" t="n">
        <v>0</v>
      </c>
      <c r="L217" t="n">
        <v>0</v>
      </c>
      <c r="M217" t="n">
        <v>0</v>
      </c>
      <c r="N217" t="n">
        <v>0</v>
      </c>
      <c r="O217" t="n">
        <v>0</v>
      </c>
      <c r="P217" t="n">
        <v>0</v>
      </c>
      <c r="Q217" t="n">
        <v>0</v>
      </c>
      <c r="R217" s="2" t="inlineStr"/>
    </row>
    <row r="218" ht="15" customHeight="1">
      <c r="A218" t="inlineStr">
        <is>
          <t>A 28920-2019</t>
        </is>
      </c>
      <c r="B218" s="1" t="n">
        <v>43619</v>
      </c>
      <c r="C218" s="1" t="n">
        <v>45472</v>
      </c>
      <c r="D218" t="inlineStr">
        <is>
          <t>VÄSTERBOTTENS LÄN</t>
        </is>
      </c>
      <c r="E218" t="inlineStr">
        <is>
          <t>SKELLEFTEÅ</t>
        </is>
      </c>
      <c r="G218" t="n">
        <v>8.1</v>
      </c>
      <c r="H218" t="n">
        <v>0</v>
      </c>
      <c r="I218" t="n">
        <v>0</v>
      </c>
      <c r="J218" t="n">
        <v>0</v>
      </c>
      <c r="K218" t="n">
        <v>0</v>
      </c>
      <c r="L218" t="n">
        <v>0</v>
      </c>
      <c r="M218" t="n">
        <v>0</v>
      </c>
      <c r="N218" t="n">
        <v>0</v>
      </c>
      <c r="O218" t="n">
        <v>0</v>
      </c>
      <c r="P218" t="n">
        <v>0</v>
      </c>
      <c r="Q218" t="n">
        <v>0</v>
      </c>
      <c r="R218" s="2" t="inlineStr"/>
    </row>
    <row r="219" ht="15" customHeight="1">
      <c r="A219" t="inlineStr">
        <is>
          <t>A 28983-2019</t>
        </is>
      </c>
      <c r="B219" s="1" t="n">
        <v>43620</v>
      </c>
      <c r="C219" s="1" t="n">
        <v>45472</v>
      </c>
      <c r="D219" t="inlineStr">
        <is>
          <t>VÄSTERBOTTENS LÄN</t>
        </is>
      </c>
      <c r="E219" t="inlineStr">
        <is>
          <t>SKELLEFTEÅ</t>
        </is>
      </c>
      <c r="G219" t="n">
        <v>5.2</v>
      </c>
      <c r="H219" t="n">
        <v>0</v>
      </c>
      <c r="I219" t="n">
        <v>0</v>
      </c>
      <c r="J219" t="n">
        <v>0</v>
      </c>
      <c r="K219" t="n">
        <v>0</v>
      </c>
      <c r="L219" t="n">
        <v>0</v>
      </c>
      <c r="M219" t="n">
        <v>0</v>
      </c>
      <c r="N219" t="n">
        <v>0</v>
      </c>
      <c r="O219" t="n">
        <v>0</v>
      </c>
      <c r="P219" t="n">
        <v>0</v>
      </c>
      <c r="Q219" t="n">
        <v>0</v>
      </c>
      <c r="R219" s="2" t="inlineStr"/>
    </row>
    <row r="220" ht="15" customHeight="1">
      <c r="A220" t="inlineStr">
        <is>
          <t>A 29034-2019</t>
        </is>
      </c>
      <c r="B220" s="1" t="n">
        <v>43620</v>
      </c>
      <c r="C220" s="1" t="n">
        <v>45472</v>
      </c>
      <c r="D220" t="inlineStr">
        <is>
          <t>VÄSTERBOTTENS LÄN</t>
        </is>
      </c>
      <c r="E220" t="inlineStr">
        <is>
          <t>SKELLEFTEÅ</t>
        </is>
      </c>
      <c r="G220" t="n">
        <v>5.9</v>
      </c>
      <c r="H220" t="n">
        <v>0</v>
      </c>
      <c r="I220" t="n">
        <v>0</v>
      </c>
      <c r="J220" t="n">
        <v>0</v>
      </c>
      <c r="K220" t="n">
        <v>0</v>
      </c>
      <c r="L220" t="n">
        <v>0</v>
      </c>
      <c r="M220" t="n">
        <v>0</v>
      </c>
      <c r="N220" t="n">
        <v>0</v>
      </c>
      <c r="O220" t="n">
        <v>0</v>
      </c>
      <c r="P220" t="n">
        <v>0</v>
      </c>
      <c r="Q220" t="n">
        <v>0</v>
      </c>
      <c r="R220" s="2" t="inlineStr"/>
    </row>
    <row r="221" ht="15" customHeight="1">
      <c r="A221" t="inlineStr">
        <is>
          <t>A 28979-2019</t>
        </is>
      </c>
      <c r="B221" s="1" t="n">
        <v>43620</v>
      </c>
      <c r="C221" s="1" t="n">
        <v>45472</v>
      </c>
      <c r="D221" t="inlineStr">
        <is>
          <t>VÄSTERBOTTENS LÄN</t>
        </is>
      </c>
      <c r="E221" t="inlineStr">
        <is>
          <t>SKELLEFTEÅ</t>
        </is>
      </c>
      <c r="G221" t="n">
        <v>4.6</v>
      </c>
      <c r="H221" t="n">
        <v>0</v>
      </c>
      <c r="I221" t="n">
        <v>0</v>
      </c>
      <c r="J221" t="n">
        <v>0</v>
      </c>
      <c r="K221" t="n">
        <v>0</v>
      </c>
      <c r="L221" t="n">
        <v>0</v>
      </c>
      <c r="M221" t="n">
        <v>0</v>
      </c>
      <c r="N221" t="n">
        <v>0</v>
      </c>
      <c r="O221" t="n">
        <v>0</v>
      </c>
      <c r="P221" t="n">
        <v>0</v>
      </c>
      <c r="Q221" t="n">
        <v>0</v>
      </c>
      <c r="R221" s="2" t="inlineStr"/>
    </row>
    <row r="222" ht="15" customHeight="1">
      <c r="A222" t="inlineStr">
        <is>
          <t>A 28211-2019</t>
        </is>
      </c>
      <c r="B222" s="1" t="n">
        <v>43621</v>
      </c>
      <c r="C222" s="1" t="n">
        <v>45472</v>
      </c>
      <c r="D222" t="inlineStr">
        <is>
          <t>VÄSTERBOTTENS LÄN</t>
        </is>
      </c>
      <c r="E222" t="inlineStr">
        <is>
          <t>SKELLEFTEÅ</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28612-2019</t>
        </is>
      </c>
      <c r="B223" s="1" t="n">
        <v>43626</v>
      </c>
      <c r="C223" s="1" t="n">
        <v>45472</v>
      </c>
      <c r="D223" t="inlineStr">
        <is>
          <t>VÄSTERBOTTENS LÄN</t>
        </is>
      </c>
      <c r="E223" t="inlineStr">
        <is>
          <t>SKELLEFTEÅ</t>
        </is>
      </c>
      <c r="G223" t="n">
        <v>6.7</v>
      </c>
      <c r="H223" t="n">
        <v>0</v>
      </c>
      <c r="I223" t="n">
        <v>0</v>
      </c>
      <c r="J223" t="n">
        <v>0</v>
      </c>
      <c r="K223" t="n">
        <v>0</v>
      </c>
      <c r="L223" t="n">
        <v>0</v>
      </c>
      <c r="M223" t="n">
        <v>0</v>
      </c>
      <c r="N223" t="n">
        <v>0</v>
      </c>
      <c r="O223" t="n">
        <v>0</v>
      </c>
      <c r="P223" t="n">
        <v>0</v>
      </c>
      <c r="Q223" t="n">
        <v>0</v>
      </c>
      <c r="R223" s="2" t="inlineStr"/>
    </row>
    <row r="224" ht="15" customHeight="1">
      <c r="A224" t="inlineStr">
        <is>
          <t>A 28777-2019</t>
        </is>
      </c>
      <c r="B224" s="1" t="n">
        <v>43627</v>
      </c>
      <c r="C224" s="1" t="n">
        <v>45472</v>
      </c>
      <c r="D224" t="inlineStr">
        <is>
          <t>VÄSTERBOTTENS LÄN</t>
        </is>
      </c>
      <c r="E224" t="inlineStr">
        <is>
          <t>SKELLEFTEÅ</t>
        </is>
      </c>
      <c r="G224" t="n">
        <v>5</v>
      </c>
      <c r="H224" t="n">
        <v>0</v>
      </c>
      <c r="I224" t="n">
        <v>0</v>
      </c>
      <c r="J224" t="n">
        <v>0</v>
      </c>
      <c r="K224" t="n">
        <v>0</v>
      </c>
      <c r="L224" t="n">
        <v>0</v>
      </c>
      <c r="M224" t="n">
        <v>0</v>
      </c>
      <c r="N224" t="n">
        <v>0</v>
      </c>
      <c r="O224" t="n">
        <v>0</v>
      </c>
      <c r="P224" t="n">
        <v>0</v>
      </c>
      <c r="Q224" t="n">
        <v>0</v>
      </c>
      <c r="R224" s="2" t="inlineStr"/>
    </row>
    <row r="225" ht="15" customHeight="1">
      <c r="A225" t="inlineStr">
        <is>
          <t>A 29053-2019</t>
        </is>
      </c>
      <c r="B225" s="1" t="n">
        <v>43628</v>
      </c>
      <c r="C225" s="1" t="n">
        <v>45472</v>
      </c>
      <c r="D225" t="inlineStr">
        <is>
          <t>VÄSTERBOTTENS LÄN</t>
        </is>
      </c>
      <c r="E225" t="inlineStr">
        <is>
          <t>SKELLEFTEÅ</t>
        </is>
      </c>
      <c r="G225" t="n">
        <v>8.6</v>
      </c>
      <c r="H225" t="n">
        <v>0</v>
      </c>
      <c r="I225" t="n">
        <v>0</v>
      </c>
      <c r="J225" t="n">
        <v>0</v>
      </c>
      <c r="K225" t="n">
        <v>0</v>
      </c>
      <c r="L225" t="n">
        <v>0</v>
      </c>
      <c r="M225" t="n">
        <v>0</v>
      </c>
      <c r="N225" t="n">
        <v>0</v>
      </c>
      <c r="O225" t="n">
        <v>0</v>
      </c>
      <c r="P225" t="n">
        <v>0</v>
      </c>
      <c r="Q225" t="n">
        <v>0</v>
      </c>
      <c r="R225" s="2" t="inlineStr"/>
    </row>
    <row r="226" ht="15" customHeight="1">
      <c r="A226" t="inlineStr">
        <is>
          <t>A 29321-2019</t>
        </is>
      </c>
      <c r="B226" s="1" t="n">
        <v>43629</v>
      </c>
      <c r="C226" s="1" t="n">
        <v>45472</v>
      </c>
      <c r="D226" t="inlineStr">
        <is>
          <t>VÄSTERBOTTENS LÄN</t>
        </is>
      </c>
      <c r="E226" t="inlineStr">
        <is>
          <t>SKELLEFTEÅ</t>
        </is>
      </c>
      <c r="F226" t="inlineStr">
        <is>
          <t>Holmen skog AB</t>
        </is>
      </c>
      <c r="G226" t="n">
        <v>12.6</v>
      </c>
      <c r="H226" t="n">
        <v>0</v>
      </c>
      <c r="I226" t="n">
        <v>0</v>
      </c>
      <c r="J226" t="n">
        <v>0</v>
      </c>
      <c r="K226" t="n">
        <v>0</v>
      </c>
      <c r="L226" t="n">
        <v>0</v>
      </c>
      <c r="M226" t="n">
        <v>0</v>
      </c>
      <c r="N226" t="n">
        <v>0</v>
      </c>
      <c r="O226" t="n">
        <v>0</v>
      </c>
      <c r="P226" t="n">
        <v>0</v>
      </c>
      <c r="Q226" t="n">
        <v>0</v>
      </c>
      <c r="R226" s="2" t="inlineStr"/>
    </row>
    <row r="227" ht="15" customHeight="1">
      <c r="A227" t="inlineStr">
        <is>
          <t>A 29383-2019</t>
        </is>
      </c>
      <c r="B227" s="1" t="n">
        <v>43629</v>
      </c>
      <c r="C227" s="1" t="n">
        <v>45472</v>
      </c>
      <c r="D227" t="inlineStr">
        <is>
          <t>VÄSTERBOTTENS LÄN</t>
        </is>
      </c>
      <c r="E227" t="inlineStr">
        <is>
          <t>SKELLEFTEÅ</t>
        </is>
      </c>
      <c r="F227" t="inlineStr">
        <is>
          <t>Holmen skog AB</t>
        </is>
      </c>
      <c r="G227" t="n">
        <v>6.5</v>
      </c>
      <c r="H227" t="n">
        <v>0</v>
      </c>
      <c r="I227" t="n">
        <v>0</v>
      </c>
      <c r="J227" t="n">
        <v>0</v>
      </c>
      <c r="K227" t="n">
        <v>0</v>
      </c>
      <c r="L227" t="n">
        <v>0</v>
      </c>
      <c r="M227" t="n">
        <v>0</v>
      </c>
      <c r="N227" t="n">
        <v>0</v>
      </c>
      <c r="O227" t="n">
        <v>0</v>
      </c>
      <c r="P227" t="n">
        <v>0</v>
      </c>
      <c r="Q227" t="n">
        <v>0</v>
      </c>
      <c r="R227" s="2" t="inlineStr"/>
    </row>
    <row r="228" ht="15" customHeight="1">
      <c r="A228" t="inlineStr">
        <is>
          <t>A 30559-2019</t>
        </is>
      </c>
      <c r="B228" s="1" t="n">
        <v>43634</v>
      </c>
      <c r="C228" s="1" t="n">
        <v>45472</v>
      </c>
      <c r="D228" t="inlineStr">
        <is>
          <t>VÄSTERBOTTENS LÄN</t>
        </is>
      </c>
      <c r="E228" t="inlineStr">
        <is>
          <t>SKELLEFTEÅ</t>
        </is>
      </c>
      <c r="G228" t="n">
        <v>4.6</v>
      </c>
      <c r="H228" t="n">
        <v>0</v>
      </c>
      <c r="I228" t="n">
        <v>0</v>
      </c>
      <c r="J228" t="n">
        <v>0</v>
      </c>
      <c r="K228" t="n">
        <v>0</v>
      </c>
      <c r="L228" t="n">
        <v>0</v>
      </c>
      <c r="M228" t="n">
        <v>0</v>
      </c>
      <c r="N228" t="n">
        <v>0</v>
      </c>
      <c r="O228" t="n">
        <v>0</v>
      </c>
      <c r="P228" t="n">
        <v>0</v>
      </c>
      <c r="Q228" t="n">
        <v>0</v>
      </c>
      <c r="R228" s="2" t="inlineStr"/>
    </row>
    <row r="229" ht="15" customHeight="1">
      <c r="A229" t="inlineStr">
        <is>
          <t>A 30452-2019</t>
        </is>
      </c>
      <c r="B229" s="1" t="n">
        <v>43635</v>
      </c>
      <c r="C229" s="1" t="n">
        <v>45472</v>
      </c>
      <c r="D229" t="inlineStr">
        <is>
          <t>VÄSTERBOTTENS LÄN</t>
        </is>
      </c>
      <c r="E229" t="inlineStr">
        <is>
          <t>SKELLEFTEÅ</t>
        </is>
      </c>
      <c r="G229" t="n">
        <v>1.1</v>
      </c>
      <c r="H229" t="n">
        <v>0</v>
      </c>
      <c r="I229" t="n">
        <v>0</v>
      </c>
      <c r="J229" t="n">
        <v>0</v>
      </c>
      <c r="K229" t="n">
        <v>0</v>
      </c>
      <c r="L229" t="n">
        <v>0</v>
      </c>
      <c r="M229" t="n">
        <v>0</v>
      </c>
      <c r="N229" t="n">
        <v>0</v>
      </c>
      <c r="O229" t="n">
        <v>0</v>
      </c>
      <c r="P229" t="n">
        <v>0</v>
      </c>
      <c r="Q229" t="n">
        <v>0</v>
      </c>
      <c r="R229" s="2" t="inlineStr"/>
    </row>
    <row r="230" ht="15" customHeight="1">
      <c r="A230" t="inlineStr">
        <is>
          <t>A 30754-2019</t>
        </is>
      </c>
      <c r="B230" s="1" t="n">
        <v>43636</v>
      </c>
      <c r="C230" s="1" t="n">
        <v>45472</v>
      </c>
      <c r="D230" t="inlineStr">
        <is>
          <t>VÄSTERBOTTENS LÄN</t>
        </is>
      </c>
      <c r="E230" t="inlineStr">
        <is>
          <t>SKELLEFTEÅ</t>
        </is>
      </c>
      <c r="F230" t="inlineStr">
        <is>
          <t>Holmen skog AB</t>
        </is>
      </c>
      <c r="G230" t="n">
        <v>9.4</v>
      </c>
      <c r="H230" t="n">
        <v>0</v>
      </c>
      <c r="I230" t="n">
        <v>0</v>
      </c>
      <c r="J230" t="n">
        <v>0</v>
      </c>
      <c r="K230" t="n">
        <v>0</v>
      </c>
      <c r="L230" t="n">
        <v>0</v>
      </c>
      <c r="M230" t="n">
        <v>0</v>
      </c>
      <c r="N230" t="n">
        <v>0</v>
      </c>
      <c r="O230" t="n">
        <v>0</v>
      </c>
      <c r="P230" t="n">
        <v>0</v>
      </c>
      <c r="Q230" t="n">
        <v>0</v>
      </c>
      <c r="R230" s="2" t="inlineStr"/>
    </row>
    <row r="231" ht="15" customHeight="1">
      <c r="A231" t="inlineStr">
        <is>
          <t>A 30804-2019</t>
        </is>
      </c>
      <c r="B231" s="1" t="n">
        <v>43636</v>
      </c>
      <c r="C231" s="1" t="n">
        <v>45472</v>
      </c>
      <c r="D231" t="inlineStr">
        <is>
          <t>VÄSTERBOTTENS LÄN</t>
        </is>
      </c>
      <c r="E231" t="inlineStr">
        <is>
          <t>SKELLEFTEÅ</t>
        </is>
      </c>
      <c r="F231" t="inlineStr">
        <is>
          <t>Holmen skog AB</t>
        </is>
      </c>
      <c r="G231" t="n">
        <v>3.9</v>
      </c>
      <c r="H231" t="n">
        <v>0</v>
      </c>
      <c r="I231" t="n">
        <v>0</v>
      </c>
      <c r="J231" t="n">
        <v>0</v>
      </c>
      <c r="K231" t="n">
        <v>0</v>
      </c>
      <c r="L231" t="n">
        <v>0</v>
      </c>
      <c r="M231" t="n">
        <v>0</v>
      </c>
      <c r="N231" t="n">
        <v>0</v>
      </c>
      <c r="O231" t="n">
        <v>0</v>
      </c>
      <c r="P231" t="n">
        <v>0</v>
      </c>
      <c r="Q231" t="n">
        <v>0</v>
      </c>
      <c r="R231" s="2" t="inlineStr"/>
    </row>
    <row r="232" ht="15" customHeight="1">
      <c r="A232" t="inlineStr">
        <is>
          <t>A 31012-2019</t>
        </is>
      </c>
      <c r="B232" s="1" t="n">
        <v>43640</v>
      </c>
      <c r="C232" s="1" t="n">
        <v>45472</v>
      </c>
      <c r="D232" t="inlineStr">
        <is>
          <t>VÄSTERBOTTENS LÄN</t>
        </is>
      </c>
      <c r="E232" t="inlineStr">
        <is>
          <t>SKELLEFTEÅ</t>
        </is>
      </c>
      <c r="F232" t="inlineStr">
        <is>
          <t>Holmen skog AB</t>
        </is>
      </c>
      <c r="G232" t="n">
        <v>6.3</v>
      </c>
      <c r="H232" t="n">
        <v>0</v>
      </c>
      <c r="I232" t="n">
        <v>0</v>
      </c>
      <c r="J232" t="n">
        <v>0</v>
      </c>
      <c r="K232" t="n">
        <v>0</v>
      </c>
      <c r="L232" t="n">
        <v>0</v>
      </c>
      <c r="M232" t="n">
        <v>0</v>
      </c>
      <c r="N232" t="n">
        <v>0</v>
      </c>
      <c r="O232" t="n">
        <v>0</v>
      </c>
      <c r="P232" t="n">
        <v>0</v>
      </c>
      <c r="Q232" t="n">
        <v>0</v>
      </c>
      <c r="R232" s="2" t="inlineStr"/>
      <c r="U232">
        <f>HYPERLINK("https://klasma.github.io/Logging_2482/knärot/A 31012-2019 karta knärot.png", "A 31012-2019")</f>
        <v/>
      </c>
      <c r="V232">
        <f>HYPERLINK("https://klasma.github.io/Logging_2482/klagomål/A 31012-2019 FSC-klagomål.docx", "A 31012-2019")</f>
        <v/>
      </c>
      <c r="W232">
        <f>HYPERLINK("https://klasma.github.io/Logging_2482/klagomålsmail/A 31012-2019 FSC-klagomål mail.docx", "A 31012-2019")</f>
        <v/>
      </c>
      <c r="X232">
        <f>HYPERLINK("https://klasma.github.io/Logging_2482/tillsyn/A 31012-2019 tillsynsbegäran.docx", "A 31012-2019")</f>
        <v/>
      </c>
      <c r="Y232">
        <f>HYPERLINK("https://klasma.github.io/Logging_2482/tillsynsmail/A 31012-2019 tillsynsbegäran mail.docx", "A 31012-2019")</f>
        <v/>
      </c>
    </row>
    <row r="233" ht="15" customHeight="1">
      <c r="A233" t="inlineStr">
        <is>
          <t>A 31500-2019</t>
        </is>
      </c>
      <c r="B233" s="1" t="n">
        <v>43641</v>
      </c>
      <c r="C233" s="1" t="n">
        <v>45472</v>
      </c>
      <c r="D233" t="inlineStr">
        <is>
          <t>VÄSTERBOTTENS LÄN</t>
        </is>
      </c>
      <c r="E233" t="inlineStr">
        <is>
          <t>SKELLEFTEÅ</t>
        </is>
      </c>
      <c r="F233" t="inlineStr">
        <is>
          <t>Holmen skog AB</t>
        </is>
      </c>
      <c r="G233" t="n">
        <v>1.5</v>
      </c>
      <c r="H233" t="n">
        <v>0</v>
      </c>
      <c r="I233" t="n">
        <v>0</v>
      </c>
      <c r="J233" t="n">
        <v>0</v>
      </c>
      <c r="K233" t="n">
        <v>0</v>
      </c>
      <c r="L233" t="n">
        <v>0</v>
      </c>
      <c r="M233" t="n">
        <v>0</v>
      </c>
      <c r="N233" t="n">
        <v>0</v>
      </c>
      <c r="O233" t="n">
        <v>0</v>
      </c>
      <c r="P233" t="n">
        <v>0</v>
      </c>
      <c r="Q233" t="n">
        <v>0</v>
      </c>
      <c r="R233" s="2" t="inlineStr"/>
    </row>
    <row r="234" ht="15" customHeight="1">
      <c r="A234" t="inlineStr">
        <is>
          <t>A 31322-2019</t>
        </is>
      </c>
      <c r="B234" s="1" t="n">
        <v>43641</v>
      </c>
      <c r="C234" s="1" t="n">
        <v>45472</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31629-2019</t>
        </is>
      </c>
      <c r="B235" s="1" t="n">
        <v>43642</v>
      </c>
      <c r="C235" s="1" t="n">
        <v>45472</v>
      </c>
      <c r="D235" t="inlineStr">
        <is>
          <t>VÄSTERBOTTENS LÄN</t>
        </is>
      </c>
      <c r="E235" t="inlineStr">
        <is>
          <t>SKELLEFTEÅ</t>
        </is>
      </c>
      <c r="F235" t="inlineStr">
        <is>
          <t>Holmen skog AB</t>
        </is>
      </c>
      <c r="G235" t="n">
        <v>6.6</v>
      </c>
      <c r="H235" t="n">
        <v>0</v>
      </c>
      <c r="I235" t="n">
        <v>0</v>
      </c>
      <c r="J235" t="n">
        <v>0</v>
      </c>
      <c r="K235" t="n">
        <v>0</v>
      </c>
      <c r="L235" t="n">
        <v>0</v>
      </c>
      <c r="M235" t="n">
        <v>0</v>
      </c>
      <c r="N235" t="n">
        <v>0</v>
      </c>
      <c r="O235" t="n">
        <v>0</v>
      </c>
      <c r="P235" t="n">
        <v>0</v>
      </c>
      <c r="Q235" t="n">
        <v>0</v>
      </c>
      <c r="R235" s="2" t="inlineStr"/>
    </row>
    <row r="236" ht="15" customHeight="1">
      <c r="A236" t="inlineStr">
        <is>
          <t>A 32239-2019</t>
        </is>
      </c>
      <c r="B236" s="1" t="n">
        <v>43644</v>
      </c>
      <c r="C236" s="1" t="n">
        <v>45472</v>
      </c>
      <c r="D236" t="inlineStr">
        <is>
          <t>VÄSTERBOTTENS LÄN</t>
        </is>
      </c>
      <c r="E236" t="inlineStr">
        <is>
          <t>SKELLEFTEÅ</t>
        </is>
      </c>
      <c r="F236" t="inlineStr">
        <is>
          <t>Kyrkan</t>
        </is>
      </c>
      <c r="G236" t="n">
        <v>5.2</v>
      </c>
      <c r="H236" t="n">
        <v>0</v>
      </c>
      <c r="I236" t="n">
        <v>0</v>
      </c>
      <c r="J236" t="n">
        <v>0</v>
      </c>
      <c r="K236" t="n">
        <v>0</v>
      </c>
      <c r="L236" t="n">
        <v>0</v>
      </c>
      <c r="M236" t="n">
        <v>0</v>
      </c>
      <c r="N236" t="n">
        <v>0</v>
      </c>
      <c r="O236" t="n">
        <v>0</v>
      </c>
      <c r="P236" t="n">
        <v>0</v>
      </c>
      <c r="Q236" t="n">
        <v>0</v>
      </c>
      <c r="R236" s="2" t="inlineStr"/>
    </row>
    <row r="237" ht="15" customHeight="1">
      <c r="A237" t="inlineStr">
        <is>
          <t>A 32343-2019</t>
        </is>
      </c>
      <c r="B237" s="1" t="n">
        <v>43644</v>
      </c>
      <c r="C237" s="1" t="n">
        <v>45472</v>
      </c>
      <c r="D237" t="inlineStr">
        <is>
          <t>VÄSTERBOTTENS LÄN</t>
        </is>
      </c>
      <c r="E237" t="inlineStr">
        <is>
          <t>SKELLEFTEÅ</t>
        </is>
      </c>
      <c r="F237" t="inlineStr">
        <is>
          <t>Holmen skog AB</t>
        </is>
      </c>
      <c r="G237" t="n">
        <v>12.8</v>
      </c>
      <c r="H237" t="n">
        <v>0</v>
      </c>
      <c r="I237" t="n">
        <v>0</v>
      </c>
      <c r="J237" t="n">
        <v>0</v>
      </c>
      <c r="K237" t="n">
        <v>0</v>
      </c>
      <c r="L237" t="n">
        <v>0</v>
      </c>
      <c r="M237" t="n">
        <v>0</v>
      </c>
      <c r="N237" t="n">
        <v>0</v>
      </c>
      <c r="O237" t="n">
        <v>0</v>
      </c>
      <c r="P237" t="n">
        <v>0</v>
      </c>
      <c r="Q237" t="n">
        <v>0</v>
      </c>
      <c r="R237" s="2" t="inlineStr"/>
    </row>
    <row r="238" ht="15" customHeight="1">
      <c r="A238" t="inlineStr">
        <is>
          <t>A 32606-2019</t>
        </is>
      </c>
      <c r="B238" s="1" t="n">
        <v>43647</v>
      </c>
      <c r="C238" s="1" t="n">
        <v>45472</v>
      </c>
      <c r="D238" t="inlineStr">
        <is>
          <t>VÄSTERBOTTENS LÄN</t>
        </is>
      </c>
      <c r="E238" t="inlineStr">
        <is>
          <t>SKELLEFTEÅ</t>
        </is>
      </c>
      <c r="F238" t="inlineStr">
        <is>
          <t>Holmen skog AB</t>
        </is>
      </c>
      <c r="G238" t="n">
        <v>7.3</v>
      </c>
      <c r="H238" t="n">
        <v>0</v>
      </c>
      <c r="I238" t="n">
        <v>0</v>
      </c>
      <c r="J238" t="n">
        <v>0</v>
      </c>
      <c r="K238" t="n">
        <v>0</v>
      </c>
      <c r="L238" t="n">
        <v>0</v>
      </c>
      <c r="M238" t="n">
        <v>0</v>
      </c>
      <c r="N238" t="n">
        <v>0</v>
      </c>
      <c r="O238" t="n">
        <v>0</v>
      </c>
      <c r="P238" t="n">
        <v>0</v>
      </c>
      <c r="Q238" t="n">
        <v>0</v>
      </c>
      <c r="R238" s="2" t="inlineStr"/>
    </row>
    <row r="239" ht="15" customHeight="1">
      <c r="A239" t="inlineStr">
        <is>
          <t>A 34575-2019</t>
        </is>
      </c>
      <c r="B239" s="1" t="n">
        <v>43647</v>
      </c>
      <c r="C239" s="1" t="n">
        <v>45472</v>
      </c>
      <c r="D239" t="inlineStr">
        <is>
          <t>VÄSTERBOTTENS LÄN</t>
        </is>
      </c>
      <c r="E239" t="inlineStr">
        <is>
          <t>SKELLEFTEÅ</t>
        </is>
      </c>
      <c r="G239" t="n">
        <v>1.8</v>
      </c>
      <c r="H239" t="n">
        <v>0</v>
      </c>
      <c r="I239" t="n">
        <v>0</v>
      </c>
      <c r="J239" t="n">
        <v>0</v>
      </c>
      <c r="K239" t="n">
        <v>0</v>
      </c>
      <c r="L239" t="n">
        <v>0</v>
      </c>
      <c r="M239" t="n">
        <v>0</v>
      </c>
      <c r="N239" t="n">
        <v>0</v>
      </c>
      <c r="O239" t="n">
        <v>0</v>
      </c>
      <c r="P239" t="n">
        <v>0</v>
      </c>
      <c r="Q239" t="n">
        <v>0</v>
      </c>
      <c r="R239" s="2" t="inlineStr"/>
    </row>
    <row r="240" ht="15" customHeight="1">
      <c r="A240" t="inlineStr">
        <is>
          <t>A 34645-2019</t>
        </is>
      </c>
      <c r="B240" s="1" t="n">
        <v>43647</v>
      </c>
      <c r="C240" s="1" t="n">
        <v>45472</v>
      </c>
      <c r="D240" t="inlineStr">
        <is>
          <t>VÄSTERBOTTENS LÄN</t>
        </is>
      </c>
      <c r="E240" t="inlineStr">
        <is>
          <t>SKELLEFTEÅ</t>
        </is>
      </c>
      <c r="G240" t="n">
        <v>2</v>
      </c>
      <c r="H240" t="n">
        <v>0</v>
      </c>
      <c r="I240" t="n">
        <v>0</v>
      </c>
      <c r="J240" t="n">
        <v>0</v>
      </c>
      <c r="K240" t="n">
        <v>0</v>
      </c>
      <c r="L240" t="n">
        <v>0</v>
      </c>
      <c r="M240" t="n">
        <v>0</v>
      </c>
      <c r="N240" t="n">
        <v>0</v>
      </c>
      <c r="O240" t="n">
        <v>0</v>
      </c>
      <c r="P240" t="n">
        <v>0</v>
      </c>
      <c r="Q240" t="n">
        <v>0</v>
      </c>
      <c r="R240" s="2" t="inlineStr"/>
    </row>
    <row r="241" ht="15" customHeight="1">
      <c r="A241" t="inlineStr">
        <is>
          <t>A 32679-2019</t>
        </is>
      </c>
      <c r="B241" s="1" t="n">
        <v>43647</v>
      </c>
      <c r="C241" s="1" t="n">
        <v>45472</v>
      </c>
      <c r="D241" t="inlineStr">
        <is>
          <t>VÄSTERBOTTENS LÄN</t>
        </is>
      </c>
      <c r="E241" t="inlineStr">
        <is>
          <t>SKELLEFTEÅ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34627-2019</t>
        </is>
      </c>
      <c r="B242" s="1" t="n">
        <v>43647</v>
      </c>
      <c r="C242" s="1" t="n">
        <v>45472</v>
      </c>
      <c r="D242" t="inlineStr">
        <is>
          <t>VÄSTERBOTTENS LÄN</t>
        </is>
      </c>
      <c r="E242" t="inlineStr">
        <is>
          <t>SKELLEFTEÅ</t>
        </is>
      </c>
      <c r="G242" t="n">
        <v>11.6</v>
      </c>
      <c r="H242" t="n">
        <v>0</v>
      </c>
      <c r="I242" t="n">
        <v>0</v>
      </c>
      <c r="J242" t="n">
        <v>0</v>
      </c>
      <c r="K242" t="n">
        <v>0</v>
      </c>
      <c r="L242" t="n">
        <v>0</v>
      </c>
      <c r="M242" t="n">
        <v>0</v>
      </c>
      <c r="N242" t="n">
        <v>0</v>
      </c>
      <c r="O242" t="n">
        <v>0</v>
      </c>
      <c r="P242" t="n">
        <v>0</v>
      </c>
      <c r="Q242" t="n">
        <v>0</v>
      </c>
      <c r="R242" s="2" t="inlineStr"/>
    </row>
    <row r="243" ht="15" customHeight="1">
      <c r="A243" t="inlineStr">
        <is>
          <t>A 32772-2019</t>
        </is>
      </c>
      <c r="B243" s="1" t="n">
        <v>43648</v>
      </c>
      <c r="C243" s="1" t="n">
        <v>45472</v>
      </c>
      <c r="D243" t="inlineStr">
        <is>
          <t>VÄSTERBOTTENS LÄN</t>
        </is>
      </c>
      <c r="E243" t="inlineStr">
        <is>
          <t>SKELLEFTEÅ</t>
        </is>
      </c>
      <c r="G243" t="n">
        <v>2.3</v>
      </c>
      <c r="H243" t="n">
        <v>0</v>
      </c>
      <c r="I243" t="n">
        <v>0</v>
      </c>
      <c r="J243" t="n">
        <v>0</v>
      </c>
      <c r="K243" t="n">
        <v>0</v>
      </c>
      <c r="L243" t="n">
        <v>0</v>
      </c>
      <c r="M243" t="n">
        <v>0</v>
      </c>
      <c r="N243" t="n">
        <v>0</v>
      </c>
      <c r="O243" t="n">
        <v>0</v>
      </c>
      <c r="P243" t="n">
        <v>0</v>
      </c>
      <c r="Q243" t="n">
        <v>0</v>
      </c>
      <c r="R243" s="2" t="inlineStr"/>
    </row>
    <row r="244" ht="15" customHeight="1">
      <c r="A244" t="inlineStr">
        <is>
          <t>A 32866-2019</t>
        </is>
      </c>
      <c r="B244" s="1" t="n">
        <v>43648</v>
      </c>
      <c r="C244" s="1" t="n">
        <v>45472</v>
      </c>
      <c r="D244" t="inlineStr">
        <is>
          <t>VÄSTERBOTTENS LÄN</t>
        </is>
      </c>
      <c r="E244" t="inlineStr">
        <is>
          <t>SKELLEFTEÅ</t>
        </is>
      </c>
      <c r="G244" t="n">
        <v>5.7</v>
      </c>
      <c r="H244" t="n">
        <v>0</v>
      </c>
      <c r="I244" t="n">
        <v>0</v>
      </c>
      <c r="J244" t="n">
        <v>0</v>
      </c>
      <c r="K244" t="n">
        <v>0</v>
      </c>
      <c r="L244" t="n">
        <v>0</v>
      </c>
      <c r="M244" t="n">
        <v>0</v>
      </c>
      <c r="N244" t="n">
        <v>0</v>
      </c>
      <c r="O244" t="n">
        <v>0</v>
      </c>
      <c r="P244" t="n">
        <v>0</v>
      </c>
      <c r="Q244" t="n">
        <v>0</v>
      </c>
      <c r="R244" s="2" t="inlineStr"/>
    </row>
    <row r="245" ht="15" customHeight="1">
      <c r="A245" t="inlineStr">
        <is>
          <t>A 34685-2019</t>
        </is>
      </c>
      <c r="B245" s="1" t="n">
        <v>43648</v>
      </c>
      <c r="C245" s="1" t="n">
        <v>45472</v>
      </c>
      <c r="D245" t="inlineStr">
        <is>
          <t>VÄSTERBOTTENS LÄN</t>
        </is>
      </c>
      <c r="E245" t="inlineStr">
        <is>
          <t>SKELLEFTEÅ</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33063-2019</t>
        </is>
      </c>
      <c r="B246" s="1" t="n">
        <v>43649</v>
      </c>
      <c r="C246" s="1" t="n">
        <v>45472</v>
      </c>
      <c r="D246" t="inlineStr">
        <is>
          <t>VÄSTERBOTTENS LÄN</t>
        </is>
      </c>
      <c r="E246" t="inlineStr">
        <is>
          <t>SKELLEFTEÅ</t>
        </is>
      </c>
      <c r="G246" t="n">
        <v>2.3</v>
      </c>
      <c r="H246" t="n">
        <v>0</v>
      </c>
      <c r="I246" t="n">
        <v>0</v>
      </c>
      <c r="J246" t="n">
        <v>0</v>
      </c>
      <c r="K246" t="n">
        <v>0</v>
      </c>
      <c r="L246" t="n">
        <v>0</v>
      </c>
      <c r="M246" t="n">
        <v>0</v>
      </c>
      <c r="N246" t="n">
        <v>0</v>
      </c>
      <c r="O246" t="n">
        <v>0</v>
      </c>
      <c r="P246" t="n">
        <v>0</v>
      </c>
      <c r="Q246" t="n">
        <v>0</v>
      </c>
      <c r="R246" s="2" t="inlineStr"/>
    </row>
    <row r="247" ht="15" customHeight="1">
      <c r="A247" t="inlineStr">
        <is>
          <t>A 33058-2019</t>
        </is>
      </c>
      <c r="B247" s="1" t="n">
        <v>43649</v>
      </c>
      <c r="C247" s="1" t="n">
        <v>45472</v>
      </c>
      <c r="D247" t="inlineStr">
        <is>
          <t>VÄSTERBOTTENS LÄN</t>
        </is>
      </c>
      <c r="E247" t="inlineStr">
        <is>
          <t>SKELLEFTEÅ</t>
        </is>
      </c>
      <c r="G247" t="n">
        <v>2.7</v>
      </c>
      <c r="H247" t="n">
        <v>0</v>
      </c>
      <c r="I247" t="n">
        <v>0</v>
      </c>
      <c r="J247" t="n">
        <v>0</v>
      </c>
      <c r="K247" t="n">
        <v>0</v>
      </c>
      <c r="L247" t="n">
        <v>0</v>
      </c>
      <c r="M247" t="n">
        <v>0</v>
      </c>
      <c r="N247" t="n">
        <v>0</v>
      </c>
      <c r="O247" t="n">
        <v>0</v>
      </c>
      <c r="P247" t="n">
        <v>0</v>
      </c>
      <c r="Q247" t="n">
        <v>0</v>
      </c>
      <c r="R247" s="2" t="inlineStr"/>
    </row>
    <row r="248" ht="15" customHeight="1">
      <c r="A248" t="inlineStr">
        <is>
          <t>A 34894-2019</t>
        </is>
      </c>
      <c r="B248" s="1" t="n">
        <v>43649</v>
      </c>
      <c r="C248" s="1" t="n">
        <v>45472</v>
      </c>
      <c r="D248" t="inlineStr">
        <is>
          <t>VÄSTERBOTTENS LÄN</t>
        </is>
      </c>
      <c r="E248" t="inlineStr">
        <is>
          <t>SKELLEFTEÅ</t>
        </is>
      </c>
      <c r="G248" t="n">
        <v>20.4</v>
      </c>
      <c r="H248" t="n">
        <v>0</v>
      </c>
      <c r="I248" t="n">
        <v>0</v>
      </c>
      <c r="J248" t="n">
        <v>0</v>
      </c>
      <c r="K248" t="n">
        <v>0</v>
      </c>
      <c r="L248" t="n">
        <v>0</v>
      </c>
      <c r="M248" t="n">
        <v>0</v>
      </c>
      <c r="N248" t="n">
        <v>0</v>
      </c>
      <c r="O248" t="n">
        <v>0</v>
      </c>
      <c r="P248" t="n">
        <v>0</v>
      </c>
      <c r="Q248" t="n">
        <v>0</v>
      </c>
      <c r="R248" s="2" t="inlineStr"/>
    </row>
    <row r="249" ht="15" customHeight="1">
      <c r="A249" t="inlineStr">
        <is>
          <t>A 33193-2019</t>
        </is>
      </c>
      <c r="B249" s="1" t="n">
        <v>43649</v>
      </c>
      <c r="C249" s="1" t="n">
        <v>45472</v>
      </c>
      <c r="D249" t="inlineStr">
        <is>
          <t>VÄSTERBOTTENS LÄN</t>
        </is>
      </c>
      <c r="E249" t="inlineStr">
        <is>
          <t>SKELLEFTEÅ</t>
        </is>
      </c>
      <c r="G249" t="n">
        <v>3.1</v>
      </c>
      <c r="H249" t="n">
        <v>0</v>
      </c>
      <c r="I249" t="n">
        <v>0</v>
      </c>
      <c r="J249" t="n">
        <v>0</v>
      </c>
      <c r="K249" t="n">
        <v>0</v>
      </c>
      <c r="L249" t="n">
        <v>0</v>
      </c>
      <c r="M249" t="n">
        <v>0</v>
      </c>
      <c r="N249" t="n">
        <v>0</v>
      </c>
      <c r="O249" t="n">
        <v>0</v>
      </c>
      <c r="P249" t="n">
        <v>0</v>
      </c>
      <c r="Q249" t="n">
        <v>0</v>
      </c>
      <c r="R249" s="2" t="inlineStr"/>
    </row>
    <row r="250" ht="15" customHeight="1">
      <c r="A250" t="inlineStr">
        <is>
          <t>A 34906-2019</t>
        </is>
      </c>
      <c r="B250" s="1" t="n">
        <v>43649</v>
      </c>
      <c r="C250" s="1" t="n">
        <v>45472</v>
      </c>
      <c r="D250" t="inlineStr">
        <is>
          <t>VÄSTERBOTTENS LÄN</t>
        </is>
      </c>
      <c r="E250" t="inlineStr">
        <is>
          <t>SKELLEFTEÅ</t>
        </is>
      </c>
      <c r="G250" t="n">
        <v>1.1</v>
      </c>
      <c r="H250" t="n">
        <v>0</v>
      </c>
      <c r="I250" t="n">
        <v>0</v>
      </c>
      <c r="J250" t="n">
        <v>0</v>
      </c>
      <c r="K250" t="n">
        <v>0</v>
      </c>
      <c r="L250" t="n">
        <v>0</v>
      </c>
      <c r="M250" t="n">
        <v>0</v>
      </c>
      <c r="N250" t="n">
        <v>0</v>
      </c>
      <c r="O250" t="n">
        <v>0</v>
      </c>
      <c r="P250" t="n">
        <v>0</v>
      </c>
      <c r="Q250" t="n">
        <v>0</v>
      </c>
      <c r="R250" s="2" t="inlineStr"/>
    </row>
    <row r="251" ht="15" customHeight="1">
      <c r="A251" t="inlineStr">
        <is>
          <t>A 35229-2019</t>
        </is>
      </c>
      <c r="B251" s="1" t="n">
        <v>43650</v>
      </c>
      <c r="C251" s="1" t="n">
        <v>45472</v>
      </c>
      <c r="D251" t="inlineStr">
        <is>
          <t>VÄSTERBOTTENS LÄN</t>
        </is>
      </c>
      <c r="E251" t="inlineStr">
        <is>
          <t>SKELLEFTEÅ</t>
        </is>
      </c>
      <c r="G251" t="n">
        <v>1.2</v>
      </c>
      <c r="H251" t="n">
        <v>0</v>
      </c>
      <c r="I251" t="n">
        <v>0</v>
      </c>
      <c r="J251" t="n">
        <v>0</v>
      </c>
      <c r="K251" t="n">
        <v>0</v>
      </c>
      <c r="L251" t="n">
        <v>0</v>
      </c>
      <c r="M251" t="n">
        <v>0</v>
      </c>
      <c r="N251" t="n">
        <v>0</v>
      </c>
      <c r="O251" t="n">
        <v>0</v>
      </c>
      <c r="P251" t="n">
        <v>0</v>
      </c>
      <c r="Q251" t="n">
        <v>0</v>
      </c>
      <c r="R251" s="2" t="inlineStr"/>
    </row>
    <row r="252" ht="15" customHeight="1">
      <c r="A252" t="inlineStr">
        <is>
          <t>A 35445-2019</t>
        </is>
      </c>
      <c r="B252" s="1" t="n">
        <v>43651</v>
      </c>
      <c r="C252" s="1" t="n">
        <v>45472</v>
      </c>
      <c r="D252" t="inlineStr">
        <is>
          <t>VÄSTERBOTTENS LÄN</t>
        </is>
      </c>
      <c r="E252" t="inlineStr">
        <is>
          <t>SKELLEFTEÅ</t>
        </is>
      </c>
      <c r="G252" t="n">
        <v>1.4</v>
      </c>
      <c r="H252" t="n">
        <v>0</v>
      </c>
      <c r="I252" t="n">
        <v>0</v>
      </c>
      <c r="J252" t="n">
        <v>0</v>
      </c>
      <c r="K252" t="n">
        <v>0</v>
      </c>
      <c r="L252" t="n">
        <v>0</v>
      </c>
      <c r="M252" t="n">
        <v>0</v>
      </c>
      <c r="N252" t="n">
        <v>0</v>
      </c>
      <c r="O252" t="n">
        <v>0</v>
      </c>
      <c r="P252" t="n">
        <v>0</v>
      </c>
      <c r="Q252" t="n">
        <v>0</v>
      </c>
      <c r="R252" s="2" t="inlineStr"/>
    </row>
    <row r="253" ht="15" customHeight="1">
      <c r="A253" t="inlineStr">
        <is>
          <t>A 35452-2019</t>
        </is>
      </c>
      <c r="B253" s="1" t="n">
        <v>43651</v>
      </c>
      <c r="C253" s="1" t="n">
        <v>45472</v>
      </c>
      <c r="D253" t="inlineStr">
        <is>
          <t>VÄSTERBOTTENS LÄN</t>
        </is>
      </c>
      <c r="E253" t="inlineStr">
        <is>
          <t>SKELLEFTEÅ</t>
        </is>
      </c>
      <c r="G253" t="n">
        <v>1.6</v>
      </c>
      <c r="H253" t="n">
        <v>0</v>
      </c>
      <c r="I253" t="n">
        <v>0</v>
      </c>
      <c r="J253" t="n">
        <v>0</v>
      </c>
      <c r="K253" t="n">
        <v>0</v>
      </c>
      <c r="L253" t="n">
        <v>0</v>
      </c>
      <c r="M253" t="n">
        <v>0</v>
      </c>
      <c r="N253" t="n">
        <v>0</v>
      </c>
      <c r="O253" t="n">
        <v>0</v>
      </c>
      <c r="P253" t="n">
        <v>0</v>
      </c>
      <c r="Q253" t="n">
        <v>0</v>
      </c>
      <c r="R253" s="2" t="inlineStr"/>
    </row>
    <row r="254" ht="15" customHeight="1">
      <c r="A254" t="inlineStr">
        <is>
          <t>A 33888-2019</t>
        </is>
      </c>
      <c r="B254" s="1" t="n">
        <v>43653</v>
      </c>
      <c r="C254" s="1" t="n">
        <v>45472</v>
      </c>
      <c r="D254" t="inlineStr">
        <is>
          <t>VÄSTERBOTTENS LÄN</t>
        </is>
      </c>
      <c r="E254" t="inlineStr">
        <is>
          <t>SKELLEFTEÅ</t>
        </is>
      </c>
      <c r="G254" t="n">
        <v>1.5</v>
      </c>
      <c r="H254" t="n">
        <v>0</v>
      </c>
      <c r="I254" t="n">
        <v>0</v>
      </c>
      <c r="J254" t="n">
        <v>0</v>
      </c>
      <c r="K254" t="n">
        <v>0</v>
      </c>
      <c r="L254" t="n">
        <v>0</v>
      </c>
      <c r="M254" t="n">
        <v>0</v>
      </c>
      <c r="N254" t="n">
        <v>0</v>
      </c>
      <c r="O254" t="n">
        <v>0</v>
      </c>
      <c r="P254" t="n">
        <v>0</v>
      </c>
      <c r="Q254" t="n">
        <v>0</v>
      </c>
      <c r="R254" s="2" t="inlineStr"/>
    </row>
    <row r="255" ht="15" customHeight="1">
      <c r="A255" t="inlineStr">
        <is>
          <t>A 34089-2019</t>
        </is>
      </c>
      <c r="B255" s="1" t="n">
        <v>43654</v>
      </c>
      <c r="C255" s="1" t="n">
        <v>45472</v>
      </c>
      <c r="D255" t="inlineStr">
        <is>
          <t>VÄSTERBOTTENS LÄN</t>
        </is>
      </c>
      <c r="E255" t="inlineStr">
        <is>
          <t>SKELLEFTEÅ</t>
        </is>
      </c>
      <c r="F255" t="inlineStr">
        <is>
          <t>Holmen skog AB</t>
        </is>
      </c>
      <c r="G255" t="n">
        <v>20.9</v>
      </c>
      <c r="H255" t="n">
        <v>0</v>
      </c>
      <c r="I255" t="n">
        <v>0</v>
      </c>
      <c r="J255" t="n">
        <v>0</v>
      </c>
      <c r="K255" t="n">
        <v>0</v>
      </c>
      <c r="L255" t="n">
        <v>0</v>
      </c>
      <c r="M255" t="n">
        <v>0</v>
      </c>
      <c r="N255" t="n">
        <v>0</v>
      </c>
      <c r="O255" t="n">
        <v>0</v>
      </c>
      <c r="P255" t="n">
        <v>0</v>
      </c>
      <c r="Q255" t="n">
        <v>0</v>
      </c>
      <c r="R255" s="2" t="inlineStr"/>
    </row>
    <row r="256" ht="15" customHeight="1">
      <c r="A256" t="inlineStr">
        <is>
          <t>A 34253-2019</t>
        </is>
      </c>
      <c r="B256" s="1" t="n">
        <v>43655</v>
      </c>
      <c r="C256" s="1" t="n">
        <v>45472</v>
      </c>
      <c r="D256" t="inlineStr">
        <is>
          <t>VÄSTERBOTTENS LÄN</t>
        </is>
      </c>
      <c r="E256" t="inlineStr">
        <is>
          <t>SKELLEFTEÅ</t>
        </is>
      </c>
      <c r="F256" t="inlineStr">
        <is>
          <t>Holmen skog AB</t>
        </is>
      </c>
      <c r="G256" t="n">
        <v>18.9</v>
      </c>
      <c r="H256" t="n">
        <v>0</v>
      </c>
      <c r="I256" t="n">
        <v>0</v>
      </c>
      <c r="J256" t="n">
        <v>0</v>
      </c>
      <c r="K256" t="n">
        <v>0</v>
      </c>
      <c r="L256" t="n">
        <v>0</v>
      </c>
      <c r="M256" t="n">
        <v>0</v>
      </c>
      <c r="N256" t="n">
        <v>0</v>
      </c>
      <c r="O256" t="n">
        <v>0</v>
      </c>
      <c r="P256" t="n">
        <v>0</v>
      </c>
      <c r="Q256" t="n">
        <v>0</v>
      </c>
      <c r="R256" s="2" t="inlineStr"/>
    </row>
    <row r="257" ht="15" customHeight="1">
      <c r="A257" t="inlineStr">
        <is>
          <t>A 34939-2019</t>
        </is>
      </c>
      <c r="B257" s="1" t="n">
        <v>43658</v>
      </c>
      <c r="C257" s="1" t="n">
        <v>45472</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34997-2019</t>
        </is>
      </c>
      <c r="B258" s="1" t="n">
        <v>43660</v>
      </c>
      <c r="C258" s="1" t="n">
        <v>45472</v>
      </c>
      <c r="D258" t="inlineStr">
        <is>
          <t>VÄSTERBOTTENS LÄN</t>
        </is>
      </c>
      <c r="E258" t="inlineStr">
        <is>
          <t>SKELLEFTEÅ</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35084-2019</t>
        </is>
      </c>
      <c r="B259" s="1" t="n">
        <v>43661</v>
      </c>
      <c r="C259" s="1" t="n">
        <v>45472</v>
      </c>
      <c r="D259" t="inlineStr">
        <is>
          <t>VÄSTERBOTTENS LÄN</t>
        </is>
      </c>
      <c r="E259" t="inlineStr">
        <is>
          <t>SKELLEFTEÅ</t>
        </is>
      </c>
      <c r="F259" t="inlineStr">
        <is>
          <t>Sveaskog</t>
        </is>
      </c>
      <c r="G259" t="n">
        <v>8.4</v>
      </c>
      <c r="H259" t="n">
        <v>0</v>
      </c>
      <c r="I259" t="n">
        <v>0</v>
      </c>
      <c r="J259" t="n">
        <v>0</v>
      </c>
      <c r="K259" t="n">
        <v>0</v>
      </c>
      <c r="L259" t="n">
        <v>0</v>
      </c>
      <c r="M259" t="n">
        <v>0</v>
      </c>
      <c r="N259" t="n">
        <v>0</v>
      </c>
      <c r="O259" t="n">
        <v>0</v>
      </c>
      <c r="P259" t="n">
        <v>0</v>
      </c>
      <c r="Q259" t="n">
        <v>0</v>
      </c>
      <c r="R259" s="2" t="inlineStr"/>
    </row>
    <row r="260" ht="15" customHeight="1">
      <c r="A260" t="inlineStr">
        <is>
          <t>A 35075-2019</t>
        </is>
      </c>
      <c r="B260" s="1" t="n">
        <v>43661</v>
      </c>
      <c r="C260" s="1" t="n">
        <v>45472</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35104-2019</t>
        </is>
      </c>
      <c r="B261" s="1" t="n">
        <v>43661</v>
      </c>
      <c r="C261" s="1" t="n">
        <v>45472</v>
      </c>
      <c r="D261" t="inlineStr">
        <is>
          <t>VÄSTERBOTTENS LÄN</t>
        </is>
      </c>
      <c r="E261" t="inlineStr">
        <is>
          <t>SKELLEFTEÅ</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35120-2019</t>
        </is>
      </c>
      <c r="B262" s="1" t="n">
        <v>43661</v>
      </c>
      <c r="C262" s="1" t="n">
        <v>45472</v>
      </c>
      <c r="D262" t="inlineStr">
        <is>
          <t>VÄSTERBOTTENS LÄN</t>
        </is>
      </c>
      <c r="E262" t="inlineStr">
        <is>
          <t>SKELLEFTEÅ</t>
        </is>
      </c>
      <c r="F262" t="inlineStr">
        <is>
          <t>Sveaskog</t>
        </is>
      </c>
      <c r="G262" t="n">
        <v>7.1</v>
      </c>
      <c r="H262" t="n">
        <v>0</v>
      </c>
      <c r="I262" t="n">
        <v>0</v>
      </c>
      <c r="J262" t="n">
        <v>0</v>
      </c>
      <c r="K262" t="n">
        <v>0</v>
      </c>
      <c r="L262" t="n">
        <v>0</v>
      </c>
      <c r="M262" t="n">
        <v>0</v>
      </c>
      <c r="N262" t="n">
        <v>0</v>
      </c>
      <c r="O262" t="n">
        <v>0</v>
      </c>
      <c r="P262" t="n">
        <v>0</v>
      </c>
      <c r="Q262" t="n">
        <v>0</v>
      </c>
      <c r="R262" s="2" t="inlineStr"/>
    </row>
    <row r="263" ht="15" customHeight="1">
      <c r="A263" t="inlineStr">
        <is>
          <t>A 35073-2019</t>
        </is>
      </c>
      <c r="B263" s="1" t="n">
        <v>43661</v>
      </c>
      <c r="C263" s="1" t="n">
        <v>45472</v>
      </c>
      <c r="D263" t="inlineStr">
        <is>
          <t>VÄSTERBOTTENS LÄN</t>
        </is>
      </c>
      <c r="E263" t="inlineStr">
        <is>
          <t>SKELLEFTEÅ</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35080-2019</t>
        </is>
      </c>
      <c r="B264" s="1" t="n">
        <v>43661</v>
      </c>
      <c r="C264" s="1" t="n">
        <v>45472</v>
      </c>
      <c r="D264" t="inlineStr">
        <is>
          <t>VÄSTERBOTTENS LÄN</t>
        </is>
      </c>
      <c r="E264" t="inlineStr">
        <is>
          <t>SKELLEFTEÅ</t>
        </is>
      </c>
      <c r="G264" t="n">
        <v>2.5</v>
      </c>
      <c r="H264" t="n">
        <v>0</v>
      </c>
      <c r="I264" t="n">
        <v>0</v>
      </c>
      <c r="J264" t="n">
        <v>0</v>
      </c>
      <c r="K264" t="n">
        <v>0</v>
      </c>
      <c r="L264" t="n">
        <v>0</v>
      </c>
      <c r="M264" t="n">
        <v>0</v>
      </c>
      <c r="N264" t="n">
        <v>0</v>
      </c>
      <c r="O264" t="n">
        <v>0</v>
      </c>
      <c r="P264" t="n">
        <v>0</v>
      </c>
      <c r="Q264" t="n">
        <v>0</v>
      </c>
      <c r="R264" s="2" t="inlineStr"/>
    </row>
    <row r="265" ht="15" customHeight="1">
      <c r="A265" t="inlineStr">
        <is>
          <t>A 35121-2019</t>
        </is>
      </c>
      <c r="B265" s="1" t="n">
        <v>43661</v>
      </c>
      <c r="C265" s="1" t="n">
        <v>45472</v>
      </c>
      <c r="D265" t="inlineStr">
        <is>
          <t>VÄSTERBOTTENS LÄN</t>
        </is>
      </c>
      <c r="E265" t="inlineStr">
        <is>
          <t>SKELLEFTEÅ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35024-2019</t>
        </is>
      </c>
      <c r="B266" s="1" t="n">
        <v>43661</v>
      </c>
      <c r="C266" s="1" t="n">
        <v>45472</v>
      </c>
      <c r="D266" t="inlineStr">
        <is>
          <t>VÄSTERBOTTENS LÄN</t>
        </is>
      </c>
      <c r="E266" t="inlineStr">
        <is>
          <t>SKELLEFTEÅ</t>
        </is>
      </c>
      <c r="G266" t="n">
        <v>5.3</v>
      </c>
      <c r="H266" t="n">
        <v>0</v>
      </c>
      <c r="I266" t="n">
        <v>0</v>
      </c>
      <c r="J266" t="n">
        <v>0</v>
      </c>
      <c r="K266" t="n">
        <v>0</v>
      </c>
      <c r="L266" t="n">
        <v>0</v>
      </c>
      <c r="M266" t="n">
        <v>0</v>
      </c>
      <c r="N266" t="n">
        <v>0</v>
      </c>
      <c r="O266" t="n">
        <v>0</v>
      </c>
      <c r="P266" t="n">
        <v>0</v>
      </c>
      <c r="Q266" t="n">
        <v>0</v>
      </c>
      <c r="R266" s="2" t="inlineStr"/>
    </row>
    <row r="267" ht="15" customHeight="1">
      <c r="A267" t="inlineStr">
        <is>
          <t>A 35363-2019</t>
        </is>
      </c>
      <c r="B267" s="1" t="n">
        <v>43663</v>
      </c>
      <c r="C267" s="1" t="n">
        <v>45472</v>
      </c>
      <c r="D267" t="inlineStr">
        <is>
          <t>VÄSTERBOTTENS LÄN</t>
        </is>
      </c>
      <c r="E267" t="inlineStr">
        <is>
          <t>SKELLEFTEÅ</t>
        </is>
      </c>
      <c r="F267" t="inlineStr">
        <is>
          <t>Sveaskog</t>
        </is>
      </c>
      <c r="G267" t="n">
        <v>3.3</v>
      </c>
      <c r="H267" t="n">
        <v>0</v>
      </c>
      <c r="I267" t="n">
        <v>0</v>
      </c>
      <c r="J267" t="n">
        <v>0</v>
      </c>
      <c r="K267" t="n">
        <v>0</v>
      </c>
      <c r="L267" t="n">
        <v>0</v>
      </c>
      <c r="M267" t="n">
        <v>0</v>
      </c>
      <c r="N267" t="n">
        <v>0</v>
      </c>
      <c r="O267" t="n">
        <v>0</v>
      </c>
      <c r="P267" t="n">
        <v>0</v>
      </c>
      <c r="Q267" t="n">
        <v>0</v>
      </c>
      <c r="R267" s="2" t="inlineStr"/>
    </row>
    <row r="268" ht="15" customHeight="1">
      <c r="A268" t="inlineStr">
        <is>
          <t>A 35786-2019</t>
        </is>
      </c>
      <c r="B268" s="1" t="n">
        <v>43665</v>
      </c>
      <c r="C268" s="1" t="n">
        <v>45472</v>
      </c>
      <c r="D268" t="inlineStr">
        <is>
          <t>VÄSTERBOTTENS LÄN</t>
        </is>
      </c>
      <c r="E268" t="inlineStr">
        <is>
          <t>SKELLEFTEÅ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36996-2019</t>
        </is>
      </c>
      <c r="B269" s="1" t="n">
        <v>43676</v>
      </c>
      <c r="C269" s="1" t="n">
        <v>45472</v>
      </c>
      <c r="D269" t="inlineStr">
        <is>
          <t>VÄSTERBOTTENS LÄN</t>
        </is>
      </c>
      <c r="E269" t="inlineStr">
        <is>
          <t>SKELLEFTEÅ</t>
        </is>
      </c>
      <c r="F269" t="inlineStr">
        <is>
          <t>Holmen skog AB</t>
        </is>
      </c>
      <c r="G269" t="n">
        <v>2.4</v>
      </c>
      <c r="H269" t="n">
        <v>0</v>
      </c>
      <c r="I269" t="n">
        <v>0</v>
      </c>
      <c r="J269" t="n">
        <v>0</v>
      </c>
      <c r="K269" t="n">
        <v>0</v>
      </c>
      <c r="L269" t="n">
        <v>0</v>
      </c>
      <c r="M269" t="n">
        <v>0</v>
      </c>
      <c r="N269" t="n">
        <v>0</v>
      </c>
      <c r="O269" t="n">
        <v>0</v>
      </c>
      <c r="P269" t="n">
        <v>0</v>
      </c>
      <c r="Q269" t="n">
        <v>0</v>
      </c>
      <c r="R269" s="2" t="inlineStr"/>
    </row>
    <row r="270" ht="15" customHeight="1">
      <c r="A270" t="inlineStr">
        <is>
          <t>A 38674-2019</t>
        </is>
      </c>
      <c r="B270" s="1" t="n">
        <v>43684</v>
      </c>
      <c r="C270" s="1" t="n">
        <v>45472</v>
      </c>
      <c r="D270" t="inlineStr">
        <is>
          <t>VÄSTERBOTTENS LÄN</t>
        </is>
      </c>
      <c r="E270" t="inlineStr">
        <is>
          <t>SKELLEFTEÅ</t>
        </is>
      </c>
      <c r="G270" t="n">
        <v>1.5</v>
      </c>
      <c r="H270" t="n">
        <v>0</v>
      </c>
      <c r="I270" t="n">
        <v>0</v>
      </c>
      <c r="J270" t="n">
        <v>0</v>
      </c>
      <c r="K270" t="n">
        <v>0</v>
      </c>
      <c r="L270" t="n">
        <v>0</v>
      </c>
      <c r="M270" t="n">
        <v>0</v>
      </c>
      <c r="N270" t="n">
        <v>0</v>
      </c>
      <c r="O270" t="n">
        <v>0</v>
      </c>
      <c r="P270" t="n">
        <v>0</v>
      </c>
      <c r="Q270" t="n">
        <v>0</v>
      </c>
      <c r="R270" s="2" t="inlineStr"/>
    </row>
    <row r="271" ht="15" customHeight="1">
      <c r="A271" t="inlineStr">
        <is>
          <t>A 38797-2019</t>
        </is>
      </c>
      <c r="B271" s="1" t="n">
        <v>43688</v>
      </c>
      <c r="C271" s="1" t="n">
        <v>45472</v>
      </c>
      <c r="D271" t="inlineStr">
        <is>
          <t>VÄSTERBOTTENS LÄN</t>
        </is>
      </c>
      <c r="E271" t="inlineStr">
        <is>
          <t>SKELLEFTEÅ</t>
        </is>
      </c>
      <c r="G271" t="n">
        <v>2.1</v>
      </c>
      <c r="H271" t="n">
        <v>0</v>
      </c>
      <c r="I271" t="n">
        <v>0</v>
      </c>
      <c r="J271" t="n">
        <v>0</v>
      </c>
      <c r="K271" t="n">
        <v>0</v>
      </c>
      <c r="L271" t="n">
        <v>0</v>
      </c>
      <c r="M271" t="n">
        <v>0</v>
      </c>
      <c r="N271" t="n">
        <v>0</v>
      </c>
      <c r="O271" t="n">
        <v>0</v>
      </c>
      <c r="P271" t="n">
        <v>0</v>
      </c>
      <c r="Q271" t="n">
        <v>0</v>
      </c>
      <c r="R271" s="2" t="inlineStr"/>
    </row>
    <row r="272" ht="15" customHeight="1">
      <c r="A272" t="inlineStr">
        <is>
          <t>A 39106-2019</t>
        </is>
      </c>
      <c r="B272" s="1" t="n">
        <v>43689</v>
      </c>
      <c r="C272" s="1" t="n">
        <v>45472</v>
      </c>
      <c r="D272" t="inlineStr">
        <is>
          <t>VÄSTERBOTTENS LÄN</t>
        </is>
      </c>
      <c r="E272" t="inlineStr">
        <is>
          <t>SKELLEFTEÅ</t>
        </is>
      </c>
      <c r="F272" t="inlineStr">
        <is>
          <t>Holmen skog AB</t>
        </is>
      </c>
      <c r="G272" t="n">
        <v>5.6</v>
      </c>
      <c r="H272" t="n">
        <v>0</v>
      </c>
      <c r="I272" t="n">
        <v>0</v>
      </c>
      <c r="J272" t="n">
        <v>0</v>
      </c>
      <c r="K272" t="n">
        <v>0</v>
      </c>
      <c r="L272" t="n">
        <v>0</v>
      </c>
      <c r="M272" t="n">
        <v>0</v>
      </c>
      <c r="N272" t="n">
        <v>0</v>
      </c>
      <c r="O272" t="n">
        <v>0</v>
      </c>
      <c r="P272" t="n">
        <v>0</v>
      </c>
      <c r="Q272" t="n">
        <v>0</v>
      </c>
      <c r="R272" s="2" t="inlineStr"/>
    </row>
    <row r="273" ht="15" customHeight="1">
      <c r="A273" t="inlineStr">
        <is>
          <t>A 38973-2019</t>
        </is>
      </c>
      <c r="B273" s="1" t="n">
        <v>43689</v>
      </c>
      <c r="C273" s="1" t="n">
        <v>45472</v>
      </c>
      <c r="D273" t="inlineStr">
        <is>
          <t>VÄSTERBOTTENS LÄN</t>
        </is>
      </c>
      <c r="E273" t="inlineStr">
        <is>
          <t>SKELLEFTEÅ</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40562-2019</t>
        </is>
      </c>
      <c r="B274" s="1" t="n">
        <v>43696</v>
      </c>
      <c r="C274" s="1" t="n">
        <v>45472</v>
      </c>
      <c r="D274" t="inlineStr">
        <is>
          <t>VÄSTERBOTTENS LÄN</t>
        </is>
      </c>
      <c r="E274" t="inlineStr">
        <is>
          <t>SKELLEFTEÅ</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41585-2019</t>
        </is>
      </c>
      <c r="B275" s="1" t="n">
        <v>43696</v>
      </c>
      <c r="C275" s="1" t="n">
        <v>45472</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41648-2019</t>
        </is>
      </c>
      <c r="B276" s="1" t="n">
        <v>43696</v>
      </c>
      <c r="C276" s="1" t="n">
        <v>45472</v>
      </c>
      <c r="D276" t="inlineStr">
        <is>
          <t>VÄSTERBOTTENS LÄN</t>
        </is>
      </c>
      <c r="E276" t="inlineStr">
        <is>
          <t>SKELLEFTEÅ</t>
        </is>
      </c>
      <c r="G276" t="n">
        <v>2.9</v>
      </c>
      <c r="H276" t="n">
        <v>0</v>
      </c>
      <c r="I276" t="n">
        <v>0</v>
      </c>
      <c r="J276" t="n">
        <v>0</v>
      </c>
      <c r="K276" t="n">
        <v>0</v>
      </c>
      <c r="L276" t="n">
        <v>0</v>
      </c>
      <c r="M276" t="n">
        <v>0</v>
      </c>
      <c r="N276" t="n">
        <v>0</v>
      </c>
      <c r="O276" t="n">
        <v>0</v>
      </c>
      <c r="P276" t="n">
        <v>0</v>
      </c>
      <c r="Q276" t="n">
        <v>0</v>
      </c>
      <c r="R276" s="2" t="inlineStr"/>
    </row>
    <row r="277" ht="15" customHeight="1">
      <c r="A277" t="inlineStr">
        <is>
          <t>A 41557-2019</t>
        </is>
      </c>
      <c r="B277" s="1" t="n">
        <v>43696</v>
      </c>
      <c r="C277" s="1" t="n">
        <v>45472</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40744-2019</t>
        </is>
      </c>
      <c r="B278" s="1" t="n">
        <v>43697</v>
      </c>
      <c r="C278" s="1" t="n">
        <v>45472</v>
      </c>
      <c r="D278" t="inlineStr">
        <is>
          <t>VÄSTERBOTTENS LÄN</t>
        </is>
      </c>
      <c r="E278" t="inlineStr">
        <is>
          <t>SKELLEFTEÅ</t>
        </is>
      </c>
      <c r="G278" t="n">
        <v>36.9</v>
      </c>
      <c r="H278" t="n">
        <v>0</v>
      </c>
      <c r="I278" t="n">
        <v>0</v>
      </c>
      <c r="J278" t="n">
        <v>0</v>
      </c>
      <c r="K278" t="n">
        <v>0</v>
      </c>
      <c r="L278" t="n">
        <v>0</v>
      </c>
      <c r="M278" t="n">
        <v>0</v>
      </c>
      <c r="N278" t="n">
        <v>0</v>
      </c>
      <c r="O278" t="n">
        <v>0</v>
      </c>
      <c r="P278" t="n">
        <v>0</v>
      </c>
      <c r="Q278" t="n">
        <v>0</v>
      </c>
      <c r="R278" s="2" t="inlineStr"/>
    </row>
    <row r="279" ht="15" customHeight="1">
      <c r="A279" t="inlineStr">
        <is>
          <t>A 40727-2019</t>
        </is>
      </c>
      <c r="B279" s="1" t="n">
        <v>43697</v>
      </c>
      <c r="C279" s="1" t="n">
        <v>45472</v>
      </c>
      <c r="D279" t="inlineStr">
        <is>
          <t>VÄSTERBOTTENS LÄN</t>
        </is>
      </c>
      <c r="E279" t="inlineStr">
        <is>
          <t>SKELLEFTEÅ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41980-2019</t>
        </is>
      </c>
      <c r="B280" s="1" t="n">
        <v>43700</v>
      </c>
      <c r="C280" s="1" t="n">
        <v>45472</v>
      </c>
      <c r="D280" t="inlineStr">
        <is>
          <t>VÄSTERBOTTENS LÄN</t>
        </is>
      </c>
      <c r="E280" t="inlineStr">
        <is>
          <t>SKELLEFTEÅ</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41826-2019</t>
        </is>
      </c>
      <c r="B281" s="1" t="n">
        <v>43700</v>
      </c>
      <c r="C281" s="1" t="n">
        <v>45472</v>
      </c>
      <c r="D281" t="inlineStr">
        <is>
          <t>VÄSTERBOTTENS LÄN</t>
        </is>
      </c>
      <c r="E281" t="inlineStr">
        <is>
          <t>SKELLEFTEÅ</t>
        </is>
      </c>
      <c r="F281" t="inlineStr">
        <is>
          <t>Holmen skog AB</t>
        </is>
      </c>
      <c r="G281" t="n">
        <v>4.9</v>
      </c>
      <c r="H281" t="n">
        <v>0</v>
      </c>
      <c r="I281" t="n">
        <v>0</v>
      </c>
      <c r="J281" t="n">
        <v>0</v>
      </c>
      <c r="K281" t="n">
        <v>0</v>
      </c>
      <c r="L281" t="n">
        <v>0</v>
      </c>
      <c r="M281" t="n">
        <v>0</v>
      </c>
      <c r="N281" t="n">
        <v>0</v>
      </c>
      <c r="O281" t="n">
        <v>0</v>
      </c>
      <c r="P281" t="n">
        <v>0</v>
      </c>
      <c r="Q281" t="n">
        <v>0</v>
      </c>
      <c r="R281" s="2" t="inlineStr"/>
    </row>
    <row r="282" ht="15" customHeight="1">
      <c r="A282" t="inlineStr">
        <is>
          <t>A 42319-2019</t>
        </is>
      </c>
      <c r="B282" s="1" t="n">
        <v>43703</v>
      </c>
      <c r="C282" s="1" t="n">
        <v>45472</v>
      </c>
      <c r="D282" t="inlineStr">
        <is>
          <t>VÄSTERBOTTENS LÄN</t>
        </is>
      </c>
      <c r="E282" t="inlineStr">
        <is>
          <t>SKELLEFTEÅ</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42435-2019</t>
        </is>
      </c>
      <c r="B283" s="1" t="n">
        <v>43704</v>
      </c>
      <c r="C283" s="1" t="n">
        <v>45472</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42651-2019</t>
        </is>
      </c>
      <c r="B284" s="1" t="n">
        <v>43704</v>
      </c>
      <c r="C284" s="1" t="n">
        <v>45472</v>
      </c>
      <c r="D284" t="inlineStr">
        <is>
          <t>VÄSTERBOTTENS LÄN</t>
        </is>
      </c>
      <c r="E284" t="inlineStr">
        <is>
          <t>SKELLEFTEÅ</t>
        </is>
      </c>
      <c r="F284" t="inlineStr">
        <is>
          <t>Holmen skog AB</t>
        </is>
      </c>
      <c r="G284" t="n">
        <v>2.6</v>
      </c>
      <c r="H284" t="n">
        <v>0</v>
      </c>
      <c r="I284" t="n">
        <v>0</v>
      </c>
      <c r="J284" t="n">
        <v>0</v>
      </c>
      <c r="K284" t="n">
        <v>0</v>
      </c>
      <c r="L284" t="n">
        <v>0</v>
      </c>
      <c r="M284" t="n">
        <v>0</v>
      </c>
      <c r="N284" t="n">
        <v>0</v>
      </c>
      <c r="O284" t="n">
        <v>0</v>
      </c>
      <c r="P284" t="n">
        <v>0</v>
      </c>
      <c r="Q284" t="n">
        <v>0</v>
      </c>
      <c r="R284" s="2" t="inlineStr"/>
    </row>
    <row r="285" ht="15" customHeight="1">
      <c r="A285" t="inlineStr">
        <is>
          <t>A 44461-2019</t>
        </is>
      </c>
      <c r="B285" s="1" t="n">
        <v>43705</v>
      </c>
      <c r="C285" s="1" t="n">
        <v>45472</v>
      </c>
      <c r="D285" t="inlineStr">
        <is>
          <t>VÄSTERBOTTENS LÄN</t>
        </is>
      </c>
      <c r="E285" t="inlineStr">
        <is>
          <t>SKELLEFTEÅ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44486-2019</t>
        </is>
      </c>
      <c r="B286" s="1" t="n">
        <v>43706</v>
      </c>
      <c r="C286" s="1" t="n">
        <v>45472</v>
      </c>
      <c r="D286" t="inlineStr">
        <is>
          <t>VÄSTERBOTTENS LÄN</t>
        </is>
      </c>
      <c r="E286" t="inlineStr">
        <is>
          <t>SKELLEFTEÅ</t>
        </is>
      </c>
      <c r="G286" t="n">
        <v>2.6</v>
      </c>
      <c r="H286" t="n">
        <v>0</v>
      </c>
      <c r="I286" t="n">
        <v>0</v>
      </c>
      <c r="J286" t="n">
        <v>0</v>
      </c>
      <c r="K286" t="n">
        <v>0</v>
      </c>
      <c r="L286" t="n">
        <v>0</v>
      </c>
      <c r="M286" t="n">
        <v>0</v>
      </c>
      <c r="N286" t="n">
        <v>0</v>
      </c>
      <c r="O286" t="n">
        <v>0</v>
      </c>
      <c r="P286" t="n">
        <v>0</v>
      </c>
      <c r="Q286" t="n">
        <v>0</v>
      </c>
      <c r="R286" s="2" t="inlineStr"/>
    </row>
    <row r="287" ht="15" customHeight="1">
      <c r="A287" t="inlineStr">
        <is>
          <t>A 43638-2019</t>
        </is>
      </c>
      <c r="B287" s="1" t="n">
        <v>43707</v>
      </c>
      <c r="C287" s="1" t="n">
        <v>45472</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43842-2019</t>
        </is>
      </c>
      <c r="B288" s="1" t="n">
        <v>43707</v>
      </c>
      <c r="C288" s="1" t="n">
        <v>45472</v>
      </c>
      <c r="D288" t="inlineStr">
        <is>
          <t>VÄSTERBOTTENS LÄN</t>
        </is>
      </c>
      <c r="E288" t="inlineStr">
        <is>
          <t>SKELLEFTEÅ</t>
        </is>
      </c>
      <c r="F288" t="inlineStr">
        <is>
          <t>Sveaskog</t>
        </is>
      </c>
      <c r="G288" t="n">
        <v>7.3</v>
      </c>
      <c r="H288" t="n">
        <v>0</v>
      </c>
      <c r="I288" t="n">
        <v>0</v>
      </c>
      <c r="J288" t="n">
        <v>0</v>
      </c>
      <c r="K288" t="n">
        <v>0</v>
      </c>
      <c r="L288" t="n">
        <v>0</v>
      </c>
      <c r="M288" t="n">
        <v>0</v>
      </c>
      <c r="N288" t="n">
        <v>0</v>
      </c>
      <c r="O288" t="n">
        <v>0</v>
      </c>
      <c r="P288" t="n">
        <v>0</v>
      </c>
      <c r="Q288" t="n">
        <v>0</v>
      </c>
      <c r="R288" s="2" t="inlineStr"/>
    </row>
    <row r="289" ht="15" customHeight="1">
      <c r="A289" t="inlineStr">
        <is>
          <t>A 43648-2019</t>
        </is>
      </c>
      <c r="B289" s="1" t="n">
        <v>43707</v>
      </c>
      <c r="C289" s="1" t="n">
        <v>45472</v>
      </c>
      <c r="D289" t="inlineStr">
        <is>
          <t>VÄSTERBOTTENS LÄN</t>
        </is>
      </c>
      <c r="E289" t="inlineStr">
        <is>
          <t>SKELLEFTEÅ</t>
        </is>
      </c>
      <c r="F289" t="inlineStr">
        <is>
          <t>Holmen skog AB</t>
        </is>
      </c>
      <c r="G289" t="n">
        <v>1.9</v>
      </c>
      <c r="H289" t="n">
        <v>0</v>
      </c>
      <c r="I289" t="n">
        <v>0</v>
      </c>
      <c r="J289" t="n">
        <v>0</v>
      </c>
      <c r="K289" t="n">
        <v>0</v>
      </c>
      <c r="L289" t="n">
        <v>0</v>
      </c>
      <c r="M289" t="n">
        <v>0</v>
      </c>
      <c r="N289" t="n">
        <v>0</v>
      </c>
      <c r="O289" t="n">
        <v>0</v>
      </c>
      <c r="P289" t="n">
        <v>0</v>
      </c>
      <c r="Q289" t="n">
        <v>0</v>
      </c>
      <c r="R289" s="2" t="inlineStr"/>
    </row>
    <row r="290" ht="15" customHeight="1">
      <c r="A290" t="inlineStr">
        <is>
          <t>A 43845-2019</t>
        </is>
      </c>
      <c r="B290" s="1" t="n">
        <v>43707</v>
      </c>
      <c r="C290" s="1" t="n">
        <v>45472</v>
      </c>
      <c r="D290" t="inlineStr">
        <is>
          <t>VÄSTERBOTTENS LÄN</t>
        </is>
      </c>
      <c r="E290" t="inlineStr">
        <is>
          <t>SKELLEFTEÅ</t>
        </is>
      </c>
      <c r="F290" t="inlineStr">
        <is>
          <t>Sveaskog</t>
        </is>
      </c>
      <c r="G290" t="n">
        <v>11.6</v>
      </c>
      <c r="H290" t="n">
        <v>0</v>
      </c>
      <c r="I290" t="n">
        <v>0</v>
      </c>
      <c r="J290" t="n">
        <v>0</v>
      </c>
      <c r="K290" t="n">
        <v>0</v>
      </c>
      <c r="L290" t="n">
        <v>0</v>
      </c>
      <c r="M290" t="n">
        <v>0</v>
      </c>
      <c r="N290" t="n">
        <v>0</v>
      </c>
      <c r="O290" t="n">
        <v>0</v>
      </c>
      <c r="P290" t="n">
        <v>0</v>
      </c>
      <c r="Q290" t="n">
        <v>0</v>
      </c>
      <c r="R290" s="2" t="inlineStr"/>
    </row>
    <row r="291" ht="15" customHeight="1">
      <c r="A291" t="inlineStr">
        <is>
          <t>A 45296-2019</t>
        </is>
      </c>
      <c r="B291" s="1" t="n">
        <v>43707</v>
      </c>
      <c r="C291" s="1" t="n">
        <v>45472</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44007-2019</t>
        </is>
      </c>
      <c r="B292" s="1" t="n">
        <v>43709</v>
      </c>
      <c r="C292" s="1" t="n">
        <v>45472</v>
      </c>
      <c r="D292" t="inlineStr">
        <is>
          <t>VÄSTERBOTTENS LÄN</t>
        </is>
      </c>
      <c r="E292" t="inlineStr">
        <is>
          <t>SKELLEFTEÅ</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44204-2019</t>
        </is>
      </c>
      <c r="B293" s="1" t="n">
        <v>43710</v>
      </c>
      <c r="C293" s="1" t="n">
        <v>45472</v>
      </c>
      <c r="D293" t="inlineStr">
        <is>
          <t>VÄSTERBOTTENS LÄN</t>
        </is>
      </c>
      <c r="E293" t="inlineStr">
        <is>
          <t>SKELLEFTEÅ</t>
        </is>
      </c>
      <c r="G293" t="n">
        <v>5.2</v>
      </c>
      <c r="H293" t="n">
        <v>0</v>
      </c>
      <c r="I293" t="n">
        <v>0</v>
      </c>
      <c r="J293" t="n">
        <v>0</v>
      </c>
      <c r="K293" t="n">
        <v>0</v>
      </c>
      <c r="L293" t="n">
        <v>0</v>
      </c>
      <c r="M293" t="n">
        <v>0</v>
      </c>
      <c r="N293" t="n">
        <v>0</v>
      </c>
      <c r="O293" t="n">
        <v>0</v>
      </c>
      <c r="P293" t="n">
        <v>0</v>
      </c>
      <c r="Q293" t="n">
        <v>0</v>
      </c>
      <c r="R293" s="2" t="inlineStr"/>
    </row>
    <row r="294" ht="15" customHeight="1">
      <c r="A294" t="inlineStr">
        <is>
          <t>A 44348-2019</t>
        </is>
      </c>
      <c r="B294" s="1" t="n">
        <v>43711</v>
      </c>
      <c r="C294" s="1" t="n">
        <v>45472</v>
      </c>
      <c r="D294" t="inlineStr">
        <is>
          <t>VÄSTERBOTTENS LÄN</t>
        </is>
      </c>
      <c r="E294" t="inlineStr">
        <is>
          <t>SKELLEFTEÅ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46412-2019</t>
        </is>
      </c>
      <c r="B295" s="1" t="n">
        <v>43714</v>
      </c>
      <c r="C295" s="1" t="n">
        <v>45472</v>
      </c>
      <c r="D295" t="inlineStr">
        <is>
          <t>VÄSTERBOTTENS LÄN</t>
        </is>
      </c>
      <c r="E295" t="inlineStr">
        <is>
          <t>SKELLEFTEÅ</t>
        </is>
      </c>
      <c r="G295" t="n">
        <v>3.9</v>
      </c>
      <c r="H295" t="n">
        <v>0</v>
      </c>
      <c r="I295" t="n">
        <v>0</v>
      </c>
      <c r="J295" t="n">
        <v>0</v>
      </c>
      <c r="K295" t="n">
        <v>0</v>
      </c>
      <c r="L295" t="n">
        <v>0</v>
      </c>
      <c r="M295" t="n">
        <v>0</v>
      </c>
      <c r="N295" t="n">
        <v>0</v>
      </c>
      <c r="O295" t="n">
        <v>0</v>
      </c>
      <c r="P295" t="n">
        <v>0</v>
      </c>
      <c r="Q295" t="n">
        <v>0</v>
      </c>
      <c r="R295" s="2" t="inlineStr"/>
    </row>
    <row r="296" ht="15" customHeight="1">
      <c r="A296" t="inlineStr">
        <is>
          <t>A 46227-2019</t>
        </is>
      </c>
      <c r="B296" s="1" t="n">
        <v>43714</v>
      </c>
      <c r="C296" s="1" t="n">
        <v>45472</v>
      </c>
      <c r="D296" t="inlineStr">
        <is>
          <t>VÄSTERBOTTENS LÄN</t>
        </is>
      </c>
      <c r="E296" t="inlineStr">
        <is>
          <t>SKELLEFTEÅ</t>
        </is>
      </c>
      <c r="G296" t="n">
        <v>4.3</v>
      </c>
      <c r="H296" t="n">
        <v>0</v>
      </c>
      <c r="I296" t="n">
        <v>0</v>
      </c>
      <c r="J296" t="n">
        <v>0</v>
      </c>
      <c r="K296" t="n">
        <v>0</v>
      </c>
      <c r="L296" t="n">
        <v>0</v>
      </c>
      <c r="M296" t="n">
        <v>0</v>
      </c>
      <c r="N296" t="n">
        <v>0</v>
      </c>
      <c r="O296" t="n">
        <v>0</v>
      </c>
      <c r="P296" t="n">
        <v>0</v>
      </c>
      <c r="Q296" t="n">
        <v>0</v>
      </c>
      <c r="R296" s="2" t="inlineStr"/>
    </row>
    <row r="297" ht="15" customHeight="1">
      <c r="A297" t="inlineStr">
        <is>
          <t>A 46367-2019</t>
        </is>
      </c>
      <c r="B297" s="1" t="n">
        <v>43718</v>
      </c>
      <c r="C297" s="1" t="n">
        <v>45472</v>
      </c>
      <c r="D297" t="inlineStr">
        <is>
          <t>VÄSTERBOTTENS LÄN</t>
        </is>
      </c>
      <c r="E297" t="inlineStr">
        <is>
          <t>SKELLEFTEÅ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46355-2019</t>
        </is>
      </c>
      <c r="B298" s="1" t="n">
        <v>43718</v>
      </c>
      <c r="C298" s="1" t="n">
        <v>45472</v>
      </c>
      <c r="D298" t="inlineStr">
        <is>
          <t>VÄSTERBOTTENS LÄN</t>
        </is>
      </c>
      <c r="E298" t="inlineStr">
        <is>
          <t>SKELLEFTEÅ</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46368-2019</t>
        </is>
      </c>
      <c r="B299" s="1" t="n">
        <v>43718</v>
      </c>
      <c r="C299" s="1" t="n">
        <v>45472</v>
      </c>
      <c r="D299" t="inlineStr">
        <is>
          <t>VÄSTERBOTTENS LÄN</t>
        </is>
      </c>
      <c r="E299" t="inlineStr">
        <is>
          <t>SKELLEFTEÅ</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46952-2019</t>
        </is>
      </c>
      <c r="B300" s="1" t="n">
        <v>43720</v>
      </c>
      <c r="C300" s="1" t="n">
        <v>45472</v>
      </c>
      <c r="D300" t="inlineStr">
        <is>
          <t>VÄSTERBOTTENS LÄN</t>
        </is>
      </c>
      <c r="E300" t="inlineStr">
        <is>
          <t>SKELLEFTEÅ</t>
        </is>
      </c>
      <c r="F300" t="inlineStr">
        <is>
          <t>Holmen skog AB</t>
        </is>
      </c>
      <c r="G300" t="n">
        <v>10.8</v>
      </c>
      <c r="H300" t="n">
        <v>0</v>
      </c>
      <c r="I300" t="n">
        <v>0</v>
      </c>
      <c r="J300" t="n">
        <v>0</v>
      </c>
      <c r="K300" t="n">
        <v>0</v>
      </c>
      <c r="L300" t="n">
        <v>0</v>
      </c>
      <c r="M300" t="n">
        <v>0</v>
      </c>
      <c r="N300" t="n">
        <v>0</v>
      </c>
      <c r="O300" t="n">
        <v>0</v>
      </c>
      <c r="P300" t="n">
        <v>0</v>
      </c>
      <c r="Q300" t="n">
        <v>0</v>
      </c>
      <c r="R300" s="2" t="inlineStr"/>
    </row>
    <row r="301" ht="15" customHeight="1">
      <c r="A301" t="inlineStr">
        <is>
          <t>A 46968-2019</t>
        </is>
      </c>
      <c r="B301" s="1" t="n">
        <v>43720</v>
      </c>
      <c r="C301" s="1" t="n">
        <v>45472</v>
      </c>
      <c r="D301" t="inlineStr">
        <is>
          <t>VÄSTERBOTTENS LÄN</t>
        </is>
      </c>
      <c r="E301" t="inlineStr">
        <is>
          <t>SKELLEFTEÅ</t>
        </is>
      </c>
      <c r="G301" t="n">
        <v>0.8</v>
      </c>
      <c r="H301" t="n">
        <v>0</v>
      </c>
      <c r="I301" t="n">
        <v>0</v>
      </c>
      <c r="J301" t="n">
        <v>0</v>
      </c>
      <c r="K301" t="n">
        <v>0</v>
      </c>
      <c r="L301" t="n">
        <v>0</v>
      </c>
      <c r="M301" t="n">
        <v>0</v>
      </c>
      <c r="N301" t="n">
        <v>0</v>
      </c>
      <c r="O301" t="n">
        <v>0</v>
      </c>
      <c r="P301" t="n">
        <v>0</v>
      </c>
      <c r="Q301" t="n">
        <v>0</v>
      </c>
      <c r="R301" s="2" t="inlineStr"/>
    </row>
    <row r="302" ht="15" customHeight="1">
      <c r="A302" t="inlineStr">
        <is>
          <t>A 46946-2019</t>
        </is>
      </c>
      <c r="B302" s="1" t="n">
        <v>43720</v>
      </c>
      <c r="C302" s="1" t="n">
        <v>45472</v>
      </c>
      <c r="D302" t="inlineStr">
        <is>
          <t>VÄSTERBOTTENS LÄN</t>
        </is>
      </c>
      <c r="E302" t="inlineStr">
        <is>
          <t>SKELLEFTEÅ</t>
        </is>
      </c>
      <c r="F302" t="inlineStr">
        <is>
          <t>Holmen skog AB</t>
        </is>
      </c>
      <c r="G302" t="n">
        <v>13.2</v>
      </c>
      <c r="H302" t="n">
        <v>0</v>
      </c>
      <c r="I302" t="n">
        <v>0</v>
      </c>
      <c r="J302" t="n">
        <v>0</v>
      </c>
      <c r="K302" t="n">
        <v>0</v>
      </c>
      <c r="L302" t="n">
        <v>0</v>
      </c>
      <c r="M302" t="n">
        <v>0</v>
      </c>
      <c r="N302" t="n">
        <v>0</v>
      </c>
      <c r="O302" t="n">
        <v>0</v>
      </c>
      <c r="P302" t="n">
        <v>0</v>
      </c>
      <c r="Q302" t="n">
        <v>0</v>
      </c>
      <c r="R302" s="2" t="inlineStr"/>
    </row>
    <row r="303" ht="15" customHeight="1">
      <c r="A303" t="inlineStr">
        <is>
          <t>A 47224-2019</t>
        </is>
      </c>
      <c r="B303" s="1" t="n">
        <v>43720</v>
      </c>
      <c r="C303" s="1" t="n">
        <v>45472</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47091-2019</t>
        </is>
      </c>
      <c r="B304" s="1" t="n">
        <v>43720</v>
      </c>
      <c r="C304" s="1" t="n">
        <v>45472</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47452-2019</t>
        </is>
      </c>
      <c r="B305" s="1" t="n">
        <v>43721</v>
      </c>
      <c r="C305" s="1" t="n">
        <v>45472</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47460-2019</t>
        </is>
      </c>
      <c r="B306" s="1" t="n">
        <v>43721</v>
      </c>
      <c r="C306" s="1" t="n">
        <v>45472</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47535-2019</t>
        </is>
      </c>
      <c r="B307" s="1" t="n">
        <v>43721</v>
      </c>
      <c r="C307" s="1" t="n">
        <v>45472</v>
      </c>
      <c r="D307" t="inlineStr">
        <is>
          <t>VÄSTERBOTTENS LÄN</t>
        </is>
      </c>
      <c r="E307" t="inlineStr">
        <is>
          <t>SKELLEFTEÅ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47572-2019</t>
        </is>
      </c>
      <c r="B308" s="1" t="n">
        <v>43724</v>
      </c>
      <c r="C308" s="1" t="n">
        <v>45472</v>
      </c>
      <c r="D308" t="inlineStr">
        <is>
          <t>VÄSTERBOTTENS LÄN</t>
        </is>
      </c>
      <c r="E308" t="inlineStr">
        <is>
          <t>SKELLEFTEÅ</t>
        </is>
      </c>
      <c r="G308" t="n">
        <v>3.6</v>
      </c>
      <c r="H308" t="n">
        <v>0</v>
      </c>
      <c r="I308" t="n">
        <v>0</v>
      </c>
      <c r="J308" t="n">
        <v>0</v>
      </c>
      <c r="K308" t="n">
        <v>0</v>
      </c>
      <c r="L308" t="n">
        <v>0</v>
      </c>
      <c r="M308" t="n">
        <v>0</v>
      </c>
      <c r="N308" t="n">
        <v>0</v>
      </c>
      <c r="O308" t="n">
        <v>0</v>
      </c>
      <c r="P308" t="n">
        <v>0</v>
      </c>
      <c r="Q308" t="n">
        <v>0</v>
      </c>
      <c r="R308" s="2" t="inlineStr"/>
    </row>
    <row r="309" ht="15" customHeight="1">
      <c r="A309" t="inlineStr">
        <is>
          <t>A 47643-2019</t>
        </is>
      </c>
      <c r="B309" s="1" t="n">
        <v>43724</v>
      </c>
      <c r="C309" s="1" t="n">
        <v>45472</v>
      </c>
      <c r="D309" t="inlineStr">
        <is>
          <t>VÄSTERBOTTENS LÄN</t>
        </is>
      </c>
      <c r="E309" t="inlineStr">
        <is>
          <t>SKELLEFTEÅ</t>
        </is>
      </c>
      <c r="G309" t="n">
        <v>3.5</v>
      </c>
      <c r="H309" t="n">
        <v>0</v>
      </c>
      <c r="I309" t="n">
        <v>0</v>
      </c>
      <c r="J309" t="n">
        <v>0</v>
      </c>
      <c r="K309" t="n">
        <v>0</v>
      </c>
      <c r="L309" t="n">
        <v>0</v>
      </c>
      <c r="M309" t="n">
        <v>0</v>
      </c>
      <c r="N309" t="n">
        <v>0</v>
      </c>
      <c r="O309" t="n">
        <v>0</v>
      </c>
      <c r="P309" t="n">
        <v>0</v>
      </c>
      <c r="Q309" t="n">
        <v>0</v>
      </c>
      <c r="R309" s="2" t="inlineStr"/>
    </row>
    <row r="310" ht="15" customHeight="1">
      <c r="A310" t="inlineStr">
        <is>
          <t>A 48592-2019</t>
        </is>
      </c>
      <c r="B310" s="1" t="n">
        <v>43727</v>
      </c>
      <c r="C310" s="1" t="n">
        <v>45472</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48786-2019</t>
        </is>
      </c>
      <c r="B311" s="1" t="n">
        <v>43727</v>
      </c>
      <c r="C311" s="1" t="n">
        <v>45472</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48957-2019</t>
        </is>
      </c>
      <c r="B312" s="1" t="n">
        <v>43728</v>
      </c>
      <c r="C312" s="1" t="n">
        <v>45472</v>
      </c>
      <c r="D312" t="inlineStr">
        <is>
          <t>VÄSTERBOTTENS LÄN</t>
        </is>
      </c>
      <c r="E312" t="inlineStr">
        <is>
          <t>SKELLEFTEÅ</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49617-2019</t>
        </is>
      </c>
      <c r="B313" s="1" t="n">
        <v>43728</v>
      </c>
      <c r="C313" s="1" t="n">
        <v>45472</v>
      </c>
      <c r="D313" t="inlineStr">
        <is>
          <t>VÄSTERBOTTENS LÄN</t>
        </is>
      </c>
      <c r="E313" t="inlineStr">
        <is>
          <t>SKELLEFTEÅ</t>
        </is>
      </c>
      <c r="G313" t="n">
        <v>2.8</v>
      </c>
      <c r="H313" t="n">
        <v>0</v>
      </c>
      <c r="I313" t="n">
        <v>0</v>
      </c>
      <c r="J313" t="n">
        <v>0</v>
      </c>
      <c r="K313" t="n">
        <v>0</v>
      </c>
      <c r="L313" t="n">
        <v>0</v>
      </c>
      <c r="M313" t="n">
        <v>0</v>
      </c>
      <c r="N313" t="n">
        <v>0</v>
      </c>
      <c r="O313" t="n">
        <v>0</v>
      </c>
      <c r="P313" t="n">
        <v>0</v>
      </c>
      <c r="Q313" t="n">
        <v>0</v>
      </c>
      <c r="R313" s="2" t="inlineStr"/>
    </row>
    <row r="314" ht="15" customHeight="1">
      <c r="A314" t="inlineStr">
        <is>
          <t>A 49464-2019</t>
        </is>
      </c>
      <c r="B314" s="1" t="n">
        <v>43728</v>
      </c>
      <c r="C314" s="1" t="n">
        <v>45472</v>
      </c>
      <c r="D314" t="inlineStr">
        <is>
          <t>VÄSTERBOTTENS LÄN</t>
        </is>
      </c>
      <c r="E314" t="inlineStr">
        <is>
          <t>SKELLEFTEÅ</t>
        </is>
      </c>
      <c r="G314" t="n">
        <v>7.1</v>
      </c>
      <c r="H314" t="n">
        <v>0</v>
      </c>
      <c r="I314" t="n">
        <v>0</v>
      </c>
      <c r="J314" t="n">
        <v>0</v>
      </c>
      <c r="K314" t="n">
        <v>0</v>
      </c>
      <c r="L314" t="n">
        <v>0</v>
      </c>
      <c r="M314" t="n">
        <v>0</v>
      </c>
      <c r="N314" t="n">
        <v>0</v>
      </c>
      <c r="O314" t="n">
        <v>0</v>
      </c>
      <c r="P314" t="n">
        <v>0</v>
      </c>
      <c r="Q314" t="n">
        <v>0</v>
      </c>
      <c r="R314" s="2" t="inlineStr"/>
    </row>
    <row r="315" ht="15" customHeight="1">
      <c r="A315" t="inlineStr">
        <is>
          <t>A 49712-2019</t>
        </is>
      </c>
      <c r="B315" s="1" t="n">
        <v>43728</v>
      </c>
      <c r="C315" s="1" t="n">
        <v>45472</v>
      </c>
      <c r="D315" t="inlineStr">
        <is>
          <t>VÄSTERBOTTENS LÄN</t>
        </is>
      </c>
      <c r="E315" t="inlineStr">
        <is>
          <t>SKELLEFTEÅ</t>
        </is>
      </c>
      <c r="G315" t="n">
        <v>4.2</v>
      </c>
      <c r="H315" t="n">
        <v>0</v>
      </c>
      <c r="I315" t="n">
        <v>0</v>
      </c>
      <c r="J315" t="n">
        <v>0</v>
      </c>
      <c r="K315" t="n">
        <v>0</v>
      </c>
      <c r="L315" t="n">
        <v>0</v>
      </c>
      <c r="M315" t="n">
        <v>0</v>
      </c>
      <c r="N315" t="n">
        <v>0</v>
      </c>
      <c r="O315" t="n">
        <v>0</v>
      </c>
      <c r="P315" t="n">
        <v>0</v>
      </c>
      <c r="Q315" t="n">
        <v>0</v>
      </c>
      <c r="R315" s="2" t="inlineStr"/>
    </row>
    <row r="316" ht="15" customHeight="1">
      <c r="A316" t="inlineStr">
        <is>
          <t>A 49005-2019</t>
        </is>
      </c>
      <c r="B316" s="1" t="n">
        <v>43730</v>
      </c>
      <c r="C316" s="1" t="n">
        <v>45472</v>
      </c>
      <c r="D316" t="inlineStr">
        <is>
          <t>VÄSTERBOTTENS LÄN</t>
        </is>
      </c>
      <c r="E316" t="inlineStr">
        <is>
          <t>SKELLEFTEÅ</t>
        </is>
      </c>
      <c r="F316" t="inlineStr">
        <is>
          <t>Holmen skog AB</t>
        </is>
      </c>
      <c r="G316" t="n">
        <v>5.5</v>
      </c>
      <c r="H316" t="n">
        <v>0</v>
      </c>
      <c r="I316" t="n">
        <v>0</v>
      </c>
      <c r="J316" t="n">
        <v>0</v>
      </c>
      <c r="K316" t="n">
        <v>0</v>
      </c>
      <c r="L316" t="n">
        <v>0</v>
      </c>
      <c r="M316" t="n">
        <v>0</v>
      </c>
      <c r="N316" t="n">
        <v>0</v>
      </c>
      <c r="O316" t="n">
        <v>0</v>
      </c>
      <c r="P316" t="n">
        <v>0</v>
      </c>
      <c r="Q316" t="n">
        <v>0</v>
      </c>
      <c r="R316" s="2" t="inlineStr"/>
    </row>
    <row r="317" ht="15" customHeight="1">
      <c r="A317" t="inlineStr">
        <is>
          <t>A 49035-2019</t>
        </is>
      </c>
      <c r="B317" s="1" t="n">
        <v>43731</v>
      </c>
      <c r="C317" s="1" t="n">
        <v>45472</v>
      </c>
      <c r="D317" t="inlineStr">
        <is>
          <t>VÄSTERBOTTENS LÄN</t>
        </is>
      </c>
      <c r="E317" t="inlineStr">
        <is>
          <t>SKELLEFTEÅ</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49327-2019</t>
        </is>
      </c>
      <c r="B318" s="1" t="n">
        <v>43731</v>
      </c>
      <c r="C318" s="1" t="n">
        <v>45472</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49282-2019</t>
        </is>
      </c>
      <c r="B319" s="1" t="n">
        <v>43731</v>
      </c>
      <c r="C319" s="1" t="n">
        <v>45472</v>
      </c>
      <c r="D319" t="inlineStr">
        <is>
          <t>VÄSTERBOTTENS LÄN</t>
        </is>
      </c>
      <c r="E319" t="inlineStr">
        <is>
          <t>SKELLEFTEÅ</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49312-2019</t>
        </is>
      </c>
      <c r="B320" s="1" t="n">
        <v>43731</v>
      </c>
      <c r="C320" s="1" t="n">
        <v>45472</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49792-2019</t>
        </is>
      </c>
      <c r="B321" s="1" t="n">
        <v>43733</v>
      </c>
      <c r="C321" s="1" t="n">
        <v>45472</v>
      </c>
      <c r="D321" t="inlineStr">
        <is>
          <t>VÄSTERBOTTENS LÄN</t>
        </is>
      </c>
      <c r="E321" t="inlineStr">
        <is>
          <t>SKELLEFTEÅ</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49793-2019</t>
        </is>
      </c>
      <c r="B322" s="1" t="n">
        <v>43733</v>
      </c>
      <c r="C322" s="1" t="n">
        <v>45472</v>
      </c>
      <c r="D322" t="inlineStr">
        <is>
          <t>VÄSTERBOTTENS LÄN</t>
        </is>
      </c>
      <c r="E322" t="inlineStr">
        <is>
          <t>SKELLEFTEÅ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50518-2019</t>
        </is>
      </c>
      <c r="B323" s="1" t="n">
        <v>43733</v>
      </c>
      <c r="C323" s="1" t="n">
        <v>45472</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50515-2019</t>
        </is>
      </c>
      <c r="B324" s="1" t="n">
        <v>43733</v>
      </c>
      <c r="C324" s="1" t="n">
        <v>45472</v>
      </c>
      <c r="D324" t="inlineStr">
        <is>
          <t>VÄSTERBOTTENS LÄN</t>
        </is>
      </c>
      <c r="E324" t="inlineStr">
        <is>
          <t>SKELLEFTEÅ</t>
        </is>
      </c>
      <c r="G324" t="n">
        <v>3.1</v>
      </c>
      <c r="H324" t="n">
        <v>0</v>
      </c>
      <c r="I324" t="n">
        <v>0</v>
      </c>
      <c r="J324" t="n">
        <v>0</v>
      </c>
      <c r="K324" t="n">
        <v>0</v>
      </c>
      <c r="L324" t="n">
        <v>0</v>
      </c>
      <c r="M324" t="n">
        <v>0</v>
      </c>
      <c r="N324" t="n">
        <v>0</v>
      </c>
      <c r="O324" t="n">
        <v>0</v>
      </c>
      <c r="P324" t="n">
        <v>0</v>
      </c>
      <c r="Q324" t="n">
        <v>0</v>
      </c>
      <c r="R324" s="2" t="inlineStr"/>
    </row>
    <row r="325" ht="15" customHeight="1">
      <c r="A325" t="inlineStr">
        <is>
          <t>A 50572-2019</t>
        </is>
      </c>
      <c r="B325" s="1" t="n">
        <v>43735</v>
      </c>
      <c r="C325" s="1" t="n">
        <v>45472</v>
      </c>
      <c r="D325" t="inlineStr">
        <is>
          <t>VÄSTERBOTTENS LÄN</t>
        </is>
      </c>
      <c r="E325" t="inlineStr">
        <is>
          <t>SKELLEFTEÅ</t>
        </is>
      </c>
      <c r="F325" t="inlineStr">
        <is>
          <t>Sveaskog</t>
        </is>
      </c>
      <c r="G325" t="n">
        <v>12.1</v>
      </c>
      <c r="H325" t="n">
        <v>0</v>
      </c>
      <c r="I325" t="n">
        <v>0</v>
      </c>
      <c r="J325" t="n">
        <v>0</v>
      </c>
      <c r="K325" t="n">
        <v>0</v>
      </c>
      <c r="L325" t="n">
        <v>0</v>
      </c>
      <c r="M325" t="n">
        <v>0</v>
      </c>
      <c r="N325" t="n">
        <v>0</v>
      </c>
      <c r="O325" t="n">
        <v>0</v>
      </c>
      <c r="P325" t="n">
        <v>0</v>
      </c>
      <c r="Q325" t="n">
        <v>0</v>
      </c>
      <c r="R325" s="2" t="inlineStr"/>
    </row>
    <row r="326" ht="15" customHeight="1">
      <c r="A326" t="inlineStr">
        <is>
          <t>A 50568-2019</t>
        </is>
      </c>
      <c r="B326" s="1" t="n">
        <v>43735</v>
      </c>
      <c r="C326" s="1" t="n">
        <v>45472</v>
      </c>
      <c r="D326" t="inlineStr">
        <is>
          <t>VÄSTERBOTTENS LÄN</t>
        </is>
      </c>
      <c r="E326" t="inlineStr">
        <is>
          <t>SKELLEFTEÅ</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50574-2019</t>
        </is>
      </c>
      <c r="B327" s="1" t="n">
        <v>43735</v>
      </c>
      <c r="C327" s="1" t="n">
        <v>45472</v>
      </c>
      <c r="D327" t="inlineStr">
        <is>
          <t>VÄSTERBOTTENS LÄN</t>
        </is>
      </c>
      <c r="E327" t="inlineStr">
        <is>
          <t>SKELLEFTEÅ</t>
        </is>
      </c>
      <c r="F327" t="inlineStr">
        <is>
          <t>Sveaskog</t>
        </is>
      </c>
      <c r="G327" t="n">
        <v>7.8</v>
      </c>
      <c r="H327" t="n">
        <v>0</v>
      </c>
      <c r="I327" t="n">
        <v>0</v>
      </c>
      <c r="J327" t="n">
        <v>0</v>
      </c>
      <c r="K327" t="n">
        <v>0</v>
      </c>
      <c r="L327" t="n">
        <v>0</v>
      </c>
      <c r="M327" t="n">
        <v>0</v>
      </c>
      <c r="N327" t="n">
        <v>0</v>
      </c>
      <c r="O327" t="n">
        <v>0</v>
      </c>
      <c r="P327" t="n">
        <v>0</v>
      </c>
      <c r="Q327" t="n">
        <v>0</v>
      </c>
      <c r="R327" s="2" t="inlineStr"/>
    </row>
    <row r="328" ht="15" customHeight="1">
      <c r="A328" t="inlineStr">
        <is>
          <t>A 50576-2019</t>
        </is>
      </c>
      <c r="B328" s="1" t="n">
        <v>43735</v>
      </c>
      <c r="C328" s="1" t="n">
        <v>45472</v>
      </c>
      <c r="D328" t="inlineStr">
        <is>
          <t>VÄSTERBOTTENS LÄN</t>
        </is>
      </c>
      <c r="E328" t="inlineStr">
        <is>
          <t>SKELLEFTEÅ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53194-2019</t>
        </is>
      </c>
      <c r="B329" s="1" t="n">
        <v>43735</v>
      </c>
      <c r="C329" s="1" t="n">
        <v>45472</v>
      </c>
      <c r="D329" t="inlineStr">
        <is>
          <t>VÄSTERBOTTENS LÄN</t>
        </is>
      </c>
      <c r="E329" t="inlineStr">
        <is>
          <t>SKELLEFTEÅ</t>
        </is>
      </c>
      <c r="G329" t="n">
        <v>5.2</v>
      </c>
      <c r="H329" t="n">
        <v>0</v>
      </c>
      <c r="I329" t="n">
        <v>0</v>
      </c>
      <c r="J329" t="n">
        <v>0</v>
      </c>
      <c r="K329" t="n">
        <v>0</v>
      </c>
      <c r="L329" t="n">
        <v>0</v>
      </c>
      <c r="M329" t="n">
        <v>0</v>
      </c>
      <c r="N329" t="n">
        <v>0</v>
      </c>
      <c r="O329" t="n">
        <v>0</v>
      </c>
      <c r="P329" t="n">
        <v>0</v>
      </c>
      <c r="Q329" t="n">
        <v>0</v>
      </c>
      <c r="R329" s="2" t="inlineStr"/>
    </row>
    <row r="330" ht="15" customHeight="1">
      <c r="A330" t="inlineStr">
        <is>
          <t>A 50872-2019</t>
        </is>
      </c>
      <c r="B330" s="1" t="n">
        <v>43738</v>
      </c>
      <c r="C330" s="1" t="n">
        <v>45472</v>
      </c>
      <c r="D330" t="inlineStr">
        <is>
          <t>VÄSTERBOTTENS LÄN</t>
        </is>
      </c>
      <c r="E330" t="inlineStr">
        <is>
          <t>SKELLEFTEÅ</t>
        </is>
      </c>
      <c r="F330" t="inlineStr">
        <is>
          <t>Holmen skog AB</t>
        </is>
      </c>
      <c r="G330" t="n">
        <v>11.5</v>
      </c>
      <c r="H330" t="n">
        <v>0</v>
      </c>
      <c r="I330" t="n">
        <v>0</v>
      </c>
      <c r="J330" t="n">
        <v>0</v>
      </c>
      <c r="K330" t="n">
        <v>0</v>
      </c>
      <c r="L330" t="n">
        <v>0</v>
      </c>
      <c r="M330" t="n">
        <v>0</v>
      </c>
      <c r="N330" t="n">
        <v>0</v>
      </c>
      <c r="O330" t="n">
        <v>0</v>
      </c>
      <c r="P330" t="n">
        <v>0</v>
      </c>
      <c r="Q330" t="n">
        <v>0</v>
      </c>
      <c r="R330" s="2" t="inlineStr"/>
    </row>
    <row r="331" ht="15" customHeight="1">
      <c r="A331" t="inlineStr">
        <is>
          <t>A 53311-2019</t>
        </is>
      </c>
      <c r="B331" s="1" t="n">
        <v>43740</v>
      </c>
      <c r="C331" s="1" t="n">
        <v>45472</v>
      </c>
      <c r="D331" t="inlineStr">
        <is>
          <t>VÄSTERBOTTENS LÄN</t>
        </is>
      </c>
      <c r="E331" t="inlineStr">
        <is>
          <t>SKELLEFTEÅ</t>
        </is>
      </c>
      <c r="G331" t="n">
        <v>0.6</v>
      </c>
      <c r="H331" t="n">
        <v>0</v>
      </c>
      <c r="I331" t="n">
        <v>0</v>
      </c>
      <c r="J331" t="n">
        <v>0</v>
      </c>
      <c r="K331" t="n">
        <v>0</v>
      </c>
      <c r="L331" t="n">
        <v>0</v>
      </c>
      <c r="M331" t="n">
        <v>0</v>
      </c>
      <c r="N331" t="n">
        <v>0</v>
      </c>
      <c r="O331" t="n">
        <v>0</v>
      </c>
      <c r="P331" t="n">
        <v>0</v>
      </c>
      <c r="Q331" t="n">
        <v>0</v>
      </c>
      <c r="R331" s="2" t="inlineStr"/>
    </row>
    <row r="332" ht="15" customHeight="1">
      <c r="A332" t="inlineStr">
        <is>
          <t>A 53557-2019</t>
        </is>
      </c>
      <c r="B332" s="1" t="n">
        <v>43740</v>
      </c>
      <c r="C332" s="1" t="n">
        <v>45472</v>
      </c>
      <c r="D332" t="inlineStr">
        <is>
          <t>VÄSTERBOTTENS LÄN</t>
        </is>
      </c>
      <c r="E332" t="inlineStr">
        <is>
          <t>SKELLEFTEÅ</t>
        </is>
      </c>
      <c r="G332" t="n">
        <v>2.8</v>
      </c>
      <c r="H332" t="n">
        <v>0</v>
      </c>
      <c r="I332" t="n">
        <v>0</v>
      </c>
      <c r="J332" t="n">
        <v>0</v>
      </c>
      <c r="K332" t="n">
        <v>0</v>
      </c>
      <c r="L332" t="n">
        <v>0</v>
      </c>
      <c r="M332" t="n">
        <v>0</v>
      </c>
      <c r="N332" t="n">
        <v>0</v>
      </c>
      <c r="O332" t="n">
        <v>0</v>
      </c>
      <c r="P332" t="n">
        <v>0</v>
      </c>
      <c r="Q332" t="n">
        <v>0</v>
      </c>
      <c r="R332" s="2" t="inlineStr"/>
    </row>
    <row r="333" ht="15" customHeight="1">
      <c r="A333" t="inlineStr">
        <is>
          <t>A 54004-2019</t>
        </is>
      </c>
      <c r="B333" s="1" t="n">
        <v>43742</v>
      </c>
      <c r="C333" s="1" t="n">
        <v>45472</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52019-2019</t>
        </is>
      </c>
      <c r="B334" s="1" t="n">
        <v>43742</v>
      </c>
      <c r="C334" s="1" t="n">
        <v>45472</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53980-2019</t>
        </is>
      </c>
      <c r="B335" s="1" t="n">
        <v>43742</v>
      </c>
      <c r="C335" s="1" t="n">
        <v>45472</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52469-2019</t>
        </is>
      </c>
      <c r="B336" s="1" t="n">
        <v>43745</v>
      </c>
      <c r="C336" s="1" t="n">
        <v>45472</v>
      </c>
      <c r="D336" t="inlineStr">
        <is>
          <t>VÄSTERBOTTENS LÄN</t>
        </is>
      </c>
      <c r="E336" t="inlineStr">
        <is>
          <t>SKELLEFTEÅ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52506-2019</t>
        </is>
      </c>
      <c r="B337" s="1" t="n">
        <v>43745</v>
      </c>
      <c r="C337" s="1" t="n">
        <v>45472</v>
      </c>
      <c r="D337" t="inlineStr">
        <is>
          <t>VÄSTERBOTTENS LÄN</t>
        </is>
      </c>
      <c r="E337" t="inlineStr">
        <is>
          <t>SKELLEFTEÅ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52471-2019</t>
        </is>
      </c>
      <c r="B338" s="1" t="n">
        <v>43745</v>
      </c>
      <c r="C338" s="1" t="n">
        <v>45472</v>
      </c>
      <c r="D338" t="inlineStr">
        <is>
          <t>VÄSTERBOTTENS LÄN</t>
        </is>
      </c>
      <c r="E338" t="inlineStr">
        <is>
          <t>SKELLEFTEÅ</t>
        </is>
      </c>
      <c r="G338" t="n">
        <v>7.8</v>
      </c>
      <c r="H338" t="n">
        <v>0</v>
      </c>
      <c r="I338" t="n">
        <v>0</v>
      </c>
      <c r="J338" t="n">
        <v>0</v>
      </c>
      <c r="K338" t="n">
        <v>0</v>
      </c>
      <c r="L338" t="n">
        <v>0</v>
      </c>
      <c r="M338" t="n">
        <v>0</v>
      </c>
      <c r="N338" t="n">
        <v>0</v>
      </c>
      <c r="O338" t="n">
        <v>0</v>
      </c>
      <c r="P338" t="n">
        <v>0</v>
      </c>
      <c r="Q338" t="n">
        <v>0</v>
      </c>
      <c r="R338" s="2" t="inlineStr"/>
    </row>
    <row r="339" ht="15" customHeight="1">
      <c r="A339" t="inlineStr">
        <is>
          <t>A 52484-2019</t>
        </is>
      </c>
      <c r="B339" s="1" t="n">
        <v>43745</v>
      </c>
      <c r="C339" s="1" t="n">
        <v>45472</v>
      </c>
      <c r="D339" t="inlineStr">
        <is>
          <t>VÄSTERBOTTENS LÄN</t>
        </is>
      </c>
      <c r="E339" t="inlineStr">
        <is>
          <t>SKELLEFTEÅ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52546-2019</t>
        </is>
      </c>
      <c r="B340" s="1" t="n">
        <v>43745</v>
      </c>
      <c r="C340" s="1" t="n">
        <v>45472</v>
      </c>
      <c r="D340" t="inlineStr">
        <is>
          <t>VÄSTERBOTTENS LÄN</t>
        </is>
      </c>
      <c r="E340" t="inlineStr">
        <is>
          <t>SKELLEFTEÅ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52953-2019</t>
        </is>
      </c>
      <c r="B341" s="1" t="n">
        <v>43747</v>
      </c>
      <c r="C341" s="1" t="n">
        <v>45472</v>
      </c>
      <c r="D341" t="inlineStr">
        <is>
          <t>VÄSTERBOTTENS LÄN</t>
        </is>
      </c>
      <c r="E341" t="inlineStr">
        <is>
          <t>SKELLEFTEÅ</t>
        </is>
      </c>
      <c r="G341" t="n">
        <v>5.6</v>
      </c>
      <c r="H341" t="n">
        <v>0</v>
      </c>
      <c r="I341" t="n">
        <v>0</v>
      </c>
      <c r="J341" t="n">
        <v>0</v>
      </c>
      <c r="K341" t="n">
        <v>0</v>
      </c>
      <c r="L341" t="n">
        <v>0</v>
      </c>
      <c r="M341" t="n">
        <v>0</v>
      </c>
      <c r="N341" t="n">
        <v>0</v>
      </c>
      <c r="O341" t="n">
        <v>0</v>
      </c>
      <c r="P341" t="n">
        <v>0</v>
      </c>
      <c r="Q341" t="n">
        <v>0</v>
      </c>
      <c r="R341" s="2" t="inlineStr"/>
    </row>
    <row r="342" ht="15" customHeight="1">
      <c r="A342" t="inlineStr">
        <is>
          <t>A 54742-2019</t>
        </is>
      </c>
      <c r="B342" s="1" t="n">
        <v>43748</v>
      </c>
      <c r="C342" s="1" t="n">
        <v>45472</v>
      </c>
      <c r="D342" t="inlineStr">
        <is>
          <t>VÄSTERBOTTENS LÄN</t>
        </is>
      </c>
      <c r="E342" t="inlineStr">
        <is>
          <t>SKELLEFTEÅ</t>
        </is>
      </c>
      <c r="G342" t="n">
        <v>1.1</v>
      </c>
      <c r="H342" t="n">
        <v>0</v>
      </c>
      <c r="I342" t="n">
        <v>0</v>
      </c>
      <c r="J342" t="n">
        <v>0</v>
      </c>
      <c r="K342" t="n">
        <v>0</v>
      </c>
      <c r="L342" t="n">
        <v>0</v>
      </c>
      <c r="M342" t="n">
        <v>0</v>
      </c>
      <c r="N342" t="n">
        <v>0</v>
      </c>
      <c r="O342" t="n">
        <v>0</v>
      </c>
      <c r="P342" t="n">
        <v>0</v>
      </c>
      <c r="Q342" t="n">
        <v>0</v>
      </c>
      <c r="R342" s="2" t="inlineStr"/>
    </row>
    <row r="343" ht="15" customHeight="1">
      <c r="A343" t="inlineStr">
        <is>
          <t>A 53584-2019</t>
        </is>
      </c>
      <c r="B343" s="1" t="n">
        <v>43749</v>
      </c>
      <c r="C343" s="1" t="n">
        <v>45472</v>
      </c>
      <c r="D343" t="inlineStr">
        <is>
          <t>VÄSTERBOTTENS LÄN</t>
        </is>
      </c>
      <c r="E343" t="inlineStr">
        <is>
          <t>SKELLEFTEÅ</t>
        </is>
      </c>
      <c r="G343" t="n">
        <v>11.4</v>
      </c>
      <c r="H343" t="n">
        <v>0</v>
      </c>
      <c r="I343" t="n">
        <v>0</v>
      </c>
      <c r="J343" t="n">
        <v>0</v>
      </c>
      <c r="K343" t="n">
        <v>0</v>
      </c>
      <c r="L343" t="n">
        <v>0</v>
      </c>
      <c r="M343" t="n">
        <v>0</v>
      </c>
      <c r="N343" t="n">
        <v>0</v>
      </c>
      <c r="O343" t="n">
        <v>0</v>
      </c>
      <c r="P343" t="n">
        <v>0</v>
      </c>
      <c r="Q343" t="n">
        <v>0</v>
      </c>
      <c r="R343" s="2" t="inlineStr"/>
    </row>
    <row r="344" ht="15" customHeight="1">
      <c r="A344" t="inlineStr">
        <is>
          <t>A 54935-2019</t>
        </is>
      </c>
      <c r="B344" s="1" t="n">
        <v>43749</v>
      </c>
      <c r="C344" s="1" t="n">
        <v>45472</v>
      </c>
      <c r="D344" t="inlineStr">
        <is>
          <t>VÄSTERBOTTENS LÄN</t>
        </is>
      </c>
      <c r="E344" t="inlineStr">
        <is>
          <t>SKELLEFTEÅ</t>
        </is>
      </c>
      <c r="G344" t="n">
        <v>0.9</v>
      </c>
      <c r="H344" t="n">
        <v>0</v>
      </c>
      <c r="I344" t="n">
        <v>0</v>
      </c>
      <c r="J344" t="n">
        <v>0</v>
      </c>
      <c r="K344" t="n">
        <v>0</v>
      </c>
      <c r="L344" t="n">
        <v>0</v>
      </c>
      <c r="M344" t="n">
        <v>0</v>
      </c>
      <c r="N344" t="n">
        <v>0</v>
      </c>
      <c r="O344" t="n">
        <v>0</v>
      </c>
      <c r="P344" t="n">
        <v>0</v>
      </c>
      <c r="Q344" t="n">
        <v>0</v>
      </c>
      <c r="R344" s="2" t="inlineStr"/>
    </row>
    <row r="345" ht="15" customHeight="1">
      <c r="A345" t="inlineStr">
        <is>
          <t>A 54920-2019</t>
        </is>
      </c>
      <c r="B345" s="1" t="n">
        <v>43749</v>
      </c>
      <c r="C345" s="1" t="n">
        <v>45472</v>
      </c>
      <c r="D345" t="inlineStr">
        <is>
          <t>VÄSTERBOTTENS LÄN</t>
        </is>
      </c>
      <c r="E345" t="inlineStr">
        <is>
          <t>SKELLEFTEÅ</t>
        </is>
      </c>
      <c r="G345" t="n">
        <v>24.3</v>
      </c>
      <c r="H345" t="n">
        <v>0</v>
      </c>
      <c r="I345" t="n">
        <v>0</v>
      </c>
      <c r="J345" t="n">
        <v>0</v>
      </c>
      <c r="K345" t="n">
        <v>0</v>
      </c>
      <c r="L345" t="n">
        <v>0</v>
      </c>
      <c r="M345" t="n">
        <v>0</v>
      </c>
      <c r="N345" t="n">
        <v>0</v>
      </c>
      <c r="O345" t="n">
        <v>0</v>
      </c>
      <c r="P345" t="n">
        <v>0</v>
      </c>
      <c r="Q345" t="n">
        <v>0</v>
      </c>
      <c r="R345" s="2" t="inlineStr"/>
    </row>
    <row r="346" ht="15" customHeight="1">
      <c r="A346" t="inlineStr">
        <is>
          <t>A 54939-2019</t>
        </is>
      </c>
      <c r="B346" s="1" t="n">
        <v>43749</v>
      </c>
      <c r="C346" s="1" t="n">
        <v>45472</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53925-2019</t>
        </is>
      </c>
      <c r="B347" s="1" t="n">
        <v>43752</v>
      </c>
      <c r="C347" s="1" t="n">
        <v>45472</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54146-2019</t>
        </is>
      </c>
      <c r="B348" s="1" t="n">
        <v>43753</v>
      </c>
      <c r="C348" s="1" t="n">
        <v>45472</v>
      </c>
      <c r="D348" t="inlineStr">
        <is>
          <t>VÄSTERBOTTENS LÄN</t>
        </is>
      </c>
      <c r="E348" t="inlineStr">
        <is>
          <t>SKELLEFTEÅ</t>
        </is>
      </c>
      <c r="G348" t="n">
        <v>3.7</v>
      </c>
      <c r="H348" t="n">
        <v>0</v>
      </c>
      <c r="I348" t="n">
        <v>0</v>
      </c>
      <c r="J348" t="n">
        <v>0</v>
      </c>
      <c r="K348" t="n">
        <v>0</v>
      </c>
      <c r="L348" t="n">
        <v>0</v>
      </c>
      <c r="M348" t="n">
        <v>0</v>
      </c>
      <c r="N348" t="n">
        <v>0</v>
      </c>
      <c r="O348" t="n">
        <v>0</v>
      </c>
      <c r="P348" t="n">
        <v>0</v>
      </c>
      <c r="Q348" t="n">
        <v>0</v>
      </c>
      <c r="R348" s="2" t="inlineStr"/>
    </row>
    <row r="349" ht="15" customHeight="1">
      <c r="A349" t="inlineStr">
        <is>
          <t>A 54666-2019</t>
        </is>
      </c>
      <c r="B349" s="1" t="n">
        <v>43754</v>
      </c>
      <c r="C349" s="1" t="n">
        <v>45472</v>
      </c>
      <c r="D349" t="inlineStr">
        <is>
          <t>VÄSTERBOTTENS LÄN</t>
        </is>
      </c>
      <c r="E349" t="inlineStr">
        <is>
          <t>SKELLEFTEÅ</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54667-2019</t>
        </is>
      </c>
      <c r="B350" s="1" t="n">
        <v>43754</v>
      </c>
      <c r="C350" s="1" t="n">
        <v>45472</v>
      </c>
      <c r="D350" t="inlineStr">
        <is>
          <t>VÄSTERBOTTENS LÄN</t>
        </is>
      </c>
      <c r="E350" t="inlineStr">
        <is>
          <t>SKELLEFTEÅ</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55363-2019</t>
        </is>
      </c>
      <c r="B351" s="1" t="n">
        <v>43756</v>
      </c>
      <c r="C351" s="1" t="n">
        <v>45472</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55459-2019</t>
        </is>
      </c>
      <c r="B352" s="1" t="n">
        <v>43759</v>
      </c>
      <c r="C352" s="1" t="n">
        <v>45472</v>
      </c>
      <c r="D352" t="inlineStr">
        <is>
          <t>VÄSTERBOTTENS LÄN</t>
        </is>
      </c>
      <c r="E352" t="inlineStr">
        <is>
          <t>SKELLEFTEÅ</t>
        </is>
      </c>
      <c r="G352" t="n">
        <v>14.5</v>
      </c>
      <c r="H352" t="n">
        <v>0</v>
      </c>
      <c r="I352" t="n">
        <v>0</v>
      </c>
      <c r="J352" t="n">
        <v>0</v>
      </c>
      <c r="K352" t="n">
        <v>0</v>
      </c>
      <c r="L352" t="n">
        <v>0</v>
      </c>
      <c r="M352" t="n">
        <v>0</v>
      </c>
      <c r="N352" t="n">
        <v>0</v>
      </c>
      <c r="O352" t="n">
        <v>0</v>
      </c>
      <c r="P352" t="n">
        <v>0</v>
      </c>
      <c r="Q352" t="n">
        <v>0</v>
      </c>
      <c r="R352" s="2" t="inlineStr"/>
    </row>
    <row r="353" ht="15" customHeight="1">
      <c r="A353" t="inlineStr">
        <is>
          <t>A 55489-2019</t>
        </is>
      </c>
      <c r="B353" s="1" t="n">
        <v>43759</v>
      </c>
      <c r="C353" s="1" t="n">
        <v>45472</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56284-2019</t>
        </is>
      </c>
      <c r="B354" s="1" t="n">
        <v>43762</v>
      </c>
      <c r="C354" s="1" t="n">
        <v>45472</v>
      </c>
      <c r="D354" t="inlineStr">
        <is>
          <t>VÄSTERBOTTENS LÄN</t>
        </is>
      </c>
      <c r="E354" t="inlineStr">
        <is>
          <t>SKELLEFTEÅ</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56786-2019</t>
        </is>
      </c>
      <c r="B355" s="1" t="n">
        <v>43763</v>
      </c>
      <c r="C355" s="1" t="n">
        <v>45472</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56581-2019</t>
        </is>
      </c>
      <c r="B356" s="1" t="n">
        <v>43763</v>
      </c>
      <c r="C356" s="1" t="n">
        <v>45472</v>
      </c>
      <c r="D356" t="inlineStr">
        <is>
          <t>VÄSTERBOTTENS LÄN</t>
        </is>
      </c>
      <c r="E356" t="inlineStr">
        <is>
          <t>SKELLEFTEÅ</t>
        </is>
      </c>
      <c r="F356" t="inlineStr">
        <is>
          <t>Sveaskog</t>
        </is>
      </c>
      <c r="G356" t="n">
        <v>21.4</v>
      </c>
      <c r="H356" t="n">
        <v>0</v>
      </c>
      <c r="I356" t="n">
        <v>0</v>
      </c>
      <c r="J356" t="n">
        <v>0</v>
      </c>
      <c r="K356" t="n">
        <v>0</v>
      </c>
      <c r="L356" t="n">
        <v>0</v>
      </c>
      <c r="M356" t="n">
        <v>0</v>
      </c>
      <c r="N356" t="n">
        <v>0</v>
      </c>
      <c r="O356" t="n">
        <v>0</v>
      </c>
      <c r="P356" t="n">
        <v>0</v>
      </c>
      <c r="Q356" t="n">
        <v>0</v>
      </c>
      <c r="R356" s="2" t="inlineStr"/>
    </row>
    <row r="357" ht="15" customHeight="1">
      <c r="A357" t="inlineStr">
        <is>
          <t>A 57569-2019</t>
        </is>
      </c>
      <c r="B357" s="1" t="n">
        <v>43768</v>
      </c>
      <c r="C357" s="1" t="n">
        <v>45472</v>
      </c>
      <c r="D357" t="inlineStr">
        <is>
          <t>VÄSTERBOTTENS LÄN</t>
        </is>
      </c>
      <c r="E357" t="inlineStr">
        <is>
          <t>SKELLEFTEÅ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57803-2019</t>
        </is>
      </c>
      <c r="B358" s="1" t="n">
        <v>43768</v>
      </c>
      <c r="C358" s="1" t="n">
        <v>45472</v>
      </c>
      <c r="D358" t="inlineStr">
        <is>
          <t>VÄSTERBOTTENS LÄN</t>
        </is>
      </c>
      <c r="E358" t="inlineStr">
        <is>
          <t>SKELLEFTEÅ</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58546-2019</t>
        </is>
      </c>
      <c r="B359" s="1" t="n">
        <v>43773</v>
      </c>
      <c r="C359" s="1" t="n">
        <v>45472</v>
      </c>
      <c r="D359" t="inlineStr">
        <is>
          <t>VÄSTERBOTTENS LÄN</t>
        </is>
      </c>
      <c r="E359" t="inlineStr">
        <is>
          <t>SKELLEFTEÅ</t>
        </is>
      </c>
      <c r="F359" t="inlineStr">
        <is>
          <t>Sveaskog</t>
        </is>
      </c>
      <c r="G359" t="n">
        <v>27.6</v>
      </c>
      <c r="H359" t="n">
        <v>0</v>
      </c>
      <c r="I359" t="n">
        <v>0</v>
      </c>
      <c r="J359" t="n">
        <v>0</v>
      </c>
      <c r="K359" t="n">
        <v>0</v>
      </c>
      <c r="L359" t="n">
        <v>0</v>
      </c>
      <c r="M359" t="n">
        <v>0</v>
      </c>
      <c r="N359" t="n">
        <v>0</v>
      </c>
      <c r="O359" t="n">
        <v>0</v>
      </c>
      <c r="P359" t="n">
        <v>0</v>
      </c>
      <c r="Q359" t="n">
        <v>0</v>
      </c>
      <c r="R359" s="2" t="inlineStr"/>
    </row>
    <row r="360" ht="15" customHeight="1">
      <c r="A360" t="inlineStr">
        <is>
          <t>A 59255-2019</t>
        </is>
      </c>
      <c r="B360" s="1" t="n">
        <v>43773</v>
      </c>
      <c r="C360" s="1" t="n">
        <v>45472</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58905-2019</t>
        </is>
      </c>
      <c r="B361" s="1" t="n">
        <v>43774</v>
      </c>
      <c r="C361" s="1" t="n">
        <v>45472</v>
      </c>
      <c r="D361" t="inlineStr">
        <is>
          <t>VÄSTERBOTTENS LÄN</t>
        </is>
      </c>
      <c r="E361" t="inlineStr">
        <is>
          <t>SKELLEFTEÅ</t>
        </is>
      </c>
      <c r="F361" t="inlineStr">
        <is>
          <t>Sveaskog</t>
        </is>
      </c>
      <c r="G361" t="n">
        <v>26.4</v>
      </c>
      <c r="H361" t="n">
        <v>0</v>
      </c>
      <c r="I361" t="n">
        <v>0</v>
      </c>
      <c r="J361" t="n">
        <v>0</v>
      </c>
      <c r="K361" t="n">
        <v>0</v>
      </c>
      <c r="L361" t="n">
        <v>0</v>
      </c>
      <c r="M361" t="n">
        <v>0</v>
      </c>
      <c r="N361" t="n">
        <v>0</v>
      </c>
      <c r="O361" t="n">
        <v>0</v>
      </c>
      <c r="P361" t="n">
        <v>0</v>
      </c>
      <c r="Q361" t="n">
        <v>0</v>
      </c>
      <c r="R361" s="2" t="inlineStr"/>
    </row>
    <row r="362" ht="15" customHeight="1">
      <c r="A362" t="inlineStr">
        <is>
          <t>A 58817-2019</t>
        </is>
      </c>
      <c r="B362" s="1" t="n">
        <v>43774</v>
      </c>
      <c r="C362" s="1" t="n">
        <v>45472</v>
      </c>
      <c r="D362" t="inlineStr">
        <is>
          <t>VÄSTERBOTTENS LÄN</t>
        </is>
      </c>
      <c r="E362" t="inlineStr">
        <is>
          <t>SKELLEFTEÅ</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59611-2019</t>
        </is>
      </c>
      <c r="B363" s="1" t="n">
        <v>43774</v>
      </c>
      <c r="C363" s="1" t="n">
        <v>45472</v>
      </c>
      <c r="D363" t="inlineStr">
        <is>
          <t>VÄSTERBOTTENS LÄN</t>
        </is>
      </c>
      <c r="E363" t="inlineStr">
        <is>
          <t>SKELLEFTEÅ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59344-2019</t>
        </is>
      </c>
      <c r="B364" s="1" t="n">
        <v>43775</v>
      </c>
      <c r="C364" s="1" t="n">
        <v>45472</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60378-2019</t>
        </is>
      </c>
      <c r="B365" s="1" t="n">
        <v>43776</v>
      </c>
      <c r="C365" s="1" t="n">
        <v>45472</v>
      </c>
      <c r="D365" t="inlineStr">
        <is>
          <t>VÄSTERBOTTENS LÄN</t>
        </is>
      </c>
      <c r="E365" t="inlineStr">
        <is>
          <t>SKELLEFTEÅ</t>
        </is>
      </c>
      <c r="G365" t="n">
        <v>4.3</v>
      </c>
      <c r="H365" t="n">
        <v>0</v>
      </c>
      <c r="I365" t="n">
        <v>0</v>
      </c>
      <c r="J365" t="n">
        <v>0</v>
      </c>
      <c r="K365" t="n">
        <v>0</v>
      </c>
      <c r="L365" t="n">
        <v>0</v>
      </c>
      <c r="M365" t="n">
        <v>0</v>
      </c>
      <c r="N365" t="n">
        <v>0</v>
      </c>
      <c r="O365" t="n">
        <v>0</v>
      </c>
      <c r="P365" t="n">
        <v>0</v>
      </c>
      <c r="Q365" t="n">
        <v>0</v>
      </c>
      <c r="R365" s="2" t="inlineStr"/>
    </row>
    <row r="366" ht="15" customHeight="1">
      <c r="A366" t="inlineStr">
        <is>
          <t>A 60289-2019</t>
        </is>
      </c>
      <c r="B366" s="1" t="n">
        <v>43776</v>
      </c>
      <c r="C366" s="1" t="n">
        <v>45472</v>
      </c>
      <c r="D366" t="inlineStr">
        <is>
          <t>VÄSTERBOTTENS LÄN</t>
        </is>
      </c>
      <c r="E366" t="inlineStr">
        <is>
          <t>SKELLEFTEÅ</t>
        </is>
      </c>
      <c r="G366" t="n">
        <v>3.3</v>
      </c>
      <c r="H366" t="n">
        <v>0</v>
      </c>
      <c r="I366" t="n">
        <v>0</v>
      </c>
      <c r="J366" t="n">
        <v>0</v>
      </c>
      <c r="K366" t="n">
        <v>0</v>
      </c>
      <c r="L366" t="n">
        <v>0</v>
      </c>
      <c r="M366" t="n">
        <v>0</v>
      </c>
      <c r="N366" t="n">
        <v>0</v>
      </c>
      <c r="O366" t="n">
        <v>0</v>
      </c>
      <c r="P366" t="n">
        <v>0</v>
      </c>
      <c r="Q366" t="n">
        <v>0</v>
      </c>
      <c r="R366" s="2" t="inlineStr"/>
    </row>
    <row r="367" ht="15" customHeight="1">
      <c r="A367" t="inlineStr">
        <is>
          <t>A 60189-2019</t>
        </is>
      </c>
      <c r="B367" s="1" t="n">
        <v>43780</v>
      </c>
      <c r="C367" s="1" t="n">
        <v>45472</v>
      </c>
      <c r="D367" t="inlineStr">
        <is>
          <t>VÄSTERBOTTENS LÄN</t>
        </is>
      </c>
      <c r="E367" t="inlineStr">
        <is>
          <t>SKELLEFTEÅ</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60416-2019</t>
        </is>
      </c>
      <c r="B368" s="1" t="n">
        <v>43780</v>
      </c>
      <c r="C368" s="1" t="n">
        <v>45472</v>
      </c>
      <c r="D368" t="inlineStr">
        <is>
          <t>VÄSTERBOTTENS LÄN</t>
        </is>
      </c>
      <c r="E368" t="inlineStr">
        <is>
          <t>SKELLEFTEÅ</t>
        </is>
      </c>
      <c r="G368" t="n">
        <v>5.8</v>
      </c>
      <c r="H368" t="n">
        <v>0</v>
      </c>
      <c r="I368" t="n">
        <v>0</v>
      </c>
      <c r="J368" t="n">
        <v>0</v>
      </c>
      <c r="K368" t="n">
        <v>0</v>
      </c>
      <c r="L368" t="n">
        <v>0</v>
      </c>
      <c r="M368" t="n">
        <v>0</v>
      </c>
      <c r="N368" t="n">
        <v>0</v>
      </c>
      <c r="O368" t="n">
        <v>0</v>
      </c>
      <c r="P368" t="n">
        <v>0</v>
      </c>
      <c r="Q368" t="n">
        <v>0</v>
      </c>
      <c r="R368" s="2" t="inlineStr"/>
    </row>
    <row r="369" ht="15" customHeight="1">
      <c r="A369" t="inlineStr">
        <is>
          <t>A 61929-2019</t>
        </is>
      </c>
      <c r="B369" s="1" t="n">
        <v>43781</v>
      </c>
      <c r="C369" s="1" t="n">
        <v>45472</v>
      </c>
      <c r="D369" t="inlineStr">
        <is>
          <t>VÄSTERBOTTENS LÄN</t>
        </is>
      </c>
      <c r="E369" t="inlineStr">
        <is>
          <t>SKELLEFTEÅ</t>
        </is>
      </c>
      <c r="G369" t="n">
        <v>0.3</v>
      </c>
      <c r="H369" t="n">
        <v>0</v>
      </c>
      <c r="I369" t="n">
        <v>0</v>
      </c>
      <c r="J369" t="n">
        <v>0</v>
      </c>
      <c r="K369" t="n">
        <v>0</v>
      </c>
      <c r="L369" t="n">
        <v>0</v>
      </c>
      <c r="M369" t="n">
        <v>0</v>
      </c>
      <c r="N369" t="n">
        <v>0</v>
      </c>
      <c r="O369" t="n">
        <v>0</v>
      </c>
      <c r="P369" t="n">
        <v>0</v>
      </c>
      <c r="Q369" t="n">
        <v>0</v>
      </c>
      <c r="R369" s="2" t="inlineStr"/>
    </row>
    <row r="370" ht="15" customHeight="1">
      <c r="A370" t="inlineStr">
        <is>
          <t>A 60985-2019</t>
        </is>
      </c>
      <c r="B370" s="1" t="n">
        <v>43782</v>
      </c>
      <c r="C370" s="1" t="n">
        <v>45472</v>
      </c>
      <c r="D370" t="inlineStr">
        <is>
          <t>VÄSTERBOTTENS LÄN</t>
        </is>
      </c>
      <c r="E370" t="inlineStr">
        <is>
          <t>SKELLEFTEÅ</t>
        </is>
      </c>
      <c r="G370" t="n">
        <v>4.7</v>
      </c>
      <c r="H370" t="n">
        <v>0</v>
      </c>
      <c r="I370" t="n">
        <v>0</v>
      </c>
      <c r="J370" t="n">
        <v>0</v>
      </c>
      <c r="K370" t="n">
        <v>0</v>
      </c>
      <c r="L370" t="n">
        <v>0</v>
      </c>
      <c r="M370" t="n">
        <v>0</v>
      </c>
      <c r="N370" t="n">
        <v>0</v>
      </c>
      <c r="O370" t="n">
        <v>0</v>
      </c>
      <c r="P370" t="n">
        <v>0</v>
      </c>
      <c r="Q370" t="n">
        <v>0</v>
      </c>
      <c r="R370" s="2" t="inlineStr"/>
    </row>
    <row r="371" ht="15" customHeight="1">
      <c r="A371" t="inlineStr">
        <is>
          <t>A 61295-2019</t>
        </is>
      </c>
      <c r="B371" s="1" t="n">
        <v>43783</v>
      </c>
      <c r="C371" s="1" t="n">
        <v>45472</v>
      </c>
      <c r="D371" t="inlineStr">
        <is>
          <t>VÄSTERBOTTENS LÄN</t>
        </is>
      </c>
      <c r="E371" t="inlineStr">
        <is>
          <t>SKELLEFTEÅ</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61468-2019</t>
        </is>
      </c>
      <c r="B372" s="1" t="n">
        <v>43783</v>
      </c>
      <c r="C372" s="1" t="n">
        <v>45472</v>
      </c>
      <c r="D372" t="inlineStr">
        <is>
          <t>VÄSTERBOTTENS LÄN</t>
        </is>
      </c>
      <c r="E372" t="inlineStr">
        <is>
          <t>SKELLEFTEÅ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62584-2019</t>
        </is>
      </c>
      <c r="B373" s="1" t="n">
        <v>43784</v>
      </c>
      <c r="C373" s="1" t="n">
        <v>45472</v>
      </c>
      <c r="D373" t="inlineStr">
        <is>
          <t>VÄSTERBOTTENS LÄN</t>
        </is>
      </c>
      <c r="E373" t="inlineStr">
        <is>
          <t>SKELLEFTEÅ</t>
        </is>
      </c>
      <c r="G373" t="n">
        <v>6.1</v>
      </c>
      <c r="H373" t="n">
        <v>0</v>
      </c>
      <c r="I373" t="n">
        <v>0</v>
      </c>
      <c r="J373" t="n">
        <v>0</v>
      </c>
      <c r="K373" t="n">
        <v>0</v>
      </c>
      <c r="L373" t="n">
        <v>0</v>
      </c>
      <c r="M373" t="n">
        <v>0</v>
      </c>
      <c r="N373" t="n">
        <v>0</v>
      </c>
      <c r="O373" t="n">
        <v>0</v>
      </c>
      <c r="P373" t="n">
        <v>0</v>
      </c>
      <c r="Q373" t="n">
        <v>0</v>
      </c>
      <c r="R373" s="2" t="inlineStr"/>
    </row>
    <row r="374" ht="15" customHeight="1">
      <c r="A374" t="inlineStr">
        <is>
          <t>A 62201-2019</t>
        </is>
      </c>
      <c r="B374" s="1" t="n">
        <v>43788</v>
      </c>
      <c r="C374" s="1" t="n">
        <v>45472</v>
      </c>
      <c r="D374" t="inlineStr">
        <is>
          <t>VÄSTERBOTTENS LÄN</t>
        </is>
      </c>
      <c r="E374" t="inlineStr">
        <is>
          <t>SKELLEFTEÅ</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62678-2019</t>
        </is>
      </c>
      <c r="B375" s="1" t="n">
        <v>43789</v>
      </c>
      <c r="C375" s="1" t="n">
        <v>45472</v>
      </c>
      <c r="D375" t="inlineStr">
        <is>
          <t>VÄSTERBOTTENS LÄN</t>
        </is>
      </c>
      <c r="E375" t="inlineStr">
        <is>
          <t>SKELLEFTEÅ</t>
        </is>
      </c>
      <c r="G375" t="n">
        <v>4.9</v>
      </c>
      <c r="H375" t="n">
        <v>0</v>
      </c>
      <c r="I375" t="n">
        <v>0</v>
      </c>
      <c r="J375" t="n">
        <v>0</v>
      </c>
      <c r="K375" t="n">
        <v>0</v>
      </c>
      <c r="L375" t="n">
        <v>0</v>
      </c>
      <c r="M375" t="n">
        <v>0</v>
      </c>
      <c r="N375" t="n">
        <v>0</v>
      </c>
      <c r="O375" t="n">
        <v>0</v>
      </c>
      <c r="P375" t="n">
        <v>0</v>
      </c>
      <c r="Q375" t="n">
        <v>0</v>
      </c>
      <c r="R375" s="2" t="inlineStr"/>
    </row>
    <row r="376" ht="15" customHeight="1">
      <c r="A376" t="inlineStr">
        <is>
          <t>A 62873-2019</t>
        </is>
      </c>
      <c r="B376" s="1" t="n">
        <v>43790</v>
      </c>
      <c r="C376" s="1" t="n">
        <v>45472</v>
      </c>
      <c r="D376" t="inlineStr">
        <is>
          <t>VÄSTERBOTTENS LÄN</t>
        </is>
      </c>
      <c r="E376" t="inlineStr">
        <is>
          <t>SKELLEFTEÅ</t>
        </is>
      </c>
      <c r="F376" t="inlineStr">
        <is>
          <t>Holmen skog AB</t>
        </is>
      </c>
      <c r="G376" t="n">
        <v>3.3</v>
      </c>
      <c r="H376" t="n">
        <v>0</v>
      </c>
      <c r="I376" t="n">
        <v>0</v>
      </c>
      <c r="J376" t="n">
        <v>0</v>
      </c>
      <c r="K376" t="n">
        <v>0</v>
      </c>
      <c r="L376" t="n">
        <v>0</v>
      </c>
      <c r="M376" t="n">
        <v>0</v>
      </c>
      <c r="N376" t="n">
        <v>0</v>
      </c>
      <c r="O376" t="n">
        <v>0</v>
      </c>
      <c r="P376" t="n">
        <v>0</v>
      </c>
      <c r="Q376" t="n">
        <v>0</v>
      </c>
      <c r="R376" s="2" t="inlineStr"/>
    </row>
    <row r="377" ht="15" customHeight="1">
      <c r="A377" t="inlineStr">
        <is>
          <t>A 62823-2019</t>
        </is>
      </c>
      <c r="B377" s="1" t="n">
        <v>43790</v>
      </c>
      <c r="C377" s="1" t="n">
        <v>45472</v>
      </c>
      <c r="D377" t="inlineStr">
        <is>
          <t>VÄSTERBOTTENS LÄN</t>
        </is>
      </c>
      <c r="E377" t="inlineStr">
        <is>
          <t>SKELLEFTEÅ</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63554-2019</t>
        </is>
      </c>
      <c r="B378" s="1" t="n">
        <v>43794</v>
      </c>
      <c r="C378" s="1" t="n">
        <v>45472</v>
      </c>
      <c r="D378" t="inlineStr">
        <is>
          <t>VÄSTERBOTTENS LÄN</t>
        </is>
      </c>
      <c r="E378" t="inlineStr">
        <is>
          <t>SKELLEFTEÅ</t>
        </is>
      </c>
      <c r="G378" t="n">
        <v>0.7</v>
      </c>
      <c r="H378" t="n">
        <v>0</v>
      </c>
      <c r="I378" t="n">
        <v>0</v>
      </c>
      <c r="J378" t="n">
        <v>0</v>
      </c>
      <c r="K378" t="n">
        <v>0</v>
      </c>
      <c r="L378" t="n">
        <v>0</v>
      </c>
      <c r="M378" t="n">
        <v>0</v>
      </c>
      <c r="N378" t="n">
        <v>0</v>
      </c>
      <c r="O378" t="n">
        <v>0</v>
      </c>
      <c r="P378" t="n">
        <v>0</v>
      </c>
      <c r="Q378" t="n">
        <v>0</v>
      </c>
      <c r="R378" s="2" t="inlineStr"/>
    </row>
    <row r="379" ht="15" customHeight="1">
      <c r="A379" t="inlineStr">
        <is>
          <t>A 63846-2019</t>
        </is>
      </c>
      <c r="B379" s="1" t="n">
        <v>43796</v>
      </c>
      <c r="C379" s="1" t="n">
        <v>45472</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63845-2019</t>
        </is>
      </c>
      <c r="B380" s="1" t="n">
        <v>43796</v>
      </c>
      <c r="C380" s="1" t="n">
        <v>45472</v>
      </c>
      <c r="D380" t="inlineStr">
        <is>
          <t>VÄSTERBOTTENS LÄN</t>
        </is>
      </c>
      <c r="E380" t="inlineStr">
        <is>
          <t>SKELLEFTEÅ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64039-2019</t>
        </is>
      </c>
      <c r="B381" s="1" t="n">
        <v>43796</v>
      </c>
      <c r="C381" s="1" t="n">
        <v>45472</v>
      </c>
      <c r="D381" t="inlineStr">
        <is>
          <t>VÄSTERBOTTENS LÄN</t>
        </is>
      </c>
      <c r="E381" t="inlineStr">
        <is>
          <t>SKELLEFTEÅ</t>
        </is>
      </c>
      <c r="F381" t="inlineStr">
        <is>
          <t>Sveaskog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64117-2019</t>
        </is>
      </c>
      <c r="B382" s="1" t="n">
        <v>43796</v>
      </c>
      <c r="C382" s="1" t="n">
        <v>45472</v>
      </c>
      <c r="D382" t="inlineStr">
        <is>
          <t>VÄSTERBOTTENS LÄN</t>
        </is>
      </c>
      <c r="E382" t="inlineStr">
        <is>
          <t>SKELLEFTEÅ</t>
        </is>
      </c>
      <c r="F382" t="inlineStr">
        <is>
          <t>Sveaskog</t>
        </is>
      </c>
      <c r="G382" t="n">
        <v>16.2</v>
      </c>
      <c r="H382" t="n">
        <v>0</v>
      </c>
      <c r="I382" t="n">
        <v>0</v>
      </c>
      <c r="J382" t="n">
        <v>0</v>
      </c>
      <c r="K382" t="n">
        <v>0</v>
      </c>
      <c r="L382" t="n">
        <v>0</v>
      </c>
      <c r="M382" t="n">
        <v>0</v>
      </c>
      <c r="N382" t="n">
        <v>0</v>
      </c>
      <c r="O382" t="n">
        <v>0</v>
      </c>
      <c r="P382" t="n">
        <v>0</v>
      </c>
      <c r="Q382" t="n">
        <v>0</v>
      </c>
      <c r="R382" s="2" t="inlineStr"/>
    </row>
    <row r="383" ht="15" customHeight="1">
      <c r="A383" t="inlineStr">
        <is>
          <t>A 64139-2019</t>
        </is>
      </c>
      <c r="B383" s="1" t="n">
        <v>43796</v>
      </c>
      <c r="C383" s="1" t="n">
        <v>45472</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64569-2019</t>
        </is>
      </c>
      <c r="B384" s="1" t="n">
        <v>43798</v>
      </c>
      <c r="C384" s="1" t="n">
        <v>45472</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64754-2019</t>
        </is>
      </c>
      <c r="B385" s="1" t="n">
        <v>43801</v>
      </c>
      <c r="C385" s="1" t="n">
        <v>45472</v>
      </c>
      <c r="D385" t="inlineStr">
        <is>
          <t>VÄSTERBOTTENS LÄN</t>
        </is>
      </c>
      <c r="E385" t="inlineStr">
        <is>
          <t>SKELLEFTEÅ</t>
        </is>
      </c>
      <c r="G385" t="n">
        <v>1.7</v>
      </c>
      <c r="H385" t="n">
        <v>0</v>
      </c>
      <c r="I385" t="n">
        <v>0</v>
      </c>
      <c r="J385" t="n">
        <v>0</v>
      </c>
      <c r="K385" t="n">
        <v>0</v>
      </c>
      <c r="L385" t="n">
        <v>0</v>
      </c>
      <c r="M385" t="n">
        <v>0</v>
      </c>
      <c r="N385" t="n">
        <v>0</v>
      </c>
      <c r="O385" t="n">
        <v>0</v>
      </c>
      <c r="P385" t="n">
        <v>0</v>
      </c>
      <c r="Q385" t="n">
        <v>0</v>
      </c>
      <c r="R385" s="2" t="inlineStr"/>
    </row>
    <row r="386" ht="15" customHeight="1">
      <c r="A386" t="inlineStr">
        <is>
          <t>A 65070-2019</t>
        </is>
      </c>
      <c r="B386" s="1" t="n">
        <v>43802</v>
      </c>
      <c r="C386" s="1" t="n">
        <v>45472</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65565-2019</t>
        </is>
      </c>
      <c r="B387" s="1" t="n">
        <v>43803</v>
      </c>
      <c r="C387" s="1" t="n">
        <v>45472</v>
      </c>
      <c r="D387" t="inlineStr">
        <is>
          <t>VÄSTERBOTTENS LÄN</t>
        </is>
      </c>
      <c r="E387" t="inlineStr">
        <is>
          <t>SKELLEFTEÅ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65721-2019</t>
        </is>
      </c>
      <c r="B388" s="1" t="n">
        <v>43804</v>
      </c>
      <c r="C388" s="1" t="n">
        <v>45472</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65726-2019</t>
        </is>
      </c>
      <c r="B389" s="1" t="n">
        <v>43804</v>
      </c>
      <c r="C389" s="1" t="n">
        <v>45472</v>
      </c>
      <c r="D389" t="inlineStr">
        <is>
          <t>VÄSTERBOTTENS LÄN</t>
        </is>
      </c>
      <c r="E389" t="inlineStr">
        <is>
          <t>SKELLEFTEÅ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65992-2019</t>
        </is>
      </c>
      <c r="B390" s="1" t="n">
        <v>43805</v>
      </c>
      <c r="C390" s="1" t="n">
        <v>45472</v>
      </c>
      <c r="D390" t="inlineStr">
        <is>
          <t>VÄSTERBOTTENS LÄN</t>
        </is>
      </c>
      <c r="E390" t="inlineStr">
        <is>
          <t>SKELLEFTEÅ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67581-2019</t>
        </is>
      </c>
      <c r="B391" s="1" t="n">
        <v>43808</v>
      </c>
      <c r="C391" s="1" t="n">
        <v>45472</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66505-2019</t>
        </is>
      </c>
      <c r="B392" s="1" t="n">
        <v>43809</v>
      </c>
      <c r="C392" s="1" t="n">
        <v>45472</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66478-2019</t>
        </is>
      </c>
      <c r="B393" s="1" t="n">
        <v>43809</v>
      </c>
      <c r="C393" s="1" t="n">
        <v>45472</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68008-2019</t>
        </is>
      </c>
      <c r="B394" s="1" t="n">
        <v>43811</v>
      </c>
      <c r="C394" s="1" t="n">
        <v>45472</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69136-2019</t>
        </is>
      </c>
      <c r="B395" s="1" t="n">
        <v>43815</v>
      </c>
      <c r="C395" s="1" t="n">
        <v>45472</v>
      </c>
      <c r="D395" t="inlineStr">
        <is>
          <t>VÄSTERBOTTENS LÄN</t>
        </is>
      </c>
      <c r="E395" t="inlineStr">
        <is>
          <t>SKELLEFTEÅ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69135-2019</t>
        </is>
      </c>
      <c r="B396" s="1" t="n">
        <v>43815</v>
      </c>
      <c r="C396" s="1" t="n">
        <v>45472</v>
      </c>
      <c r="D396" t="inlineStr">
        <is>
          <t>VÄSTERBOTTENS LÄN</t>
        </is>
      </c>
      <c r="E396" t="inlineStr">
        <is>
          <t>SKELLEFTEÅ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69140-2019</t>
        </is>
      </c>
      <c r="B397" s="1" t="n">
        <v>43815</v>
      </c>
      <c r="C397" s="1" t="n">
        <v>45472</v>
      </c>
      <c r="D397" t="inlineStr">
        <is>
          <t>VÄSTERBOTTENS LÄN</t>
        </is>
      </c>
      <c r="E397" t="inlineStr">
        <is>
          <t>SKELLEFTEÅ</t>
        </is>
      </c>
      <c r="G397" t="n">
        <v>4.9</v>
      </c>
      <c r="H397" t="n">
        <v>0</v>
      </c>
      <c r="I397" t="n">
        <v>0</v>
      </c>
      <c r="J397" t="n">
        <v>0</v>
      </c>
      <c r="K397" t="n">
        <v>0</v>
      </c>
      <c r="L397" t="n">
        <v>0</v>
      </c>
      <c r="M397" t="n">
        <v>0</v>
      </c>
      <c r="N397" t="n">
        <v>0</v>
      </c>
      <c r="O397" t="n">
        <v>0</v>
      </c>
      <c r="P397" t="n">
        <v>0</v>
      </c>
      <c r="Q397" t="n">
        <v>0</v>
      </c>
      <c r="R397" s="2" t="inlineStr"/>
    </row>
    <row r="398" ht="15" customHeight="1">
      <c r="A398" t="inlineStr">
        <is>
          <t>A 69131-2019</t>
        </is>
      </c>
      <c r="B398" s="1" t="n">
        <v>43815</v>
      </c>
      <c r="C398" s="1" t="n">
        <v>45472</v>
      </c>
      <c r="D398" t="inlineStr">
        <is>
          <t>VÄSTERBOTTENS LÄN</t>
        </is>
      </c>
      <c r="E398" t="inlineStr">
        <is>
          <t>SKELLEFTEÅ</t>
        </is>
      </c>
      <c r="G398" t="n">
        <v>5.1</v>
      </c>
      <c r="H398" t="n">
        <v>0</v>
      </c>
      <c r="I398" t="n">
        <v>0</v>
      </c>
      <c r="J398" t="n">
        <v>0</v>
      </c>
      <c r="K398" t="n">
        <v>0</v>
      </c>
      <c r="L398" t="n">
        <v>0</v>
      </c>
      <c r="M398" t="n">
        <v>0</v>
      </c>
      <c r="N398" t="n">
        <v>0</v>
      </c>
      <c r="O398" t="n">
        <v>0</v>
      </c>
      <c r="P398" t="n">
        <v>0</v>
      </c>
      <c r="Q398" t="n">
        <v>0</v>
      </c>
      <c r="R398" s="2" t="inlineStr"/>
    </row>
    <row r="399" ht="15" customHeight="1">
      <c r="A399" t="inlineStr">
        <is>
          <t>A 277-2020</t>
        </is>
      </c>
      <c r="B399" s="1" t="n">
        <v>43816</v>
      </c>
      <c r="C399" s="1" t="n">
        <v>45472</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67837-2019</t>
        </is>
      </c>
      <c r="B400" s="1" t="n">
        <v>43816</v>
      </c>
      <c r="C400" s="1" t="n">
        <v>45472</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398-2020</t>
        </is>
      </c>
      <c r="B401" s="1" t="n">
        <v>43816</v>
      </c>
      <c r="C401" s="1" t="n">
        <v>45472</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434-2020</t>
        </is>
      </c>
      <c r="B402" s="1" t="n">
        <v>43816</v>
      </c>
      <c r="C402" s="1" t="n">
        <v>45472</v>
      </c>
      <c r="D402" t="inlineStr">
        <is>
          <t>VÄSTERBOTTENS LÄN</t>
        </is>
      </c>
      <c r="E402" t="inlineStr">
        <is>
          <t>SKELLEFTEÅ</t>
        </is>
      </c>
      <c r="G402" t="n">
        <v>12.9</v>
      </c>
      <c r="H402" t="n">
        <v>0</v>
      </c>
      <c r="I402" t="n">
        <v>0</v>
      </c>
      <c r="J402" t="n">
        <v>0</v>
      </c>
      <c r="K402" t="n">
        <v>0</v>
      </c>
      <c r="L402" t="n">
        <v>0</v>
      </c>
      <c r="M402" t="n">
        <v>0</v>
      </c>
      <c r="N402" t="n">
        <v>0</v>
      </c>
      <c r="O402" t="n">
        <v>0</v>
      </c>
      <c r="P402" t="n">
        <v>0</v>
      </c>
      <c r="Q402" t="n">
        <v>0</v>
      </c>
      <c r="R402" s="2" t="inlineStr"/>
    </row>
    <row r="403" ht="15" customHeight="1">
      <c r="A403" t="inlineStr">
        <is>
          <t>A 820-2020</t>
        </is>
      </c>
      <c r="B403" s="1" t="n">
        <v>43818</v>
      </c>
      <c r="C403" s="1" t="n">
        <v>45472</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1102-2020</t>
        </is>
      </c>
      <c r="B404" s="1" t="n">
        <v>43819</v>
      </c>
      <c r="C404" s="1" t="n">
        <v>45472</v>
      </c>
      <c r="D404" t="inlineStr">
        <is>
          <t>VÄSTERBOTTENS LÄN</t>
        </is>
      </c>
      <c r="E404" t="inlineStr">
        <is>
          <t>SKELLEFTEÅ</t>
        </is>
      </c>
      <c r="G404" t="n">
        <v>3.3</v>
      </c>
      <c r="H404" t="n">
        <v>0</v>
      </c>
      <c r="I404" t="n">
        <v>0</v>
      </c>
      <c r="J404" t="n">
        <v>0</v>
      </c>
      <c r="K404" t="n">
        <v>0</v>
      </c>
      <c r="L404" t="n">
        <v>0</v>
      </c>
      <c r="M404" t="n">
        <v>0</v>
      </c>
      <c r="N404" t="n">
        <v>0</v>
      </c>
      <c r="O404" t="n">
        <v>0</v>
      </c>
      <c r="P404" t="n">
        <v>0</v>
      </c>
      <c r="Q404" t="n">
        <v>0</v>
      </c>
      <c r="R404" s="2" t="inlineStr"/>
    </row>
    <row r="405" ht="15" customHeight="1">
      <c r="A405" t="inlineStr">
        <is>
          <t>A 1452-2020</t>
        </is>
      </c>
      <c r="B405" s="1" t="n">
        <v>43822</v>
      </c>
      <c r="C405" s="1" t="n">
        <v>45472</v>
      </c>
      <c r="D405" t="inlineStr">
        <is>
          <t>VÄSTERBOTTENS LÄN</t>
        </is>
      </c>
      <c r="E405" t="inlineStr">
        <is>
          <t>SKELLEFTEÅ</t>
        </is>
      </c>
      <c r="G405" t="n">
        <v>0.4</v>
      </c>
      <c r="H405" t="n">
        <v>0</v>
      </c>
      <c r="I405" t="n">
        <v>0</v>
      </c>
      <c r="J405" t="n">
        <v>0</v>
      </c>
      <c r="K405" t="n">
        <v>0</v>
      </c>
      <c r="L405" t="n">
        <v>0</v>
      </c>
      <c r="M405" t="n">
        <v>0</v>
      </c>
      <c r="N405" t="n">
        <v>0</v>
      </c>
      <c r="O405" t="n">
        <v>0</v>
      </c>
      <c r="P405" t="n">
        <v>0</v>
      </c>
      <c r="Q405" t="n">
        <v>0</v>
      </c>
      <c r="R405" s="2" t="inlineStr"/>
    </row>
    <row r="406" ht="15" customHeight="1">
      <c r="A406" t="inlineStr">
        <is>
          <t>A 789-2020</t>
        </is>
      </c>
      <c r="B406" s="1" t="n">
        <v>43838</v>
      </c>
      <c r="C406" s="1" t="n">
        <v>45472</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896-2020</t>
        </is>
      </c>
      <c r="B407" s="1" t="n">
        <v>43839</v>
      </c>
      <c r="C407" s="1" t="n">
        <v>45472</v>
      </c>
      <c r="D407" t="inlineStr">
        <is>
          <t>VÄSTERBOTTENS LÄN</t>
        </is>
      </c>
      <c r="E407" t="inlineStr">
        <is>
          <t>SKELLEFTEÅ</t>
        </is>
      </c>
      <c r="F407" t="inlineStr">
        <is>
          <t>Kyrkan</t>
        </is>
      </c>
      <c r="G407" t="n">
        <v>14.9</v>
      </c>
      <c r="H407" t="n">
        <v>0</v>
      </c>
      <c r="I407" t="n">
        <v>0</v>
      </c>
      <c r="J407" t="n">
        <v>0</v>
      </c>
      <c r="K407" t="n">
        <v>0</v>
      </c>
      <c r="L407" t="n">
        <v>0</v>
      </c>
      <c r="M407" t="n">
        <v>0</v>
      </c>
      <c r="N407" t="n">
        <v>0</v>
      </c>
      <c r="O407" t="n">
        <v>0</v>
      </c>
      <c r="P407" t="n">
        <v>0</v>
      </c>
      <c r="Q407" t="n">
        <v>0</v>
      </c>
      <c r="R407" s="2" t="inlineStr"/>
    </row>
    <row r="408" ht="15" customHeight="1">
      <c r="A408" t="inlineStr">
        <is>
          <t>A 2127-2020</t>
        </is>
      </c>
      <c r="B408" s="1" t="n">
        <v>43839</v>
      </c>
      <c r="C408" s="1" t="n">
        <v>45472</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1550-2020</t>
        </is>
      </c>
      <c r="B409" s="1" t="n">
        <v>43843</v>
      </c>
      <c r="C409" s="1" t="n">
        <v>45472</v>
      </c>
      <c r="D409" t="inlineStr">
        <is>
          <t>VÄSTERBOTTENS LÄN</t>
        </is>
      </c>
      <c r="E409" t="inlineStr">
        <is>
          <t>SKELLEFTEÅ</t>
        </is>
      </c>
      <c r="G409" t="n">
        <v>3.8</v>
      </c>
      <c r="H409" t="n">
        <v>0</v>
      </c>
      <c r="I409" t="n">
        <v>0</v>
      </c>
      <c r="J409" t="n">
        <v>0</v>
      </c>
      <c r="K409" t="n">
        <v>0</v>
      </c>
      <c r="L409" t="n">
        <v>0</v>
      </c>
      <c r="M409" t="n">
        <v>0</v>
      </c>
      <c r="N409" t="n">
        <v>0</v>
      </c>
      <c r="O409" t="n">
        <v>0</v>
      </c>
      <c r="P409" t="n">
        <v>0</v>
      </c>
      <c r="Q409" t="n">
        <v>0</v>
      </c>
      <c r="R409" s="2" t="inlineStr"/>
    </row>
    <row r="410" ht="15" customHeight="1">
      <c r="A410" t="inlineStr">
        <is>
          <t>A 1612-2020</t>
        </is>
      </c>
      <c r="B410" s="1" t="n">
        <v>43844</v>
      </c>
      <c r="C410" s="1" t="n">
        <v>45472</v>
      </c>
      <c r="D410" t="inlineStr">
        <is>
          <t>VÄSTERBOTTENS LÄN</t>
        </is>
      </c>
      <c r="E410" t="inlineStr">
        <is>
          <t>SKELLEFTEÅ</t>
        </is>
      </c>
      <c r="G410" t="n">
        <v>5.4</v>
      </c>
      <c r="H410" t="n">
        <v>0</v>
      </c>
      <c r="I410" t="n">
        <v>0</v>
      </c>
      <c r="J410" t="n">
        <v>0</v>
      </c>
      <c r="K410" t="n">
        <v>0</v>
      </c>
      <c r="L410" t="n">
        <v>0</v>
      </c>
      <c r="M410" t="n">
        <v>0</v>
      </c>
      <c r="N410" t="n">
        <v>0</v>
      </c>
      <c r="O410" t="n">
        <v>0</v>
      </c>
      <c r="P410" t="n">
        <v>0</v>
      </c>
      <c r="Q410" t="n">
        <v>0</v>
      </c>
      <c r="R410" s="2" t="inlineStr"/>
    </row>
    <row r="411" ht="15" customHeight="1">
      <c r="A411" t="inlineStr">
        <is>
          <t>A 1695-2020</t>
        </is>
      </c>
      <c r="B411" s="1" t="n">
        <v>43844</v>
      </c>
      <c r="C411" s="1" t="n">
        <v>45472</v>
      </c>
      <c r="D411" t="inlineStr">
        <is>
          <t>VÄSTERBOTTENS LÄN</t>
        </is>
      </c>
      <c r="E411" t="inlineStr">
        <is>
          <t>SKELLEFTEÅ</t>
        </is>
      </c>
      <c r="F411" t="inlineStr">
        <is>
          <t>Holmen skog AB</t>
        </is>
      </c>
      <c r="G411" t="n">
        <v>13.6</v>
      </c>
      <c r="H411" t="n">
        <v>0</v>
      </c>
      <c r="I411" t="n">
        <v>0</v>
      </c>
      <c r="J411" t="n">
        <v>0</v>
      </c>
      <c r="K411" t="n">
        <v>0</v>
      </c>
      <c r="L411" t="n">
        <v>0</v>
      </c>
      <c r="M411" t="n">
        <v>0</v>
      </c>
      <c r="N411" t="n">
        <v>0</v>
      </c>
      <c r="O411" t="n">
        <v>0</v>
      </c>
      <c r="P411" t="n">
        <v>0</v>
      </c>
      <c r="Q411" t="n">
        <v>0</v>
      </c>
      <c r="R411" s="2" t="inlineStr"/>
    </row>
    <row r="412" ht="15" customHeight="1">
      <c r="A412" t="inlineStr">
        <is>
          <t>A 3123-2020</t>
        </is>
      </c>
      <c r="B412" s="1" t="n">
        <v>43844</v>
      </c>
      <c r="C412" s="1" t="n">
        <v>45472</v>
      </c>
      <c r="D412" t="inlineStr">
        <is>
          <t>VÄSTERBOTTENS LÄN</t>
        </is>
      </c>
      <c r="E412" t="inlineStr">
        <is>
          <t>SKELLEFTEÅ</t>
        </is>
      </c>
      <c r="G412" t="n">
        <v>12.5</v>
      </c>
      <c r="H412" t="n">
        <v>0</v>
      </c>
      <c r="I412" t="n">
        <v>0</v>
      </c>
      <c r="J412" t="n">
        <v>0</v>
      </c>
      <c r="K412" t="n">
        <v>0</v>
      </c>
      <c r="L412" t="n">
        <v>0</v>
      </c>
      <c r="M412" t="n">
        <v>0</v>
      </c>
      <c r="N412" t="n">
        <v>0</v>
      </c>
      <c r="O412" t="n">
        <v>0</v>
      </c>
      <c r="P412" t="n">
        <v>0</v>
      </c>
      <c r="Q412" t="n">
        <v>0</v>
      </c>
      <c r="R412" s="2" t="inlineStr"/>
    </row>
    <row r="413" ht="15" customHeight="1">
      <c r="A413" t="inlineStr">
        <is>
          <t>A 4286-2020</t>
        </is>
      </c>
      <c r="B413" s="1" t="n">
        <v>43847</v>
      </c>
      <c r="C413" s="1" t="n">
        <v>45472</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4381-2020</t>
        </is>
      </c>
      <c r="B414" s="1" t="n">
        <v>43847</v>
      </c>
      <c r="C414" s="1" t="n">
        <v>45472</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4765-2020</t>
        </is>
      </c>
      <c r="B415" s="1" t="n">
        <v>43850</v>
      </c>
      <c r="C415" s="1" t="n">
        <v>45472</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4985-2020</t>
        </is>
      </c>
      <c r="B416" s="1" t="n">
        <v>43853</v>
      </c>
      <c r="C416" s="1" t="n">
        <v>45472</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3968-2020</t>
        </is>
      </c>
      <c r="B417" s="1" t="n">
        <v>43854</v>
      </c>
      <c r="C417" s="1" t="n">
        <v>45472</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4006-2020</t>
        </is>
      </c>
      <c r="B418" s="1" t="n">
        <v>43857</v>
      </c>
      <c r="C418" s="1" t="n">
        <v>45472</v>
      </c>
      <c r="D418" t="inlineStr">
        <is>
          <t>VÄSTERBOTTENS LÄN</t>
        </is>
      </c>
      <c r="E418" t="inlineStr">
        <is>
          <t>SKELLEFTEÅ</t>
        </is>
      </c>
      <c r="G418" t="n">
        <v>4.5</v>
      </c>
      <c r="H418" t="n">
        <v>0</v>
      </c>
      <c r="I418" t="n">
        <v>0</v>
      </c>
      <c r="J418" t="n">
        <v>0</v>
      </c>
      <c r="K418" t="n">
        <v>0</v>
      </c>
      <c r="L418" t="n">
        <v>0</v>
      </c>
      <c r="M418" t="n">
        <v>0</v>
      </c>
      <c r="N418" t="n">
        <v>0</v>
      </c>
      <c r="O418" t="n">
        <v>0</v>
      </c>
      <c r="P418" t="n">
        <v>0</v>
      </c>
      <c r="Q418" t="n">
        <v>0</v>
      </c>
      <c r="R418" s="2" t="inlineStr"/>
    </row>
    <row r="419" ht="15" customHeight="1">
      <c r="A419" t="inlineStr">
        <is>
          <t>A 5261-2020</t>
        </is>
      </c>
      <c r="B419" s="1" t="n">
        <v>43857</v>
      </c>
      <c r="C419" s="1" t="n">
        <v>45472</v>
      </c>
      <c r="D419" t="inlineStr">
        <is>
          <t>VÄSTERBOTTENS LÄN</t>
        </is>
      </c>
      <c r="E419" t="inlineStr">
        <is>
          <t>SKELLEFTEÅ</t>
        </is>
      </c>
      <c r="G419" t="n">
        <v>3.5</v>
      </c>
      <c r="H419" t="n">
        <v>0</v>
      </c>
      <c r="I419" t="n">
        <v>0</v>
      </c>
      <c r="J419" t="n">
        <v>0</v>
      </c>
      <c r="K419" t="n">
        <v>0</v>
      </c>
      <c r="L419" t="n">
        <v>0</v>
      </c>
      <c r="M419" t="n">
        <v>0</v>
      </c>
      <c r="N419" t="n">
        <v>0</v>
      </c>
      <c r="O419" t="n">
        <v>0</v>
      </c>
      <c r="P419" t="n">
        <v>0</v>
      </c>
      <c r="Q419" t="n">
        <v>0</v>
      </c>
      <c r="R419" s="2" t="inlineStr"/>
    </row>
    <row r="420" ht="15" customHeight="1">
      <c r="A420" t="inlineStr">
        <is>
          <t>A 4731-2020</t>
        </is>
      </c>
      <c r="B420" s="1" t="n">
        <v>43859</v>
      </c>
      <c r="C420" s="1" t="n">
        <v>45472</v>
      </c>
      <c r="D420" t="inlineStr">
        <is>
          <t>VÄSTERBOTTENS LÄN</t>
        </is>
      </c>
      <c r="E420" t="inlineStr">
        <is>
          <t>SKELLEFTEÅ</t>
        </is>
      </c>
      <c r="G420" t="n">
        <v>3</v>
      </c>
      <c r="H420" t="n">
        <v>0</v>
      </c>
      <c r="I420" t="n">
        <v>0</v>
      </c>
      <c r="J420" t="n">
        <v>0</v>
      </c>
      <c r="K420" t="n">
        <v>0</v>
      </c>
      <c r="L420" t="n">
        <v>0</v>
      </c>
      <c r="M420" t="n">
        <v>0</v>
      </c>
      <c r="N420" t="n">
        <v>0</v>
      </c>
      <c r="O420" t="n">
        <v>0</v>
      </c>
      <c r="P420" t="n">
        <v>0</v>
      </c>
      <c r="Q420" t="n">
        <v>0</v>
      </c>
      <c r="R420" s="2" t="inlineStr"/>
    </row>
    <row r="421" ht="15" customHeight="1">
      <c r="A421" t="inlineStr">
        <is>
          <t>A 6511-2020</t>
        </is>
      </c>
      <c r="B421" s="1" t="n">
        <v>43865</v>
      </c>
      <c r="C421" s="1" t="n">
        <v>45472</v>
      </c>
      <c r="D421" t="inlineStr">
        <is>
          <t>VÄSTERBOTTENS LÄN</t>
        </is>
      </c>
      <c r="E421" t="inlineStr">
        <is>
          <t>SKELLEFTEÅ</t>
        </is>
      </c>
      <c r="G421" t="n">
        <v>9.9</v>
      </c>
      <c r="H421" t="n">
        <v>0</v>
      </c>
      <c r="I421" t="n">
        <v>0</v>
      </c>
      <c r="J421" t="n">
        <v>0</v>
      </c>
      <c r="K421" t="n">
        <v>0</v>
      </c>
      <c r="L421" t="n">
        <v>0</v>
      </c>
      <c r="M421" t="n">
        <v>0</v>
      </c>
      <c r="N421" t="n">
        <v>0</v>
      </c>
      <c r="O421" t="n">
        <v>0</v>
      </c>
      <c r="P421" t="n">
        <v>0</v>
      </c>
      <c r="Q421" t="n">
        <v>0</v>
      </c>
      <c r="R421" s="2" t="inlineStr"/>
    </row>
    <row r="422" ht="15" customHeight="1">
      <c r="A422" t="inlineStr">
        <is>
          <t>A 7334-2020</t>
        </is>
      </c>
      <c r="B422" s="1" t="n">
        <v>43868</v>
      </c>
      <c r="C422" s="1" t="n">
        <v>45472</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7689-2020</t>
        </is>
      </c>
      <c r="B423" s="1" t="n">
        <v>43872</v>
      </c>
      <c r="C423" s="1" t="n">
        <v>45472</v>
      </c>
      <c r="D423" t="inlineStr">
        <is>
          <t>VÄSTERBOTTENS LÄN</t>
        </is>
      </c>
      <c r="E423" t="inlineStr">
        <is>
          <t>SKELLEFTEÅ</t>
        </is>
      </c>
      <c r="G423" t="n">
        <v>3.1</v>
      </c>
      <c r="H423" t="n">
        <v>0</v>
      </c>
      <c r="I423" t="n">
        <v>0</v>
      </c>
      <c r="J423" t="n">
        <v>0</v>
      </c>
      <c r="K423" t="n">
        <v>0</v>
      </c>
      <c r="L423" t="n">
        <v>0</v>
      </c>
      <c r="M423" t="n">
        <v>0</v>
      </c>
      <c r="N423" t="n">
        <v>0</v>
      </c>
      <c r="O423" t="n">
        <v>0</v>
      </c>
      <c r="P423" t="n">
        <v>0</v>
      </c>
      <c r="Q423" t="n">
        <v>0</v>
      </c>
      <c r="R423" s="2" t="inlineStr"/>
    </row>
    <row r="424" ht="15" customHeight="1">
      <c r="A424" t="inlineStr">
        <is>
          <t>A 8060-2020</t>
        </is>
      </c>
      <c r="B424" s="1" t="n">
        <v>43874</v>
      </c>
      <c r="C424" s="1" t="n">
        <v>45472</v>
      </c>
      <c r="D424" t="inlineStr">
        <is>
          <t>VÄSTERBOTTENS LÄN</t>
        </is>
      </c>
      <c r="E424" t="inlineStr">
        <is>
          <t>SKELLEFTEÅ</t>
        </is>
      </c>
      <c r="G424" t="n">
        <v>18.7</v>
      </c>
      <c r="H424" t="n">
        <v>0</v>
      </c>
      <c r="I424" t="n">
        <v>0</v>
      </c>
      <c r="J424" t="n">
        <v>0</v>
      </c>
      <c r="K424" t="n">
        <v>0</v>
      </c>
      <c r="L424" t="n">
        <v>0</v>
      </c>
      <c r="M424" t="n">
        <v>0</v>
      </c>
      <c r="N424" t="n">
        <v>0</v>
      </c>
      <c r="O424" t="n">
        <v>0</v>
      </c>
      <c r="P424" t="n">
        <v>0</v>
      </c>
      <c r="Q424" t="n">
        <v>0</v>
      </c>
      <c r="R424" s="2" t="inlineStr"/>
    </row>
    <row r="425" ht="15" customHeight="1">
      <c r="A425" t="inlineStr">
        <is>
          <t>A 8562-2020</t>
        </is>
      </c>
      <c r="B425" s="1" t="n">
        <v>43877</v>
      </c>
      <c r="C425" s="1" t="n">
        <v>45472</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9180-2020</t>
        </is>
      </c>
      <c r="B426" s="1" t="n">
        <v>43879</v>
      </c>
      <c r="C426" s="1" t="n">
        <v>45472</v>
      </c>
      <c r="D426" t="inlineStr">
        <is>
          <t>VÄSTERBOTTENS LÄN</t>
        </is>
      </c>
      <c r="E426" t="inlineStr">
        <is>
          <t>SKELLEFTEÅ</t>
        </is>
      </c>
      <c r="G426" t="n">
        <v>11.4</v>
      </c>
      <c r="H426" t="n">
        <v>0</v>
      </c>
      <c r="I426" t="n">
        <v>0</v>
      </c>
      <c r="J426" t="n">
        <v>0</v>
      </c>
      <c r="K426" t="n">
        <v>0</v>
      </c>
      <c r="L426" t="n">
        <v>0</v>
      </c>
      <c r="M426" t="n">
        <v>0</v>
      </c>
      <c r="N426" t="n">
        <v>0</v>
      </c>
      <c r="O426" t="n">
        <v>0</v>
      </c>
      <c r="P426" t="n">
        <v>0</v>
      </c>
      <c r="Q426" t="n">
        <v>0</v>
      </c>
      <c r="R426" s="2" t="inlineStr"/>
    </row>
    <row r="427" ht="15" customHeight="1">
      <c r="A427" t="inlineStr">
        <is>
          <t>A 9568-2020</t>
        </is>
      </c>
      <c r="B427" s="1" t="n">
        <v>43881</v>
      </c>
      <c r="C427" s="1" t="n">
        <v>45472</v>
      </c>
      <c r="D427" t="inlineStr">
        <is>
          <t>VÄSTERBOTTENS LÄN</t>
        </is>
      </c>
      <c r="E427" t="inlineStr">
        <is>
          <t>SKELLEFTEÅ</t>
        </is>
      </c>
      <c r="G427" t="n">
        <v>2.4</v>
      </c>
      <c r="H427" t="n">
        <v>0</v>
      </c>
      <c r="I427" t="n">
        <v>0</v>
      </c>
      <c r="J427" t="n">
        <v>0</v>
      </c>
      <c r="K427" t="n">
        <v>0</v>
      </c>
      <c r="L427" t="n">
        <v>0</v>
      </c>
      <c r="M427" t="n">
        <v>0</v>
      </c>
      <c r="N427" t="n">
        <v>0</v>
      </c>
      <c r="O427" t="n">
        <v>0</v>
      </c>
      <c r="P427" t="n">
        <v>0</v>
      </c>
      <c r="Q427" t="n">
        <v>0</v>
      </c>
      <c r="R427" s="2" t="inlineStr"/>
    </row>
    <row r="428" ht="15" customHeight="1">
      <c r="A428" t="inlineStr">
        <is>
          <t>A 10030-2020</t>
        </is>
      </c>
      <c r="B428" s="1" t="n">
        <v>43882</v>
      </c>
      <c r="C428" s="1" t="n">
        <v>45472</v>
      </c>
      <c r="D428" t="inlineStr">
        <is>
          <t>VÄSTERBOTTENS LÄN</t>
        </is>
      </c>
      <c r="E428" t="inlineStr">
        <is>
          <t>SKELLEFTEÅ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10041-2020</t>
        </is>
      </c>
      <c r="B429" s="1" t="n">
        <v>43882</v>
      </c>
      <c r="C429" s="1" t="n">
        <v>45472</v>
      </c>
      <c r="D429" t="inlineStr">
        <is>
          <t>VÄSTERBOTTENS LÄN</t>
        </is>
      </c>
      <c r="E429" t="inlineStr">
        <is>
          <t>SKELLEFTEÅ</t>
        </is>
      </c>
      <c r="F429" t="inlineStr">
        <is>
          <t>Holmen skog AB</t>
        </is>
      </c>
      <c r="G429" t="n">
        <v>4.5</v>
      </c>
      <c r="H429" t="n">
        <v>0</v>
      </c>
      <c r="I429" t="n">
        <v>0</v>
      </c>
      <c r="J429" t="n">
        <v>0</v>
      </c>
      <c r="K429" t="n">
        <v>0</v>
      </c>
      <c r="L429" t="n">
        <v>0</v>
      </c>
      <c r="M429" t="n">
        <v>0</v>
      </c>
      <c r="N429" t="n">
        <v>0</v>
      </c>
      <c r="O429" t="n">
        <v>0</v>
      </c>
      <c r="P429" t="n">
        <v>0</v>
      </c>
      <c r="Q429" t="n">
        <v>0</v>
      </c>
      <c r="R429" s="2" t="inlineStr"/>
    </row>
    <row r="430" ht="15" customHeight="1">
      <c r="A430" t="inlineStr">
        <is>
          <t>A 10273-2020</t>
        </is>
      </c>
      <c r="B430" s="1" t="n">
        <v>43885</v>
      </c>
      <c r="C430" s="1" t="n">
        <v>45472</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c r="U430">
        <f>HYPERLINK("https://klasma.github.io/Logging_2482/knärot/A 10273-2020 karta knärot.png", "A 10273-2020")</f>
        <v/>
      </c>
      <c r="V430">
        <f>HYPERLINK("https://klasma.github.io/Logging_2482/klagomål/A 10273-2020 FSC-klagomål.docx", "A 10273-2020")</f>
        <v/>
      </c>
      <c r="W430">
        <f>HYPERLINK("https://klasma.github.io/Logging_2482/klagomålsmail/A 10273-2020 FSC-klagomål mail.docx", "A 10273-2020")</f>
        <v/>
      </c>
      <c r="X430">
        <f>HYPERLINK("https://klasma.github.io/Logging_2482/tillsyn/A 10273-2020 tillsynsbegäran.docx", "A 10273-2020")</f>
        <v/>
      </c>
      <c r="Y430">
        <f>HYPERLINK("https://klasma.github.io/Logging_2482/tillsynsmail/A 10273-2020 tillsynsbegäran mail.docx", "A 10273-2020")</f>
        <v/>
      </c>
    </row>
    <row r="431" ht="15" customHeight="1">
      <c r="A431" t="inlineStr">
        <is>
          <t>A 10279-2020</t>
        </is>
      </c>
      <c r="B431" s="1" t="n">
        <v>43885</v>
      </c>
      <c r="C431" s="1" t="n">
        <v>45472</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11083-2020</t>
        </is>
      </c>
      <c r="B432" s="1" t="n">
        <v>43885</v>
      </c>
      <c r="C432" s="1" t="n">
        <v>45472</v>
      </c>
      <c r="D432" t="inlineStr">
        <is>
          <t>VÄSTERBOTTENS LÄN</t>
        </is>
      </c>
      <c r="E432" t="inlineStr">
        <is>
          <t>SKELLEFTEÅ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11037-2020</t>
        </is>
      </c>
      <c r="B433" s="1" t="n">
        <v>43886</v>
      </c>
      <c r="C433" s="1" t="n">
        <v>45472</v>
      </c>
      <c r="D433" t="inlineStr">
        <is>
          <t>VÄSTERBOTTENS LÄN</t>
        </is>
      </c>
      <c r="E433" t="inlineStr">
        <is>
          <t>SKELLEFTEÅ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11048-2020</t>
        </is>
      </c>
      <c r="B434" s="1" t="n">
        <v>43886</v>
      </c>
      <c r="C434" s="1" t="n">
        <v>45472</v>
      </c>
      <c r="D434" t="inlineStr">
        <is>
          <t>VÄSTERBOTTENS LÄN</t>
        </is>
      </c>
      <c r="E434" t="inlineStr">
        <is>
          <t>SKELLEFTEÅ</t>
        </is>
      </c>
      <c r="G434" t="n">
        <v>5.2</v>
      </c>
      <c r="H434" t="n">
        <v>0</v>
      </c>
      <c r="I434" t="n">
        <v>0</v>
      </c>
      <c r="J434" t="n">
        <v>0</v>
      </c>
      <c r="K434" t="n">
        <v>0</v>
      </c>
      <c r="L434" t="n">
        <v>0</v>
      </c>
      <c r="M434" t="n">
        <v>0</v>
      </c>
      <c r="N434" t="n">
        <v>0</v>
      </c>
      <c r="O434" t="n">
        <v>0</v>
      </c>
      <c r="P434" t="n">
        <v>0</v>
      </c>
      <c r="Q434" t="n">
        <v>0</v>
      </c>
      <c r="R434" s="2" t="inlineStr"/>
    </row>
    <row r="435" ht="15" customHeight="1">
      <c r="A435" t="inlineStr">
        <is>
          <t>A 10181-2020</t>
        </is>
      </c>
      <c r="B435" s="1" t="n">
        <v>43887</v>
      </c>
      <c r="C435" s="1" t="n">
        <v>45472</v>
      </c>
      <c r="D435" t="inlineStr">
        <is>
          <t>VÄSTERBOTTENS LÄN</t>
        </is>
      </c>
      <c r="E435" t="inlineStr">
        <is>
          <t>SKELLEFTEÅ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10114-2020</t>
        </is>
      </c>
      <c r="B436" s="1" t="n">
        <v>43887</v>
      </c>
      <c r="C436" s="1" t="n">
        <v>45472</v>
      </c>
      <c r="D436" t="inlineStr">
        <is>
          <t>VÄSTERBOTTENS LÄN</t>
        </is>
      </c>
      <c r="E436" t="inlineStr">
        <is>
          <t>SKELLEFTEÅ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12775-2020</t>
        </is>
      </c>
      <c r="B437" s="1" t="n">
        <v>43893</v>
      </c>
      <c r="C437" s="1" t="n">
        <v>45472</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12533-2020</t>
        </is>
      </c>
      <c r="B438" s="1" t="n">
        <v>43896</v>
      </c>
      <c r="C438" s="1" t="n">
        <v>45472</v>
      </c>
      <c r="D438" t="inlineStr">
        <is>
          <t>VÄSTERBOTTENS LÄN</t>
        </is>
      </c>
      <c r="E438" t="inlineStr">
        <is>
          <t>SKELLEFTEÅ</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12534-2020</t>
        </is>
      </c>
      <c r="B439" s="1" t="n">
        <v>43896</v>
      </c>
      <c r="C439" s="1" t="n">
        <v>45472</v>
      </c>
      <c r="D439" t="inlineStr">
        <is>
          <t>VÄSTERBOTTENS LÄN</t>
        </is>
      </c>
      <c r="E439" t="inlineStr">
        <is>
          <t>SKELLEFTEÅ</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13415-2020</t>
        </is>
      </c>
      <c r="B440" s="1" t="n">
        <v>43899</v>
      </c>
      <c r="C440" s="1" t="n">
        <v>45472</v>
      </c>
      <c r="D440" t="inlineStr">
        <is>
          <t>VÄSTERBOTTENS LÄN</t>
        </is>
      </c>
      <c r="E440" t="inlineStr">
        <is>
          <t>SKELLEFTEÅ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14147-2020</t>
        </is>
      </c>
      <c r="B441" s="1" t="n">
        <v>43900</v>
      </c>
      <c r="C441" s="1" t="n">
        <v>45472</v>
      </c>
      <c r="D441" t="inlineStr">
        <is>
          <t>VÄSTERBOTTENS LÄN</t>
        </is>
      </c>
      <c r="E441" t="inlineStr">
        <is>
          <t>SKELLEFTEÅ</t>
        </is>
      </c>
      <c r="G441" t="n">
        <v>2.6</v>
      </c>
      <c r="H441" t="n">
        <v>0</v>
      </c>
      <c r="I441" t="n">
        <v>0</v>
      </c>
      <c r="J441" t="n">
        <v>0</v>
      </c>
      <c r="K441" t="n">
        <v>0</v>
      </c>
      <c r="L441" t="n">
        <v>0</v>
      </c>
      <c r="M441" t="n">
        <v>0</v>
      </c>
      <c r="N441" t="n">
        <v>0</v>
      </c>
      <c r="O441" t="n">
        <v>0</v>
      </c>
      <c r="P441" t="n">
        <v>0</v>
      </c>
      <c r="Q441" t="n">
        <v>0</v>
      </c>
      <c r="R441" s="2" t="inlineStr"/>
    </row>
    <row r="442" ht="15" customHeight="1">
      <c r="A442" t="inlineStr">
        <is>
          <t>A 12945-2020</t>
        </is>
      </c>
      <c r="B442" s="1" t="n">
        <v>43900</v>
      </c>
      <c r="C442" s="1" t="n">
        <v>45472</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12939-2020</t>
        </is>
      </c>
      <c r="B443" s="1" t="n">
        <v>43900</v>
      </c>
      <c r="C443" s="1" t="n">
        <v>45472</v>
      </c>
      <c r="D443" t="inlineStr">
        <is>
          <t>VÄSTERBOTTENS LÄN</t>
        </is>
      </c>
      <c r="E443" t="inlineStr">
        <is>
          <t>SKELLEFTEÅ</t>
        </is>
      </c>
      <c r="G443" t="n">
        <v>1.9</v>
      </c>
      <c r="H443" t="n">
        <v>0</v>
      </c>
      <c r="I443" t="n">
        <v>0</v>
      </c>
      <c r="J443" t="n">
        <v>0</v>
      </c>
      <c r="K443" t="n">
        <v>0</v>
      </c>
      <c r="L443" t="n">
        <v>0</v>
      </c>
      <c r="M443" t="n">
        <v>0</v>
      </c>
      <c r="N443" t="n">
        <v>0</v>
      </c>
      <c r="O443" t="n">
        <v>0</v>
      </c>
      <c r="P443" t="n">
        <v>0</v>
      </c>
      <c r="Q443" t="n">
        <v>0</v>
      </c>
      <c r="R443" s="2" t="inlineStr"/>
    </row>
    <row r="444" ht="15" customHeight="1">
      <c r="A444" t="inlineStr">
        <is>
          <t>A 14186-2020</t>
        </is>
      </c>
      <c r="B444" s="1" t="n">
        <v>43901</v>
      </c>
      <c r="C444" s="1" t="n">
        <v>45472</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13566-2020</t>
        </is>
      </c>
      <c r="B445" s="1" t="n">
        <v>43902</v>
      </c>
      <c r="C445" s="1" t="n">
        <v>45472</v>
      </c>
      <c r="D445" t="inlineStr">
        <is>
          <t>VÄSTERBOTTENS LÄN</t>
        </is>
      </c>
      <c r="E445" t="inlineStr">
        <is>
          <t>SKELLEFTEÅ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13568-2020</t>
        </is>
      </c>
      <c r="B446" s="1" t="n">
        <v>43902</v>
      </c>
      <c r="C446" s="1" t="n">
        <v>45472</v>
      </c>
      <c r="D446" t="inlineStr">
        <is>
          <t>VÄSTERBOTTENS LÄN</t>
        </is>
      </c>
      <c r="E446" t="inlineStr">
        <is>
          <t>SKELLEFTEÅ</t>
        </is>
      </c>
      <c r="F446" t="inlineStr">
        <is>
          <t>SCA</t>
        </is>
      </c>
      <c r="G446" t="n">
        <v>6.9</v>
      </c>
      <c r="H446" t="n">
        <v>0</v>
      </c>
      <c r="I446" t="n">
        <v>0</v>
      </c>
      <c r="J446" t="n">
        <v>0</v>
      </c>
      <c r="K446" t="n">
        <v>0</v>
      </c>
      <c r="L446" t="n">
        <v>0</v>
      </c>
      <c r="M446" t="n">
        <v>0</v>
      </c>
      <c r="N446" t="n">
        <v>0</v>
      </c>
      <c r="O446" t="n">
        <v>0</v>
      </c>
      <c r="P446" t="n">
        <v>0</v>
      </c>
      <c r="Q446" t="n">
        <v>0</v>
      </c>
      <c r="R446" s="2" t="inlineStr"/>
    </row>
    <row r="447" ht="15" customHeight="1">
      <c r="A447" t="inlineStr">
        <is>
          <t>A 13851-2020</t>
        </is>
      </c>
      <c r="B447" s="1" t="n">
        <v>43906</v>
      </c>
      <c r="C447" s="1" t="n">
        <v>45472</v>
      </c>
      <c r="D447" t="inlineStr">
        <is>
          <t>VÄSTERBOTTENS LÄN</t>
        </is>
      </c>
      <c r="E447" t="inlineStr">
        <is>
          <t>SKELLEFTEÅ</t>
        </is>
      </c>
      <c r="G447" t="n">
        <v>0.1</v>
      </c>
      <c r="H447" t="n">
        <v>0</v>
      </c>
      <c r="I447" t="n">
        <v>0</v>
      </c>
      <c r="J447" t="n">
        <v>0</v>
      </c>
      <c r="K447" t="n">
        <v>0</v>
      </c>
      <c r="L447" t="n">
        <v>0</v>
      </c>
      <c r="M447" t="n">
        <v>0</v>
      </c>
      <c r="N447" t="n">
        <v>0</v>
      </c>
      <c r="O447" t="n">
        <v>0</v>
      </c>
      <c r="P447" t="n">
        <v>0</v>
      </c>
      <c r="Q447" t="n">
        <v>0</v>
      </c>
      <c r="R447" s="2" t="inlineStr"/>
    </row>
    <row r="448" ht="15" customHeight="1">
      <c r="A448" t="inlineStr">
        <is>
          <t>A 13933-2020</t>
        </is>
      </c>
      <c r="B448" s="1" t="n">
        <v>43906</v>
      </c>
      <c r="C448" s="1" t="n">
        <v>45472</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13883-2020</t>
        </is>
      </c>
      <c r="B449" s="1" t="n">
        <v>43906</v>
      </c>
      <c r="C449" s="1" t="n">
        <v>45472</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16728-2020</t>
        </is>
      </c>
      <c r="B450" s="1" t="n">
        <v>43910</v>
      </c>
      <c r="C450" s="1" t="n">
        <v>45472</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15320-2020</t>
        </is>
      </c>
      <c r="B451" s="1" t="n">
        <v>43913</v>
      </c>
      <c r="C451" s="1" t="n">
        <v>45472</v>
      </c>
      <c r="D451" t="inlineStr">
        <is>
          <t>VÄSTERBOTTENS LÄN</t>
        </is>
      </c>
      <c r="E451" t="inlineStr">
        <is>
          <t>SKELLEFTEÅ</t>
        </is>
      </c>
      <c r="G451" t="n">
        <v>5.8</v>
      </c>
      <c r="H451" t="n">
        <v>0</v>
      </c>
      <c r="I451" t="n">
        <v>0</v>
      </c>
      <c r="J451" t="n">
        <v>0</v>
      </c>
      <c r="K451" t="n">
        <v>0</v>
      </c>
      <c r="L451" t="n">
        <v>0</v>
      </c>
      <c r="M451" t="n">
        <v>0</v>
      </c>
      <c r="N451" t="n">
        <v>0</v>
      </c>
      <c r="O451" t="n">
        <v>0</v>
      </c>
      <c r="P451" t="n">
        <v>0</v>
      </c>
      <c r="Q451" t="n">
        <v>0</v>
      </c>
      <c r="R451" s="2" t="inlineStr"/>
    </row>
    <row r="452" ht="15" customHeight="1">
      <c r="A452" t="inlineStr">
        <is>
          <t>A 17124-2020</t>
        </is>
      </c>
      <c r="B452" s="1" t="n">
        <v>43914</v>
      </c>
      <c r="C452" s="1" t="n">
        <v>45472</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15870-2020</t>
        </is>
      </c>
      <c r="B453" s="1" t="n">
        <v>43915</v>
      </c>
      <c r="C453" s="1" t="n">
        <v>45472</v>
      </c>
      <c r="D453" t="inlineStr">
        <is>
          <t>VÄSTERBOTTENS LÄN</t>
        </is>
      </c>
      <c r="E453" t="inlineStr">
        <is>
          <t>SKELLEFTEÅ</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15869-2020</t>
        </is>
      </c>
      <c r="B454" s="1" t="n">
        <v>43915</v>
      </c>
      <c r="C454" s="1" t="n">
        <v>45472</v>
      </c>
      <c r="D454" t="inlineStr">
        <is>
          <t>VÄSTERBOTTENS LÄN</t>
        </is>
      </c>
      <c r="E454" t="inlineStr">
        <is>
          <t>SKELLEFTEÅ</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17434-2020</t>
        </is>
      </c>
      <c r="B455" s="1" t="n">
        <v>43917</v>
      </c>
      <c r="C455" s="1" t="n">
        <v>45472</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17894-2020</t>
        </is>
      </c>
      <c r="B456" s="1" t="n">
        <v>43923</v>
      </c>
      <c r="C456" s="1" t="n">
        <v>45472</v>
      </c>
      <c r="D456" t="inlineStr">
        <is>
          <t>VÄSTERBOTTENS LÄN</t>
        </is>
      </c>
      <c r="E456" t="inlineStr">
        <is>
          <t>SKELLEFTEÅ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18619-2020</t>
        </is>
      </c>
      <c r="B457" s="1" t="n">
        <v>43928</v>
      </c>
      <c r="C457" s="1" t="n">
        <v>45472</v>
      </c>
      <c r="D457" t="inlineStr">
        <is>
          <t>VÄSTERBOTTENS LÄN</t>
        </is>
      </c>
      <c r="E457" t="inlineStr">
        <is>
          <t>SKELLEFTEÅ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18442-2020</t>
        </is>
      </c>
      <c r="B458" s="1" t="n">
        <v>43929</v>
      </c>
      <c r="C458" s="1" t="n">
        <v>45472</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18820-2020</t>
        </is>
      </c>
      <c r="B459" s="1" t="n">
        <v>43935</v>
      </c>
      <c r="C459" s="1" t="n">
        <v>45472</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19006-2020</t>
        </is>
      </c>
      <c r="B460" s="1" t="n">
        <v>43936</v>
      </c>
      <c r="C460" s="1" t="n">
        <v>45472</v>
      </c>
      <c r="D460" t="inlineStr">
        <is>
          <t>VÄSTERBOTTENS LÄN</t>
        </is>
      </c>
      <c r="E460" t="inlineStr">
        <is>
          <t>SKELLEFTEÅ</t>
        </is>
      </c>
      <c r="G460" t="n">
        <v>2.3</v>
      </c>
      <c r="H460" t="n">
        <v>0</v>
      </c>
      <c r="I460" t="n">
        <v>0</v>
      </c>
      <c r="J460" t="n">
        <v>0</v>
      </c>
      <c r="K460" t="n">
        <v>0</v>
      </c>
      <c r="L460" t="n">
        <v>0</v>
      </c>
      <c r="M460" t="n">
        <v>0</v>
      </c>
      <c r="N460" t="n">
        <v>0</v>
      </c>
      <c r="O460" t="n">
        <v>0</v>
      </c>
      <c r="P460" t="n">
        <v>0</v>
      </c>
      <c r="Q460" t="n">
        <v>0</v>
      </c>
      <c r="R460" s="2" t="inlineStr"/>
    </row>
    <row r="461" ht="15" customHeight="1">
      <c r="A461" t="inlineStr">
        <is>
          <t>A 19961-2020</t>
        </is>
      </c>
      <c r="B461" s="1" t="n">
        <v>43943</v>
      </c>
      <c r="C461" s="1" t="n">
        <v>45472</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20243-2020</t>
        </is>
      </c>
      <c r="B462" s="1" t="n">
        <v>43945</v>
      </c>
      <c r="C462" s="1" t="n">
        <v>45472</v>
      </c>
      <c r="D462" t="inlineStr">
        <is>
          <t>VÄSTERBOTTENS LÄN</t>
        </is>
      </c>
      <c r="E462" t="inlineStr">
        <is>
          <t>SKELLEFTEÅ</t>
        </is>
      </c>
      <c r="G462" t="n">
        <v>1.5</v>
      </c>
      <c r="H462" t="n">
        <v>0</v>
      </c>
      <c r="I462" t="n">
        <v>0</v>
      </c>
      <c r="J462" t="n">
        <v>0</v>
      </c>
      <c r="K462" t="n">
        <v>0</v>
      </c>
      <c r="L462" t="n">
        <v>0</v>
      </c>
      <c r="M462" t="n">
        <v>0</v>
      </c>
      <c r="N462" t="n">
        <v>0</v>
      </c>
      <c r="O462" t="n">
        <v>0</v>
      </c>
      <c r="P462" t="n">
        <v>0</v>
      </c>
      <c r="Q462" t="n">
        <v>0</v>
      </c>
      <c r="R462" s="2" t="inlineStr"/>
    </row>
    <row r="463" ht="15" customHeight="1">
      <c r="A463" t="inlineStr">
        <is>
          <t>A 20283-2020</t>
        </is>
      </c>
      <c r="B463" s="1" t="n">
        <v>43945</v>
      </c>
      <c r="C463" s="1" t="n">
        <v>45472</v>
      </c>
      <c r="D463" t="inlineStr">
        <is>
          <t>VÄSTERBOTTENS LÄN</t>
        </is>
      </c>
      <c r="E463" t="inlineStr">
        <is>
          <t>SKELLEFTEÅ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20351-2020</t>
        </is>
      </c>
      <c r="B464" s="1" t="n">
        <v>43945</v>
      </c>
      <c r="C464" s="1" t="n">
        <v>45472</v>
      </c>
      <c r="D464" t="inlineStr">
        <is>
          <t>VÄSTERBOTTENS LÄN</t>
        </is>
      </c>
      <c r="E464" t="inlineStr">
        <is>
          <t>SKELLEFTEÅ</t>
        </is>
      </c>
      <c r="G464" t="n">
        <v>6.3</v>
      </c>
      <c r="H464" t="n">
        <v>0</v>
      </c>
      <c r="I464" t="n">
        <v>0</v>
      </c>
      <c r="J464" t="n">
        <v>0</v>
      </c>
      <c r="K464" t="n">
        <v>0</v>
      </c>
      <c r="L464" t="n">
        <v>0</v>
      </c>
      <c r="M464" t="n">
        <v>0</v>
      </c>
      <c r="N464" t="n">
        <v>0</v>
      </c>
      <c r="O464" t="n">
        <v>0</v>
      </c>
      <c r="P464" t="n">
        <v>0</v>
      </c>
      <c r="Q464" t="n">
        <v>0</v>
      </c>
      <c r="R464" s="2" t="inlineStr"/>
    </row>
    <row r="465" ht="15" customHeight="1">
      <c r="A465" t="inlineStr">
        <is>
          <t>A 20444-2020</t>
        </is>
      </c>
      <c r="B465" s="1" t="n">
        <v>43948</v>
      </c>
      <c r="C465" s="1" t="n">
        <v>45472</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20466-2020</t>
        </is>
      </c>
      <c r="B466" s="1" t="n">
        <v>43948</v>
      </c>
      <c r="C466" s="1" t="n">
        <v>45472</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22451-2020</t>
        </is>
      </c>
      <c r="B467" s="1" t="n">
        <v>43963</v>
      </c>
      <c r="C467" s="1" t="n">
        <v>45472</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22752-2020</t>
        </is>
      </c>
      <c r="B468" s="1" t="n">
        <v>43963</v>
      </c>
      <c r="C468" s="1" t="n">
        <v>45472</v>
      </c>
      <c r="D468" t="inlineStr">
        <is>
          <t>VÄSTERBOTTENS LÄN</t>
        </is>
      </c>
      <c r="E468" t="inlineStr">
        <is>
          <t>SKELLEFTEÅ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23006-2020</t>
        </is>
      </c>
      <c r="B469" s="1" t="n">
        <v>43965</v>
      </c>
      <c r="C469" s="1" t="n">
        <v>45472</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23181-2020</t>
        </is>
      </c>
      <c r="B470" s="1" t="n">
        <v>43965</v>
      </c>
      <c r="C470" s="1" t="n">
        <v>45472</v>
      </c>
      <c r="D470" t="inlineStr">
        <is>
          <t>VÄSTERBOTTENS LÄN</t>
        </is>
      </c>
      <c r="E470" t="inlineStr">
        <is>
          <t>SKELLEFTEÅ</t>
        </is>
      </c>
      <c r="G470" t="n">
        <v>8.1</v>
      </c>
      <c r="H470" t="n">
        <v>0</v>
      </c>
      <c r="I470" t="n">
        <v>0</v>
      </c>
      <c r="J470" t="n">
        <v>0</v>
      </c>
      <c r="K470" t="n">
        <v>0</v>
      </c>
      <c r="L470" t="n">
        <v>0</v>
      </c>
      <c r="M470" t="n">
        <v>0</v>
      </c>
      <c r="N470" t="n">
        <v>0</v>
      </c>
      <c r="O470" t="n">
        <v>0</v>
      </c>
      <c r="P470" t="n">
        <v>0</v>
      </c>
      <c r="Q470" t="n">
        <v>0</v>
      </c>
      <c r="R470" s="2" t="inlineStr"/>
    </row>
    <row r="471" ht="15" customHeight="1">
      <c r="A471" t="inlineStr">
        <is>
          <t>A 23522-2020</t>
        </is>
      </c>
      <c r="B471" s="1" t="n">
        <v>43969</v>
      </c>
      <c r="C471" s="1" t="n">
        <v>45472</v>
      </c>
      <c r="D471" t="inlineStr">
        <is>
          <t>VÄSTERBOTTENS LÄN</t>
        </is>
      </c>
      <c r="E471" t="inlineStr">
        <is>
          <t>SKELLEFTEÅ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23672-2020</t>
        </is>
      </c>
      <c r="B472" s="1" t="n">
        <v>43970</v>
      </c>
      <c r="C472" s="1" t="n">
        <v>45472</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24280-2020</t>
        </is>
      </c>
      <c r="B473" s="1" t="n">
        <v>43970</v>
      </c>
      <c r="C473" s="1" t="n">
        <v>45472</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24276-2020</t>
        </is>
      </c>
      <c r="B474" s="1" t="n">
        <v>43970</v>
      </c>
      <c r="C474" s="1" t="n">
        <v>45472</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24274-2020</t>
        </is>
      </c>
      <c r="B475" s="1" t="n">
        <v>43970</v>
      </c>
      <c r="C475" s="1" t="n">
        <v>45472</v>
      </c>
      <c r="D475" t="inlineStr">
        <is>
          <t>VÄSTERBOTTENS LÄN</t>
        </is>
      </c>
      <c r="E475" t="inlineStr">
        <is>
          <t>SKELLEFTEÅ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23908-2020</t>
        </is>
      </c>
      <c r="B476" s="1" t="n">
        <v>43970</v>
      </c>
      <c r="C476" s="1" t="n">
        <v>45472</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23907-2020</t>
        </is>
      </c>
      <c r="B477" s="1" t="n">
        <v>43970</v>
      </c>
      <c r="C477" s="1" t="n">
        <v>45472</v>
      </c>
      <c r="D477" t="inlineStr">
        <is>
          <t>VÄSTERBOTTENS LÄN</t>
        </is>
      </c>
      <c r="E477" t="inlineStr">
        <is>
          <t>SKELLEFTEÅ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24264-2020</t>
        </is>
      </c>
      <c r="B478" s="1" t="n">
        <v>43970</v>
      </c>
      <c r="C478" s="1" t="n">
        <v>45472</v>
      </c>
      <c r="D478" t="inlineStr">
        <is>
          <t>VÄSTERBOTTENS LÄN</t>
        </is>
      </c>
      <c r="E478" t="inlineStr">
        <is>
          <t>SKELLEFTEÅ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24543-2020</t>
        </is>
      </c>
      <c r="B479" s="1" t="n">
        <v>43977</v>
      </c>
      <c r="C479" s="1" t="n">
        <v>45472</v>
      </c>
      <c r="D479" t="inlineStr">
        <is>
          <t>VÄSTERBOTTENS LÄN</t>
        </is>
      </c>
      <c r="E479" t="inlineStr">
        <is>
          <t>SKELLEFTEÅ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25142-2020</t>
        </is>
      </c>
      <c r="B480" s="1" t="n">
        <v>43978</v>
      </c>
      <c r="C480" s="1" t="n">
        <v>45472</v>
      </c>
      <c r="D480" t="inlineStr">
        <is>
          <t>VÄSTERBOTTENS LÄN</t>
        </is>
      </c>
      <c r="E480" t="inlineStr">
        <is>
          <t>SKELLEFTEÅ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25161-2020</t>
        </is>
      </c>
      <c r="B481" s="1" t="n">
        <v>43978</v>
      </c>
      <c r="C481" s="1" t="n">
        <v>45472</v>
      </c>
      <c r="D481" t="inlineStr">
        <is>
          <t>VÄSTERBOTTENS LÄN</t>
        </is>
      </c>
      <c r="E481" t="inlineStr">
        <is>
          <t>SKELLEFTEÅ</t>
        </is>
      </c>
      <c r="G481" t="n">
        <v>6.6</v>
      </c>
      <c r="H481" t="n">
        <v>0</v>
      </c>
      <c r="I481" t="n">
        <v>0</v>
      </c>
      <c r="J481" t="n">
        <v>0</v>
      </c>
      <c r="K481" t="n">
        <v>0</v>
      </c>
      <c r="L481" t="n">
        <v>0</v>
      </c>
      <c r="M481" t="n">
        <v>0</v>
      </c>
      <c r="N481" t="n">
        <v>0</v>
      </c>
      <c r="O481" t="n">
        <v>0</v>
      </c>
      <c r="P481" t="n">
        <v>0</v>
      </c>
      <c r="Q481" t="n">
        <v>0</v>
      </c>
      <c r="R481" s="2" t="inlineStr"/>
    </row>
    <row r="482" ht="15" customHeight="1">
      <c r="A482" t="inlineStr">
        <is>
          <t>A 25051-2020</t>
        </is>
      </c>
      <c r="B482" s="1" t="n">
        <v>43979</v>
      </c>
      <c r="C482" s="1" t="n">
        <v>45472</v>
      </c>
      <c r="D482" t="inlineStr">
        <is>
          <t>VÄSTERBOTTENS LÄN</t>
        </is>
      </c>
      <c r="E482" t="inlineStr">
        <is>
          <t>SKELLEFTEÅ</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25202-2020</t>
        </is>
      </c>
      <c r="B483" s="1" t="n">
        <v>43980</v>
      </c>
      <c r="C483" s="1" t="n">
        <v>45472</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25473-2020</t>
        </is>
      </c>
      <c r="B484" s="1" t="n">
        <v>43983</v>
      </c>
      <c r="C484" s="1" t="n">
        <v>45472</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25682-2020</t>
        </is>
      </c>
      <c r="B485" s="1" t="n">
        <v>43983</v>
      </c>
      <c r="C485" s="1" t="n">
        <v>45472</v>
      </c>
      <c r="D485" t="inlineStr">
        <is>
          <t>VÄSTERBOTTENS LÄN</t>
        </is>
      </c>
      <c r="E485" t="inlineStr">
        <is>
          <t>SKELLEFTEÅ</t>
        </is>
      </c>
      <c r="G485" t="n">
        <v>2.8</v>
      </c>
      <c r="H485" t="n">
        <v>0</v>
      </c>
      <c r="I485" t="n">
        <v>0</v>
      </c>
      <c r="J485" t="n">
        <v>0</v>
      </c>
      <c r="K485" t="n">
        <v>0</v>
      </c>
      <c r="L485" t="n">
        <v>0</v>
      </c>
      <c r="M485" t="n">
        <v>0</v>
      </c>
      <c r="N485" t="n">
        <v>0</v>
      </c>
      <c r="O485" t="n">
        <v>0</v>
      </c>
      <c r="P485" t="n">
        <v>0</v>
      </c>
      <c r="Q485" t="n">
        <v>0</v>
      </c>
      <c r="R485" s="2" t="inlineStr"/>
    </row>
    <row r="486" ht="15" customHeight="1">
      <c r="A486" t="inlineStr">
        <is>
          <t>A 25858-2020</t>
        </is>
      </c>
      <c r="B486" s="1" t="n">
        <v>43984</v>
      </c>
      <c r="C486" s="1" t="n">
        <v>45472</v>
      </c>
      <c r="D486" t="inlineStr">
        <is>
          <t>VÄSTERBOTTENS LÄN</t>
        </is>
      </c>
      <c r="E486" t="inlineStr">
        <is>
          <t>SKELLEFTEÅ</t>
        </is>
      </c>
      <c r="F486" t="inlineStr">
        <is>
          <t>Sveaskog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26089-2020</t>
        </is>
      </c>
      <c r="B487" s="1" t="n">
        <v>43984</v>
      </c>
      <c r="C487" s="1" t="n">
        <v>45472</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25695-2020</t>
        </is>
      </c>
      <c r="B488" s="1" t="n">
        <v>43984</v>
      </c>
      <c r="C488" s="1" t="n">
        <v>45472</v>
      </c>
      <c r="D488" t="inlineStr">
        <is>
          <t>VÄSTERBOTTENS LÄN</t>
        </is>
      </c>
      <c r="E488" t="inlineStr">
        <is>
          <t>SKELLEFTEÅ</t>
        </is>
      </c>
      <c r="G488" t="n">
        <v>15.3</v>
      </c>
      <c r="H488" t="n">
        <v>0</v>
      </c>
      <c r="I488" t="n">
        <v>0</v>
      </c>
      <c r="J488" t="n">
        <v>0</v>
      </c>
      <c r="K488" t="n">
        <v>0</v>
      </c>
      <c r="L488" t="n">
        <v>0</v>
      </c>
      <c r="M488" t="n">
        <v>0</v>
      </c>
      <c r="N488" t="n">
        <v>0</v>
      </c>
      <c r="O488" t="n">
        <v>0</v>
      </c>
      <c r="P488" t="n">
        <v>0</v>
      </c>
      <c r="Q488" t="n">
        <v>0</v>
      </c>
      <c r="R488" s="2" t="inlineStr"/>
    </row>
    <row r="489" ht="15" customHeight="1">
      <c r="A489" t="inlineStr">
        <is>
          <t>A 25968-2020</t>
        </is>
      </c>
      <c r="B489" s="1" t="n">
        <v>43985</v>
      </c>
      <c r="C489" s="1" t="n">
        <v>45472</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26422-2020</t>
        </is>
      </c>
      <c r="B490" s="1" t="n">
        <v>43986</v>
      </c>
      <c r="C490" s="1" t="n">
        <v>45472</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26413-2020</t>
        </is>
      </c>
      <c r="B491" s="1" t="n">
        <v>43987</v>
      </c>
      <c r="C491" s="1" t="n">
        <v>45472</v>
      </c>
      <c r="D491" t="inlineStr">
        <is>
          <t>VÄSTERBOTTENS LÄN</t>
        </is>
      </c>
      <c r="E491" t="inlineStr">
        <is>
          <t>SKELLEFTEÅ</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26396-2020</t>
        </is>
      </c>
      <c r="B492" s="1" t="n">
        <v>43987</v>
      </c>
      <c r="C492" s="1" t="n">
        <v>45472</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27218-2020</t>
        </is>
      </c>
      <c r="B493" s="1" t="n">
        <v>43992</v>
      </c>
      <c r="C493" s="1" t="n">
        <v>45472</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27684-2020</t>
        </is>
      </c>
      <c r="B494" s="1" t="n">
        <v>43994</v>
      </c>
      <c r="C494" s="1" t="n">
        <v>45472</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28449-2020</t>
        </is>
      </c>
      <c r="B495" s="1" t="n">
        <v>43998</v>
      </c>
      <c r="C495" s="1" t="n">
        <v>45472</v>
      </c>
      <c r="D495" t="inlineStr">
        <is>
          <t>VÄSTERBOTTENS LÄN</t>
        </is>
      </c>
      <c r="E495" t="inlineStr">
        <is>
          <t>SKELLEFTEÅ</t>
        </is>
      </c>
      <c r="F495" t="inlineStr">
        <is>
          <t>Sveaskog</t>
        </is>
      </c>
      <c r="G495" t="n">
        <v>20.9</v>
      </c>
      <c r="H495" t="n">
        <v>0</v>
      </c>
      <c r="I495" t="n">
        <v>0</v>
      </c>
      <c r="J495" t="n">
        <v>0</v>
      </c>
      <c r="K495" t="n">
        <v>0</v>
      </c>
      <c r="L495" t="n">
        <v>0</v>
      </c>
      <c r="M495" t="n">
        <v>0</v>
      </c>
      <c r="N495" t="n">
        <v>0</v>
      </c>
      <c r="O495" t="n">
        <v>0</v>
      </c>
      <c r="P495" t="n">
        <v>0</v>
      </c>
      <c r="Q495" t="n">
        <v>0</v>
      </c>
      <c r="R495" s="2" t="inlineStr"/>
    </row>
    <row r="496" ht="15" customHeight="1">
      <c r="A496" t="inlineStr">
        <is>
          <t>A 28503-2020</t>
        </is>
      </c>
      <c r="B496" s="1" t="n">
        <v>43999</v>
      </c>
      <c r="C496" s="1" t="n">
        <v>45472</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28501-2020</t>
        </is>
      </c>
      <c r="B497" s="1" t="n">
        <v>43999</v>
      </c>
      <c r="C497" s="1" t="n">
        <v>45472</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28505-2020</t>
        </is>
      </c>
      <c r="B498" s="1" t="n">
        <v>43999</v>
      </c>
      <c r="C498" s="1" t="n">
        <v>45472</v>
      </c>
      <c r="D498" t="inlineStr">
        <is>
          <t>VÄSTERBOTTENS LÄN</t>
        </is>
      </c>
      <c r="E498" t="inlineStr">
        <is>
          <t>SKELLEFTEÅ</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28574-2020</t>
        </is>
      </c>
      <c r="B499" s="1" t="n">
        <v>43999</v>
      </c>
      <c r="C499" s="1" t="n">
        <v>45472</v>
      </c>
      <c r="D499" t="inlineStr">
        <is>
          <t>VÄSTERBOTTENS LÄN</t>
        </is>
      </c>
      <c r="E499" t="inlineStr">
        <is>
          <t>SKELLEFTEÅ</t>
        </is>
      </c>
      <c r="F499" t="inlineStr">
        <is>
          <t>Holmen skog AB</t>
        </is>
      </c>
      <c r="G499" t="n">
        <v>19.4</v>
      </c>
      <c r="H499" t="n">
        <v>0</v>
      </c>
      <c r="I499" t="n">
        <v>0</v>
      </c>
      <c r="J499" t="n">
        <v>0</v>
      </c>
      <c r="K499" t="n">
        <v>0</v>
      </c>
      <c r="L499" t="n">
        <v>0</v>
      </c>
      <c r="M499" t="n">
        <v>0</v>
      </c>
      <c r="N499" t="n">
        <v>0</v>
      </c>
      <c r="O499" t="n">
        <v>0</v>
      </c>
      <c r="P499" t="n">
        <v>0</v>
      </c>
      <c r="Q499" t="n">
        <v>0</v>
      </c>
      <c r="R499" s="2" t="inlineStr"/>
    </row>
    <row r="500" ht="15" customHeight="1">
      <c r="A500" t="inlineStr">
        <is>
          <t>A 28986-2020</t>
        </is>
      </c>
      <c r="B500" s="1" t="n">
        <v>44000</v>
      </c>
      <c r="C500" s="1" t="n">
        <v>45472</v>
      </c>
      <c r="D500" t="inlineStr">
        <is>
          <t>VÄSTERBOTTENS LÄN</t>
        </is>
      </c>
      <c r="E500" t="inlineStr">
        <is>
          <t>SKELLEFTEÅ</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28985-2020</t>
        </is>
      </c>
      <c r="B501" s="1" t="n">
        <v>44000</v>
      </c>
      <c r="C501" s="1" t="n">
        <v>45472</v>
      </c>
      <c r="D501" t="inlineStr">
        <is>
          <t>VÄSTERBOTTENS LÄN</t>
        </is>
      </c>
      <c r="E501" t="inlineStr">
        <is>
          <t>SKELLEFTEÅ</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29134-2020</t>
        </is>
      </c>
      <c r="B502" s="1" t="n">
        <v>44004</v>
      </c>
      <c r="C502" s="1" t="n">
        <v>45472</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29595-2020</t>
        </is>
      </c>
      <c r="B503" s="1" t="n">
        <v>44004</v>
      </c>
      <c r="C503" s="1" t="n">
        <v>45472</v>
      </c>
      <c r="D503" t="inlineStr">
        <is>
          <t>VÄSTERBOTTENS LÄN</t>
        </is>
      </c>
      <c r="E503" t="inlineStr">
        <is>
          <t>SKELLEFTEÅ</t>
        </is>
      </c>
      <c r="G503" t="n">
        <v>4.3</v>
      </c>
      <c r="H503" t="n">
        <v>0</v>
      </c>
      <c r="I503" t="n">
        <v>0</v>
      </c>
      <c r="J503" t="n">
        <v>0</v>
      </c>
      <c r="K503" t="n">
        <v>0</v>
      </c>
      <c r="L503" t="n">
        <v>0</v>
      </c>
      <c r="M503" t="n">
        <v>0</v>
      </c>
      <c r="N503" t="n">
        <v>0</v>
      </c>
      <c r="O503" t="n">
        <v>0</v>
      </c>
      <c r="P503" t="n">
        <v>0</v>
      </c>
      <c r="Q503" t="n">
        <v>0</v>
      </c>
      <c r="R503" s="2" t="inlineStr"/>
    </row>
    <row r="504" ht="15" customHeight="1">
      <c r="A504" t="inlineStr">
        <is>
          <t>A 29542-2020</t>
        </is>
      </c>
      <c r="B504" s="1" t="n">
        <v>44005</v>
      </c>
      <c r="C504" s="1" t="n">
        <v>45472</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29832-2020</t>
        </is>
      </c>
      <c r="B505" s="1" t="n">
        <v>44005</v>
      </c>
      <c r="C505" s="1" t="n">
        <v>45472</v>
      </c>
      <c r="D505" t="inlineStr">
        <is>
          <t>VÄSTERBOTTENS LÄN</t>
        </is>
      </c>
      <c r="E505" t="inlineStr">
        <is>
          <t>SKELLEFTEÅ</t>
        </is>
      </c>
      <c r="G505" t="n">
        <v>6.3</v>
      </c>
      <c r="H505" t="n">
        <v>0</v>
      </c>
      <c r="I505" t="n">
        <v>0</v>
      </c>
      <c r="J505" t="n">
        <v>0</v>
      </c>
      <c r="K505" t="n">
        <v>0</v>
      </c>
      <c r="L505" t="n">
        <v>0</v>
      </c>
      <c r="M505" t="n">
        <v>0</v>
      </c>
      <c r="N505" t="n">
        <v>0</v>
      </c>
      <c r="O505" t="n">
        <v>0</v>
      </c>
      <c r="P505" t="n">
        <v>0</v>
      </c>
      <c r="Q505" t="n">
        <v>0</v>
      </c>
      <c r="R505" s="2" t="inlineStr"/>
    </row>
    <row r="506" ht="15" customHeight="1">
      <c r="A506" t="inlineStr">
        <is>
          <t>A 29850-2020</t>
        </is>
      </c>
      <c r="B506" s="1" t="n">
        <v>44005</v>
      </c>
      <c r="C506" s="1" t="n">
        <v>45472</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29842-2020</t>
        </is>
      </c>
      <c r="B507" s="1" t="n">
        <v>44005</v>
      </c>
      <c r="C507" s="1" t="n">
        <v>45472</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29982-2020</t>
        </is>
      </c>
      <c r="B508" s="1" t="n">
        <v>44006</v>
      </c>
      <c r="C508" s="1" t="n">
        <v>45472</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30075-2020</t>
        </is>
      </c>
      <c r="B509" s="1" t="n">
        <v>44006</v>
      </c>
      <c r="C509" s="1" t="n">
        <v>45472</v>
      </c>
      <c r="D509" t="inlineStr">
        <is>
          <t>VÄSTERBOTTENS LÄN</t>
        </is>
      </c>
      <c r="E509" t="inlineStr">
        <is>
          <t>SKELLEFTEÅ</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30074-2020</t>
        </is>
      </c>
      <c r="B510" s="1" t="n">
        <v>44006</v>
      </c>
      <c r="C510" s="1" t="n">
        <v>45472</v>
      </c>
      <c r="D510" t="inlineStr">
        <is>
          <t>VÄSTERBOTTENS LÄN</t>
        </is>
      </c>
      <c r="E510" t="inlineStr">
        <is>
          <t>SKELLEFTEÅ</t>
        </is>
      </c>
      <c r="F510" t="inlineStr">
        <is>
          <t>Holmen skog AB</t>
        </is>
      </c>
      <c r="G510" t="n">
        <v>5.5</v>
      </c>
      <c r="H510" t="n">
        <v>0</v>
      </c>
      <c r="I510" t="n">
        <v>0</v>
      </c>
      <c r="J510" t="n">
        <v>0</v>
      </c>
      <c r="K510" t="n">
        <v>0</v>
      </c>
      <c r="L510" t="n">
        <v>0</v>
      </c>
      <c r="M510" t="n">
        <v>0</v>
      </c>
      <c r="N510" t="n">
        <v>0</v>
      </c>
      <c r="O510" t="n">
        <v>0</v>
      </c>
      <c r="P510" t="n">
        <v>0</v>
      </c>
      <c r="Q510" t="n">
        <v>0</v>
      </c>
      <c r="R510" s="2" t="inlineStr"/>
    </row>
    <row r="511" ht="15" customHeight="1">
      <c r="A511" t="inlineStr">
        <is>
          <t>A 30408-2020</t>
        </is>
      </c>
      <c r="B511" s="1" t="n">
        <v>44007</v>
      </c>
      <c r="C511" s="1" t="n">
        <v>45472</v>
      </c>
      <c r="D511" t="inlineStr">
        <is>
          <t>VÄSTERBOTTENS LÄN</t>
        </is>
      </c>
      <c r="E511" t="inlineStr">
        <is>
          <t>SKELLEFTEÅ</t>
        </is>
      </c>
      <c r="G511" t="n">
        <v>24.3</v>
      </c>
      <c r="H511" t="n">
        <v>0</v>
      </c>
      <c r="I511" t="n">
        <v>0</v>
      </c>
      <c r="J511" t="n">
        <v>0</v>
      </c>
      <c r="K511" t="n">
        <v>0</v>
      </c>
      <c r="L511" t="n">
        <v>0</v>
      </c>
      <c r="M511" t="n">
        <v>0</v>
      </c>
      <c r="N511" t="n">
        <v>0</v>
      </c>
      <c r="O511" t="n">
        <v>0</v>
      </c>
      <c r="P511" t="n">
        <v>0</v>
      </c>
      <c r="Q511" t="n">
        <v>0</v>
      </c>
      <c r="R511" s="2" t="inlineStr"/>
    </row>
    <row r="512" ht="15" customHeight="1">
      <c r="A512" t="inlineStr">
        <is>
          <t>A 30712-2020</t>
        </is>
      </c>
      <c r="B512" s="1" t="n">
        <v>44008</v>
      </c>
      <c r="C512" s="1" t="n">
        <v>45472</v>
      </c>
      <c r="D512" t="inlineStr">
        <is>
          <t>VÄSTERBOTTENS LÄN</t>
        </is>
      </c>
      <c r="E512" t="inlineStr">
        <is>
          <t>SKELLEFTEÅ</t>
        </is>
      </c>
      <c r="G512" t="n">
        <v>3.7</v>
      </c>
      <c r="H512" t="n">
        <v>0</v>
      </c>
      <c r="I512" t="n">
        <v>0</v>
      </c>
      <c r="J512" t="n">
        <v>0</v>
      </c>
      <c r="K512" t="n">
        <v>0</v>
      </c>
      <c r="L512" t="n">
        <v>0</v>
      </c>
      <c r="M512" t="n">
        <v>0</v>
      </c>
      <c r="N512" t="n">
        <v>0</v>
      </c>
      <c r="O512" t="n">
        <v>0</v>
      </c>
      <c r="P512" t="n">
        <v>0</v>
      </c>
      <c r="Q512" t="n">
        <v>0</v>
      </c>
      <c r="R512" s="2" t="inlineStr"/>
    </row>
    <row r="513" ht="15" customHeight="1">
      <c r="A513" t="inlineStr">
        <is>
          <t>A 30653-2020</t>
        </is>
      </c>
      <c r="B513" s="1" t="n">
        <v>44008</v>
      </c>
      <c r="C513" s="1" t="n">
        <v>45472</v>
      </c>
      <c r="D513" t="inlineStr">
        <is>
          <t>VÄSTERBOTTENS LÄN</t>
        </is>
      </c>
      <c r="E513" t="inlineStr">
        <is>
          <t>SKELLEFTEÅ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30709-2020</t>
        </is>
      </c>
      <c r="B514" s="1" t="n">
        <v>44008</v>
      </c>
      <c r="C514" s="1" t="n">
        <v>45472</v>
      </c>
      <c r="D514" t="inlineStr">
        <is>
          <t>VÄSTERBOTTENS LÄN</t>
        </is>
      </c>
      <c r="E514" t="inlineStr">
        <is>
          <t>SKELLEFTEÅ</t>
        </is>
      </c>
      <c r="F514" t="inlineStr">
        <is>
          <t>Holmen skog AB</t>
        </is>
      </c>
      <c r="G514" t="n">
        <v>7.5</v>
      </c>
      <c r="H514" t="n">
        <v>0</v>
      </c>
      <c r="I514" t="n">
        <v>0</v>
      </c>
      <c r="J514" t="n">
        <v>0</v>
      </c>
      <c r="K514" t="n">
        <v>0</v>
      </c>
      <c r="L514" t="n">
        <v>0</v>
      </c>
      <c r="M514" t="n">
        <v>0</v>
      </c>
      <c r="N514" t="n">
        <v>0</v>
      </c>
      <c r="O514" t="n">
        <v>0</v>
      </c>
      <c r="P514" t="n">
        <v>0</v>
      </c>
      <c r="Q514" t="n">
        <v>0</v>
      </c>
      <c r="R514" s="2" t="inlineStr"/>
    </row>
    <row r="515" ht="15" customHeight="1">
      <c r="A515" t="inlineStr">
        <is>
          <t>A 30728-2020</t>
        </is>
      </c>
      <c r="B515" s="1" t="n">
        <v>44008</v>
      </c>
      <c r="C515" s="1" t="n">
        <v>45472</v>
      </c>
      <c r="D515" t="inlineStr">
        <is>
          <t>VÄSTERBOTTENS LÄN</t>
        </is>
      </c>
      <c r="E515" t="inlineStr">
        <is>
          <t>SKELLEFTEÅ</t>
        </is>
      </c>
      <c r="F515" t="inlineStr">
        <is>
          <t>Holmen skog AB</t>
        </is>
      </c>
      <c r="G515" t="n">
        <v>10.7</v>
      </c>
      <c r="H515" t="n">
        <v>0</v>
      </c>
      <c r="I515" t="n">
        <v>0</v>
      </c>
      <c r="J515" t="n">
        <v>0</v>
      </c>
      <c r="K515" t="n">
        <v>0</v>
      </c>
      <c r="L515" t="n">
        <v>0</v>
      </c>
      <c r="M515" t="n">
        <v>0</v>
      </c>
      <c r="N515" t="n">
        <v>0</v>
      </c>
      <c r="O515" t="n">
        <v>0</v>
      </c>
      <c r="P515" t="n">
        <v>0</v>
      </c>
      <c r="Q515" t="n">
        <v>0</v>
      </c>
      <c r="R515" s="2" t="inlineStr"/>
    </row>
    <row r="516" ht="15" customHeight="1">
      <c r="A516" t="inlineStr">
        <is>
          <t>A 30841-2020</t>
        </is>
      </c>
      <c r="B516" s="1" t="n">
        <v>44008</v>
      </c>
      <c r="C516" s="1" t="n">
        <v>45472</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30877-2020</t>
        </is>
      </c>
      <c r="B517" s="1" t="n">
        <v>44011</v>
      </c>
      <c r="C517" s="1" t="n">
        <v>45472</v>
      </c>
      <c r="D517" t="inlineStr">
        <is>
          <t>VÄSTERBOTTENS LÄN</t>
        </is>
      </c>
      <c r="E517" t="inlineStr">
        <is>
          <t>SKELLEFTEÅ</t>
        </is>
      </c>
      <c r="F517" t="inlineStr">
        <is>
          <t>Kyrkan</t>
        </is>
      </c>
      <c r="G517" t="n">
        <v>13.7</v>
      </c>
      <c r="H517" t="n">
        <v>0</v>
      </c>
      <c r="I517" t="n">
        <v>0</v>
      </c>
      <c r="J517" t="n">
        <v>0</v>
      </c>
      <c r="K517" t="n">
        <v>0</v>
      </c>
      <c r="L517" t="n">
        <v>0</v>
      </c>
      <c r="M517" t="n">
        <v>0</v>
      </c>
      <c r="N517" t="n">
        <v>0</v>
      </c>
      <c r="O517" t="n">
        <v>0</v>
      </c>
      <c r="P517" t="n">
        <v>0</v>
      </c>
      <c r="Q517" t="n">
        <v>0</v>
      </c>
      <c r="R517" s="2" t="inlineStr"/>
    </row>
    <row r="518" ht="15" customHeight="1">
      <c r="A518" t="inlineStr">
        <is>
          <t>A 30949-2020</t>
        </is>
      </c>
      <c r="B518" s="1" t="n">
        <v>44011</v>
      </c>
      <c r="C518" s="1" t="n">
        <v>45472</v>
      </c>
      <c r="D518" t="inlineStr">
        <is>
          <t>VÄSTERBOTTENS LÄN</t>
        </is>
      </c>
      <c r="E518" t="inlineStr">
        <is>
          <t>SKELLEFTEÅ</t>
        </is>
      </c>
      <c r="F518" t="inlineStr">
        <is>
          <t>Kommuner</t>
        </is>
      </c>
      <c r="G518" t="n">
        <v>4.1</v>
      </c>
      <c r="H518" t="n">
        <v>0</v>
      </c>
      <c r="I518" t="n">
        <v>0</v>
      </c>
      <c r="J518" t="n">
        <v>0</v>
      </c>
      <c r="K518" t="n">
        <v>0</v>
      </c>
      <c r="L518" t="n">
        <v>0</v>
      </c>
      <c r="M518" t="n">
        <v>0</v>
      </c>
      <c r="N518" t="n">
        <v>0</v>
      </c>
      <c r="O518" t="n">
        <v>0</v>
      </c>
      <c r="P518" t="n">
        <v>0</v>
      </c>
      <c r="Q518" t="n">
        <v>0</v>
      </c>
      <c r="R518" s="2" t="inlineStr"/>
    </row>
    <row r="519" ht="15" customHeight="1">
      <c r="A519" t="inlineStr">
        <is>
          <t>A 31060-2020</t>
        </is>
      </c>
      <c r="B519" s="1" t="n">
        <v>44012</v>
      </c>
      <c r="C519" s="1" t="n">
        <v>45472</v>
      </c>
      <c r="D519" t="inlineStr">
        <is>
          <t>VÄSTERBOTTENS LÄN</t>
        </is>
      </c>
      <c r="E519" t="inlineStr">
        <is>
          <t>SKELLEFTEÅ</t>
        </is>
      </c>
      <c r="G519" t="n">
        <v>3.3</v>
      </c>
      <c r="H519" t="n">
        <v>0</v>
      </c>
      <c r="I519" t="n">
        <v>0</v>
      </c>
      <c r="J519" t="n">
        <v>0</v>
      </c>
      <c r="K519" t="n">
        <v>0</v>
      </c>
      <c r="L519" t="n">
        <v>0</v>
      </c>
      <c r="M519" t="n">
        <v>0</v>
      </c>
      <c r="N519" t="n">
        <v>0</v>
      </c>
      <c r="O519" t="n">
        <v>0</v>
      </c>
      <c r="P519" t="n">
        <v>0</v>
      </c>
      <c r="Q519" t="n">
        <v>0</v>
      </c>
      <c r="R519" s="2" t="inlineStr"/>
    </row>
    <row r="520" ht="15" customHeight="1">
      <c r="A520" t="inlineStr">
        <is>
          <t>A 31434-2020</t>
        </is>
      </c>
      <c r="B520" s="1" t="n">
        <v>44012</v>
      </c>
      <c r="C520" s="1" t="n">
        <v>45472</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31331-2020</t>
        </is>
      </c>
      <c r="B521" s="1" t="n">
        <v>44012</v>
      </c>
      <c r="C521" s="1" t="n">
        <v>45472</v>
      </c>
      <c r="D521" t="inlineStr">
        <is>
          <t>VÄSTERBOTTENS LÄN</t>
        </is>
      </c>
      <c r="E521" t="inlineStr">
        <is>
          <t>SKELLEFTEÅ</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31490-2020</t>
        </is>
      </c>
      <c r="B522" s="1" t="n">
        <v>44013</v>
      </c>
      <c r="C522" s="1" t="n">
        <v>45472</v>
      </c>
      <c r="D522" t="inlineStr">
        <is>
          <t>VÄSTERBOTTENS LÄN</t>
        </is>
      </c>
      <c r="E522" t="inlineStr">
        <is>
          <t>SKELLEFTEÅ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31515-2020</t>
        </is>
      </c>
      <c r="B523" s="1" t="n">
        <v>44013</v>
      </c>
      <c r="C523" s="1" t="n">
        <v>45472</v>
      </c>
      <c r="D523" t="inlineStr">
        <is>
          <t>VÄSTERBOTTENS LÄN</t>
        </is>
      </c>
      <c r="E523" t="inlineStr">
        <is>
          <t>SKELLEFTEÅ</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31519-2020</t>
        </is>
      </c>
      <c r="B524" s="1" t="n">
        <v>44013</v>
      </c>
      <c r="C524" s="1" t="n">
        <v>45472</v>
      </c>
      <c r="D524" t="inlineStr">
        <is>
          <t>VÄSTERBOTTENS LÄN</t>
        </is>
      </c>
      <c r="E524" t="inlineStr">
        <is>
          <t>SKELLEFTEÅ</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31501-2020</t>
        </is>
      </c>
      <c r="B525" s="1" t="n">
        <v>44013</v>
      </c>
      <c r="C525" s="1" t="n">
        <v>45472</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31736-2020</t>
        </is>
      </c>
      <c r="B526" s="1" t="n">
        <v>44013</v>
      </c>
      <c r="C526" s="1" t="n">
        <v>45472</v>
      </c>
      <c r="D526" t="inlineStr">
        <is>
          <t>VÄSTERBOTTENS LÄN</t>
        </is>
      </c>
      <c r="E526" t="inlineStr">
        <is>
          <t>SKELLEFTEÅ</t>
        </is>
      </c>
      <c r="G526" t="n">
        <v>4</v>
      </c>
      <c r="H526" t="n">
        <v>0</v>
      </c>
      <c r="I526" t="n">
        <v>0</v>
      </c>
      <c r="J526" t="n">
        <v>0</v>
      </c>
      <c r="K526" t="n">
        <v>0</v>
      </c>
      <c r="L526" t="n">
        <v>0</v>
      </c>
      <c r="M526" t="n">
        <v>0</v>
      </c>
      <c r="N526" t="n">
        <v>0</v>
      </c>
      <c r="O526" t="n">
        <v>0</v>
      </c>
      <c r="P526" t="n">
        <v>0</v>
      </c>
      <c r="Q526" t="n">
        <v>0</v>
      </c>
      <c r="R526" s="2" t="inlineStr"/>
    </row>
    <row r="527" ht="15" customHeight="1">
      <c r="A527" t="inlineStr">
        <is>
          <t>A 31734-2020</t>
        </is>
      </c>
      <c r="B527" s="1" t="n">
        <v>44013</v>
      </c>
      <c r="C527" s="1" t="n">
        <v>45472</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32173-2020</t>
        </is>
      </c>
      <c r="B528" s="1" t="n">
        <v>44015</v>
      </c>
      <c r="C528" s="1" t="n">
        <v>45472</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32511-2020</t>
        </is>
      </c>
      <c r="B529" s="1" t="n">
        <v>44017</v>
      </c>
      <c r="C529" s="1" t="n">
        <v>45472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32549-2020</t>
        </is>
      </c>
      <c r="B530" s="1" t="n">
        <v>44017</v>
      </c>
      <c r="C530" s="1" t="n">
        <v>45472</v>
      </c>
      <c r="D530" t="inlineStr">
        <is>
          <t>VÄSTERBOTTENS LÄN</t>
        </is>
      </c>
      <c r="E530" t="inlineStr">
        <is>
          <t>SKELLEFTEÅ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32526-2020</t>
        </is>
      </c>
      <c r="B531" s="1" t="n">
        <v>44017</v>
      </c>
      <c r="C531" s="1" t="n">
        <v>45472</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32530-2020</t>
        </is>
      </c>
      <c r="B532" s="1" t="n">
        <v>44017</v>
      </c>
      <c r="C532" s="1" t="n">
        <v>45472</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32885-2020</t>
        </is>
      </c>
      <c r="B533" s="1" t="n">
        <v>44020</v>
      </c>
      <c r="C533" s="1" t="n">
        <v>45472</v>
      </c>
      <c r="D533" t="inlineStr">
        <is>
          <t>VÄSTERBOTTENS LÄN</t>
        </is>
      </c>
      <c r="E533" t="inlineStr">
        <is>
          <t>SKELLEFTEÅ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32864-2020</t>
        </is>
      </c>
      <c r="B534" s="1" t="n">
        <v>44020</v>
      </c>
      <c r="C534" s="1" t="n">
        <v>45472</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33086-2020</t>
        </is>
      </c>
      <c r="B535" s="1" t="n">
        <v>44021</v>
      </c>
      <c r="C535" s="1" t="n">
        <v>45472</v>
      </c>
      <c r="D535" t="inlineStr">
        <is>
          <t>VÄSTERBOTTENS LÄN</t>
        </is>
      </c>
      <c r="E535" t="inlineStr">
        <is>
          <t>SKELLEFTEÅ</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33327-2020</t>
        </is>
      </c>
      <c r="B536" s="1" t="n">
        <v>44022</v>
      </c>
      <c r="C536" s="1" t="n">
        <v>45472</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33322-2020</t>
        </is>
      </c>
      <c r="B537" s="1" t="n">
        <v>44022</v>
      </c>
      <c r="C537" s="1" t="n">
        <v>45472</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33424-2020</t>
        </is>
      </c>
      <c r="B538" s="1" t="n">
        <v>44022</v>
      </c>
      <c r="C538" s="1" t="n">
        <v>45472</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33791-2020</t>
        </is>
      </c>
      <c r="B539" s="1" t="n">
        <v>44026</v>
      </c>
      <c r="C539" s="1" t="n">
        <v>45472</v>
      </c>
      <c r="D539" t="inlineStr">
        <is>
          <t>VÄSTERBOTTENS LÄN</t>
        </is>
      </c>
      <c r="E539" t="inlineStr">
        <is>
          <t>SKELLEFTEÅ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34235-2020</t>
        </is>
      </c>
      <c r="B540" s="1" t="n">
        <v>44027</v>
      </c>
      <c r="C540" s="1" t="n">
        <v>45472</v>
      </c>
      <c r="D540" t="inlineStr">
        <is>
          <t>VÄSTERBOTTENS LÄN</t>
        </is>
      </c>
      <c r="E540" t="inlineStr">
        <is>
          <t>SKELLEFTEÅ</t>
        </is>
      </c>
      <c r="G540" t="n">
        <v>3.3</v>
      </c>
      <c r="H540" t="n">
        <v>0</v>
      </c>
      <c r="I540" t="n">
        <v>0</v>
      </c>
      <c r="J540" t="n">
        <v>0</v>
      </c>
      <c r="K540" t="n">
        <v>0</v>
      </c>
      <c r="L540" t="n">
        <v>0</v>
      </c>
      <c r="M540" t="n">
        <v>0</v>
      </c>
      <c r="N540" t="n">
        <v>0</v>
      </c>
      <c r="O540" t="n">
        <v>0</v>
      </c>
      <c r="P540" t="n">
        <v>0</v>
      </c>
      <c r="Q540" t="n">
        <v>0</v>
      </c>
      <c r="R540" s="2" t="inlineStr"/>
    </row>
    <row r="541" ht="15" customHeight="1">
      <c r="A541" t="inlineStr">
        <is>
          <t>A 34173-2020</t>
        </is>
      </c>
      <c r="B541" s="1" t="n">
        <v>44029</v>
      </c>
      <c r="C541" s="1" t="n">
        <v>45472</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34155-2020</t>
        </is>
      </c>
      <c r="B542" s="1" t="n">
        <v>44029</v>
      </c>
      <c r="C542" s="1" t="n">
        <v>45472</v>
      </c>
      <c r="D542" t="inlineStr">
        <is>
          <t>VÄSTERBOTTENS LÄN</t>
        </is>
      </c>
      <c r="E542" t="inlineStr">
        <is>
          <t>SKELLEFTEÅ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34169-2020</t>
        </is>
      </c>
      <c r="B543" s="1" t="n">
        <v>44029</v>
      </c>
      <c r="C543" s="1" t="n">
        <v>45472</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34177-2020</t>
        </is>
      </c>
      <c r="B544" s="1" t="n">
        <v>44029</v>
      </c>
      <c r="C544" s="1" t="n">
        <v>45472</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34142-2020</t>
        </is>
      </c>
      <c r="B545" s="1" t="n">
        <v>44029</v>
      </c>
      <c r="C545" s="1" t="n">
        <v>45472</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34351-2020</t>
        </is>
      </c>
      <c r="B546" s="1" t="n">
        <v>44032</v>
      </c>
      <c r="C546" s="1" t="n">
        <v>45472</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34517-2020</t>
        </is>
      </c>
      <c r="B547" s="1" t="n">
        <v>44033</v>
      </c>
      <c r="C547" s="1" t="n">
        <v>45472</v>
      </c>
      <c r="D547" t="inlineStr">
        <is>
          <t>VÄSTERBOTTENS LÄN</t>
        </is>
      </c>
      <c r="E547" t="inlineStr">
        <is>
          <t>SKELLEFTEÅ</t>
        </is>
      </c>
      <c r="F547" t="inlineStr">
        <is>
          <t>Holmen skog AB</t>
        </is>
      </c>
      <c r="G547" t="n">
        <v>4.7</v>
      </c>
      <c r="H547" t="n">
        <v>0</v>
      </c>
      <c r="I547" t="n">
        <v>0</v>
      </c>
      <c r="J547" t="n">
        <v>0</v>
      </c>
      <c r="K547" t="n">
        <v>0</v>
      </c>
      <c r="L547" t="n">
        <v>0</v>
      </c>
      <c r="M547" t="n">
        <v>0</v>
      </c>
      <c r="N547" t="n">
        <v>0</v>
      </c>
      <c r="O547" t="n">
        <v>0</v>
      </c>
      <c r="P547" t="n">
        <v>0</v>
      </c>
      <c r="Q547" t="n">
        <v>0</v>
      </c>
      <c r="R547" s="2" t="inlineStr"/>
    </row>
    <row r="548" ht="15" customHeight="1">
      <c r="A548" t="inlineStr">
        <is>
          <t>A 35173-2020</t>
        </is>
      </c>
      <c r="B548" s="1" t="n">
        <v>44040</v>
      </c>
      <c r="C548" s="1" t="n">
        <v>45472</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35285-2020</t>
        </is>
      </c>
      <c r="B549" s="1" t="n">
        <v>44041</v>
      </c>
      <c r="C549" s="1" t="n">
        <v>45472</v>
      </c>
      <c r="D549" t="inlineStr">
        <is>
          <t>VÄSTERBOTTENS LÄN</t>
        </is>
      </c>
      <c r="E549" t="inlineStr">
        <is>
          <t>SKELLEFTEÅ</t>
        </is>
      </c>
      <c r="F549" t="inlineStr">
        <is>
          <t>Holmen skog AB</t>
        </is>
      </c>
      <c r="G549" t="n">
        <v>4.2</v>
      </c>
      <c r="H549" t="n">
        <v>0</v>
      </c>
      <c r="I549" t="n">
        <v>0</v>
      </c>
      <c r="J549" t="n">
        <v>0</v>
      </c>
      <c r="K549" t="n">
        <v>0</v>
      </c>
      <c r="L549" t="n">
        <v>0</v>
      </c>
      <c r="M549" t="n">
        <v>0</v>
      </c>
      <c r="N549" t="n">
        <v>0</v>
      </c>
      <c r="O549" t="n">
        <v>0</v>
      </c>
      <c r="P549" t="n">
        <v>0</v>
      </c>
      <c r="Q549" t="n">
        <v>0</v>
      </c>
      <c r="R549" s="2" t="inlineStr"/>
    </row>
    <row r="550" ht="15" customHeight="1">
      <c r="A550" t="inlineStr">
        <is>
          <t>A 35806-2020</t>
        </is>
      </c>
      <c r="B550" s="1" t="n">
        <v>44046</v>
      </c>
      <c r="C550" s="1" t="n">
        <v>45472</v>
      </c>
      <c r="D550" t="inlineStr">
        <is>
          <t>VÄSTERBOTTENS LÄN</t>
        </is>
      </c>
      <c r="E550" t="inlineStr">
        <is>
          <t>SKELLEFTEÅ</t>
        </is>
      </c>
      <c r="F550" t="inlineStr">
        <is>
          <t>SCA</t>
        </is>
      </c>
      <c r="G550" t="n">
        <v>13.5</v>
      </c>
      <c r="H550" t="n">
        <v>0</v>
      </c>
      <c r="I550" t="n">
        <v>0</v>
      </c>
      <c r="J550" t="n">
        <v>0</v>
      </c>
      <c r="K550" t="n">
        <v>0</v>
      </c>
      <c r="L550" t="n">
        <v>0</v>
      </c>
      <c r="M550" t="n">
        <v>0</v>
      </c>
      <c r="N550" t="n">
        <v>0</v>
      </c>
      <c r="O550" t="n">
        <v>0</v>
      </c>
      <c r="P550" t="n">
        <v>0</v>
      </c>
      <c r="Q550" t="n">
        <v>0</v>
      </c>
      <c r="R550" s="2" t="inlineStr"/>
    </row>
    <row r="551" ht="15" customHeight="1">
      <c r="A551" t="inlineStr">
        <is>
          <t>A 35807-2020</t>
        </is>
      </c>
      <c r="B551" s="1" t="n">
        <v>44046</v>
      </c>
      <c r="C551" s="1" t="n">
        <v>45472</v>
      </c>
      <c r="D551" t="inlineStr">
        <is>
          <t>VÄSTERBOTTENS LÄN</t>
        </is>
      </c>
      <c r="E551" t="inlineStr">
        <is>
          <t>SKELLEFTEÅ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36401-2020</t>
        </is>
      </c>
      <c r="B552" s="1" t="n">
        <v>44049</v>
      </c>
      <c r="C552" s="1" t="n">
        <v>45472</v>
      </c>
      <c r="D552" t="inlineStr">
        <is>
          <t>VÄSTERBOTTENS LÄN</t>
        </is>
      </c>
      <c r="E552" t="inlineStr">
        <is>
          <t>SKELLEFTEÅ</t>
        </is>
      </c>
      <c r="F552" t="inlineStr">
        <is>
          <t>Holmen skog AB</t>
        </is>
      </c>
      <c r="G552" t="n">
        <v>11.1</v>
      </c>
      <c r="H552" t="n">
        <v>0</v>
      </c>
      <c r="I552" t="n">
        <v>0</v>
      </c>
      <c r="J552" t="n">
        <v>0</v>
      </c>
      <c r="K552" t="n">
        <v>0</v>
      </c>
      <c r="L552" t="n">
        <v>0</v>
      </c>
      <c r="M552" t="n">
        <v>0</v>
      </c>
      <c r="N552" t="n">
        <v>0</v>
      </c>
      <c r="O552" t="n">
        <v>0</v>
      </c>
      <c r="P552" t="n">
        <v>0</v>
      </c>
      <c r="Q552" t="n">
        <v>0</v>
      </c>
      <c r="R552" s="2" t="inlineStr"/>
    </row>
    <row r="553" ht="15" customHeight="1">
      <c r="A553" t="inlineStr">
        <is>
          <t>A 38217-2020</t>
        </is>
      </c>
      <c r="B553" s="1" t="n">
        <v>44050</v>
      </c>
      <c r="C553" s="1" t="n">
        <v>45472</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37384-2020</t>
        </is>
      </c>
      <c r="B554" s="1" t="n">
        <v>44055</v>
      </c>
      <c r="C554" s="1" t="n">
        <v>45472</v>
      </c>
      <c r="D554" t="inlineStr">
        <is>
          <t>VÄSTERBOTTENS LÄN</t>
        </is>
      </c>
      <c r="E554" t="inlineStr">
        <is>
          <t>SKELLEFTEÅ</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37393-2020</t>
        </is>
      </c>
      <c r="B555" s="1" t="n">
        <v>44055</v>
      </c>
      <c r="C555" s="1" t="n">
        <v>45472</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37268-2020</t>
        </is>
      </c>
      <c r="B556" s="1" t="n">
        <v>44055</v>
      </c>
      <c r="C556" s="1" t="n">
        <v>45472</v>
      </c>
      <c r="D556" t="inlineStr">
        <is>
          <t>VÄSTERBOTTENS LÄN</t>
        </is>
      </c>
      <c r="E556" t="inlineStr">
        <is>
          <t>SKELLEFTEÅ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37860-2020</t>
        </is>
      </c>
      <c r="B557" s="1" t="n">
        <v>44057</v>
      </c>
      <c r="C557" s="1" t="n">
        <v>45472</v>
      </c>
      <c r="D557" t="inlineStr">
        <is>
          <t>VÄSTERBOTTENS LÄN</t>
        </is>
      </c>
      <c r="E557" t="inlineStr">
        <is>
          <t>SKELLEFTEÅ</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37858-2020</t>
        </is>
      </c>
      <c r="B558" s="1" t="n">
        <v>44057</v>
      </c>
      <c r="C558" s="1" t="n">
        <v>45472</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37869-2020</t>
        </is>
      </c>
      <c r="B559" s="1" t="n">
        <v>44057</v>
      </c>
      <c r="C559" s="1" t="n">
        <v>45472</v>
      </c>
      <c r="D559" t="inlineStr">
        <is>
          <t>VÄSTERBOTTENS LÄN</t>
        </is>
      </c>
      <c r="E559" t="inlineStr">
        <is>
          <t>SKELLEFTEÅ</t>
        </is>
      </c>
      <c r="G559" t="n">
        <v>11.5</v>
      </c>
      <c r="H559" t="n">
        <v>0</v>
      </c>
      <c r="I559" t="n">
        <v>0</v>
      </c>
      <c r="J559" t="n">
        <v>0</v>
      </c>
      <c r="K559" t="n">
        <v>0</v>
      </c>
      <c r="L559" t="n">
        <v>0</v>
      </c>
      <c r="M559" t="n">
        <v>0</v>
      </c>
      <c r="N559" t="n">
        <v>0</v>
      </c>
      <c r="O559" t="n">
        <v>0</v>
      </c>
      <c r="P559" t="n">
        <v>0</v>
      </c>
      <c r="Q559" t="n">
        <v>0</v>
      </c>
      <c r="R559" s="2" t="inlineStr"/>
    </row>
    <row r="560" ht="15" customHeight="1">
      <c r="A560" t="inlineStr">
        <is>
          <t>A 37862-2020</t>
        </is>
      </c>
      <c r="B560" s="1" t="n">
        <v>44057</v>
      </c>
      <c r="C560" s="1" t="n">
        <v>45472</v>
      </c>
      <c r="D560" t="inlineStr">
        <is>
          <t>VÄSTERBOTTENS LÄN</t>
        </is>
      </c>
      <c r="E560" t="inlineStr">
        <is>
          <t>SKELLEFTEÅ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38174-2020</t>
        </is>
      </c>
      <c r="B561" s="1" t="n">
        <v>44057</v>
      </c>
      <c r="C561" s="1" t="n">
        <v>45472</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38181-2020</t>
        </is>
      </c>
      <c r="B562" s="1" t="n">
        <v>44057</v>
      </c>
      <c r="C562" s="1" t="n">
        <v>45472</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38120-2020</t>
        </is>
      </c>
      <c r="B563" s="1" t="n">
        <v>44059</v>
      </c>
      <c r="C563" s="1" t="n">
        <v>45472</v>
      </c>
      <c r="D563" t="inlineStr">
        <is>
          <t>VÄSTERBOTTENS LÄN</t>
        </is>
      </c>
      <c r="E563" t="inlineStr">
        <is>
          <t>SKELLEFTEÅ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38132-2020</t>
        </is>
      </c>
      <c r="B564" s="1" t="n">
        <v>44059</v>
      </c>
      <c r="C564" s="1" t="n">
        <v>45472</v>
      </c>
      <c r="D564" t="inlineStr">
        <is>
          <t>VÄSTERBOTTENS LÄN</t>
        </is>
      </c>
      <c r="E564" t="inlineStr">
        <is>
          <t>SKELLEFTEÅ</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38119-2020</t>
        </is>
      </c>
      <c r="B565" s="1" t="n">
        <v>44059</v>
      </c>
      <c r="C565" s="1" t="n">
        <v>45472</v>
      </c>
      <c r="D565" t="inlineStr">
        <is>
          <t>VÄSTERBOTTENS LÄN</t>
        </is>
      </c>
      <c r="E565" t="inlineStr">
        <is>
          <t>SKELLEFTEÅ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38187-2020</t>
        </is>
      </c>
      <c r="B566" s="1" t="n">
        <v>44060</v>
      </c>
      <c r="C566" s="1" t="n">
        <v>45472</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38192-2020</t>
        </is>
      </c>
      <c r="B567" s="1" t="n">
        <v>44060</v>
      </c>
      <c r="C567" s="1" t="n">
        <v>45472</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39268-2020</t>
        </is>
      </c>
      <c r="B568" s="1" t="n">
        <v>44063</v>
      </c>
      <c r="C568" s="1" t="n">
        <v>45472</v>
      </c>
      <c r="D568" t="inlineStr">
        <is>
          <t>VÄSTERBOTTENS LÄN</t>
        </is>
      </c>
      <c r="E568" t="inlineStr">
        <is>
          <t>SKELLEFTEÅ</t>
        </is>
      </c>
      <c r="F568" t="inlineStr">
        <is>
          <t>Holmen skog AB</t>
        </is>
      </c>
      <c r="G568" t="n">
        <v>10.2</v>
      </c>
      <c r="H568" t="n">
        <v>0</v>
      </c>
      <c r="I568" t="n">
        <v>0</v>
      </c>
      <c r="J568" t="n">
        <v>0</v>
      </c>
      <c r="K568" t="n">
        <v>0</v>
      </c>
      <c r="L568" t="n">
        <v>0</v>
      </c>
      <c r="M568" t="n">
        <v>0</v>
      </c>
      <c r="N568" t="n">
        <v>0</v>
      </c>
      <c r="O568" t="n">
        <v>0</v>
      </c>
      <c r="P568" t="n">
        <v>0</v>
      </c>
      <c r="Q568" t="n">
        <v>0</v>
      </c>
      <c r="R568" s="2" t="inlineStr"/>
    </row>
    <row r="569" ht="15" customHeight="1">
      <c r="A569" t="inlineStr">
        <is>
          <t>A 39992-2020</t>
        </is>
      </c>
      <c r="B569" s="1" t="n">
        <v>44067</v>
      </c>
      <c r="C569" s="1" t="n">
        <v>45472</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40196-2020</t>
        </is>
      </c>
      <c r="B570" s="1" t="n">
        <v>44068</v>
      </c>
      <c r="C570" s="1" t="n">
        <v>45472</v>
      </c>
      <c r="D570" t="inlineStr">
        <is>
          <t>VÄSTERBOTTENS LÄN</t>
        </is>
      </c>
      <c r="E570" t="inlineStr">
        <is>
          <t>SKELLEFTEÅ</t>
        </is>
      </c>
      <c r="G570" t="n">
        <v>2.1</v>
      </c>
      <c r="H570" t="n">
        <v>0</v>
      </c>
      <c r="I570" t="n">
        <v>0</v>
      </c>
      <c r="J570" t="n">
        <v>0</v>
      </c>
      <c r="K570" t="n">
        <v>0</v>
      </c>
      <c r="L570" t="n">
        <v>0</v>
      </c>
      <c r="M570" t="n">
        <v>0</v>
      </c>
      <c r="N570" t="n">
        <v>0</v>
      </c>
      <c r="O570" t="n">
        <v>0</v>
      </c>
      <c r="P570" t="n">
        <v>0</v>
      </c>
      <c r="Q570" t="n">
        <v>0</v>
      </c>
      <c r="R570" s="2" t="inlineStr"/>
    </row>
    <row r="571" ht="15" customHeight="1">
      <c r="A571" t="inlineStr">
        <is>
          <t>A 40277-2020</t>
        </is>
      </c>
      <c r="B571" s="1" t="n">
        <v>44068</v>
      </c>
      <c r="C571" s="1" t="n">
        <v>45472</v>
      </c>
      <c r="D571" t="inlineStr">
        <is>
          <t>VÄSTERBOTTENS LÄN</t>
        </is>
      </c>
      <c r="E571" t="inlineStr">
        <is>
          <t>SKELLEFTEÅ</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40860-2020</t>
        </is>
      </c>
      <c r="B572" s="1" t="n">
        <v>44068</v>
      </c>
      <c r="C572" s="1" t="n">
        <v>45472</v>
      </c>
      <c r="D572" t="inlineStr">
        <is>
          <t>VÄSTERBOTTENS LÄN</t>
        </is>
      </c>
      <c r="E572" t="inlineStr">
        <is>
          <t>SKELLEFTEÅ</t>
        </is>
      </c>
      <c r="G572" t="n">
        <v>8.9</v>
      </c>
      <c r="H572" t="n">
        <v>0</v>
      </c>
      <c r="I572" t="n">
        <v>0</v>
      </c>
      <c r="J572" t="n">
        <v>0</v>
      </c>
      <c r="K572" t="n">
        <v>0</v>
      </c>
      <c r="L572" t="n">
        <v>0</v>
      </c>
      <c r="M572" t="n">
        <v>0</v>
      </c>
      <c r="N572" t="n">
        <v>0</v>
      </c>
      <c r="O572" t="n">
        <v>0</v>
      </c>
      <c r="P572" t="n">
        <v>0</v>
      </c>
      <c r="Q572" t="n">
        <v>0</v>
      </c>
      <c r="R572" s="2" t="inlineStr"/>
    </row>
    <row r="573" ht="15" customHeight="1">
      <c r="A573" t="inlineStr">
        <is>
          <t>A 41005-2020</t>
        </is>
      </c>
      <c r="B573" s="1" t="n">
        <v>44068</v>
      </c>
      <c r="C573" s="1" t="n">
        <v>45472</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40469-2020</t>
        </is>
      </c>
      <c r="B574" s="1" t="n">
        <v>44069</v>
      </c>
      <c r="C574" s="1" t="n">
        <v>45472</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40566-2020</t>
        </is>
      </c>
      <c r="B575" s="1" t="n">
        <v>44069</v>
      </c>
      <c r="C575" s="1" t="n">
        <v>45472</v>
      </c>
      <c r="D575" t="inlineStr">
        <is>
          <t>VÄSTERBOTTENS LÄN</t>
        </is>
      </c>
      <c r="E575" t="inlineStr">
        <is>
          <t>SKELLEFTEÅ</t>
        </is>
      </c>
      <c r="F575" t="inlineStr">
        <is>
          <t>Holmen skog AB</t>
        </is>
      </c>
      <c r="G575" t="n">
        <v>7.1</v>
      </c>
      <c r="H575" t="n">
        <v>0</v>
      </c>
      <c r="I575" t="n">
        <v>0</v>
      </c>
      <c r="J575" t="n">
        <v>0</v>
      </c>
      <c r="K575" t="n">
        <v>0</v>
      </c>
      <c r="L575" t="n">
        <v>0</v>
      </c>
      <c r="M575" t="n">
        <v>0</v>
      </c>
      <c r="N575" t="n">
        <v>0</v>
      </c>
      <c r="O575" t="n">
        <v>0</v>
      </c>
      <c r="P575" t="n">
        <v>0</v>
      </c>
      <c r="Q575" t="n">
        <v>0</v>
      </c>
      <c r="R575" s="2" t="inlineStr"/>
    </row>
    <row r="576" ht="15" customHeight="1">
      <c r="A576" t="inlineStr">
        <is>
          <t>A 40756-2020</t>
        </is>
      </c>
      <c r="B576" s="1" t="n">
        <v>44069</v>
      </c>
      <c r="C576" s="1" t="n">
        <v>45472</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40828-2020</t>
        </is>
      </c>
      <c r="B577" s="1" t="n">
        <v>44070</v>
      </c>
      <c r="C577" s="1" t="n">
        <v>45472</v>
      </c>
      <c r="D577" t="inlineStr">
        <is>
          <t>VÄSTERBOTTENS LÄN</t>
        </is>
      </c>
      <c r="E577" t="inlineStr">
        <is>
          <t>SKELLEFTEÅ</t>
        </is>
      </c>
      <c r="G577" t="n">
        <v>2.7</v>
      </c>
      <c r="H577" t="n">
        <v>0</v>
      </c>
      <c r="I577" t="n">
        <v>0</v>
      </c>
      <c r="J577" t="n">
        <v>0</v>
      </c>
      <c r="K577" t="n">
        <v>0</v>
      </c>
      <c r="L577" t="n">
        <v>0</v>
      </c>
      <c r="M577" t="n">
        <v>0</v>
      </c>
      <c r="N577" t="n">
        <v>0</v>
      </c>
      <c r="O577" t="n">
        <v>0</v>
      </c>
      <c r="P577" t="n">
        <v>0</v>
      </c>
      <c r="Q577" t="n">
        <v>0</v>
      </c>
      <c r="R577" s="2" t="inlineStr"/>
    </row>
    <row r="578" ht="15" customHeight="1">
      <c r="A578" t="inlineStr">
        <is>
          <t>A 41372-2020</t>
        </is>
      </c>
      <c r="B578" s="1" t="n">
        <v>44071</v>
      </c>
      <c r="C578" s="1" t="n">
        <v>45472</v>
      </c>
      <c r="D578" t="inlineStr">
        <is>
          <t>VÄSTERBOTTENS LÄN</t>
        </is>
      </c>
      <c r="E578" t="inlineStr">
        <is>
          <t>SKELLEFTEÅ</t>
        </is>
      </c>
      <c r="G578" t="n">
        <v>3.5</v>
      </c>
      <c r="H578" t="n">
        <v>0</v>
      </c>
      <c r="I578" t="n">
        <v>0</v>
      </c>
      <c r="J578" t="n">
        <v>0</v>
      </c>
      <c r="K578" t="n">
        <v>0</v>
      </c>
      <c r="L578" t="n">
        <v>0</v>
      </c>
      <c r="M578" t="n">
        <v>0</v>
      </c>
      <c r="N578" t="n">
        <v>0</v>
      </c>
      <c r="O578" t="n">
        <v>0</v>
      </c>
      <c r="P578" t="n">
        <v>0</v>
      </c>
      <c r="Q578" t="n">
        <v>0</v>
      </c>
      <c r="R578" s="2" t="inlineStr"/>
    </row>
    <row r="579" ht="15" customHeight="1">
      <c r="A579" t="inlineStr">
        <is>
          <t>A 42123-2020</t>
        </is>
      </c>
      <c r="B579" s="1" t="n">
        <v>44071</v>
      </c>
      <c r="C579" s="1" t="n">
        <v>45472</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41428-2020</t>
        </is>
      </c>
      <c r="B580" s="1" t="n">
        <v>44073</v>
      </c>
      <c r="C580" s="1" t="n">
        <v>45472</v>
      </c>
      <c r="D580" t="inlineStr">
        <is>
          <t>VÄSTERBOTTENS LÄN</t>
        </is>
      </c>
      <c r="E580" t="inlineStr">
        <is>
          <t>SKELLEFTEÅ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41841-2020</t>
        </is>
      </c>
      <c r="B581" s="1" t="n">
        <v>44074</v>
      </c>
      <c r="C581" s="1" t="n">
        <v>45472</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42049-2020</t>
        </is>
      </c>
      <c r="B582" s="1" t="n">
        <v>44074</v>
      </c>
      <c r="C582" s="1" t="n">
        <v>45472</v>
      </c>
      <c r="D582" t="inlineStr">
        <is>
          <t>VÄSTERBOTTENS LÄN</t>
        </is>
      </c>
      <c r="E582" t="inlineStr">
        <is>
          <t>SKELLEFTEÅ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41989-2020</t>
        </is>
      </c>
      <c r="B583" s="1" t="n">
        <v>44075</v>
      </c>
      <c r="C583" s="1" t="n">
        <v>45472</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42685-2020</t>
        </is>
      </c>
      <c r="B584" s="1" t="n">
        <v>44075</v>
      </c>
      <c r="C584" s="1" t="n">
        <v>45472</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42679-2020</t>
        </is>
      </c>
      <c r="B585" s="1" t="n">
        <v>44075</v>
      </c>
      <c r="C585" s="1" t="n">
        <v>45472</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43331-2020</t>
        </is>
      </c>
      <c r="B586" s="1" t="n">
        <v>44076</v>
      </c>
      <c r="C586" s="1" t="n">
        <v>45472</v>
      </c>
      <c r="D586" t="inlineStr">
        <is>
          <t>VÄSTERBOTTENS LÄN</t>
        </is>
      </c>
      <c r="E586" t="inlineStr">
        <is>
          <t>SKELLEFTEÅ</t>
        </is>
      </c>
      <c r="G586" t="n">
        <v>3.8</v>
      </c>
      <c r="H586" t="n">
        <v>0</v>
      </c>
      <c r="I586" t="n">
        <v>0</v>
      </c>
      <c r="J586" t="n">
        <v>0</v>
      </c>
      <c r="K586" t="n">
        <v>0</v>
      </c>
      <c r="L586" t="n">
        <v>0</v>
      </c>
      <c r="M586" t="n">
        <v>0</v>
      </c>
      <c r="N586" t="n">
        <v>0</v>
      </c>
      <c r="O586" t="n">
        <v>0</v>
      </c>
      <c r="P586" t="n">
        <v>0</v>
      </c>
      <c r="Q586" t="n">
        <v>0</v>
      </c>
      <c r="R586" s="2" t="inlineStr"/>
    </row>
    <row r="587" ht="15" customHeight="1">
      <c r="A587" t="inlineStr">
        <is>
          <t>A 42648-2020</t>
        </is>
      </c>
      <c r="B587" s="1" t="n">
        <v>44077</v>
      </c>
      <c r="C587" s="1" t="n">
        <v>45472</v>
      </c>
      <c r="D587" t="inlineStr">
        <is>
          <t>VÄSTERBOTTENS LÄN</t>
        </is>
      </c>
      <c r="E587" t="inlineStr">
        <is>
          <t>SKELLEFTEÅ</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42808-2020</t>
        </is>
      </c>
      <c r="B588" s="1" t="n">
        <v>44078</v>
      </c>
      <c r="C588" s="1" t="n">
        <v>45472</v>
      </c>
      <c r="D588" t="inlineStr">
        <is>
          <t>VÄSTERBOTTENS LÄN</t>
        </is>
      </c>
      <c r="E588" t="inlineStr">
        <is>
          <t>SKELLEFTEÅ</t>
        </is>
      </c>
      <c r="F588" t="inlineStr">
        <is>
          <t>Kommuner</t>
        </is>
      </c>
      <c r="G588" t="n">
        <v>6.5</v>
      </c>
      <c r="H588" t="n">
        <v>0</v>
      </c>
      <c r="I588" t="n">
        <v>0</v>
      </c>
      <c r="J588" t="n">
        <v>0</v>
      </c>
      <c r="K588" t="n">
        <v>0</v>
      </c>
      <c r="L588" t="n">
        <v>0</v>
      </c>
      <c r="M588" t="n">
        <v>0</v>
      </c>
      <c r="N588" t="n">
        <v>0</v>
      </c>
      <c r="O588" t="n">
        <v>0</v>
      </c>
      <c r="P588" t="n">
        <v>0</v>
      </c>
      <c r="Q588" t="n">
        <v>0</v>
      </c>
      <c r="R588" s="2" t="inlineStr"/>
    </row>
    <row r="589" ht="15" customHeight="1">
      <c r="A589" t="inlineStr">
        <is>
          <t>A 43054-2020</t>
        </is>
      </c>
      <c r="B589" s="1" t="n">
        <v>44078</v>
      </c>
      <c r="C589" s="1" t="n">
        <v>45472</v>
      </c>
      <c r="D589" t="inlineStr">
        <is>
          <t>VÄSTERBOTTENS LÄN</t>
        </is>
      </c>
      <c r="E589" t="inlineStr">
        <is>
          <t>SKELLEFTEÅ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43222-2020</t>
        </is>
      </c>
      <c r="B590" s="1" t="n">
        <v>44081</v>
      </c>
      <c r="C590" s="1" t="n">
        <v>45472</v>
      </c>
      <c r="D590" t="inlineStr">
        <is>
          <t>VÄSTERBOTTENS LÄN</t>
        </is>
      </c>
      <c r="E590" t="inlineStr">
        <is>
          <t>SKELLEFTEÅ</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43292-2020</t>
        </is>
      </c>
      <c r="B591" s="1" t="n">
        <v>44081</v>
      </c>
      <c r="C591" s="1" t="n">
        <v>45472</v>
      </c>
      <c r="D591" t="inlineStr">
        <is>
          <t>VÄSTERBOTTENS LÄN</t>
        </is>
      </c>
      <c r="E591" t="inlineStr">
        <is>
          <t>SKELLEFTEÅ</t>
        </is>
      </c>
      <c r="F591" t="inlineStr">
        <is>
          <t>Sveaskog</t>
        </is>
      </c>
      <c r="G591" t="n">
        <v>10.1</v>
      </c>
      <c r="H591" t="n">
        <v>0</v>
      </c>
      <c r="I591" t="n">
        <v>0</v>
      </c>
      <c r="J591" t="n">
        <v>0</v>
      </c>
      <c r="K591" t="n">
        <v>0</v>
      </c>
      <c r="L591" t="n">
        <v>0</v>
      </c>
      <c r="M591" t="n">
        <v>0</v>
      </c>
      <c r="N591" t="n">
        <v>0</v>
      </c>
      <c r="O591" t="n">
        <v>0</v>
      </c>
      <c r="P591" t="n">
        <v>0</v>
      </c>
      <c r="Q591" t="n">
        <v>0</v>
      </c>
      <c r="R591" s="2" t="inlineStr"/>
    </row>
    <row r="592" ht="15" customHeight="1">
      <c r="A592" t="inlineStr">
        <is>
          <t>A 43344-2020</t>
        </is>
      </c>
      <c r="B592" s="1" t="n">
        <v>44081</v>
      </c>
      <c r="C592" s="1" t="n">
        <v>45472</v>
      </c>
      <c r="D592" t="inlineStr">
        <is>
          <t>VÄSTERBOTTENS LÄN</t>
        </is>
      </c>
      <c r="E592" t="inlineStr">
        <is>
          <t>SKELLEFTEÅ</t>
        </is>
      </c>
      <c r="F592" t="inlineStr">
        <is>
          <t>Sveaskog</t>
        </is>
      </c>
      <c r="G592" t="n">
        <v>11.4</v>
      </c>
      <c r="H592" t="n">
        <v>0</v>
      </c>
      <c r="I592" t="n">
        <v>0</v>
      </c>
      <c r="J592" t="n">
        <v>0</v>
      </c>
      <c r="K592" t="n">
        <v>0</v>
      </c>
      <c r="L592" t="n">
        <v>0</v>
      </c>
      <c r="M592" t="n">
        <v>0</v>
      </c>
      <c r="N592" t="n">
        <v>0</v>
      </c>
      <c r="O592" t="n">
        <v>0</v>
      </c>
      <c r="P592" t="n">
        <v>0</v>
      </c>
      <c r="Q592" t="n">
        <v>0</v>
      </c>
      <c r="R592" s="2" t="inlineStr"/>
    </row>
    <row r="593" ht="15" customHeight="1">
      <c r="A593" t="inlineStr">
        <is>
          <t>A 43327-2020</t>
        </is>
      </c>
      <c r="B593" s="1" t="n">
        <v>44081</v>
      </c>
      <c r="C593" s="1" t="n">
        <v>45472</v>
      </c>
      <c r="D593" t="inlineStr">
        <is>
          <t>VÄSTERBOTTENS LÄN</t>
        </is>
      </c>
      <c r="E593" t="inlineStr">
        <is>
          <t>SKELLEFTEÅ</t>
        </is>
      </c>
      <c r="F593" t="inlineStr">
        <is>
          <t>Sveaskog</t>
        </is>
      </c>
      <c r="G593" t="n">
        <v>23.3</v>
      </c>
      <c r="H593" t="n">
        <v>0</v>
      </c>
      <c r="I593" t="n">
        <v>0</v>
      </c>
      <c r="J593" t="n">
        <v>0</v>
      </c>
      <c r="K593" t="n">
        <v>0</v>
      </c>
      <c r="L593" t="n">
        <v>0</v>
      </c>
      <c r="M593" t="n">
        <v>0</v>
      </c>
      <c r="N593" t="n">
        <v>0</v>
      </c>
      <c r="O593" t="n">
        <v>0</v>
      </c>
      <c r="P593" t="n">
        <v>0</v>
      </c>
      <c r="Q593" t="n">
        <v>0</v>
      </c>
      <c r="R593" s="2" t="inlineStr"/>
    </row>
    <row r="594" ht="15" customHeight="1">
      <c r="A594" t="inlineStr">
        <is>
          <t>A 43505-2020</t>
        </is>
      </c>
      <c r="B594" s="1" t="n">
        <v>44082</v>
      </c>
      <c r="C594" s="1" t="n">
        <v>45472</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44564-2020</t>
        </is>
      </c>
      <c r="B595" s="1" t="n">
        <v>44082</v>
      </c>
      <c r="C595" s="1" t="n">
        <v>45472</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44721-2020</t>
        </is>
      </c>
      <c r="B596" s="1" t="n">
        <v>44082</v>
      </c>
      <c r="C596" s="1" t="n">
        <v>45472</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43928-2020</t>
        </is>
      </c>
      <c r="B597" s="1" t="n">
        <v>44083</v>
      </c>
      <c r="C597" s="1" t="n">
        <v>45472</v>
      </c>
      <c r="D597" t="inlineStr">
        <is>
          <t>VÄSTERBOTTENS LÄN</t>
        </is>
      </c>
      <c r="E597" t="inlineStr">
        <is>
          <t>SKELLEFTEÅ</t>
        </is>
      </c>
      <c r="F597" t="inlineStr">
        <is>
          <t>Sveaskog</t>
        </is>
      </c>
      <c r="G597" t="n">
        <v>5.8</v>
      </c>
      <c r="H597" t="n">
        <v>0</v>
      </c>
      <c r="I597" t="n">
        <v>0</v>
      </c>
      <c r="J597" t="n">
        <v>0</v>
      </c>
      <c r="K597" t="n">
        <v>0</v>
      </c>
      <c r="L597" t="n">
        <v>0</v>
      </c>
      <c r="M597" t="n">
        <v>0</v>
      </c>
      <c r="N597" t="n">
        <v>0</v>
      </c>
      <c r="O597" t="n">
        <v>0</v>
      </c>
      <c r="P597" t="n">
        <v>0</v>
      </c>
      <c r="Q597" t="n">
        <v>0</v>
      </c>
      <c r="R597" s="2" t="inlineStr"/>
    </row>
    <row r="598" ht="15" customHeight="1">
      <c r="A598" t="inlineStr">
        <is>
          <t>A 43923-2020</t>
        </is>
      </c>
      <c r="B598" s="1" t="n">
        <v>44083</v>
      </c>
      <c r="C598" s="1" t="n">
        <v>45472</v>
      </c>
      <c r="D598" t="inlineStr">
        <is>
          <t>VÄSTERBOTTENS LÄN</t>
        </is>
      </c>
      <c r="E598" t="inlineStr">
        <is>
          <t>SKELLEFTEÅ</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43933-2020</t>
        </is>
      </c>
      <c r="B599" s="1" t="n">
        <v>44083</v>
      </c>
      <c r="C599" s="1" t="n">
        <v>45472</v>
      </c>
      <c r="D599" t="inlineStr">
        <is>
          <t>VÄSTERBOTTENS LÄN</t>
        </is>
      </c>
      <c r="E599" t="inlineStr">
        <is>
          <t>SKELLEFTEÅ</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44068-2020</t>
        </is>
      </c>
      <c r="B600" s="1" t="n">
        <v>44083</v>
      </c>
      <c r="C600" s="1" t="n">
        <v>45472</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43930-2020</t>
        </is>
      </c>
      <c r="B601" s="1" t="n">
        <v>44083</v>
      </c>
      <c r="C601" s="1" t="n">
        <v>45472</v>
      </c>
      <c r="D601" t="inlineStr">
        <is>
          <t>VÄSTERBOTTENS LÄN</t>
        </is>
      </c>
      <c r="E601" t="inlineStr">
        <is>
          <t>SKELLEFTEÅ</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v>
      </c>
      <c r="C602" s="1" t="n">
        <v>45472</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18255-2021</t>
        </is>
      </c>
      <c r="B603" s="1" t="n">
        <v>44083</v>
      </c>
      <c r="C603" s="1" t="n">
        <v>45472</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18263-2021</t>
        </is>
      </c>
      <c r="B604" s="1" t="n">
        <v>44083</v>
      </c>
      <c r="C604" s="1" t="n">
        <v>45472</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44436-2020</t>
        </is>
      </c>
      <c r="B605" s="1" t="n">
        <v>44084</v>
      </c>
      <c r="C605" s="1" t="n">
        <v>45472</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44587-2020</t>
        </is>
      </c>
      <c r="B606" s="1" t="n">
        <v>44085</v>
      </c>
      <c r="C606" s="1" t="n">
        <v>45472</v>
      </c>
      <c r="D606" t="inlineStr">
        <is>
          <t>VÄSTERBOTTENS LÄN</t>
        </is>
      </c>
      <c r="E606" t="inlineStr">
        <is>
          <t>SKELLEFTEÅ</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44572-2020</t>
        </is>
      </c>
      <c r="B607" s="1" t="n">
        <v>44085</v>
      </c>
      <c r="C607" s="1" t="n">
        <v>45472</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44592-2020</t>
        </is>
      </c>
      <c r="B608" s="1" t="n">
        <v>44085</v>
      </c>
      <c r="C608" s="1" t="n">
        <v>45472</v>
      </c>
      <c r="D608" t="inlineStr">
        <is>
          <t>VÄSTERBOTTENS LÄN</t>
        </is>
      </c>
      <c r="E608" t="inlineStr">
        <is>
          <t>SKELLEFTEÅ</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44667-2020</t>
        </is>
      </c>
      <c r="B609" s="1" t="n">
        <v>44085</v>
      </c>
      <c r="C609" s="1" t="n">
        <v>45472</v>
      </c>
      <c r="D609" t="inlineStr">
        <is>
          <t>VÄSTERBOTTENS LÄN</t>
        </is>
      </c>
      <c r="E609" t="inlineStr">
        <is>
          <t>SKELLEFTEÅ</t>
        </is>
      </c>
      <c r="F609" t="inlineStr">
        <is>
          <t>Sveaskog</t>
        </is>
      </c>
      <c r="G609" t="n">
        <v>15.6</v>
      </c>
      <c r="H609" t="n">
        <v>0</v>
      </c>
      <c r="I609" t="n">
        <v>0</v>
      </c>
      <c r="J609" t="n">
        <v>0</v>
      </c>
      <c r="K609" t="n">
        <v>0</v>
      </c>
      <c r="L609" t="n">
        <v>0</v>
      </c>
      <c r="M609" t="n">
        <v>0</v>
      </c>
      <c r="N609" t="n">
        <v>0</v>
      </c>
      <c r="O609" t="n">
        <v>0</v>
      </c>
      <c r="P609" t="n">
        <v>0</v>
      </c>
      <c r="Q609" t="n">
        <v>0</v>
      </c>
      <c r="R609" s="2" t="inlineStr"/>
    </row>
    <row r="610" ht="15" customHeight="1">
      <c r="A610" t="inlineStr">
        <is>
          <t>A 45181-2020</t>
        </is>
      </c>
      <c r="B610" s="1" t="n">
        <v>44088</v>
      </c>
      <c r="C610" s="1" t="n">
        <v>45472</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45514-2020</t>
        </is>
      </c>
      <c r="B611" s="1" t="n">
        <v>44089</v>
      </c>
      <c r="C611" s="1" t="n">
        <v>45472</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46686-2020</t>
        </is>
      </c>
      <c r="B612" s="1" t="n">
        <v>44089</v>
      </c>
      <c r="C612" s="1" t="n">
        <v>45472</v>
      </c>
      <c r="D612" t="inlineStr">
        <is>
          <t>VÄSTERBOTTENS LÄN</t>
        </is>
      </c>
      <c r="E612" t="inlineStr">
        <is>
          <t>SKELLEFTEÅ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45690-2020</t>
        </is>
      </c>
      <c r="B613" s="1" t="n">
        <v>44090</v>
      </c>
      <c r="C613" s="1" t="n">
        <v>45472</v>
      </c>
      <c r="D613" t="inlineStr">
        <is>
          <t>VÄSTERBOTTENS LÄN</t>
        </is>
      </c>
      <c r="E613" t="inlineStr">
        <is>
          <t>SKELLEFTEÅ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46821-2020</t>
        </is>
      </c>
      <c r="B614" s="1" t="n">
        <v>44090</v>
      </c>
      <c r="C614" s="1" t="n">
        <v>45472</v>
      </c>
      <c r="D614" t="inlineStr">
        <is>
          <t>VÄSTERBOTTENS LÄN</t>
        </is>
      </c>
      <c r="E614" t="inlineStr">
        <is>
          <t>SKELLEFTEÅ</t>
        </is>
      </c>
      <c r="G614" t="n">
        <v>3.5</v>
      </c>
      <c r="H614" t="n">
        <v>0</v>
      </c>
      <c r="I614" t="n">
        <v>0</v>
      </c>
      <c r="J614" t="n">
        <v>0</v>
      </c>
      <c r="K614" t="n">
        <v>0</v>
      </c>
      <c r="L614" t="n">
        <v>0</v>
      </c>
      <c r="M614" t="n">
        <v>0</v>
      </c>
      <c r="N614" t="n">
        <v>0</v>
      </c>
      <c r="O614" t="n">
        <v>0</v>
      </c>
      <c r="P614" t="n">
        <v>0</v>
      </c>
      <c r="Q614" t="n">
        <v>0</v>
      </c>
      <c r="R614" s="2" t="inlineStr"/>
    </row>
    <row r="615" ht="15" customHeight="1">
      <c r="A615" t="inlineStr">
        <is>
          <t>A 46205-2020</t>
        </is>
      </c>
      <c r="B615" s="1" t="n">
        <v>44092</v>
      </c>
      <c r="C615" s="1" t="n">
        <v>45472</v>
      </c>
      <c r="D615" t="inlineStr">
        <is>
          <t>VÄSTERBOTTENS LÄN</t>
        </is>
      </c>
      <c r="E615" t="inlineStr">
        <is>
          <t>SKELLEFTEÅ</t>
        </is>
      </c>
      <c r="F615" t="inlineStr">
        <is>
          <t>Holmen skog AB</t>
        </is>
      </c>
      <c r="G615" t="n">
        <v>5.1</v>
      </c>
      <c r="H615" t="n">
        <v>0</v>
      </c>
      <c r="I615" t="n">
        <v>0</v>
      </c>
      <c r="J615" t="n">
        <v>0</v>
      </c>
      <c r="K615" t="n">
        <v>0</v>
      </c>
      <c r="L615" t="n">
        <v>0</v>
      </c>
      <c r="M615" t="n">
        <v>0</v>
      </c>
      <c r="N615" t="n">
        <v>0</v>
      </c>
      <c r="O615" t="n">
        <v>0</v>
      </c>
      <c r="P615" t="n">
        <v>0</v>
      </c>
      <c r="Q615" t="n">
        <v>0</v>
      </c>
      <c r="R615" s="2" t="inlineStr"/>
    </row>
    <row r="616" ht="15" customHeight="1">
      <c r="A616" t="inlineStr">
        <is>
          <t>A 46638-2020</t>
        </is>
      </c>
      <c r="B616" s="1" t="n">
        <v>44095</v>
      </c>
      <c r="C616" s="1" t="n">
        <v>45472</v>
      </c>
      <c r="D616" t="inlineStr">
        <is>
          <t>VÄSTERBOTTENS LÄN</t>
        </is>
      </c>
      <c r="E616" t="inlineStr">
        <is>
          <t>SKELLEFTEÅ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47405-2020</t>
        </is>
      </c>
      <c r="B617" s="1" t="n">
        <v>44095</v>
      </c>
      <c r="C617" s="1" t="n">
        <v>45472</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46819-2020</t>
        </is>
      </c>
      <c r="B618" s="1" t="n">
        <v>44096</v>
      </c>
      <c r="C618" s="1" t="n">
        <v>45472</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46842-2020</t>
        </is>
      </c>
      <c r="B619" s="1" t="n">
        <v>44096</v>
      </c>
      <c r="C619" s="1" t="n">
        <v>45472</v>
      </c>
      <c r="D619" t="inlineStr">
        <is>
          <t>VÄSTERBOTTENS LÄN</t>
        </is>
      </c>
      <c r="E619" t="inlineStr">
        <is>
          <t>SKELLEFTEÅ</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46857-2020</t>
        </is>
      </c>
      <c r="B620" s="1" t="n">
        <v>44096</v>
      </c>
      <c r="C620" s="1" t="n">
        <v>45472</v>
      </c>
      <c r="D620" t="inlineStr">
        <is>
          <t>VÄSTERBOTTENS LÄN</t>
        </is>
      </c>
      <c r="E620" t="inlineStr">
        <is>
          <t>SKELLEFTEÅ</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48584-2020</t>
        </is>
      </c>
      <c r="B621" s="1" t="n">
        <v>44098</v>
      </c>
      <c r="C621" s="1" t="n">
        <v>45472</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49241-2020</t>
        </is>
      </c>
      <c r="B622" s="1" t="n">
        <v>44102</v>
      </c>
      <c r="C622" s="1" t="n">
        <v>45472</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48575-2020</t>
        </is>
      </c>
      <c r="B623" s="1" t="n">
        <v>44103</v>
      </c>
      <c r="C623" s="1" t="n">
        <v>45472</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48609-2020</t>
        </is>
      </c>
      <c r="B624" s="1" t="n">
        <v>44103</v>
      </c>
      <c r="C624" s="1" t="n">
        <v>45472</v>
      </c>
      <c r="D624" t="inlineStr">
        <is>
          <t>VÄSTERBOTTENS LÄN</t>
        </is>
      </c>
      <c r="E624" t="inlineStr">
        <is>
          <t>SKELLEFTEÅ</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48893-2020</t>
        </is>
      </c>
      <c r="B625" s="1" t="n">
        <v>44104</v>
      </c>
      <c r="C625" s="1" t="n">
        <v>45472</v>
      </c>
      <c r="D625" t="inlineStr">
        <is>
          <t>VÄSTERBOTTENS LÄN</t>
        </is>
      </c>
      <c r="E625" t="inlineStr">
        <is>
          <t>SKELLEFTEÅ</t>
        </is>
      </c>
      <c r="F625" t="inlineStr">
        <is>
          <t>Sveaskog</t>
        </is>
      </c>
      <c r="G625" t="n">
        <v>42.8</v>
      </c>
      <c r="H625" t="n">
        <v>0</v>
      </c>
      <c r="I625" t="n">
        <v>0</v>
      </c>
      <c r="J625" t="n">
        <v>0</v>
      </c>
      <c r="K625" t="n">
        <v>0</v>
      </c>
      <c r="L625" t="n">
        <v>0</v>
      </c>
      <c r="M625" t="n">
        <v>0</v>
      </c>
      <c r="N625" t="n">
        <v>0</v>
      </c>
      <c r="O625" t="n">
        <v>0</v>
      </c>
      <c r="P625" t="n">
        <v>0</v>
      </c>
      <c r="Q625" t="n">
        <v>0</v>
      </c>
      <c r="R625" s="2" t="inlineStr"/>
    </row>
    <row r="626" ht="15" customHeight="1">
      <c r="A626" t="inlineStr">
        <is>
          <t>A 48939-2020</t>
        </is>
      </c>
      <c r="B626" s="1" t="n">
        <v>44104</v>
      </c>
      <c r="C626" s="1" t="n">
        <v>45472</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49986-2020</t>
        </is>
      </c>
      <c r="B627" s="1" t="n">
        <v>44104</v>
      </c>
      <c r="C627" s="1" t="n">
        <v>45472</v>
      </c>
      <c r="D627" t="inlineStr">
        <is>
          <t>VÄSTERBOTTENS LÄN</t>
        </is>
      </c>
      <c r="E627" t="inlineStr">
        <is>
          <t>SKELLEFTEÅ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49236-2020</t>
        </is>
      </c>
      <c r="B628" s="1" t="n">
        <v>44105</v>
      </c>
      <c r="C628" s="1" t="n">
        <v>45472</v>
      </c>
      <c r="D628" t="inlineStr">
        <is>
          <t>VÄSTERBOTTENS LÄN</t>
        </is>
      </c>
      <c r="E628" t="inlineStr">
        <is>
          <t>SKELLEFTEÅ</t>
        </is>
      </c>
      <c r="F628" t="inlineStr">
        <is>
          <t>Holmen skog AB</t>
        </is>
      </c>
      <c r="G628" t="n">
        <v>6.5</v>
      </c>
      <c r="H628" t="n">
        <v>0</v>
      </c>
      <c r="I628" t="n">
        <v>0</v>
      </c>
      <c r="J628" t="n">
        <v>0</v>
      </c>
      <c r="K628" t="n">
        <v>0</v>
      </c>
      <c r="L628" t="n">
        <v>0</v>
      </c>
      <c r="M628" t="n">
        <v>0</v>
      </c>
      <c r="N628" t="n">
        <v>0</v>
      </c>
      <c r="O628" t="n">
        <v>0</v>
      </c>
      <c r="P628" t="n">
        <v>0</v>
      </c>
      <c r="Q628" t="n">
        <v>0</v>
      </c>
      <c r="R628" s="2" t="inlineStr"/>
    </row>
    <row r="629" ht="15" customHeight="1">
      <c r="A629" t="inlineStr">
        <is>
          <t>A 49183-2020</t>
        </is>
      </c>
      <c r="B629" s="1" t="n">
        <v>44105</v>
      </c>
      <c r="C629" s="1" t="n">
        <v>45472</v>
      </c>
      <c r="D629" t="inlineStr">
        <is>
          <t>VÄSTERBOTTENS LÄN</t>
        </is>
      </c>
      <c r="E629" t="inlineStr">
        <is>
          <t>SKELLEFTEÅ</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51654-2020</t>
        </is>
      </c>
      <c r="B630" s="1" t="n">
        <v>44109</v>
      </c>
      <c r="C630" s="1" t="n">
        <v>45472</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50275-2020</t>
        </is>
      </c>
      <c r="B631" s="1" t="n">
        <v>44109</v>
      </c>
      <c r="C631" s="1" t="n">
        <v>45472</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49952-2020</t>
        </is>
      </c>
      <c r="B632" s="1" t="n">
        <v>44109</v>
      </c>
      <c r="C632" s="1" t="n">
        <v>45472</v>
      </c>
      <c r="D632" t="inlineStr">
        <is>
          <t>VÄSTERBOTTENS LÄN</t>
        </is>
      </c>
      <c r="E632" t="inlineStr">
        <is>
          <t>SKELLEFTEÅ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49974-2020</t>
        </is>
      </c>
      <c r="B633" s="1" t="n">
        <v>44109</v>
      </c>
      <c r="C633" s="1" t="n">
        <v>45472</v>
      </c>
      <c r="D633" t="inlineStr">
        <is>
          <t>VÄSTERBOTTENS LÄN</t>
        </is>
      </c>
      <c r="E633" t="inlineStr">
        <is>
          <t>SKELLEFTEÅ</t>
        </is>
      </c>
      <c r="F633" t="inlineStr">
        <is>
          <t>Holmen skog AB</t>
        </is>
      </c>
      <c r="G633" t="n">
        <v>15.8</v>
      </c>
      <c r="H633" t="n">
        <v>0</v>
      </c>
      <c r="I633" t="n">
        <v>0</v>
      </c>
      <c r="J633" t="n">
        <v>0</v>
      </c>
      <c r="K633" t="n">
        <v>0</v>
      </c>
      <c r="L633" t="n">
        <v>0</v>
      </c>
      <c r="M633" t="n">
        <v>0</v>
      </c>
      <c r="N633" t="n">
        <v>0</v>
      </c>
      <c r="O633" t="n">
        <v>0</v>
      </c>
      <c r="P633" t="n">
        <v>0</v>
      </c>
      <c r="Q633" t="n">
        <v>0</v>
      </c>
      <c r="R633" s="2" t="inlineStr"/>
    </row>
    <row r="634" ht="15" customHeight="1">
      <c r="A634" t="inlineStr">
        <is>
          <t>A 52119-2020</t>
        </is>
      </c>
      <c r="B634" s="1" t="n">
        <v>44110</v>
      </c>
      <c r="C634" s="1" t="n">
        <v>45472</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50431-2020</t>
        </is>
      </c>
      <c r="B635" s="1" t="n">
        <v>44110</v>
      </c>
      <c r="C635" s="1" t="n">
        <v>45472</v>
      </c>
      <c r="D635" t="inlineStr">
        <is>
          <t>VÄSTERBOTTENS LÄN</t>
        </is>
      </c>
      <c r="E635" t="inlineStr">
        <is>
          <t>SKELLEFTEÅ</t>
        </is>
      </c>
      <c r="F635" t="inlineStr">
        <is>
          <t>Holmen skog AB</t>
        </is>
      </c>
      <c r="G635" t="n">
        <v>9.4</v>
      </c>
      <c r="H635" t="n">
        <v>0</v>
      </c>
      <c r="I635" t="n">
        <v>0</v>
      </c>
      <c r="J635" t="n">
        <v>0</v>
      </c>
      <c r="K635" t="n">
        <v>0</v>
      </c>
      <c r="L635" t="n">
        <v>0</v>
      </c>
      <c r="M635" t="n">
        <v>0</v>
      </c>
      <c r="N635" t="n">
        <v>0</v>
      </c>
      <c r="O635" t="n">
        <v>0</v>
      </c>
      <c r="P635" t="n">
        <v>0</v>
      </c>
      <c r="Q635" t="n">
        <v>0</v>
      </c>
      <c r="R635" s="2" t="inlineStr"/>
    </row>
    <row r="636" ht="15" customHeight="1">
      <c r="A636" t="inlineStr">
        <is>
          <t>A 50701-2020</t>
        </is>
      </c>
      <c r="B636" s="1" t="n">
        <v>44111</v>
      </c>
      <c r="C636" s="1" t="n">
        <v>45472</v>
      </c>
      <c r="D636" t="inlineStr">
        <is>
          <t>VÄSTERBOTTENS LÄN</t>
        </is>
      </c>
      <c r="E636" t="inlineStr">
        <is>
          <t>SKELLEFTEÅ</t>
        </is>
      </c>
      <c r="F636" t="inlineStr">
        <is>
          <t>Holmen skog AB</t>
        </is>
      </c>
      <c r="G636" t="n">
        <v>2.9</v>
      </c>
      <c r="H636" t="n">
        <v>0</v>
      </c>
      <c r="I636" t="n">
        <v>0</v>
      </c>
      <c r="J636" t="n">
        <v>0</v>
      </c>
      <c r="K636" t="n">
        <v>0</v>
      </c>
      <c r="L636" t="n">
        <v>0</v>
      </c>
      <c r="M636" t="n">
        <v>0</v>
      </c>
      <c r="N636" t="n">
        <v>0</v>
      </c>
      <c r="O636" t="n">
        <v>0</v>
      </c>
      <c r="P636" t="n">
        <v>0</v>
      </c>
      <c r="Q636" t="n">
        <v>0</v>
      </c>
      <c r="R636" s="2" t="inlineStr"/>
    </row>
    <row r="637" ht="15" customHeight="1">
      <c r="A637" t="inlineStr">
        <is>
          <t>A 51283-2020</t>
        </is>
      </c>
      <c r="B637" s="1" t="n">
        <v>44112</v>
      </c>
      <c r="C637" s="1" t="n">
        <v>45472</v>
      </c>
      <c r="D637" t="inlineStr">
        <is>
          <t>VÄSTERBOTTENS LÄN</t>
        </is>
      </c>
      <c r="E637" t="inlineStr">
        <is>
          <t>SKELLEFTEÅ</t>
        </is>
      </c>
      <c r="F637" t="inlineStr">
        <is>
          <t>Sveaskog</t>
        </is>
      </c>
      <c r="G637" t="n">
        <v>14.1</v>
      </c>
      <c r="H637" t="n">
        <v>0</v>
      </c>
      <c r="I637" t="n">
        <v>0</v>
      </c>
      <c r="J637" t="n">
        <v>0</v>
      </c>
      <c r="K637" t="n">
        <v>0</v>
      </c>
      <c r="L637" t="n">
        <v>0</v>
      </c>
      <c r="M637" t="n">
        <v>0</v>
      </c>
      <c r="N637" t="n">
        <v>0</v>
      </c>
      <c r="O637" t="n">
        <v>0</v>
      </c>
      <c r="P637" t="n">
        <v>0</v>
      </c>
      <c r="Q637" t="n">
        <v>0</v>
      </c>
      <c r="R637" s="2" t="inlineStr"/>
    </row>
    <row r="638" ht="15" customHeight="1">
      <c r="A638" t="inlineStr">
        <is>
          <t>A 51547-2020</t>
        </is>
      </c>
      <c r="B638" s="1" t="n">
        <v>44113</v>
      </c>
      <c r="C638" s="1" t="n">
        <v>45472</v>
      </c>
      <c r="D638" t="inlineStr">
        <is>
          <t>VÄSTERBOTTENS LÄN</t>
        </is>
      </c>
      <c r="E638" t="inlineStr">
        <is>
          <t>SKELLEFTEÅ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51536-2020</t>
        </is>
      </c>
      <c r="B639" s="1" t="n">
        <v>44113</v>
      </c>
      <c r="C639" s="1" t="n">
        <v>45472</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51565-2020</t>
        </is>
      </c>
      <c r="B640" s="1" t="n">
        <v>44113</v>
      </c>
      <c r="C640" s="1" t="n">
        <v>45472</v>
      </c>
      <c r="D640" t="inlineStr">
        <is>
          <t>VÄSTERBOTTENS LÄN</t>
        </is>
      </c>
      <c r="E640" t="inlineStr">
        <is>
          <t>SKELLEFTEÅ</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51530-2020</t>
        </is>
      </c>
      <c r="B641" s="1" t="n">
        <v>44113</v>
      </c>
      <c r="C641" s="1" t="n">
        <v>45472</v>
      </c>
      <c r="D641" t="inlineStr">
        <is>
          <t>VÄSTERBOTTENS LÄN</t>
        </is>
      </c>
      <c r="E641" t="inlineStr">
        <is>
          <t>SKELLEFTEÅ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51907-2020</t>
        </is>
      </c>
      <c r="B642" s="1" t="n">
        <v>44116</v>
      </c>
      <c r="C642" s="1" t="n">
        <v>45472</v>
      </c>
      <c r="D642" t="inlineStr">
        <is>
          <t>VÄSTERBOTTENS LÄN</t>
        </is>
      </c>
      <c r="E642" t="inlineStr">
        <is>
          <t>SKELLEFTEÅ</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52292-2020</t>
        </is>
      </c>
      <c r="B643" s="1" t="n">
        <v>44117</v>
      </c>
      <c r="C643" s="1" t="n">
        <v>45472</v>
      </c>
      <c r="D643" t="inlineStr">
        <is>
          <t>VÄSTERBOTTENS LÄN</t>
        </is>
      </c>
      <c r="E643" t="inlineStr">
        <is>
          <t>SKELLEFTEÅ</t>
        </is>
      </c>
      <c r="F643" t="inlineStr">
        <is>
          <t>Holmen skog AB</t>
        </is>
      </c>
      <c r="G643" t="n">
        <v>3.2</v>
      </c>
      <c r="H643" t="n">
        <v>0</v>
      </c>
      <c r="I643" t="n">
        <v>0</v>
      </c>
      <c r="J643" t="n">
        <v>0</v>
      </c>
      <c r="K643" t="n">
        <v>0</v>
      </c>
      <c r="L643" t="n">
        <v>0</v>
      </c>
      <c r="M643" t="n">
        <v>0</v>
      </c>
      <c r="N643" t="n">
        <v>0</v>
      </c>
      <c r="O643" t="n">
        <v>0</v>
      </c>
      <c r="P643" t="n">
        <v>0</v>
      </c>
      <c r="Q643" t="n">
        <v>0</v>
      </c>
      <c r="R643" s="2" t="inlineStr"/>
    </row>
    <row r="644" ht="15" customHeight="1">
      <c r="A644" t="inlineStr">
        <is>
          <t>A 52640-2020</t>
        </is>
      </c>
      <c r="B644" s="1" t="n">
        <v>44118</v>
      </c>
      <c r="C644" s="1" t="n">
        <v>45472</v>
      </c>
      <c r="D644" t="inlineStr">
        <is>
          <t>VÄSTERBOTTENS LÄN</t>
        </is>
      </c>
      <c r="E644" t="inlineStr">
        <is>
          <t>SKELLEFTEÅ</t>
        </is>
      </c>
      <c r="G644" t="n">
        <v>11.5</v>
      </c>
      <c r="H644" t="n">
        <v>0</v>
      </c>
      <c r="I644" t="n">
        <v>0</v>
      </c>
      <c r="J644" t="n">
        <v>0</v>
      </c>
      <c r="K644" t="n">
        <v>0</v>
      </c>
      <c r="L644" t="n">
        <v>0</v>
      </c>
      <c r="M644" t="n">
        <v>0</v>
      </c>
      <c r="N644" t="n">
        <v>0</v>
      </c>
      <c r="O644" t="n">
        <v>0</v>
      </c>
      <c r="P644" t="n">
        <v>0</v>
      </c>
      <c r="Q644" t="n">
        <v>0</v>
      </c>
      <c r="R644" s="2" t="inlineStr"/>
    </row>
    <row r="645" ht="15" customHeight="1">
      <c r="A645" t="inlineStr">
        <is>
          <t>A 52714-2020</t>
        </is>
      </c>
      <c r="B645" s="1" t="n">
        <v>44119</v>
      </c>
      <c r="C645" s="1" t="n">
        <v>45472</v>
      </c>
      <c r="D645" t="inlineStr">
        <is>
          <t>VÄSTERBOTTENS LÄN</t>
        </is>
      </c>
      <c r="E645" t="inlineStr">
        <is>
          <t>SKELLEFTEÅ</t>
        </is>
      </c>
      <c r="F645" t="inlineStr">
        <is>
          <t>Holmen skog AB</t>
        </is>
      </c>
      <c r="G645" t="n">
        <v>4.6</v>
      </c>
      <c r="H645" t="n">
        <v>0</v>
      </c>
      <c r="I645" t="n">
        <v>0</v>
      </c>
      <c r="J645" t="n">
        <v>0</v>
      </c>
      <c r="K645" t="n">
        <v>0</v>
      </c>
      <c r="L645" t="n">
        <v>0</v>
      </c>
      <c r="M645" t="n">
        <v>0</v>
      </c>
      <c r="N645" t="n">
        <v>0</v>
      </c>
      <c r="O645" t="n">
        <v>0</v>
      </c>
      <c r="P645" t="n">
        <v>0</v>
      </c>
      <c r="Q645" t="n">
        <v>0</v>
      </c>
      <c r="R645" s="2" t="inlineStr"/>
    </row>
    <row r="646" ht="15" customHeight="1">
      <c r="A646" t="inlineStr">
        <is>
          <t>A 53114-2020</t>
        </is>
      </c>
      <c r="B646" s="1" t="n">
        <v>44120</v>
      </c>
      <c r="C646" s="1" t="n">
        <v>45472</v>
      </c>
      <c r="D646" t="inlineStr">
        <is>
          <t>VÄSTERBOTTENS LÄN</t>
        </is>
      </c>
      <c r="E646" t="inlineStr">
        <is>
          <t>SKELLEFTEÅ</t>
        </is>
      </c>
      <c r="G646" t="n">
        <v>6.1</v>
      </c>
      <c r="H646" t="n">
        <v>0</v>
      </c>
      <c r="I646" t="n">
        <v>0</v>
      </c>
      <c r="J646" t="n">
        <v>0</v>
      </c>
      <c r="K646" t="n">
        <v>0</v>
      </c>
      <c r="L646" t="n">
        <v>0</v>
      </c>
      <c r="M646" t="n">
        <v>0</v>
      </c>
      <c r="N646" t="n">
        <v>0</v>
      </c>
      <c r="O646" t="n">
        <v>0</v>
      </c>
      <c r="P646" t="n">
        <v>0</v>
      </c>
      <c r="Q646" t="n">
        <v>0</v>
      </c>
      <c r="R646" s="2" t="inlineStr"/>
    </row>
    <row r="647" ht="15" customHeight="1">
      <c r="A647" t="inlineStr">
        <is>
          <t>A 53373-2020</t>
        </is>
      </c>
      <c r="B647" s="1" t="n">
        <v>44123</v>
      </c>
      <c r="C647" s="1" t="n">
        <v>45472</v>
      </c>
      <c r="D647" t="inlineStr">
        <is>
          <t>VÄSTERBOTTENS LÄN</t>
        </is>
      </c>
      <c r="E647" t="inlineStr">
        <is>
          <t>SKELLEFTEÅ</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54356-2020</t>
        </is>
      </c>
      <c r="B648" s="1" t="n">
        <v>44125</v>
      </c>
      <c r="C648" s="1" t="n">
        <v>45472</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54850-2020</t>
        </is>
      </c>
      <c r="B649" s="1" t="n">
        <v>44126</v>
      </c>
      <c r="C649" s="1" t="n">
        <v>45472</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54872-2020</t>
        </is>
      </c>
      <c r="B650" s="1" t="n">
        <v>44126</v>
      </c>
      <c r="C650" s="1" t="n">
        <v>45472</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54662-2020</t>
        </is>
      </c>
      <c r="B651" s="1" t="n">
        <v>44127</v>
      </c>
      <c r="C651" s="1" t="n">
        <v>45472</v>
      </c>
      <c r="D651" t="inlineStr">
        <is>
          <t>VÄSTERBOTTENS LÄN</t>
        </is>
      </c>
      <c r="E651" t="inlineStr">
        <is>
          <t>SKELLEFTEÅ</t>
        </is>
      </c>
      <c r="F651" t="inlineStr">
        <is>
          <t>Holmen skog AB</t>
        </is>
      </c>
      <c r="G651" t="n">
        <v>13.4</v>
      </c>
      <c r="H651" t="n">
        <v>0</v>
      </c>
      <c r="I651" t="n">
        <v>0</v>
      </c>
      <c r="J651" t="n">
        <v>0</v>
      </c>
      <c r="K651" t="n">
        <v>0</v>
      </c>
      <c r="L651" t="n">
        <v>0</v>
      </c>
      <c r="M651" t="n">
        <v>0</v>
      </c>
      <c r="N651" t="n">
        <v>0</v>
      </c>
      <c r="O651" t="n">
        <v>0</v>
      </c>
      <c r="P651" t="n">
        <v>0</v>
      </c>
      <c r="Q651" t="n">
        <v>0</v>
      </c>
      <c r="R651" s="2" t="inlineStr"/>
    </row>
    <row r="652" ht="15" customHeight="1">
      <c r="A652" t="inlineStr">
        <is>
          <t>A 54921-2020</t>
        </is>
      </c>
      <c r="B652" s="1" t="n">
        <v>44127</v>
      </c>
      <c r="C652" s="1" t="n">
        <v>45472</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54913-2020</t>
        </is>
      </c>
      <c r="B653" s="1" t="n">
        <v>44127</v>
      </c>
      <c r="C653" s="1" t="n">
        <v>45472</v>
      </c>
      <c r="D653" t="inlineStr">
        <is>
          <t>VÄSTERBOTTENS LÄN</t>
        </is>
      </c>
      <c r="E653" t="inlineStr">
        <is>
          <t>SKELLEFTEÅ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54942-2020</t>
        </is>
      </c>
      <c r="B654" s="1" t="n">
        <v>44129</v>
      </c>
      <c r="C654" s="1" t="n">
        <v>45472</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55628-2020</t>
        </is>
      </c>
      <c r="B655" s="1" t="n">
        <v>44131</v>
      </c>
      <c r="C655" s="1" t="n">
        <v>45472</v>
      </c>
      <c r="D655" t="inlineStr">
        <is>
          <t>VÄSTERBOTTENS LÄN</t>
        </is>
      </c>
      <c r="E655" t="inlineStr">
        <is>
          <t>SKELLEFTEÅ</t>
        </is>
      </c>
      <c r="F655" t="inlineStr">
        <is>
          <t>Sveaskog</t>
        </is>
      </c>
      <c r="G655" t="n">
        <v>25.9</v>
      </c>
      <c r="H655" t="n">
        <v>0</v>
      </c>
      <c r="I655" t="n">
        <v>0</v>
      </c>
      <c r="J655" t="n">
        <v>0</v>
      </c>
      <c r="K655" t="n">
        <v>0</v>
      </c>
      <c r="L655" t="n">
        <v>0</v>
      </c>
      <c r="M655" t="n">
        <v>0</v>
      </c>
      <c r="N655" t="n">
        <v>0</v>
      </c>
      <c r="O655" t="n">
        <v>0</v>
      </c>
      <c r="P655" t="n">
        <v>0</v>
      </c>
      <c r="Q655" t="n">
        <v>0</v>
      </c>
      <c r="R655" s="2" t="inlineStr"/>
    </row>
    <row r="656" ht="15" customHeight="1">
      <c r="A656" t="inlineStr">
        <is>
          <t>A 55633-2020</t>
        </is>
      </c>
      <c r="B656" s="1" t="n">
        <v>44131</v>
      </c>
      <c r="C656" s="1" t="n">
        <v>45472</v>
      </c>
      <c r="D656" t="inlineStr">
        <is>
          <t>VÄSTERBOTTENS LÄN</t>
        </is>
      </c>
      <c r="E656" t="inlineStr">
        <is>
          <t>SKELLEFTEÅ</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55572-2020</t>
        </is>
      </c>
      <c r="B657" s="1" t="n">
        <v>44131</v>
      </c>
      <c r="C657" s="1" t="n">
        <v>45472</v>
      </c>
      <c r="D657" t="inlineStr">
        <is>
          <t>VÄSTERBOTTENS LÄN</t>
        </is>
      </c>
      <c r="E657" t="inlineStr">
        <is>
          <t>SKELLEFTEÅ</t>
        </is>
      </c>
      <c r="F657" t="inlineStr">
        <is>
          <t>Sveaskog</t>
        </is>
      </c>
      <c r="G657" t="n">
        <v>12.6</v>
      </c>
      <c r="H657" t="n">
        <v>0</v>
      </c>
      <c r="I657" t="n">
        <v>0</v>
      </c>
      <c r="J657" t="n">
        <v>0</v>
      </c>
      <c r="K657" t="n">
        <v>0</v>
      </c>
      <c r="L657" t="n">
        <v>0</v>
      </c>
      <c r="M657" t="n">
        <v>0</v>
      </c>
      <c r="N657" t="n">
        <v>0</v>
      </c>
      <c r="O657" t="n">
        <v>0</v>
      </c>
      <c r="P657" t="n">
        <v>0</v>
      </c>
      <c r="Q657" t="n">
        <v>0</v>
      </c>
      <c r="R657" s="2" t="inlineStr"/>
    </row>
    <row r="658" ht="15" customHeight="1">
      <c r="A658" t="inlineStr">
        <is>
          <t>A 55626-2020</t>
        </is>
      </c>
      <c r="B658" s="1" t="n">
        <v>44131</v>
      </c>
      <c r="C658" s="1" t="n">
        <v>45472</v>
      </c>
      <c r="D658" t="inlineStr">
        <is>
          <t>VÄSTERBOTTENS LÄN</t>
        </is>
      </c>
      <c r="E658" t="inlineStr">
        <is>
          <t>SKELLEFTEÅ</t>
        </is>
      </c>
      <c r="F658" t="inlineStr">
        <is>
          <t>Sveaskog</t>
        </is>
      </c>
      <c r="G658" t="n">
        <v>14.2</v>
      </c>
      <c r="H658" t="n">
        <v>0</v>
      </c>
      <c r="I658" t="n">
        <v>0</v>
      </c>
      <c r="J658" t="n">
        <v>0</v>
      </c>
      <c r="K658" t="n">
        <v>0</v>
      </c>
      <c r="L658" t="n">
        <v>0</v>
      </c>
      <c r="M658" t="n">
        <v>0</v>
      </c>
      <c r="N658" t="n">
        <v>0</v>
      </c>
      <c r="O658" t="n">
        <v>0</v>
      </c>
      <c r="P658" t="n">
        <v>0</v>
      </c>
      <c r="Q658" t="n">
        <v>0</v>
      </c>
      <c r="R658" s="2" t="inlineStr"/>
    </row>
    <row r="659" ht="15" customHeight="1">
      <c r="A659" t="inlineStr">
        <is>
          <t>A 56029-2020</t>
        </is>
      </c>
      <c r="B659" s="1" t="n">
        <v>44133</v>
      </c>
      <c r="C659" s="1" t="n">
        <v>45472</v>
      </c>
      <c r="D659" t="inlineStr">
        <is>
          <t>VÄSTERBOTTENS LÄN</t>
        </is>
      </c>
      <c r="E659" t="inlineStr">
        <is>
          <t>SKELLEFTEÅ</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56683-2020</t>
        </is>
      </c>
      <c r="B660" s="1" t="n">
        <v>44133</v>
      </c>
      <c r="C660" s="1" t="n">
        <v>45472</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56879-2020</t>
        </is>
      </c>
      <c r="B661" s="1" t="n">
        <v>44134</v>
      </c>
      <c r="C661" s="1" t="n">
        <v>45472</v>
      </c>
      <c r="D661" t="inlineStr">
        <is>
          <t>VÄSTERBOTTENS LÄN</t>
        </is>
      </c>
      <c r="E661" t="inlineStr">
        <is>
          <t>SKELLEFTEÅ</t>
        </is>
      </c>
      <c r="G661" t="n">
        <v>8.5</v>
      </c>
      <c r="H661" t="n">
        <v>0</v>
      </c>
      <c r="I661" t="n">
        <v>0</v>
      </c>
      <c r="J661" t="n">
        <v>0</v>
      </c>
      <c r="K661" t="n">
        <v>0</v>
      </c>
      <c r="L661" t="n">
        <v>0</v>
      </c>
      <c r="M661" t="n">
        <v>0</v>
      </c>
      <c r="N661" t="n">
        <v>0</v>
      </c>
      <c r="O661" t="n">
        <v>0</v>
      </c>
      <c r="P661" t="n">
        <v>0</v>
      </c>
      <c r="Q661" t="n">
        <v>0</v>
      </c>
      <c r="R661" s="2" t="inlineStr"/>
    </row>
    <row r="662" ht="15" customHeight="1">
      <c r="A662" t="inlineStr">
        <is>
          <t>A 56604-2020</t>
        </is>
      </c>
      <c r="B662" s="1" t="n">
        <v>44137</v>
      </c>
      <c r="C662" s="1" t="n">
        <v>45472</v>
      </c>
      <c r="D662" t="inlineStr">
        <is>
          <t>VÄSTERBOTTENS LÄN</t>
        </is>
      </c>
      <c r="E662" t="inlineStr">
        <is>
          <t>SKELLEFTEÅ</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56720-2020</t>
        </is>
      </c>
      <c r="B663" s="1" t="n">
        <v>44137</v>
      </c>
      <c r="C663" s="1" t="n">
        <v>45472</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56692-2020</t>
        </is>
      </c>
      <c r="B664" s="1" t="n">
        <v>44137</v>
      </c>
      <c r="C664" s="1" t="n">
        <v>45472</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56718-2020</t>
        </is>
      </c>
      <c r="B665" s="1" t="n">
        <v>44137</v>
      </c>
      <c r="C665" s="1" t="n">
        <v>45472</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56945-2020</t>
        </is>
      </c>
      <c r="B666" s="1" t="n">
        <v>44138</v>
      </c>
      <c r="C666" s="1" t="n">
        <v>45472</v>
      </c>
      <c r="D666" t="inlineStr">
        <is>
          <t>VÄSTERBOTTENS LÄN</t>
        </is>
      </c>
      <c r="E666" t="inlineStr">
        <is>
          <t>SKELLEFTEÅ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57620-2020</t>
        </is>
      </c>
      <c r="B667" s="1" t="n">
        <v>44140</v>
      </c>
      <c r="C667" s="1" t="n">
        <v>45472</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57770-2020</t>
        </is>
      </c>
      <c r="B668" s="1" t="n">
        <v>44141</v>
      </c>
      <c r="C668" s="1" t="n">
        <v>45472</v>
      </c>
      <c r="D668" t="inlineStr">
        <is>
          <t>VÄSTERBOTTENS LÄN</t>
        </is>
      </c>
      <c r="E668" t="inlineStr">
        <is>
          <t>SKELLEFTEÅ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58427-2020</t>
        </is>
      </c>
      <c r="B669" s="1" t="n">
        <v>44141</v>
      </c>
      <c r="C669" s="1" t="n">
        <v>45472</v>
      </c>
      <c r="D669" t="inlineStr">
        <is>
          <t>VÄSTERBOTTENS LÄN</t>
        </is>
      </c>
      <c r="E669" t="inlineStr">
        <is>
          <t>SKELLEFTEÅ</t>
        </is>
      </c>
      <c r="G669" t="n">
        <v>5.5</v>
      </c>
      <c r="H669" t="n">
        <v>0</v>
      </c>
      <c r="I669" t="n">
        <v>0</v>
      </c>
      <c r="J669" t="n">
        <v>0</v>
      </c>
      <c r="K669" t="n">
        <v>0</v>
      </c>
      <c r="L669" t="n">
        <v>0</v>
      </c>
      <c r="M669" t="n">
        <v>0</v>
      </c>
      <c r="N669" t="n">
        <v>0</v>
      </c>
      <c r="O669" t="n">
        <v>0</v>
      </c>
      <c r="P669" t="n">
        <v>0</v>
      </c>
      <c r="Q669" t="n">
        <v>0</v>
      </c>
      <c r="R669" s="2" t="inlineStr"/>
    </row>
    <row r="670" ht="15" customHeight="1">
      <c r="A670" t="inlineStr">
        <is>
          <t>A 58520-2020</t>
        </is>
      </c>
      <c r="B670" s="1" t="n">
        <v>44144</v>
      </c>
      <c r="C670" s="1" t="n">
        <v>45472</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58544-2020</t>
        </is>
      </c>
      <c r="B671" s="1" t="n">
        <v>44145</v>
      </c>
      <c r="C671" s="1" t="n">
        <v>45472</v>
      </c>
      <c r="D671" t="inlineStr">
        <is>
          <t>VÄSTERBOTTENS LÄN</t>
        </is>
      </c>
      <c r="E671" t="inlineStr">
        <is>
          <t>SKELLEFTEÅ</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58769-2020</t>
        </is>
      </c>
      <c r="B672" s="1" t="n">
        <v>44145</v>
      </c>
      <c r="C672" s="1" t="n">
        <v>45472</v>
      </c>
      <c r="D672" t="inlineStr">
        <is>
          <t>VÄSTERBOTTENS LÄN</t>
        </is>
      </c>
      <c r="E672" t="inlineStr">
        <is>
          <t>SKELLEFTEÅ</t>
        </is>
      </c>
      <c r="G672" t="n">
        <v>4</v>
      </c>
      <c r="H672" t="n">
        <v>0</v>
      </c>
      <c r="I672" t="n">
        <v>0</v>
      </c>
      <c r="J672" t="n">
        <v>0</v>
      </c>
      <c r="K672" t="n">
        <v>0</v>
      </c>
      <c r="L672" t="n">
        <v>0</v>
      </c>
      <c r="M672" t="n">
        <v>0</v>
      </c>
      <c r="N672" t="n">
        <v>0</v>
      </c>
      <c r="O672" t="n">
        <v>0</v>
      </c>
      <c r="P672" t="n">
        <v>0</v>
      </c>
      <c r="Q672" t="n">
        <v>0</v>
      </c>
      <c r="R672" s="2" t="inlineStr"/>
    </row>
    <row r="673" ht="15" customHeight="1">
      <c r="A673" t="inlineStr">
        <is>
          <t>A 58861-2020</t>
        </is>
      </c>
      <c r="B673" s="1" t="n">
        <v>44146</v>
      </c>
      <c r="C673" s="1" t="n">
        <v>45472</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59406-2020</t>
        </is>
      </c>
      <c r="B674" s="1" t="n">
        <v>44147</v>
      </c>
      <c r="C674" s="1" t="n">
        <v>45472</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59518-2020</t>
        </is>
      </c>
      <c r="B675" s="1" t="n">
        <v>44148</v>
      </c>
      <c r="C675" s="1" t="n">
        <v>45472</v>
      </c>
      <c r="D675" t="inlineStr">
        <is>
          <t>VÄSTERBOTTENS LÄN</t>
        </is>
      </c>
      <c r="E675" t="inlineStr">
        <is>
          <t>SKELLEFTEÅ</t>
        </is>
      </c>
      <c r="F675" t="inlineStr">
        <is>
          <t>Holmen skog AB</t>
        </is>
      </c>
      <c r="G675" t="n">
        <v>4.5</v>
      </c>
      <c r="H675" t="n">
        <v>0</v>
      </c>
      <c r="I675" t="n">
        <v>0</v>
      </c>
      <c r="J675" t="n">
        <v>0</v>
      </c>
      <c r="K675" t="n">
        <v>0</v>
      </c>
      <c r="L675" t="n">
        <v>0</v>
      </c>
      <c r="M675" t="n">
        <v>0</v>
      </c>
      <c r="N675" t="n">
        <v>0</v>
      </c>
      <c r="O675" t="n">
        <v>0</v>
      </c>
      <c r="P675" t="n">
        <v>0</v>
      </c>
      <c r="Q675" t="n">
        <v>0</v>
      </c>
      <c r="R675" s="2" t="inlineStr"/>
    </row>
    <row r="676" ht="15" customHeight="1">
      <c r="A676" t="inlineStr">
        <is>
          <t>A 59870-2020</t>
        </is>
      </c>
      <c r="B676" s="1" t="n">
        <v>44151</v>
      </c>
      <c r="C676" s="1" t="n">
        <v>45472</v>
      </c>
      <c r="D676" t="inlineStr">
        <is>
          <t>VÄSTERBOTTENS LÄN</t>
        </is>
      </c>
      <c r="E676" t="inlineStr">
        <is>
          <t>SKELLEFTEÅ</t>
        </is>
      </c>
      <c r="F676" t="inlineStr">
        <is>
          <t>Kommuner</t>
        </is>
      </c>
      <c r="G676" t="n">
        <v>5.7</v>
      </c>
      <c r="H676" t="n">
        <v>0</v>
      </c>
      <c r="I676" t="n">
        <v>0</v>
      </c>
      <c r="J676" t="n">
        <v>0</v>
      </c>
      <c r="K676" t="n">
        <v>0</v>
      </c>
      <c r="L676" t="n">
        <v>0</v>
      </c>
      <c r="M676" t="n">
        <v>0</v>
      </c>
      <c r="N676" t="n">
        <v>0</v>
      </c>
      <c r="O676" t="n">
        <v>0</v>
      </c>
      <c r="P676" t="n">
        <v>0</v>
      </c>
      <c r="Q676" t="n">
        <v>0</v>
      </c>
      <c r="R676" s="2" t="inlineStr"/>
    </row>
    <row r="677" ht="15" customHeight="1">
      <c r="A677" t="inlineStr">
        <is>
          <t>A 60152-2020</t>
        </is>
      </c>
      <c r="B677" s="1" t="n">
        <v>44151</v>
      </c>
      <c r="C677" s="1" t="n">
        <v>45472</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60489-2020</t>
        </is>
      </c>
      <c r="B678" s="1" t="n">
        <v>44152</v>
      </c>
      <c r="C678" s="1" t="n">
        <v>45472</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61260-2020</t>
        </is>
      </c>
      <c r="B679" s="1" t="n">
        <v>44153</v>
      </c>
      <c r="C679" s="1" t="n">
        <v>45472</v>
      </c>
      <c r="D679" t="inlineStr">
        <is>
          <t>VÄSTERBOTTENS LÄN</t>
        </is>
      </c>
      <c r="E679" t="inlineStr">
        <is>
          <t>SKELLEFTEÅ</t>
        </is>
      </c>
      <c r="G679" t="n">
        <v>16.1</v>
      </c>
      <c r="H679" t="n">
        <v>0</v>
      </c>
      <c r="I679" t="n">
        <v>0</v>
      </c>
      <c r="J679" t="n">
        <v>0</v>
      </c>
      <c r="K679" t="n">
        <v>0</v>
      </c>
      <c r="L679" t="n">
        <v>0</v>
      </c>
      <c r="M679" t="n">
        <v>0</v>
      </c>
      <c r="N679" t="n">
        <v>0</v>
      </c>
      <c r="O679" t="n">
        <v>0</v>
      </c>
      <c r="P679" t="n">
        <v>0</v>
      </c>
      <c r="Q679" t="n">
        <v>0</v>
      </c>
      <c r="R679" s="2" t="inlineStr"/>
    </row>
    <row r="680" ht="15" customHeight="1">
      <c r="A680" t="inlineStr">
        <is>
          <t>A 61937-2020</t>
        </is>
      </c>
      <c r="B680" s="1" t="n">
        <v>44155</v>
      </c>
      <c r="C680" s="1" t="n">
        <v>45472</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61958-2020</t>
        </is>
      </c>
      <c r="B681" s="1" t="n">
        <v>44155</v>
      </c>
      <c r="C681" s="1" t="n">
        <v>45472</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62158-2020</t>
        </is>
      </c>
      <c r="B682" s="1" t="n">
        <v>44159</v>
      </c>
      <c r="C682" s="1" t="n">
        <v>45472</v>
      </c>
      <c r="D682" t="inlineStr">
        <is>
          <t>VÄSTERBOTTENS LÄN</t>
        </is>
      </c>
      <c r="E682" t="inlineStr">
        <is>
          <t>SKELLEFTEÅ</t>
        </is>
      </c>
      <c r="F682" t="inlineStr">
        <is>
          <t>Sveaskog</t>
        </is>
      </c>
      <c r="G682" t="n">
        <v>14.7</v>
      </c>
      <c r="H682" t="n">
        <v>0</v>
      </c>
      <c r="I682" t="n">
        <v>0</v>
      </c>
      <c r="J682" t="n">
        <v>0</v>
      </c>
      <c r="K682" t="n">
        <v>0</v>
      </c>
      <c r="L682" t="n">
        <v>0</v>
      </c>
      <c r="M682" t="n">
        <v>0</v>
      </c>
      <c r="N682" t="n">
        <v>0</v>
      </c>
      <c r="O682" t="n">
        <v>0</v>
      </c>
      <c r="P682" t="n">
        <v>0</v>
      </c>
      <c r="Q682" t="n">
        <v>0</v>
      </c>
      <c r="R682" s="2" t="inlineStr"/>
    </row>
    <row r="683" ht="15" customHeight="1">
      <c r="A683" t="inlineStr">
        <is>
          <t>A 62466-2020</t>
        </is>
      </c>
      <c r="B683" s="1" t="n">
        <v>44160</v>
      </c>
      <c r="C683" s="1" t="n">
        <v>45472</v>
      </c>
      <c r="D683" t="inlineStr">
        <is>
          <t>VÄSTERBOTTENS LÄN</t>
        </is>
      </c>
      <c r="E683" t="inlineStr">
        <is>
          <t>SKELLEFTEÅ</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62467-2020</t>
        </is>
      </c>
      <c r="B684" s="1" t="n">
        <v>44160</v>
      </c>
      <c r="C684" s="1" t="n">
        <v>45472</v>
      </c>
      <c r="D684" t="inlineStr">
        <is>
          <t>VÄSTERBOTTENS LÄN</t>
        </is>
      </c>
      <c r="E684" t="inlineStr">
        <is>
          <t>SKELLEFTEÅ</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62763-2020</t>
        </is>
      </c>
      <c r="B685" s="1" t="n">
        <v>44160</v>
      </c>
      <c r="C685" s="1" t="n">
        <v>45472</v>
      </c>
      <c r="D685" t="inlineStr">
        <is>
          <t>VÄSTERBOTTENS LÄN</t>
        </is>
      </c>
      <c r="E685" t="inlineStr">
        <is>
          <t>SKELLEFTEÅ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62592-2020</t>
        </is>
      </c>
      <c r="B686" s="1" t="n">
        <v>44161</v>
      </c>
      <c r="C686" s="1" t="n">
        <v>45472</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63241-2020</t>
        </is>
      </c>
      <c r="B687" s="1" t="n">
        <v>44163</v>
      </c>
      <c r="C687" s="1" t="n">
        <v>45472</v>
      </c>
      <c r="D687" t="inlineStr">
        <is>
          <t>VÄSTERBOTTENS LÄN</t>
        </is>
      </c>
      <c r="E687" t="inlineStr">
        <is>
          <t>SKELLEFTEÅ</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63839-2020</t>
        </is>
      </c>
      <c r="B688" s="1" t="n">
        <v>44165</v>
      </c>
      <c r="C688" s="1" t="n">
        <v>45472</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64650-2020</t>
        </is>
      </c>
      <c r="B689" s="1" t="n">
        <v>44166</v>
      </c>
      <c r="C689" s="1" t="n">
        <v>45472</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64198-2020</t>
        </is>
      </c>
      <c r="B690" s="1" t="n">
        <v>44167</v>
      </c>
      <c r="C690" s="1" t="n">
        <v>45472</v>
      </c>
      <c r="D690" t="inlineStr">
        <is>
          <t>VÄSTERBOTTENS LÄN</t>
        </is>
      </c>
      <c r="E690" t="inlineStr">
        <is>
          <t>SKELLEFTEÅ</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64977-2020</t>
        </is>
      </c>
      <c r="B691" s="1" t="n">
        <v>44167</v>
      </c>
      <c r="C691" s="1" t="n">
        <v>45472</v>
      </c>
      <c r="D691" t="inlineStr">
        <is>
          <t>VÄSTERBOTTENS LÄN</t>
        </is>
      </c>
      <c r="E691" t="inlineStr">
        <is>
          <t>SKELLEFTEÅ</t>
        </is>
      </c>
      <c r="G691" t="n">
        <v>9</v>
      </c>
      <c r="H691" t="n">
        <v>0</v>
      </c>
      <c r="I691" t="n">
        <v>0</v>
      </c>
      <c r="J691" t="n">
        <v>0</v>
      </c>
      <c r="K691" t="n">
        <v>0</v>
      </c>
      <c r="L691" t="n">
        <v>0</v>
      </c>
      <c r="M691" t="n">
        <v>0</v>
      </c>
      <c r="N691" t="n">
        <v>0</v>
      </c>
      <c r="O691" t="n">
        <v>0</v>
      </c>
      <c r="P691" t="n">
        <v>0</v>
      </c>
      <c r="Q691" t="n">
        <v>0</v>
      </c>
      <c r="R691" s="2" t="inlineStr"/>
    </row>
    <row r="692" ht="15" customHeight="1">
      <c r="A692" t="inlineStr">
        <is>
          <t>A 65096-2020</t>
        </is>
      </c>
      <c r="B692" s="1" t="n">
        <v>44167</v>
      </c>
      <c r="C692" s="1" t="n">
        <v>45472</v>
      </c>
      <c r="D692" t="inlineStr">
        <is>
          <t>VÄSTERBOTTENS LÄN</t>
        </is>
      </c>
      <c r="E692" t="inlineStr">
        <is>
          <t>SKELLEFTEÅ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65053-2020</t>
        </is>
      </c>
      <c r="B693" s="1" t="n">
        <v>44167</v>
      </c>
      <c r="C693" s="1" t="n">
        <v>45472</v>
      </c>
      <c r="D693" t="inlineStr">
        <is>
          <t>VÄSTERBOTTENS LÄN</t>
        </is>
      </c>
      <c r="E693" t="inlineStr">
        <is>
          <t>SKELLEFTEÅ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65103-2020</t>
        </is>
      </c>
      <c r="B694" s="1" t="n">
        <v>44167</v>
      </c>
      <c r="C694" s="1" t="n">
        <v>45472</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64296-2020</t>
        </is>
      </c>
      <c r="B695" s="1" t="n">
        <v>44168</v>
      </c>
      <c r="C695" s="1" t="n">
        <v>45472</v>
      </c>
      <c r="D695" t="inlineStr">
        <is>
          <t>VÄSTERBOTTENS LÄN</t>
        </is>
      </c>
      <c r="E695" t="inlineStr">
        <is>
          <t>SKELLEFTEÅ</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64481-2020</t>
        </is>
      </c>
      <c r="B696" s="1" t="n">
        <v>44168</v>
      </c>
      <c r="C696" s="1" t="n">
        <v>45472</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64507-2020</t>
        </is>
      </c>
      <c r="B697" s="1" t="n">
        <v>44168</v>
      </c>
      <c r="C697" s="1" t="n">
        <v>45472</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64485-2020</t>
        </is>
      </c>
      <c r="B698" s="1" t="n">
        <v>44168</v>
      </c>
      <c r="C698" s="1" t="n">
        <v>45472</v>
      </c>
      <c r="D698" t="inlineStr">
        <is>
          <t>VÄSTERBOTTENS LÄN</t>
        </is>
      </c>
      <c r="E698" t="inlineStr">
        <is>
          <t>SKELLEFTEÅ</t>
        </is>
      </c>
      <c r="G698" t="n">
        <v>35.4</v>
      </c>
      <c r="H698" t="n">
        <v>0</v>
      </c>
      <c r="I698" t="n">
        <v>0</v>
      </c>
      <c r="J698" t="n">
        <v>0</v>
      </c>
      <c r="K698" t="n">
        <v>0</v>
      </c>
      <c r="L698" t="n">
        <v>0</v>
      </c>
      <c r="M698" t="n">
        <v>0</v>
      </c>
      <c r="N698" t="n">
        <v>0</v>
      </c>
      <c r="O698" t="n">
        <v>0</v>
      </c>
      <c r="P698" t="n">
        <v>0</v>
      </c>
      <c r="Q698" t="n">
        <v>0</v>
      </c>
      <c r="R698" s="2" t="inlineStr"/>
    </row>
    <row r="699" ht="15" customHeight="1">
      <c r="A699" t="inlineStr">
        <is>
          <t>A 65254-2020</t>
        </is>
      </c>
      <c r="B699" s="1" t="n">
        <v>44172</v>
      </c>
      <c r="C699" s="1" t="n">
        <v>45472</v>
      </c>
      <c r="D699" t="inlineStr">
        <is>
          <t>VÄSTERBOTTENS LÄN</t>
        </is>
      </c>
      <c r="E699" t="inlineStr">
        <is>
          <t>SKELLEFTEÅ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65582-2020</t>
        </is>
      </c>
      <c r="B700" s="1" t="n">
        <v>44172</v>
      </c>
      <c r="C700" s="1" t="n">
        <v>45472</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65486-2020</t>
        </is>
      </c>
      <c r="B701" s="1" t="n">
        <v>44172</v>
      </c>
      <c r="C701" s="1" t="n">
        <v>45472</v>
      </c>
      <c r="D701" t="inlineStr">
        <is>
          <t>VÄSTERBOTTENS LÄN</t>
        </is>
      </c>
      <c r="E701" t="inlineStr">
        <is>
          <t>SKELLEFTEÅ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65379-2020</t>
        </is>
      </c>
      <c r="B702" s="1" t="n">
        <v>44173</v>
      </c>
      <c r="C702" s="1" t="n">
        <v>45472</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65384-2020</t>
        </is>
      </c>
      <c r="B703" s="1" t="n">
        <v>44173</v>
      </c>
      <c r="C703" s="1" t="n">
        <v>45472</v>
      </c>
      <c r="D703" t="inlineStr">
        <is>
          <t>VÄSTERBOTTENS LÄN</t>
        </is>
      </c>
      <c r="E703" t="inlineStr">
        <is>
          <t>SKELLEFTEÅ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65567-2020</t>
        </is>
      </c>
      <c r="B704" s="1" t="n">
        <v>44173</v>
      </c>
      <c r="C704" s="1" t="n">
        <v>45472</v>
      </c>
      <c r="D704" t="inlineStr">
        <is>
          <t>VÄSTERBOTTENS LÄN</t>
        </is>
      </c>
      <c r="E704" t="inlineStr">
        <is>
          <t>SKELLEFTEÅ</t>
        </is>
      </c>
      <c r="F704" t="inlineStr">
        <is>
          <t>Sveaskog</t>
        </is>
      </c>
      <c r="G704" t="n">
        <v>17.7</v>
      </c>
      <c r="H704" t="n">
        <v>0</v>
      </c>
      <c r="I704" t="n">
        <v>0</v>
      </c>
      <c r="J704" t="n">
        <v>0</v>
      </c>
      <c r="K704" t="n">
        <v>0</v>
      </c>
      <c r="L704" t="n">
        <v>0</v>
      </c>
      <c r="M704" t="n">
        <v>0</v>
      </c>
      <c r="N704" t="n">
        <v>0</v>
      </c>
      <c r="O704" t="n">
        <v>0</v>
      </c>
      <c r="P704" t="n">
        <v>0</v>
      </c>
      <c r="Q704" t="n">
        <v>0</v>
      </c>
      <c r="R704" s="2" t="inlineStr"/>
    </row>
    <row r="705" ht="15" customHeight="1">
      <c r="A705" t="inlineStr">
        <is>
          <t>A 65382-2020</t>
        </is>
      </c>
      <c r="B705" s="1" t="n">
        <v>44173</v>
      </c>
      <c r="C705" s="1" t="n">
        <v>45472</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66061-2020</t>
        </is>
      </c>
      <c r="B706" s="1" t="n">
        <v>44173</v>
      </c>
      <c r="C706" s="1" t="n">
        <v>45472</v>
      </c>
      <c r="D706" t="inlineStr">
        <is>
          <t>VÄSTERBOTTENS LÄN</t>
        </is>
      </c>
      <c r="E706" t="inlineStr">
        <is>
          <t>SKELLEFTEÅ</t>
        </is>
      </c>
      <c r="G706" t="n">
        <v>5.8</v>
      </c>
      <c r="H706" t="n">
        <v>0</v>
      </c>
      <c r="I706" t="n">
        <v>0</v>
      </c>
      <c r="J706" t="n">
        <v>0</v>
      </c>
      <c r="K706" t="n">
        <v>0</v>
      </c>
      <c r="L706" t="n">
        <v>0</v>
      </c>
      <c r="M706" t="n">
        <v>0</v>
      </c>
      <c r="N706" t="n">
        <v>0</v>
      </c>
      <c r="O706" t="n">
        <v>0</v>
      </c>
      <c r="P706" t="n">
        <v>0</v>
      </c>
      <c r="Q706" t="n">
        <v>0</v>
      </c>
      <c r="R706" s="2" t="inlineStr"/>
    </row>
    <row r="707" ht="15" customHeight="1">
      <c r="A707" t="inlineStr">
        <is>
          <t>A 66480-2020</t>
        </is>
      </c>
      <c r="B707" s="1" t="n">
        <v>44177</v>
      </c>
      <c r="C707" s="1" t="n">
        <v>45472</v>
      </c>
      <c r="D707" t="inlineStr">
        <is>
          <t>VÄSTERBOTTENS LÄN</t>
        </is>
      </c>
      <c r="E707" t="inlineStr">
        <is>
          <t>SKELLEFTEÅ</t>
        </is>
      </c>
      <c r="G707" t="n">
        <v>5.2</v>
      </c>
      <c r="H707" t="n">
        <v>0</v>
      </c>
      <c r="I707" t="n">
        <v>0</v>
      </c>
      <c r="J707" t="n">
        <v>0</v>
      </c>
      <c r="K707" t="n">
        <v>0</v>
      </c>
      <c r="L707" t="n">
        <v>0</v>
      </c>
      <c r="M707" t="n">
        <v>0</v>
      </c>
      <c r="N707" t="n">
        <v>0</v>
      </c>
      <c r="O707" t="n">
        <v>0</v>
      </c>
      <c r="P707" t="n">
        <v>0</v>
      </c>
      <c r="Q707" t="n">
        <v>0</v>
      </c>
      <c r="R707" s="2" t="inlineStr"/>
    </row>
    <row r="708" ht="15" customHeight="1">
      <c r="A708" t="inlineStr">
        <is>
          <t>A 66820-2020</t>
        </is>
      </c>
      <c r="B708" s="1" t="n">
        <v>44179</v>
      </c>
      <c r="C708" s="1" t="n">
        <v>45472</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67297-2020</t>
        </is>
      </c>
      <c r="B709" s="1" t="n">
        <v>44181</v>
      </c>
      <c r="C709" s="1" t="n">
        <v>45472</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67624-2020</t>
        </is>
      </c>
      <c r="B710" s="1" t="n">
        <v>44181</v>
      </c>
      <c r="C710" s="1" t="n">
        <v>45472</v>
      </c>
      <c r="D710" t="inlineStr">
        <is>
          <t>VÄSTERBOTTENS LÄN</t>
        </is>
      </c>
      <c r="E710" t="inlineStr">
        <is>
          <t>SKELLEFTEÅ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67678-2020</t>
        </is>
      </c>
      <c r="B711" s="1" t="n">
        <v>44182</v>
      </c>
      <c r="C711" s="1" t="n">
        <v>45472</v>
      </c>
      <c r="D711" t="inlineStr">
        <is>
          <t>VÄSTERBOTTENS LÄN</t>
        </is>
      </c>
      <c r="E711" t="inlineStr">
        <is>
          <t>SKELLEFTEÅ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67976-2020</t>
        </is>
      </c>
      <c r="B712" s="1" t="n">
        <v>44182</v>
      </c>
      <c r="C712" s="1" t="n">
        <v>45472</v>
      </c>
      <c r="D712" t="inlineStr">
        <is>
          <t>VÄSTERBOTTENS LÄN</t>
        </is>
      </c>
      <c r="E712" t="inlineStr">
        <is>
          <t>SKELLEFTEÅ</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68116-2020</t>
        </is>
      </c>
      <c r="B713" s="1" t="n">
        <v>44183</v>
      </c>
      <c r="C713" s="1" t="n">
        <v>45472</v>
      </c>
      <c r="D713" t="inlineStr">
        <is>
          <t>VÄSTERBOTTENS LÄN</t>
        </is>
      </c>
      <c r="E713" t="inlineStr">
        <is>
          <t>SKELLEFTEÅ</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68203-2020</t>
        </is>
      </c>
      <c r="B714" s="1" t="n">
        <v>44183</v>
      </c>
      <c r="C714" s="1" t="n">
        <v>45472</v>
      </c>
      <c r="D714" t="inlineStr">
        <is>
          <t>VÄSTERBOTTENS LÄN</t>
        </is>
      </c>
      <c r="E714" t="inlineStr">
        <is>
          <t>SKELLEFTEÅ</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68055-2020</t>
        </is>
      </c>
      <c r="B715" s="1" t="n">
        <v>44183</v>
      </c>
      <c r="C715" s="1" t="n">
        <v>45472</v>
      </c>
      <c r="D715" t="inlineStr">
        <is>
          <t>VÄSTERBOTTENS LÄN</t>
        </is>
      </c>
      <c r="E715" t="inlineStr">
        <is>
          <t>SKELLEFTEÅ</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68564-2020</t>
        </is>
      </c>
      <c r="B716" s="1" t="n">
        <v>44186</v>
      </c>
      <c r="C716" s="1" t="n">
        <v>45472</v>
      </c>
      <c r="D716" t="inlineStr">
        <is>
          <t>VÄSTERBOTTENS LÄN</t>
        </is>
      </c>
      <c r="E716" t="inlineStr">
        <is>
          <t>SKELLEFTEÅ</t>
        </is>
      </c>
      <c r="G716" t="n">
        <v>11.4</v>
      </c>
      <c r="H716" t="n">
        <v>0</v>
      </c>
      <c r="I716" t="n">
        <v>0</v>
      </c>
      <c r="J716" t="n">
        <v>0</v>
      </c>
      <c r="K716" t="n">
        <v>0</v>
      </c>
      <c r="L716" t="n">
        <v>0</v>
      </c>
      <c r="M716" t="n">
        <v>0</v>
      </c>
      <c r="N716" t="n">
        <v>0</v>
      </c>
      <c r="O716" t="n">
        <v>0</v>
      </c>
      <c r="P716" t="n">
        <v>0</v>
      </c>
      <c r="Q716" t="n">
        <v>0</v>
      </c>
      <c r="R716" s="2" t="inlineStr"/>
    </row>
    <row r="717" ht="15" customHeight="1">
      <c r="A717" t="inlineStr">
        <is>
          <t>A 69583-2020</t>
        </is>
      </c>
      <c r="B717" s="1" t="n">
        <v>44195</v>
      </c>
      <c r="C717" s="1" t="n">
        <v>45472</v>
      </c>
      <c r="D717" t="inlineStr">
        <is>
          <t>VÄSTERBOTTENS LÄN</t>
        </is>
      </c>
      <c r="E717" t="inlineStr">
        <is>
          <t>SKELLEFTEÅ</t>
        </is>
      </c>
      <c r="G717" t="n">
        <v>2.1</v>
      </c>
      <c r="H717" t="n">
        <v>0</v>
      </c>
      <c r="I717" t="n">
        <v>0</v>
      </c>
      <c r="J717" t="n">
        <v>0</v>
      </c>
      <c r="K717" t="n">
        <v>0</v>
      </c>
      <c r="L717" t="n">
        <v>0</v>
      </c>
      <c r="M717" t="n">
        <v>0</v>
      </c>
      <c r="N717" t="n">
        <v>0</v>
      </c>
      <c r="O717" t="n">
        <v>0</v>
      </c>
      <c r="P717" t="n">
        <v>0</v>
      </c>
      <c r="Q717" t="n">
        <v>0</v>
      </c>
      <c r="R717" s="2" t="inlineStr"/>
    </row>
    <row r="718" ht="15" customHeight="1">
      <c r="A718" t="inlineStr">
        <is>
          <t>A 69585-2020</t>
        </is>
      </c>
      <c r="B718" s="1" t="n">
        <v>44195</v>
      </c>
      <c r="C718" s="1" t="n">
        <v>45472</v>
      </c>
      <c r="D718" t="inlineStr">
        <is>
          <t>VÄSTERBOTTENS LÄN</t>
        </is>
      </c>
      <c r="E718" t="inlineStr">
        <is>
          <t>SKELLEFTEÅ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69581-2020</t>
        </is>
      </c>
      <c r="B719" s="1" t="n">
        <v>44195</v>
      </c>
      <c r="C719" s="1" t="n">
        <v>45472</v>
      </c>
      <c r="D719" t="inlineStr">
        <is>
          <t>VÄSTERBOTTENS LÄN</t>
        </is>
      </c>
      <c r="E719" t="inlineStr">
        <is>
          <t>SKELLEFTEÅ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353-2021</t>
        </is>
      </c>
      <c r="B720" s="1" t="n">
        <v>44201</v>
      </c>
      <c r="C720" s="1" t="n">
        <v>45472</v>
      </c>
      <c r="D720" t="inlineStr">
        <is>
          <t>VÄSTERBOTTENS LÄN</t>
        </is>
      </c>
      <c r="E720" t="inlineStr">
        <is>
          <t>SKELLEFTEÅ</t>
        </is>
      </c>
      <c r="G720" t="n">
        <v>37.7</v>
      </c>
      <c r="H720" t="n">
        <v>0</v>
      </c>
      <c r="I720" t="n">
        <v>0</v>
      </c>
      <c r="J720" t="n">
        <v>0</v>
      </c>
      <c r="K720" t="n">
        <v>0</v>
      </c>
      <c r="L720" t="n">
        <v>0</v>
      </c>
      <c r="M720" t="n">
        <v>0</v>
      </c>
      <c r="N720" t="n">
        <v>0</v>
      </c>
      <c r="O720" t="n">
        <v>0</v>
      </c>
      <c r="P720" t="n">
        <v>0</v>
      </c>
      <c r="Q720" t="n">
        <v>0</v>
      </c>
      <c r="R720" s="2" t="inlineStr"/>
    </row>
    <row r="721" ht="15" customHeight="1">
      <c r="A721" t="inlineStr">
        <is>
          <t>A 1076-2021</t>
        </is>
      </c>
      <c r="B721" s="1" t="n">
        <v>44207</v>
      </c>
      <c r="C721" s="1" t="n">
        <v>45472</v>
      </c>
      <c r="D721" t="inlineStr">
        <is>
          <t>VÄSTERBOTTENS LÄN</t>
        </is>
      </c>
      <c r="E721" t="inlineStr">
        <is>
          <t>SKELLEFTEÅ</t>
        </is>
      </c>
      <c r="F721" t="inlineStr">
        <is>
          <t>Holmen skog AB</t>
        </is>
      </c>
      <c r="G721" t="n">
        <v>3.4</v>
      </c>
      <c r="H721" t="n">
        <v>0</v>
      </c>
      <c r="I721" t="n">
        <v>0</v>
      </c>
      <c r="J721" t="n">
        <v>0</v>
      </c>
      <c r="K721" t="n">
        <v>0</v>
      </c>
      <c r="L721" t="n">
        <v>0</v>
      </c>
      <c r="M721" t="n">
        <v>0</v>
      </c>
      <c r="N721" t="n">
        <v>0</v>
      </c>
      <c r="O721" t="n">
        <v>0</v>
      </c>
      <c r="P721" t="n">
        <v>0</v>
      </c>
      <c r="Q721" t="n">
        <v>0</v>
      </c>
      <c r="R721" s="2" t="inlineStr"/>
    </row>
    <row r="722" ht="15" customHeight="1">
      <c r="A722" t="inlineStr">
        <is>
          <t>A 1149-2021</t>
        </is>
      </c>
      <c r="B722" s="1" t="n">
        <v>44207</v>
      </c>
      <c r="C722" s="1" t="n">
        <v>45472</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1140-2021</t>
        </is>
      </c>
      <c r="B723" s="1" t="n">
        <v>44207</v>
      </c>
      <c r="C723" s="1" t="n">
        <v>45472</v>
      </c>
      <c r="D723" t="inlineStr">
        <is>
          <t>VÄSTERBOTTENS LÄN</t>
        </is>
      </c>
      <c r="E723" t="inlineStr">
        <is>
          <t>SKELLEFTEÅ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1891-2021</t>
        </is>
      </c>
      <c r="B724" s="1" t="n">
        <v>44210</v>
      </c>
      <c r="C724" s="1" t="n">
        <v>45472</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2575-2021</t>
        </is>
      </c>
      <c r="B725" s="1" t="n">
        <v>44214</v>
      </c>
      <c r="C725" s="1" t="n">
        <v>45472</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3031-2021</t>
        </is>
      </c>
      <c r="B726" s="1" t="n">
        <v>44216</v>
      </c>
      <c r="C726" s="1" t="n">
        <v>45472</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3844-2021</t>
        </is>
      </c>
      <c r="B727" s="1" t="n">
        <v>44216</v>
      </c>
      <c r="C727" s="1" t="n">
        <v>45472</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3951-2021</t>
        </is>
      </c>
      <c r="B728" s="1" t="n">
        <v>44217</v>
      </c>
      <c r="C728" s="1" t="n">
        <v>45472</v>
      </c>
      <c r="D728" t="inlineStr">
        <is>
          <t>VÄSTERBOTTENS LÄN</t>
        </is>
      </c>
      <c r="E728" t="inlineStr">
        <is>
          <t>SKELLEFTEÅ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4202-2021</t>
        </is>
      </c>
      <c r="B729" s="1" t="n">
        <v>44218</v>
      </c>
      <c r="C729" s="1" t="n">
        <v>45472</v>
      </c>
      <c r="D729" t="inlineStr">
        <is>
          <t>VÄSTERBOTTENS LÄN</t>
        </is>
      </c>
      <c r="E729" t="inlineStr">
        <is>
          <t>SKELLEFTEÅ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3575-2021</t>
        </is>
      </c>
      <c r="B730" s="1" t="n">
        <v>44218</v>
      </c>
      <c r="C730" s="1" t="n">
        <v>45472</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3934-2021</t>
        </is>
      </c>
      <c r="B731" s="1" t="n">
        <v>44221</v>
      </c>
      <c r="C731" s="1" t="n">
        <v>45472</v>
      </c>
      <c r="D731" t="inlineStr">
        <is>
          <t>VÄSTERBOTTENS LÄN</t>
        </is>
      </c>
      <c r="E731" t="inlineStr">
        <is>
          <t>SKELLEFTEÅ</t>
        </is>
      </c>
      <c r="G731" t="n">
        <v>2.5</v>
      </c>
      <c r="H731" t="n">
        <v>0</v>
      </c>
      <c r="I731" t="n">
        <v>0</v>
      </c>
      <c r="J731" t="n">
        <v>0</v>
      </c>
      <c r="K731" t="n">
        <v>0</v>
      </c>
      <c r="L731" t="n">
        <v>0</v>
      </c>
      <c r="M731" t="n">
        <v>0</v>
      </c>
      <c r="N731" t="n">
        <v>0</v>
      </c>
      <c r="O731" t="n">
        <v>0</v>
      </c>
      <c r="P731" t="n">
        <v>0</v>
      </c>
      <c r="Q731" t="n">
        <v>0</v>
      </c>
      <c r="R731" s="2" t="inlineStr"/>
    </row>
    <row r="732" ht="15" customHeight="1">
      <c r="A732" t="inlineStr">
        <is>
          <t>A 4299-2021</t>
        </is>
      </c>
      <c r="B732" s="1" t="n">
        <v>44223</v>
      </c>
      <c r="C732" s="1" t="n">
        <v>45472</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5095-2021</t>
        </is>
      </c>
      <c r="B733" s="1" t="n">
        <v>44224</v>
      </c>
      <c r="C733" s="1" t="n">
        <v>45472</v>
      </c>
      <c r="D733" t="inlineStr">
        <is>
          <t>VÄSTERBOTTENS LÄN</t>
        </is>
      </c>
      <c r="E733" t="inlineStr">
        <is>
          <t>SKELLEFTEÅ</t>
        </is>
      </c>
      <c r="G733" t="n">
        <v>5.6</v>
      </c>
      <c r="H733" t="n">
        <v>0</v>
      </c>
      <c r="I733" t="n">
        <v>0</v>
      </c>
      <c r="J733" t="n">
        <v>0</v>
      </c>
      <c r="K733" t="n">
        <v>0</v>
      </c>
      <c r="L733" t="n">
        <v>0</v>
      </c>
      <c r="M733" t="n">
        <v>0</v>
      </c>
      <c r="N733" t="n">
        <v>0</v>
      </c>
      <c r="O733" t="n">
        <v>0</v>
      </c>
      <c r="P733" t="n">
        <v>0</v>
      </c>
      <c r="Q733" t="n">
        <v>0</v>
      </c>
      <c r="R733" s="2" t="inlineStr"/>
    </row>
    <row r="734" ht="15" customHeight="1">
      <c r="A734" t="inlineStr">
        <is>
          <t>A 5143-2021</t>
        </is>
      </c>
      <c r="B734" s="1" t="n">
        <v>44228</v>
      </c>
      <c r="C734" s="1" t="n">
        <v>45472</v>
      </c>
      <c r="D734" t="inlineStr">
        <is>
          <t>VÄSTERBOTTENS LÄN</t>
        </is>
      </c>
      <c r="E734" t="inlineStr">
        <is>
          <t>SKELLEFTEÅ</t>
        </is>
      </c>
      <c r="G734" t="n">
        <v>5.3</v>
      </c>
      <c r="H734" t="n">
        <v>0</v>
      </c>
      <c r="I734" t="n">
        <v>0</v>
      </c>
      <c r="J734" t="n">
        <v>0</v>
      </c>
      <c r="K734" t="n">
        <v>0</v>
      </c>
      <c r="L734" t="n">
        <v>0</v>
      </c>
      <c r="M734" t="n">
        <v>0</v>
      </c>
      <c r="N734" t="n">
        <v>0</v>
      </c>
      <c r="O734" t="n">
        <v>0</v>
      </c>
      <c r="P734" t="n">
        <v>0</v>
      </c>
      <c r="Q734" t="n">
        <v>0</v>
      </c>
      <c r="R734" s="2" t="inlineStr"/>
    </row>
    <row r="735" ht="15" customHeight="1">
      <c r="A735" t="inlineStr">
        <is>
          <t>A 5603-2021</t>
        </is>
      </c>
      <c r="B735" s="1" t="n">
        <v>44230</v>
      </c>
      <c r="C735" s="1" t="n">
        <v>45472</v>
      </c>
      <c r="D735" t="inlineStr">
        <is>
          <t>VÄSTERBOTTENS LÄN</t>
        </is>
      </c>
      <c r="E735" t="inlineStr">
        <is>
          <t>SKELLEFTEÅ</t>
        </is>
      </c>
      <c r="G735" t="n">
        <v>2.6</v>
      </c>
      <c r="H735" t="n">
        <v>0</v>
      </c>
      <c r="I735" t="n">
        <v>0</v>
      </c>
      <c r="J735" t="n">
        <v>0</v>
      </c>
      <c r="K735" t="n">
        <v>0</v>
      </c>
      <c r="L735" t="n">
        <v>0</v>
      </c>
      <c r="M735" t="n">
        <v>0</v>
      </c>
      <c r="N735" t="n">
        <v>0</v>
      </c>
      <c r="O735" t="n">
        <v>0</v>
      </c>
      <c r="P735" t="n">
        <v>0</v>
      </c>
      <c r="Q735" t="n">
        <v>0</v>
      </c>
      <c r="R735" s="2" t="inlineStr"/>
    </row>
    <row r="736" ht="15" customHeight="1">
      <c r="A736" t="inlineStr">
        <is>
          <t>A 6356-2021</t>
        </is>
      </c>
      <c r="B736" s="1" t="n">
        <v>44235</v>
      </c>
      <c r="C736" s="1" t="n">
        <v>45472</v>
      </c>
      <c r="D736" t="inlineStr">
        <is>
          <t>VÄSTERBOTTENS LÄN</t>
        </is>
      </c>
      <c r="E736" t="inlineStr">
        <is>
          <t>SKELLEFTEÅ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6557-2021</t>
        </is>
      </c>
      <c r="B737" s="1" t="n">
        <v>44236</v>
      </c>
      <c r="C737" s="1" t="n">
        <v>45472</v>
      </c>
      <c r="D737" t="inlineStr">
        <is>
          <t>VÄSTERBOTTENS LÄN</t>
        </is>
      </c>
      <c r="E737" t="inlineStr">
        <is>
          <t>SKELLEFTEÅ</t>
        </is>
      </c>
      <c r="G737" t="n">
        <v>6.4</v>
      </c>
      <c r="H737" t="n">
        <v>0</v>
      </c>
      <c r="I737" t="n">
        <v>0</v>
      </c>
      <c r="J737" t="n">
        <v>0</v>
      </c>
      <c r="K737" t="n">
        <v>0</v>
      </c>
      <c r="L737" t="n">
        <v>0</v>
      </c>
      <c r="M737" t="n">
        <v>0</v>
      </c>
      <c r="N737" t="n">
        <v>0</v>
      </c>
      <c r="O737" t="n">
        <v>0</v>
      </c>
      <c r="P737" t="n">
        <v>0</v>
      </c>
      <c r="Q737" t="n">
        <v>0</v>
      </c>
      <c r="R737" s="2" t="inlineStr"/>
    </row>
    <row r="738" ht="15" customHeight="1">
      <c r="A738" t="inlineStr">
        <is>
          <t>A 6635-2021</t>
        </is>
      </c>
      <c r="B738" s="1" t="n">
        <v>44236</v>
      </c>
      <c r="C738" s="1" t="n">
        <v>45472</v>
      </c>
      <c r="D738" t="inlineStr">
        <is>
          <t>VÄSTERBOTTENS LÄN</t>
        </is>
      </c>
      <c r="E738" t="inlineStr">
        <is>
          <t>SKELLEFTEÅ</t>
        </is>
      </c>
      <c r="G738" t="n">
        <v>3</v>
      </c>
      <c r="H738" t="n">
        <v>0</v>
      </c>
      <c r="I738" t="n">
        <v>0</v>
      </c>
      <c r="J738" t="n">
        <v>0</v>
      </c>
      <c r="K738" t="n">
        <v>0</v>
      </c>
      <c r="L738" t="n">
        <v>0</v>
      </c>
      <c r="M738" t="n">
        <v>0</v>
      </c>
      <c r="N738" t="n">
        <v>0</v>
      </c>
      <c r="O738" t="n">
        <v>0</v>
      </c>
      <c r="P738" t="n">
        <v>0</v>
      </c>
      <c r="Q738" t="n">
        <v>0</v>
      </c>
      <c r="R738" s="2" t="inlineStr"/>
    </row>
    <row r="739" ht="15" customHeight="1">
      <c r="A739" t="inlineStr">
        <is>
          <t>A 7038-2021</t>
        </is>
      </c>
      <c r="B739" s="1" t="n">
        <v>44237</v>
      </c>
      <c r="C739" s="1" t="n">
        <v>45472</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7034-2021</t>
        </is>
      </c>
      <c r="B740" s="1" t="n">
        <v>44237</v>
      </c>
      <c r="C740" s="1" t="n">
        <v>45472</v>
      </c>
      <c r="D740" t="inlineStr">
        <is>
          <t>VÄSTERBOTTENS LÄN</t>
        </is>
      </c>
      <c r="E740" t="inlineStr">
        <is>
          <t>SKELLEFTEÅ</t>
        </is>
      </c>
      <c r="G740" t="n">
        <v>10.1</v>
      </c>
      <c r="H740" t="n">
        <v>0</v>
      </c>
      <c r="I740" t="n">
        <v>0</v>
      </c>
      <c r="J740" t="n">
        <v>0</v>
      </c>
      <c r="K740" t="n">
        <v>0</v>
      </c>
      <c r="L740" t="n">
        <v>0</v>
      </c>
      <c r="M740" t="n">
        <v>0</v>
      </c>
      <c r="N740" t="n">
        <v>0</v>
      </c>
      <c r="O740" t="n">
        <v>0</v>
      </c>
      <c r="P740" t="n">
        <v>0</v>
      </c>
      <c r="Q740" t="n">
        <v>0</v>
      </c>
      <c r="R740" s="2" t="inlineStr"/>
    </row>
    <row r="741" ht="15" customHeight="1">
      <c r="A741" t="inlineStr">
        <is>
          <t>A 7823-2021</t>
        </is>
      </c>
      <c r="B741" s="1" t="n">
        <v>44242</v>
      </c>
      <c r="C741" s="1" t="n">
        <v>45472</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7950-2021</t>
        </is>
      </c>
      <c r="B742" s="1" t="n">
        <v>44242</v>
      </c>
      <c r="C742" s="1" t="n">
        <v>45472</v>
      </c>
      <c r="D742" t="inlineStr">
        <is>
          <t>VÄSTERBOTTENS LÄN</t>
        </is>
      </c>
      <c r="E742" t="inlineStr">
        <is>
          <t>SKELLEFTEÅ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8644-2021</t>
        </is>
      </c>
      <c r="B743" s="1" t="n">
        <v>44245</v>
      </c>
      <c r="C743" s="1" t="n">
        <v>45472</v>
      </c>
      <c r="D743" t="inlineStr">
        <is>
          <t>VÄSTERBOTTENS LÄN</t>
        </is>
      </c>
      <c r="E743" t="inlineStr">
        <is>
          <t>SKELLEFTEÅ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8648-2021</t>
        </is>
      </c>
      <c r="B744" s="1" t="n">
        <v>44245</v>
      </c>
      <c r="C744" s="1" t="n">
        <v>45472</v>
      </c>
      <c r="D744" t="inlineStr">
        <is>
          <t>VÄSTERBOTTENS LÄN</t>
        </is>
      </c>
      <c r="E744" t="inlineStr">
        <is>
          <t>SKELLEFTEÅ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8911-2021</t>
        </is>
      </c>
      <c r="B745" s="1" t="n">
        <v>44245</v>
      </c>
      <c r="C745" s="1" t="n">
        <v>45472</v>
      </c>
      <c r="D745" t="inlineStr">
        <is>
          <t>VÄSTERBOTTENS LÄN</t>
        </is>
      </c>
      <c r="E745" t="inlineStr">
        <is>
          <t>SKELLEFTEÅ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8652-2021</t>
        </is>
      </c>
      <c r="B746" s="1" t="n">
        <v>44245</v>
      </c>
      <c r="C746" s="1" t="n">
        <v>45472</v>
      </c>
      <c r="D746" t="inlineStr">
        <is>
          <t>VÄSTERBOTTENS LÄN</t>
        </is>
      </c>
      <c r="E746" t="inlineStr">
        <is>
          <t>SKELLEFTEÅ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8846-2021</t>
        </is>
      </c>
      <c r="B747" s="1" t="n">
        <v>44246</v>
      </c>
      <c r="C747" s="1" t="n">
        <v>45472</v>
      </c>
      <c r="D747" t="inlineStr">
        <is>
          <t>VÄSTERBOTTENS LÄN</t>
        </is>
      </c>
      <c r="E747" t="inlineStr">
        <is>
          <t>SKELLEFTEÅ</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9081-2021</t>
        </is>
      </c>
      <c r="B748" s="1" t="n">
        <v>44249</v>
      </c>
      <c r="C748" s="1" t="n">
        <v>45472</v>
      </c>
      <c r="D748" t="inlineStr">
        <is>
          <t>VÄSTERBOTTENS LÄN</t>
        </is>
      </c>
      <c r="E748" t="inlineStr">
        <is>
          <t>SKELLEFTEÅ</t>
        </is>
      </c>
      <c r="G748" t="n">
        <v>16.2</v>
      </c>
      <c r="H748" t="n">
        <v>0</v>
      </c>
      <c r="I748" t="n">
        <v>0</v>
      </c>
      <c r="J748" t="n">
        <v>0</v>
      </c>
      <c r="K748" t="n">
        <v>0</v>
      </c>
      <c r="L748" t="n">
        <v>0</v>
      </c>
      <c r="M748" t="n">
        <v>0</v>
      </c>
      <c r="N748" t="n">
        <v>0</v>
      </c>
      <c r="O748" t="n">
        <v>0</v>
      </c>
      <c r="P748" t="n">
        <v>0</v>
      </c>
      <c r="Q748" t="n">
        <v>0</v>
      </c>
      <c r="R748" s="2" t="inlineStr"/>
    </row>
    <row r="749" ht="15" customHeight="1">
      <c r="A749" t="inlineStr">
        <is>
          <t>A 9045-2021</t>
        </is>
      </c>
      <c r="B749" s="1" t="n">
        <v>44249</v>
      </c>
      <c r="C749" s="1" t="n">
        <v>45472</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9059-2021</t>
        </is>
      </c>
      <c r="B750" s="1" t="n">
        <v>44249</v>
      </c>
      <c r="C750" s="1" t="n">
        <v>45472</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9192-2021</t>
        </is>
      </c>
      <c r="B751" s="1" t="n">
        <v>44249</v>
      </c>
      <c r="C751" s="1" t="n">
        <v>45472</v>
      </c>
      <c r="D751" t="inlineStr">
        <is>
          <t>VÄSTERBOTTENS LÄN</t>
        </is>
      </c>
      <c r="E751" t="inlineStr">
        <is>
          <t>SKELLEFTEÅ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9035-2021</t>
        </is>
      </c>
      <c r="B752" s="1" t="n">
        <v>44249</v>
      </c>
      <c r="C752" s="1" t="n">
        <v>45472</v>
      </c>
      <c r="D752" t="inlineStr">
        <is>
          <t>VÄSTERBOTTENS LÄN</t>
        </is>
      </c>
      <c r="E752" t="inlineStr">
        <is>
          <t>SKELLEFTEÅ</t>
        </is>
      </c>
      <c r="G752" t="n">
        <v>6.7</v>
      </c>
      <c r="H752" t="n">
        <v>0</v>
      </c>
      <c r="I752" t="n">
        <v>0</v>
      </c>
      <c r="J752" t="n">
        <v>0</v>
      </c>
      <c r="K752" t="n">
        <v>0</v>
      </c>
      <c r="L752" t="n">
        <v>0</v>
      </c>
      <c r="M752" t="n">
        <v>0</v>
      </c>
      <c r="N752" t="n">
        <v>0</v>
      </c>
      <c r="O752" t="n">
        <v>0</v>
      </c>
      <c r="P752" t="n">
        <v>0</v>
      </c>
      <c r="Q752" t="n">
        <v>0</v>
      </c>
      <c r="R752" s="2" t="inlineStr"/>
    </row>
    <row r="753" ht="15" customHeight="1">
      <c r="A753" t="inlineStr">
        <is>
          <t>A 9051-2021</t>
        </is>
      </c>
      <c r="B753" s="1" t="n">
        <v>44249</v>
      </c>
      <c r="C753" s="1" t="n">
        <v>45472</v>
      </c>
      <c r="D753" t="inlineStr">
        <is>
          <t>VÄSTERBOTTENS LÄN</t>
        </is>
      </c>
      <c r="E753" t="inlineStr">
        <is>
          <t>SKELLEFTEÅ</t>
        </is>
      </c>
      <c r="G753" t="n">
        <v>5</v>
      </c>
      <c r="H753" t="n">
        <v>0</v>
      </c>
      <c r="I753" t="n">
        <v>0</v>
      </c>
      <c r="J753" t="n">
        <v>0</v>
      </c>
      <c r="K753" t="n">
        <v>0</v>
      </c>
      <c r="L753" t="n">
        <v>0</v>
      </c>
      <c r="M753" t="n">
        <v>0</v>
      </c>
      <c r="N753" t="n">
        <v>0</v>
      </c>
      <c r="O753" t="n">
        <v>0</v>
      </c>
      <c r="P753" t="n">
        <v>0</v>
      </c>
      <c r="Q753" t="n">
        <v>0</v>
      </c>
      <c r="R753" s="2" t="inlineStr"/>
    </row>
    <row r="754" ht="15" customHeight="1">
      <c r="A754" t="inlineStr">
        <is>
          <t>A 9090-2021</t>
        </is>
      </c>
      <c r="B754" s="1" t="n">
        <v>44249</v>
      </c>
      <c r="C754" s="1" t="n">
        <v>45472</v>
      </c>
      <c r="D754" t="inlineStr">
        <is>
          <t>VÄSTERBOTTENS LÄN</t>
        </is>
      </c>
      <c r="E754" t="inlineStr">
        <is>
          <t>SKELLEFTEÅ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10051-2021</t>
        </is>
      </c>
      <c r="B755" s="1" t="n">
        <v>44256</v>
      </c>
      <c r="C755" s="1" t="n">
        <v>45472</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10471-2021</t>
        </is>
      </c>
      <c r="B756" s="1" t="n">
        <v>44257</v>
      </c>
      <c r="C756" s="1" t="n">
        <v>45472</v>
      </c>
      <c r="D756" t="inlineStr">
        <is>
          <t>VÄSTERBOTTENS LÄN</t>
        </is>
      </c>
      <c r="E756" t="inlineStr">
        <is>
          <t>SKELLEFTEÅ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11087-2021</t>
        </is>
      </c>
      <c r="B757" s="1" t="n">
        <v>44259</v>
      </c>
      <c r="C757" s="1" t="n">
        <v>45472</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11102-2021</t>
        </is>
      </c>
      <c r="B758" s="1" t="n">
        <v>44259</v>
      </c>
      <c r="C758" s="1" t="n">
        <v>45472</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11409-2021</t>
        </is>
      </c>
      <c r="B759" s="1" t="n">
        <v>44263</v>
      </c>
      <c r="C759" s="1" t="n">
        <v>45472</v>
      </c>
      <c r="D759" t="inlineStr">
        <is>
          <t>VÄSTERBOTTENS LÄN</t>
        </is>
      </c>
      <c r="E759" t="inlineStr">
        <is>
          <t>SKELLEFTEÅ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11454-2021</t>
        </is>
      </c>
      <c r="B760" s="1" t="n">
        <v>44264</v>
      </c>
      <c r="C760" s="1" t="n">
        <v>45472</v>
      </c>
      <c r="D760" t="inlineStr">
        <is>
          <t>VÄSTERBOTTENS LÄN</t>
        </is>
      </c>
      <c r="E760" t="inlineStr">
        <is>
          <t>SKELLEFTEÅ</t>
        </is>
      </c>
      <c r="G760" t="n">
        <v>14.6</v>
      </c>
      <c r="H760" t="n">
        <v>0</v>
      </c>
      <c r="I760" t="n">
        <v>0</v>
      </c>
      <c r="J760" t="n">
        <v>0</v>
      </c>
      <c r="K760" t="n">
        <v>0</v>
      </c>
      <c r="L760" t="n">
        <v>0</v>
      </c>
      <c r="M760" t="n">
        <v>0</v>
      </c>
      <c r="N760" t="n">
        <v>0</v>
      </c>
      <c r="O760" t="n">
        <v>0</v>
      </c>
      <c r="P760" t="n">
        <v>0</v>
      </c>
      <c r="Q760" t="n">
        <v>0</v>
      </c>
      <c r="R760" s="2" t="inlineStr"/>
    </row>
    <row r="761" ht="15" customHeight="1">
      <c r="A761" t="inlineStr">
        <is>
          <t>A 11499-2021</t>
        </is>
      </c>
      <c r="B761" s="1" t="n">
        <v>44264</v>
      </c>
      <c r="C761" s="1" t="n">
        <v>45472</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12416-2021</t>
        </is>
      </c>
      <c r="B762" s="1" t="n">
        <v>44267</v>
      </c>
      <c r="C762" s="1" t="n">
        <v>45472</v>
      </c>
      <c r="D762" t="inlineStr">
        <is>
          <t>VÄSTERBOTTENS LÄN</t>
        </is>
      </c>
      <c r="E762" t="inlineStr">
        <is>
          <t>SKELLEFTEÅ</t>
        </is>
      </c>
      <c r="G762" t="n">
        <v>3.5</v>
      </c>
      <c r="H762" t="n">
        <v>0</v>
      </c>
      <c r="I762" t="n">
        <v>0</v>
      </c>
      <c r="J762" t="n">
        <v>0</v>
      </c>
      <c r="K762" t="n">
        <v>0</v>
      </c>
      <c r="L762" t="n">
        <v>0</v>
      </c>
      <c r="M762" t="n">
        <v>0</v>
      </c>
      <c r="N762" t="n">
        <v>0</v>
      </c>
      <c r="O762" t="n">
        <v>0</v>
      </c>
      <c r="P762" t="n">
        <v>0</v>
      </c>
      <c r="Q762" t="n">
        <v>0</v>
      </c>
      <c r="R762" s="2" t="inlineStr"/>
    </row>
    <row r="763" ht="15" customHeight="1">
      <c r="A763" t="inlineStr">
        <is>
          <t>A 12928-2021</t>
        </is>
      </c>
      <c r="B763" s="1" t="n">
        <v>44270</v>
      </c>
      <c r="C763" s="1" t="n">
        <v>45472</v>
      </c>
      <c r="D763" t="inlineStr">
        <is>
          <t>VÄSTERBOTTENS LÄN</t>
        </is>
      </c>
      <c r="E763" t="inlineStr">
        <is>
          <t>SKELLEFTEÅ</t>
        </is>
      </c>
      <c r="G763" t="n">
        <v>17.8</v>
      </c>
      <c r="H763" t="n">
        <v>0</v>
      </c>
      <c r="I763" t="n">
        <v>0</v>
      </c>
      <c r="J763" t="n">
        <v>0</v>
      </c>
      <c r="K763" t="n">
        <v>0</v>
      </c>
      <c r="L763" t="n">
        <v>0</v>
      </c>
      <c r="M763" t="n">
        <v>0</v>
      </c>
      <c r="N763" t="n">
        <v>0</v>
      </c>
      <c r="O763" t="n">
        <v>0</v>
      </c>
      <c r="P763" t="n">
        <v>0</v>
      </c>
      <c r="Q763" t="n">
        <v>0</v>
      </c>
      <c r="R763" s="2" t="inlineStr"/>
    </row>
    <row r="764" ht="15" customHeight="1">
      <c r="A764" t="inlineStr">
        <is>
          <t>A 13086-2021</t>
        </is>
      </c>
      <c r="B764" s="1" t="n">
        <v>44271</v>
      </c>
      <c r="C764" s="1" t="n">
        <v>45472</v>
      </c>
      <c r="D764" t="inlineStr">
        <is>
          <t>VÄSTERBOTTENS LÄN</t>
        </is>
      </c>
      <c r="E764" t="inlineStr">
        <is>
          <t>SKELLEFTEÅ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13729-2021</t>
        </is>
      </c>
      <c r="B765" s="1" t="n">
        <v>44274</v>
      </c>
      <c r="C765" s="1" t="n">
        <v>45472</v>
      </c>
      <c r="D765" t="inlineStr">
        <is>
          <t>VÄSTERBOTTENS LÄN</t>
        </is>
      </c>
      <c r="E765" t="inlineStr">
        <is>
          <t>SKELLEFTEÅ</t>
        </is>
      </c>
      <c r="G765" t="n">
        <v>7.6</v>
      </c>
      <c r="H765" t="n">
        <v>0</v>
      </c>
      <c r="I765" t="n">
        <v>0</v>
      </c>
      <c r="J765" t="n">
        <v>0</v>
      </c>
      <c r="K765" t="n">
        <v>0</v>
      </c>
      <c r="L765" t="n">
        <v>0</v>
      </c>
      <c r="M765" t="n">
        <v>0</v>
      </c>
      <c r="N765" t="n">
        <v>0</v>
      </c>
      <c r="O765" t="n">
        <v>0</v>
      </c>
      <c r="P765" t="n">
        <v>0</v>
      </c>
      <c r="Q765" t="n">
        <v>0</v>
      </c>
      <c r="R765" s="2" t="inlineStr"/>
    </row>
    <row r="766" ht="15" customHeight="1">
      <c r="A766" t="inlineStr">
        <is>
          <t>A 14850-2021</t>
        </is>
      </c>
      <c r="B766" s="1" t="n">
        <v>44280</v>
      </c>
      <c r="C766" s="1" t="n">
        <v>45472</v>
      </c>
      <c r="D766" t="inlineStr">
        <is>
          <t>VÄSTERBOTTENS LÄN</t>
        </is>
      </c>
      <c r="E766" t="inlineStr">
        <is>
          <t>SKELLEFTEÅ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14857-2021</t>
        </is>
      </c>
      <c r="B767" s="1" t="n">
        <v>44280</v>
      </c>
      <c r="C767" s="1" t="n">
        <v>45472</v>
      </c>
      <c r="D767" t="inlineStr">
        <is>
          <t>VÄSTERBOTTENS LÄN</t>
        </is>
      </c>
      <c r="E767" t="inlineStr">
        <is>
          <t>SKELLEFTEÅ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14865-2021</t>
        </is>
      </c>
      <c r="B768" s="1" t="n">
        <v>44280</v>
      </c>
      <c r="C768" s="1" t="n">
        <v>45472</v>
      </c>
      <c r="D768" t="inlineStr">
        <is>
          <t>VÄSTERBOTTENS LÄN</t>
        </is>
      </c>
      <c r="E768" t="inlineStr">
        <is>
          <t>SKELLEFTEÅ</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14851-2021</t>
        </is>
      </c>
      <c r="B769" s="1" t="n">
        <v>44280</v>
      </c>
      <c r="C769" s="1" t="n">
        <v>45472</v>
      </c>
      <c r="D769" t="inlineStr">
        <is>
          <t>VÄSTERBOTTENS LÄN</t>
        </is>
      </c>
      <c r="E769" t="inlineStr">
        <is>
          <t>SKELLEFTEÅ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14858-2021</t>
        </is>
      </c>
      <c r="B770" s="1" t="n">
        <v>44280</v>
      </c>
      <c r="C770" s="1" t="n">
        <v>45472</v>
      </c>
      <c r="D770" t="inlineStr">
        <is>
          <t>VÄSTERBOTTENS LÄN</t>
        </is>
      </c>
      <c r="E770" t="inlineStr">
        <is>
          <t>SKELLEFTEÅ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14848-2021</t>
        </is>
      </c>
      <c r="B771" s="1" t="n">
        <v>44280</v>
      </c>
      <c r="C771" s="1" t="n">
        <v>45472</v>
      </c>
      <c r="D771" t="inlineStr">
        <is>
          <t>VÄSTERBOTTENS LÄN</t>
        </is>
      </c>
      <c r="E771" t="inlineStr">
        <is>
          <t>SKELLEFTEÅ</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14853-2021</t>
        </is>
      </c>
      <c r="B772" s="1" t="n">
        <v>44280</v>
      </c>
      <c r="C772" s="1" t="n">
        <v>45472</v>
      </c>
      <c r="D772" t="inlineStr">
        <is>
          <t>VÄSTERBOTTENS LÄN</t>
        </is>
      </c>
      <c r="E772" t="inlineStr">
        <is>
          <t>SKELLEFTEÅ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15108-2021</t>
        </is>
      </c>
      <c r="B773" s="1" t="n">
        <v>44281</v>
      </c>
      <c r="C773" s="1" t="n">
        <v>45472</v>
      </c>
      <c r="D773" t="inlineStr">
        <is>
          <t>VÄSTERBOTTENS LÄN</t>
        </is>
      </c>
      <c r="E773" t="inlineStr">
        <is>
          <t>SKELLEFTEÅ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15109-2021</t>
        </is>
      </c>
      <c r="B774" s="1" t="n">
        <v>44281</v>
      </c>
      <c r="C774" s="1" t="n">
        <v>45472</v>
      </c>
      <c r="D774" t="inlineStr">
        <is>
          <t>VÄSTERBOTTENS LÄN</t>
        </is>
      </c>
      <c r="E774" t="inlineStr">
        <is>
          <t>SKELLEFTEÅ</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15459-2021</t>
        </is>
      </c>
      <c r="B775" s="1" t="n">
        <v>44284</v>
      </c>
      <c r="C775" s="1" t="n">
        <v>45472</v>
      </c>
      <c r="D775" t="inlineStr">
        <is>
          <t>VÄSTERBOTTENS LÄN</t>
        </is>
      </c>
      <c r="E775" t="inlineStr">
        <is>
          <t>SKELLEFTEÅ</t>
        </is>
      </c>
      <c r="G775" t="n">
        <v>2.5</v>
      </c>
      <c r="H775" t="n">
        <v>0</v>
      </c>
      <c r="I775" t="n">
        <v>0</v>
      </c>
      <c r="J775" t="n">
        <v>0</v>
      </c>
      <c r="K775" t="n">
        <v>0</v>
      </c>
      <c r="L775" t="n">
        <v>0</v>
      </c>
      <c r="M775" t="n">
        <v>0</v>
      </c>
      <c r="N775" t="n">
        <v>0</v>
      </c>
      <c r="O775" t="n">
        <v>0</v>
      </c>
      <c r="P775" t="n">
        <v>0</v>
      </c>
      <c r="Q775" t="n">
        <v>0</v>
      </c>
      <c r="R775" s="2" t="inlineStr"/>
    </row>
    <row r="776" ht="15" customHeight="1">
      <c r="A776" t="inlineStr">
        <is>
          <t>A 18073-2021</t>
        </is>
      </c>
      <c r="B776" s="1" t="n">
        <v>44302</v>
      </c>
      <c r="C776" s="1" t="n">
        <v>45472</v>
      </c>
      <c r="D776" t="inlineStr">
        <is>
          <t>VÄSTERBOTTENS LÄN</t>
        </is>
      </c>
      <c r="E776" t="inlineStr">
        <is>
          <t>SKELLEFTEÅ</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18101-2021</t>
        </is>
      </c>
      <c r="B777" s="1" t="n">
        <v>44302</v>
      </c>
      <c r="C777" s="1" t="n">
        <v>45472</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18182-2021</t>
        </is>
      </c>
      <c r="B778" s="1" t="n">
        <v>44302</v>
      </c>
      <c r="C778" s="1" t="n">
        <v>45472</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18183-2021</t>
        </is>
      </c>
      <c r="B779" s="1" t="n">
        <v>44302</v>
      </c>
      <c r="C779" s="1" t="n">
        <v>45472</v>
      </c>
      <c r="D779" t="inlineStr">
        <is>
          <t>VÄSTERBOTTENS LÄN</t>
        </is>
      </c>
      <c r="E779" t="inlineStr">
        <is>
          <t>SKELLEFTEÅ</t>
        </is>
      </c>
      <c r="G779" t="n">
        <v>7.4</v>
      </c>
      <c r="H779" t="n">
        <v>0</v>
      </c>
      <c r="I779" t="n">
        <v>0</v>
      </c>
      <c r="J779" t="n">
        <v>0</v>
      </c>
      <c r="K779" t="n">
        <v>0</v>
      </c>
      <c r="L779" t="n">
        <v>0</v>
      </c>
      <c r="M779" t="n">
        <v>0</v>
      </c>
      <c r="N779" t="n">
        <v>0</v>
      </c>
      <c r="O779" t="n">
        <v>0</v>
      </c>
      <c r="P779" t="n">
        <v>0</v>
      </c>
      <c r="Q779" t="n">
        <v>0</v>
      </c>
      <c r="R779" s="2" t="inlineStr"/>
    </row>
    <row r="780" ht="15" customHeight="1">
      <c r="A780" t="inlineStr">
        <is>
          <t>A 18104-2021</t>
        </is>
      </c>
      <c r="B780" s="1" t="n">
        <v>44302</v>
      </c>
      <c r="C780" s="1" t="n">
        <v>45472</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18216-2021</t>
        </is>
      </c>
      <c r="B781" s="1" t="n">
        <v>44303</v>
      </c>
      <c r="C781" s="1" t="n">
        <v>45472</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18353-2021</t>
        </is>
      </c>
      <c r="B782" s="1" t="n">
        <v>44305</v>
      </c>
      <c r="C782" s="1" t="n">
        <v>45472</v>
      </c>
      <c r="D782" t="inlineStr">
        <is>
          <t>VÄSTERBOTTENS LÄN</t>
        </is>
      </c>
      <c r="E782" t="inlineStr">
        <is>
          <t>SKELLEFTEÅ</t>
        </is>
      </c>
      <c r="G782" t="n">
        <v>7.2</v>
      </c>
      <c r="H782" t="n">
        <v>0</v>
      </c>
      <c r="I782" t="n">
        <v>0</v>
      </c>
      <c r="J782" t="n">
        <v>0</v>
      </c>
      <c r="K782" t="n">
        <v>0</v>
      </c>
      <c r="L782" t="n">
        <v>0</v>
      </c>
      <c r="M782" t="n">
        <v>0</v>
      </c>
      <c r="N782" t="n">
        <v>0</v>
      </c>
      <c r="O782" t="n">
        <v>0</v>
      </c>
      <c r="P782" t="n">
        <v>0</v>
      </c>
      <c r="Q782" t="n">
        <v>0</v>
      </c>
      <c r="R782" s="2" t="inlineStr"/>
    </row>
    <row r="783" ht="15" customHeight="1">
      <c r="A783" t="inlineStr">
        <is>
          <t>A 19538-2021</t>
        </is>
      </c>
      <c r="B783" s="1" t="n">
        <v>44309</v>
      </c>
      <c r="C783" s="1" t="n">
        <v>45472</v>
      </c>
      <c r="D783" t="inlineStr">
        <is>
          <t>VÄSTERBOTTENS LÄN</t>
        </is>
      </c>
      <c r="E783" t="inlineStr">
        <is>
          <t>SKELLEFTEÅ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19748-2021</t>
        </is>
      </c>
      <c r="B784" s="1" t="n">
        <v>44312</v>
      </c>
      <c r="C784" s="1" t="n">
        <v>45472</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19679-2021</t>
        </is>
      </c>
      <c r="B785" s="1" t="n">
        <v>44312</v>
      </c>
      <c r="C785" s="1" t="n">
        <v>45472</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20051-2021</t>
        </is>
      </c>
      <c r="B786" s="1" t="n">
        <v>44313</v>
      </c>
      <c r="C786" s="1" t="n">
        <v>45472</v>
      </c>
      <c r="D786" t="inlineStr">
        <is>
          <t>VÄSTERBOTTENS LÄN</t>
        </is>
      </c>
      <c r="E786" t="inlineStr">
        <is>
          <t>SKELLEFTEÅ</t>
        </is>
      </c>
      <c r="G786" t="n">
        <v>5.5</v>
      </c>
      <c r="H786" t="n">
        <v>0</v>
      </c>
      <c r="I786" t="n">
        <v>0</v>
      </c>
      <c r="J786" t="n">
        <v>0</v>
      </c>
      <c r="K786" t="n">
        <v>0</v>
      </c>
      <c r="L786" t="n">
        <v>0</v>
      </c>
      <c r="M786" t="n">
        <v>0</v>
      </c>
      <c r="N786" t="n">
        <v>0</v>
      </c>
      <c r="O786" t="n">
        <v>0</v>
      </c>
      <c r="P786" t="n">
        <v>0</v>
      </c>
      <c r="Q786" t="n">
        <v>0</v>
      </c>
      <c r="R786" s="2" t="inlineStr"/>
    </row>
    <row r="787" ht="15" customHeight="1">
      <c r="A787" t="inlineStr">
        <is>
          <t>A 20046-2021</t>
        </is>
      </c>
      <c r="B787" s="1" t="n">
        <v>44313</v>
      </c>
      <c r="C787" s="1" t="n">
        <v>45472</v>
      </c>
      <c r="D787" t="inlineStr">
        <is>
          <t>VÄSTERBOTTENS LÄN</t>
        </is>
      </c>
      <c r="E787" t="inlineStr">
        <is>
          <t>SKELLEFTEÅ</t>
        </is>
      </c>
      <c r="G787" t="n">
        <v>3.1</v>
      </c>
      <c r="H787" t="n">
        <v>0</v>
      </c>
      <c r="I787" t="n">
        <v>0</v>
      </c>
      <c r="J787" t="n">
        <v>0</v>
      </c>
      <c r="K787" t="n">
        <v>0</v>
      </c>
      <c r="L787" t="n">
        <v>0</v>
      </c>
      <c r="M787" t="n">
        <v>0</v>
      </c>
      <c r="N787" t="n">
        <v>0</v>
      </c>
      <c r="O787" t="n">
        <v>0</v>
      </c>
      <c r="P787" t="n">
        <v>0</v>
      </c>
      <c r="Q787" t="n">
        <v>0</v>
      </c>
      <c r="R787" s="2" t="inlineStr"/>
    </row>
    <row r="788" ht="15" customHeight="1">
      <c r="A788" t="inlineStr">
        <is>
          <t>A 20381-2021</t>
        </is>
      </c>
      <c r="B788" s="1" t="n">
        <v>44314</v>
      </c>
      <c r="C788" s="1" t="n">
        <v>45472</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20856-2021</t>
        </is>
      </c>
      <c r="B789" s="1" t="n">
        <v>44319</v>
      </c>
      <c r="C789" s="1" t="n">
        <v>45472</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24606-2021</t>
        </is>
      </c>
      <c r="B790" s="1" t="n">
        <v>44319</v>
      </c>
      <c r="C790" s="1" t="n">
        <v>45472</v>
      </c>
      <c r="D790" t="inlineStr">
        <is>
          <t>VÄSTERBOTTENS LÄN</t>
        </is>
      </c>
      <c r="E790" t="inlineStr">
        <is>
          <t>SKELLEFTEÅ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21265-2021</t>
        </is>
      </c>
      <c r="B791" s="1" t="n">
        <v>44320</v>
      </c>
      <c r="C791" s="1" t="n">
        <v>45472</v>
      </c>
      <c r="D791" t="inlineStr">
        <is>
          <t>VÄSTERBOTTENS LÄN</t>
        </is>
      </c>
      <c r="E791" t="inlineStr">
        <is>
          <t>SKELLEFTEÅ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22067-2021</t>
        </is>
      </c>
      <c r="B792" s="1" t="n">
        <v>44322</v>
      </c>
      <c r="C792" s="1" t="n">
        <v>45472</v>
      </c>
      <c r="D792" t="inlineStr">
        <is>
          <t>VÄSTERBOTTENS LÄN</t>
        </is>
      </c>
      <c r="E792" t="inlineStr">
        <is>
          <t>SKELLEFTEÅ</t>
        </is>
      </c>
      <c r="G792" t="n">
        <v>10.7</v>
      </c>
      <c r="H792" t="n">
        <v>0</v>
      </c>
      <c r="I792" t="n">
        <v>0</v>
      </c>
      <c r="J792" t="n">
        <v>0</v>
      </c>
      <c r="K792" t="n">
        <v>0</v>
      </c>
      <c r="L792" t="n">
        <v>0</v>
      </c>
      <c r="M792" t="n">
        <v>0</v>
      </c>
      <c r="N792" t="n">
        <v>0</v>
      </c>
      <c r="O792" t="n">
        <v>0</v>
      </c>
      <c r="P792" t="n">
        <v>0</v>
      </c>
      <c r="Q792" t="n">
        <v>0</v>
      </c>
      <c r="R792" s="2" t="inlineStr"/>
    </row>
    <row r="793" ht="15" customHeight="1">
      <c r="A793" t="inlineStr">
        <is>
          <t>A 22568-2021</t>
        </is>
      </c>
      <c r="B793" s="1" t="n">
        <v>44322</v>
      </c>
      <c r="C793" s="1" t="n">
        <v>45472</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22626-2021</t>
        </is>
      </c>
      <c r="B794" s="1" t="n">
        <v>44326</v>
      </c>
      <c r="C794" s="1" t="n">
        <v>45472</v>
      </c>
      <c r="D794" t="inlineStr">
        <is>
          <t>VÄSTERBOTTENS LÄN</t>
        </is>
      </c>
      <c r="E794" t="inlineStr">
        <is>
          <t>SKELLEFTEÅ</t>
        </is>
      </c>
      <c r="G794" t="n">
        <v>8.4</v>
      </c>
      <c r="H794" t="n">
        <v>0</v>
      </c>
      <c r="I794" t="n">
        <v>0</v>
      </c>
      <c r="J794" t="n">
        <v>0</v>
      </c>
      <c r="K794" t="n">
        <v>0</v>
      </c>
      <c r="L794" t="n">
        <v>0</v>
      </c>
      <c r="M794" t="n">
        <v>0</v>
      </c>
      <c r="N794" t="n">
        <v>0</v>
      </c>
      <c r="O794" t="n">
        <v>0</v>
      </c>
      <c r="P794" t="n">
        <v>0</v>
      </c>
      <c r="Q794" t="n">
        <v>0</v>
      </c>
      <c r="R794" s="2" t="inlineStr"/>
    </row>
    <row r="795" ht="15" customHeight="1">
      <c r="A795" t="inlineStr">
        <is>
          <t>A 23132-2021</t>
        </is>
      </c>
      <c r="B795" s="1" t="n">
        <v>44331</v>
      </c>
      <c r="C795" s="1" t="n">
        <v>45472</v>
      </c>
      <c r="D795" t="inlineStr">
        <is>
          <t>VÄSTERBOTTENS LÄN</t>
        </is>
      </c>
      <c r="E795" t="inlineStr">
        <is>
          <t>SKELLEFTEÅ</t>
        </is>
      </c>
      <c r="G795" t="n">
        <v>2.6</v>
      </c>
      <c r="H795" t="n">
        <v>0</v>
      </c>
      <c r="I795" t="n">
        <v>0</v>
      </c>
      <c r="J795" t="n">
        <v>0</v>
      </c>
      <c r="K795" t="n">
        <v>0</v>
      </c>
      <c r="L795" t="n">
        <v>0</v>
      </c>
      <c r="M795" t="n">
        <v>0</v>
      </c>
      <c r="N795" t="n">
        <v>0</v>
      </c>
      <c r="O795" t="n">
        <v>0</v>
      </c>
      <c r="P795" t="n">
        <v>0</v>
      </c>
      <c r="Q795" t="n">
        <v>0</v>
      </c>
      <c r="R795" s="2" t="inlineStr"/>
    </row>
    <row r="796" ht="15" customHeight="1">
      <c r="A796" t="inlineStr">
        <is>
          <t>A 23408-2021</t>
        </is>
      </c>
      <c r="B796" s="1" t="n">
        <v>44333</v>
      </c>
      <c r="C796" s="1" t="n">
        <v>45472</v>
      </c>
      <c r="D796" t="inlineStr">
        <is>
          <t>VÄSTERBOTTENS LÄN</t>
        </is>
      </c>
      <c r="E796" t="inlineStr">
        <is>
          <t>SKELLEFTEÅ</t>
        </is>
      </c>
      <c r="F796" t="inlineStr">
        <is>
          <t>Holmen skog AB</t>
        </is>
      </c>
      <c r="G796" t="n">
        <v>4.2</v>
      </c>
      <c r="H796" t="n">
        <v>0</v>
      </c>
      <c r="I796" t="n">
        <v>0</v>
      </c>
      <c r="J796" t="n">
        <v>0</v>
      </c>
      <c r="K796" t="n">
        <v>0</v>
      </c>
      <c r="L796" t="n">
        <v>0</v>
      </c>
      <c r="M796" t="n">
        <v>0</v>
      </c>
      <c r="N796" t="n">
        <v>0</v>
      </c>
      <c r="O796" t="n">
        <v>0</v>
      </c>
      <c r="P796" t="n">
        <v>0</v>
      </c>
      <c r="Q796" t="n">
        <v>0</v>
      </c>
      <c r="R796" s="2" t="inlineStr"/>
    </row>
    <row r="797" ht="15" customHeight="1">
      <c r="A797" t="inlineStr">
        <is>
          <t>A 23801-2021</t>
        </is>
      </c>
      <c r="B797" s="1" t="n">
        <v>44334</v>
      </c>
      <c r="C797" s="1" t="n">
        <v>45472</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23885-2021</t>
        </is>
      </c>
      <c r="B798" s="1" t="n">
        <v>44335</v>
      </c>
      <c r="C798" s="1" t="n">
        <v>45472</v>
      </c>
      <c r="D798" t="inlineStr">
        <is>
          <t>VÄSTERBOTTENS LÄN</t>
        </is>
      </c>
      <c r="E798" t="inlineStr">
        <is>
          <t>SKELLEFTEÅ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24238-2021</t>
        </is>
      </c>
      <c r="B799" s="1" t="n">
        <v>44337</v>
      </c>
      <c r="C799" s="1" t="n">
        <v>45472</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24303-2021</t>
        </is>
      </c>
      <c r="B800" s="1" t="n">
        <v>44337</v>
      </c>
      <c r="C800" s="1" t="n">
        <v>45472</v>
      </c>
      <c r="D800" t="inlineStr">
        <is>
          <t>VÄSTERBOTTENS LÄN</t>
        </is>
      </c>
      <c r="E800" t="inlineStr">
        <is>
          <t>SKELLEFTEÅ</t>
        </is>
      </c>
      <c r="G800" t="n">
        <v>6.1</v>
      </c>
      <c r="H800" t="n">
        <v>0</v>
      </c>
      <c r="I800" t="n">
        <v>0</v>
      </c>
      <c r="J800" t="n">
        <v>0</v>
      </c>
      <c r="K800" t="n">
        <v>0</v>
      </c>
      <c r="L800" t="n">
        <v>0</v>
      </c>
      <c r="M800" t="n">
        <v>0</v>
      </c>
      <c r="N800" t="n">
        <v>0</v>
      </c>
      <c r="O800" t="n">
        <v>0</v>
      </c>
      <c r="P800" t="n">
        <v>0</v>
      </c>
      <c r="Q800" t="n">
        <v>0</v>
      </c>
      <c r="R800" s="2" t="inlineStr"/>
    </row>
    <row r="801" ht="15" customHeight="1">
      <c r="A801" t="inlineStr">
        <is>
          <t>A 24653-2021</t>
        </is>
      </c>
      <c r="B801" s="1" t="n">
        <v>44340</v>
      </c>
      <c r="C801" s="1" t="n">
        <v>45472</v>
      </c>
      <c r="D801" t="inlineStr">
        <is>
          <t>VÄSTERBOTTENS LÄN</t>
        </is>
      </c>
      <c r="E801" t="inlineStr">
        <is>
          <t>SKELLEFTEÅ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25513-2021</t>
        </is>
      </c>
      <c r="B802" s="1" t="n">
        <v>44343</v>
      </c>
      <c r="C802" s="1" t="n">
        <v>45472</v>
      </c>
      <c r="D802" t="inlineStr">
        <is>
          <t>VÄSTERBOTTENS LÄN</t>
        </is>
      </c>
      <c r="E802" t="inlineStr">
        <is>
          <t>SKELLEFTEÅ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25512-2021</t>
        </is>
      </c>
      <c r="B803" s="1" t="n">
        <v>44342</v>
      </c>
      <c r="C803" s="1" t="n">
        <v>45472</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25515-2021</t>
        </is>
      </c>
      <c r="B804" s="1" t="n">
        <v>44343</v>
      </c>
      <c r="C804" s="1" t="n">
        <v>45472</v>
      </c>
      <c r="D804" t="inlineStr">
        <is>
          <t>VÄSTERBOTTENS LÄN</t>
        </is>
      </c>
      <c r="E804" t="inlineStr">
        <is>
          <t>SKELLEFTEÅ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25520-2021</t>
        </is>
      </c>
      <c r="B805" s="1" t="n">
        <v>44343</v>
      </c>
      <c r="C805" s="1" t="n">
        <v>45472</v>
      </c>
      <c r="D805" t="inlineStr">
        <is>
          <t>VÄSTERBOTTENS LÄN</t>
        </is>
      </c>
      <c r="E805" t="inlineStr">
        <is>
          <t>SKELLEFTEÅ</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25473-2021</t>
        </is>
      </c>
      <c r="B806" s="1" t="n">
        <v>44342</v>
      </c>
      <c r="C806" s="1" t="n">
        <v>45472</v>
      </c>
      <c r="D806" t="inlineStr">
        <is>
          <t>VÄSTERBOTTENS LÄN</t>
        </is>
      </c>
      <c r="E806" t="inlineStr">
        <is>
          <t>SKELLEFTEÅ</t>
        </is>
      </c>
      <c r="G806" t="n">
        <v>6.6</v>
      </c>
      <c r="H806" t="n">
        <v>0</v>
      </c>
      <c r="I806" t="n">
        <v>0</v>
      </c>
      <c r="J806" t="n">
        <v>0</v>
      </c>
      <c r="K806" t="n">
        <v>0</v>
      </c>
      <c r="L806" t="n">
        <v>0</v>
      </c>
      <c r="M806" t="n">
        <v>0</v>
      </c>
      <c r="N806" t="n">
        <v>0</v>
      </c>
      <c r="O806" t="n">
        <v>0</v>
      </c>
      <c r="P806" t="n">
        <v>0</v>
      </c>
      <c r="Q806" t="n">
        <v>0</v>
      </c>
      <c r="R806" s="2" t="inlineStr"/>
    </row>
    <row r="807" ht="15" customHeight="1">
      <c r="A807" t="inlineStr">
        <is>
          <t>A 25491-2021</t>
        </is>
      </c>
      <c r="B807" s="1" t="n">
        <v>44342</v>
      </c>
      <c r="C807" s="1" t="n">
        <v>45472</v>
      </c>
      <c r="D807" t="inlineStr">
        <is>
          <t>VÄSTERBOTTENS LÄN</t>
        </is>
      </c>
      <c r="E807" t="inlineStr">
        <is>
          <t>SKELLEFTEÅ</t>
        </is>
      </c>
      <c r="G807" t="n">
        <v>2.9</v>
      </c>
      <c r="H807" t="n">
        <v>0</v>
      </c>
      <c r="I807" t="n">
        <v>0</v>
      </c>
      <c r="J807" t="n">
        <v>0</v>
      </c>
      <c r="K807" t="n">
        <v>0</v>
      </c>
      <c r="L807" t="n">
        <v>0</v>
      </c>
      <c r="M807" t="n">
        <v>0</v>
      </c>
      <c r="N807" t="n">
        <v>0</v>
      </c>
      <c r="O807" t="n">
        <v>0</v>
      </c>
      <c r="P807" t="n">
        <v>0</v>
      </c>
      <c r="Q807" t="n">
        <v>0</v>
      </c>
      <c r="R807" s="2" t="inlineStr"/>
    </row>
    <row r="808" ht="15" customHeight="1">
      <c r="A808" t="inlineStr">
        <is>
          <t>A 26129-2021</t>
        </is>
      </c>
      <c r="B808" s="1" t="n">
        <v>44346</v>
      </c>
      <c r="C808" s="1" t="n">
        <v>45472</v>
      </c>
      <c r="D808" t="inlineStr">
        <is>
          <t>VÄSTERBOTTENS LÄN</t>
        </is>
      </c>
      <c r="E808" t="inlineStr">
        <is>
          <t>SKELLEFTEÅ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26130-2021</t>
        </is>
      </c>
      <c r="B809" s="1" t="n">
        <v>44346</v>
      </c>
      <c r="C809" s="1" t="n">
        <v>45472</v>
      </c>
      <c r="D809" t="inlineStr">
        <is>
          <t>VÄSTERBOTTENS LÄN</t>
        </is>
      </c>
      <c r="E809" t="inlineStr">
        <is>
          <t>SKELLEFTEÅ</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26473-2021</t>
        </is>
      </c>
      <c r="B810" s="1" t="n">
        <v>44348</v>
      </c>
      <c r="C810" s="1" t="n">
        <v>45472</v>
      </c>
      <c r="D810" t="inlineStr">
        <is>
          <t>VÄSTERBOTTENS LÄN</t>
        </is>
      </c>
      <c r="E810" t="inlineStr">
        <is>
          <t>SKELLEFTEÅ</t>
        </is>
      </c>
      <c r="G810" t="n">
        <v>0.3</v>
      </c>
      <c r="H810" t="n">
        <v>0</v>
      </c>
      <c r="I810" t="n">
        <v>0</v>
      </c>
      <c r="J810" t="n">
        <v>0</v>
      </c>
      <c r="K810" t="n">
        <v>0</v>
      </c>
      <c r="L810" t="n">
        <v>0</v>
      </c>
      <c r="M810" t="n">
        <v>0</v>
      </c>
      <c r="N810" t="n">
        <v>0</v>
      </c>
      <c r="O810" t="n">
        <v>0</v>
      </c>
      <c r="P810" t="n">
        <v>0</v>
      </c>
      <c r="Q810" t="n">
        <v>0</v>
      </c>
      <c r="R810" s="2" t="inlineStr"/>
    </row>
    <row r="811" ht="15" customHeight="1">
      <c r="A811" t="inlineStr">
        <is>
          <t>A 26599-2021</t>
        </is>
      </c>
      <c r="B811" s="1" t="n">
        <v>44348</v>
      </c>
      <c r="C811" s="1" t="n">
        <v>45472</v>
      </c>
      <c r="D811" t="inlineStr">
        <is>
          <t>VÄSTERBOTTENS LÄN</t>
        </is>
      </c>
      <c r="E811" t="inlineStr">
        <is>
          <t>SKELLEFTEÅ</t>
        </is>
      </c>
      <c r="G811" t="n">
        <v>1.4</v>
      </c>
      <c r="H811" t="n">
        <v>0</v>
      </c>
      <c r="I811" t="n">
        <v>0</v>
      </c>
      <c r="J811" t="n">
        <v>0</v>
      </c>
      <c r="K811" t="n">
        <v>0</v>
      </c>
      <c r="L811" t="n">
        <v>0</v>
      </c>
      <c r="M811" t="n">
        <v>0</v>
      </c>
      <c r="N811" t="n">
        <v>0</v>
      </c>
      <c r="O811" t="n">
        <v>0</v>
      </c>
      <c r="P811" t="n">
        <v>0</v>
      </c>
      <c r="Q811" t="n">
        <v>0</v>
      </c>
      <c r="R811" s="2" t="inlineStr"/>
    </row>
    <row r="812" ht="15" customHeight="1">
      <c r="A812" t="inlineStr">
        <is>
          <t>A 26858-2021</t>
        </is>
      </c>
      <c r="B812" s="1" t="n">
        <v>44349</v>
      </c>
      <c r="C812" s="1" t="n">
        <v>45472</v>
      </c>
      <c r="D812" t="inlineStr">
        <is>
          <t>VÄSTERBOTTENS LÄN</t>
        </is>
      </c>
      <c r="E812" t="inlineStr">
        <is>
          <t>SKELLEFTEÅ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26957-2021</t>
        </is>
      </c>
      <c r="B813" s="1" t="n">
        <v>44350</v>
      </c>
      <c r="C813" s="1" t="n">
        <v>45472</v>
      </c>
      <c r="D813" t="inlineStr">
        <is>
          <t>VÄSTERBOTTENS LÄN</t>
        </is>
      </c>
      <c r="E813" t="inlineStr">
        <is>
          <t>SKELLEFTEÅ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26975-2021</t>
        </is>
      </c>
      <c r="B814" s="1" t="n">
        <v>44350</v>
      </c>
      <c r="C814" s="1" t="n">
        <v>45472</v>
      </c>
      <c r="D814" t="inlineStr">
        <is>
          <t>VÄSTERBOTTENS LÄN</t>
        </is>
      </c>
      <c r="E814" t="inlineStr">
        <is>
          <t>SKELLEFTEÅ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27444-2021</t>
        </is>
      </c>
      <c r="B815" s="1" t="n">
        <v>44351</v>
      </c>
      <c r="C815" s="1" t="n">
        <v>45472</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27698-2021</t>
        </is>
      </c>
      <c r="B816" s="1" t="n">
        <v>44354</v>
      </c>
      <c r="C816" s="1" t="n">
        <v>45472</v>
      </c>
      <c r="D816" t="inlineStr">
        <is>
          <t>VÄSTERBOTTENS LÄN</t>
        </is>
      </c>
      <c r="E816" t="inlineStr">
        <is>
          <t>SKELLEFTEÅ</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27643-2021</t>
        </is>
      </c>
      <c r="B817" s="1" t="n">
        <v>44354</v>
      </c>
      <c r="C817" s="1" t="n">
        <v>45472</v>
      </c>
      <c r="D817" t="inlineStr">
        <is>
          <t>VÄSTERBOTTENS LÄN</t>
        </is>
      </c>
      <c r="E817" t="inlineStr">
        <is>
          <t>SKELLEFTEÅ</t>
        </is>
      </c>
      <c r="F817" t="inlineStr">
        <is>
          <t>Holmen skog AB</t>
        </is>
      </c>
      <c r="G817" t="n">
        <v>3.7</v>
      </c>
      <c r="H817" t="n">
        <v>0</v>
      </c>
      <c r="I817" t="n">
        <v>0</v>
      </c>
      <c r="J817" t="n">
        <v>0</v>
      </c>
      <c r="K817" t="n">
        <v>0</v>
      </c>
      <c r="L817" t="n">
        <v>0</v>
      </c>
      <c r="M817" t="n">
        <v>0</v>
      </c>
      <c r="N817" t="n">
        <v>0</v>
      </c>
      <c r="O817" t="n">
        <v>0</v>
      </c>
      <c r="P817" t="n">
        <v>0</v>
      </c>
      <c r="Q817" t="n">
        <v>0</v>
      </c>
      <c r="R817" s="2" t="inlineStr"/>
    </row>
    <row r="818" ht="15" customHeight="1">
      <c r="A818" t="inlineStr">
        <is>
          <t>A 27774-2021</t>
        </is>
      </c>
      <c r="B818" s="1" t="n">
        <v>44354</v>
      </c>
      <c r="C818" s="1" t="n">
        <v>45472</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28121-2021</t>
        </is>
      </c>
      <c r="B819" s="1" t="n">
        <v>44355</v>
      </c>
      <c r="C819" s="1" t="n">
        <v>45472</v>
      </c>
      <c r="D819" t="inlineStr">
        <is>
          <t>VÄSTERBOTTENS LÄN</t>
        </is>
      </c>
      <c r="E819" t="inlineStr">
        <is>
          <t>SKELLEFTEÅ</t>
        </is>
      </c>
      <c r="G819" t="n">
        <v>1.8</v>
      </c>
      <c r="H819" t="n">
        <v>0</v>
      </c>
      <c r="I819" t="n">
        <v>0</v>
      </c>
      <c r="J819" t="n">
        <v>0</v>
      </c>
      <c r="K819" t="n">
        <v>0</v>
      </c>
      <c r="L819" t="n">
        <v>0</v>
      </c>
      <c r="M819" t="n">
        <v>0</v>
      </c>
      <c r="N819" t="n">
        <v>0</v>
      </c>
      <c r="O819" t="n">
        <v>0</v>
      </c>
      <c r="P819" t="n">
        <v>0</v>
      </c>
      <c r="Q819" t="n">
        <v>0</v>
      </c>
      <c r="R819" s="2" t="inlineStr"/>
    </row>
    <row r="820" ht="15" customHeight="1">
      <c r="A820" t="inlineStr">
        <is>
          <t>A 28191-2021</t>
        </is>
      </c>
      <c r="B820" s="1" t="n">
        <v>44355</v>
      </c>
      <c r="C820" s="1" t="n">
        <v>45472</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28196-2021</t>
        </is>
      </c>
      <c r="B821" s="1" t="n">
        <v>44355</v>
      </c>
      <c r="C821" s="1" t="n">
        <v>45472</v>
      </c>
      <c r="D821" t="inlineStr">
        <is>
          <t>VÄSTERBOTTENS LÄN</t>
        </is>
      </c>
      <c r="E821" t="inlineStr">
        <is>
          <t>SKELLEFTEÅ</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28244-2021</t>
        </is>
      </c>
      <c r="B822" s="1" t="n">
        <v>44355</v>
      </c>
      <c r="C822" s="1" t="n">
        <v>45472</v>
      </c>
      <c r="D822" t="inlineStr">
        <is>
          <t>VÄSTERBOTTENS LÄN</t>
        </is>
      </c>
      <c r="E822" t="inlineStr">
        <is>
          <t>SKELLEFTEÅ</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28291-2021</t>
        </is>
      </c>
      <c r="B823" s="1" t="n">
        <v>44356</v>
      </c>
      <c r="C823" s="1" t="n">
        <v>45472</v>
      </c>
      <c r="D823" t="inlineStr">
        <is>
          <t>VÄSTERBOTTENS LÄN</t>
        </is>
      </c>
      <c r="E823" t="inlineStr">
        <is>
          <t>SKELLEFTEÅ</t>
        </is>
      </c>
      <c r="G823" t="n">
        <v>10.1</v>
      </c>
      <c r="H823" t="n">
        <v>0</v>
      </c>
      <c r="I823" t="n">
        <v>0</v>
      </c>
      <c r="J823" t="n">
        <v>0</v>
      </c>
      <c r="K823" t="n">
        <v>0</v>
      </c>
      <c r="L823" t="n">
        <v>0</v>
      </c>
      <c r="M823" t="n">
        <v>0</v>
      </c>
      <c r="N823" t="n">
        <v>0</v>
      </c>
      <c r="O823" t="n">
        <v>0</v>
      </c>
      <c r="P823" t="n">
        <v>0</v>
      </c>
      <c r="Q823" t="n">
        <v>0</v>
      </c>
      <c r="R823" s="2" t="inlineStr"/>
    </row>
    <row r="824" ht="15" customHeight="1">
      <c r="A824" t="inlineStr">
        <is>
          <t>A 28525-2021</t>
        </is>
      </c>
      <c r="B824" s="1" t="n">
        <v>44356</v>
      </c>
      <c r="C824" s="1" t="n">
        <v>45472</v>
      </c>
      <c r="D824" t="inlineStr">
        <is>
          <t>VÄSTERBOTTENS LÄN</t>
        </is>
      </c>
      <c r="E824" t="inlineStr">
        <is>
          <t>SKELLEFTEÅ</t>
        </is>
      </c>
      <c r="F824" t="inlineStr">
        <is>
          <t>Kyrkan</t>
        </is>
      </c>
      <c r="G824" t="n">
        <v>2</v>
      </c>
      <c r="H824" t="n">
        <v>0</v>
      </c>
      <c r="I824" t="n">
        <v>0</v>
      </c>
      <c r="J824" t="n">
        <v>0</v>
      </c>
      <c r="K824" t="n">
        <v>0</v>
      </c>
      <c r="L824" t="n">
        <v>0</v>
      </c>
      <c r="M824" t="n">
        <v>0</v>
      </c>
      <c r="N824" t="n">
        <v>0</v>
      </c>
      <c r="O824" t="n">
        <v>0</v>
      </c>
      <c r="P824" t="n">
        <v>0</v>
      </c>
      <c r="Q824" t="n">
        <v>0</v>
      </c>
      <c r="R824" s="2" t="inlineStr"/>
    </row>
    <row r="825" ht="15" customHeight="1">
      <c r="A825" t="inlineStr">
        <is>
          <t>A 28666-2021</t>
        </is>
      </c>
      <c r="B825" s="1" t="n">
        <v>44357</v>
      </c>
      <c r="C825" s="1" t="n">
        <v>45472</v>
      </c>
      <c r="D825" t="inlineStr">
        <is>
          <t>VÄSTERBOTTENS LÄN</t>
        </is>
      </c>
      <c r="E825" t="inlineStr">
        <is>
          <t>SKELLEFTEÅ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28822-2021</t>
        </is>
      </c>
      <c r="B826" s="1" t="n">
        <v>44357</v>
      </c>
      <c r="C826" s="1" t="n">
        <v>45472</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29115-2021</t>
        </is>
      </c>
      <c r="B827" s="1" t="n">
        <v>44358</v>
      </c>
      <c r="C827" s="1" t="n">
        <v>45472</v>
      </c>
      <c r="D827" t="inlineStr">
        <is>
          <t>VÄSTERBOTTENS LÄN</t>
        </is>
      </c>
      <c r="E827" t="inlineStr">
        <is>
          <t>SKELLEFTEÅ</t>
        </is>
      </c>
      <c r="G827" t="n">
        <v>4.4</v>
      </c>
      <c r="H827" t="n">
        <v>0</v>
      </c>
      <c r="I827" t="n">
        <v>0</v>
      </c>
      <c r="J827" t="n">
        <v>0</v>
      </c>
      <c r="K827" t="n">
        <v>0</v>
      </c>
      <c r="L827" t="n">
        <v>0</v>
      </c>
      <c r="M827" t="n">
        <v>0</v>
      </c>
      <c r="N827" t="n">
        <v>0</v>
      </c>
      <c r="O827" t="n">
        <v>0</v>
      </c>
      <c r="P827" t="n">
        <v>0</v>
      </c>
      <c r="Q827" t="n">
        <v>0</v>
      </c>
      <c r="R827" s="2" t="inlineStr"/>
    </row>
    <row r="828" ht="15" customHeight="1">
      <c r="A828" t="inlineStr">
        <is>
          <t>A 28959-2021</t>
        </is>
      </c>
      <c r="B828" s="1" t="n">
        <v>44358</v>
      </c>
      <c r="C828" s="1" t="n">
        <v>45472</v>
      </c>
      <c r="D828" t="inlineStr">
        <is>
          <t>VÄSTERBOTTENS LÄN</t>
        </is>
      </c>
      <c r="E828" t="inlineStr">
        <is>
          <t>SKELLEFTEÅ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29319-2021</t>
        </is>
      </c>
      <c r="B829" s="1" t="n">
        <v>44361</v>
      </c>
      <c r="C829" s="1" t="n">
        <v>45472</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29276-2021</t>
        </is>
      </c>
      <c r="B830" s="1" t="n">
        <v>44361</v>
      </c>
      <c r="C830" s="1" t="n">
        <v>45472</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29407-2021</t>
        </is>
      </c>
      <c r="B831" s="1" t="n">
        <v>44361</v>
      </c>
      <c r="C831" s="1" t="n">
        <v>45472</v>
      </c>
      <c r="D831" t="inlineStr">
        <is>
          <t>VÄSTERBOTTENS LÄN</t>
        </is>
      </c>
      <c r="E831" t="inlineStr">
        <is>
          <t>SKELLEFTEÅ</t>
        </is>
      </c>
      <c r="F831" t="inlineStr">
        <is>
          <t>Holmen skog AB</t>
        </is>
      </c>
      <c r="G831" t="n">
        <v>3.2</v>
      </c>
      <c r="H831" t="n">
        <v>0</v>
      </c>
      <c r="I831" t="n">
        <v>0</v>
      </c>
      <c r="J831" t="n">
        <v>0</v>
      </c>
      <c r="K831" t="n">
        <v>0</v>
      </c>
      <c r="L831" t="n">
        <v>0</v>
      </c>
      <c r="M831" t="n">
        <v>0</v>
      </c>
      <c r="N831" t="n">
        <v>0</v>
      </c>
      <c r="O831" t="n">
        <v>0</v>
      </c>
      <c r="P831" t="n">
        <v>0</v>
      </c>
      <c r="Q831" t="n">
        <v>0</v>
      </c>
      <c r="R831" s="2" t="inlineStr"/>
    </row>
    <row r="832" ht="15" customHeight="1">
      <c r="A832" t="inlineStr">
        <is>
          <t>A 29687-2021</t>
        </is>
      </c>
      <c r="B832" s="1" t="n">
        <v>44362</v>
      </c>
      <c r="C832" s="1" t="n">
        <v>45472</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29649-2021</t>
        </is>
      </c>
      <c r="B833" s="1" t="n">
        <v>44362</v>
      </c>
      <c r="C833" s="1" t="n">
        <v>45472</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29731-2021</t>
        </is>
      </c>
      <c r="B834" s="1" t="n">
        <v>44362</v>
      </c>
      <c r="C834" s="1" t="n">
        <v>45472</v>
      </c>
      <c r="D834" t="inlineStr">
        <is>
          <t>VÄSTERBOTTENS LÄN</t>
        </is>
      </c>
      <c r="E834" t="inlineStr">
        <is>
          <t>SKELLEFTEÅ</t>
        </is>
      </c>
      <c r="F834" t="inlineStr">
        <is>
          <t>Holmen skog AB</t>
        </is>
      </c>
      <c r="G834" t="n">
        <v>15.1</v>
      </c>
      <c r="H834" t="n">
        <v>0</v>
      </c>
      <c r="I834" t="n">
        <v>0</v>
      </c>
      <c r="J834" t="n">
        <v>0</v>
      </c>
      <c r="K834" t="n">
        <v>0</v>
      </c>
      <c r="L834" t="n">
        <v>0</v>
      </c>
      <c r="M834" t="n">
        <v>0</v>
      </c>
      <c r="N834" t="n">
        <v>0</v>
      </c>
      <c r="O834" t="n">
        <v>0</v>
      </c>
      <c r="P834" t="n">
        <v>0</v>
      </c>
      <c r="Q834" t="n">
        <v>0</v>
      </c>
      <c r="R834" s="2" t="inlineStr"/>
    </row>
    <row r="835" ht="15" customHeight="1">
      <c r="A835" t="inlineStr">
        <is>
          <t>A 30086-2021</t>
        </is>
      </c>
      <c r="B835" s="1" t="n">
        <v>44363</v>
      </c>
      <c r="C835" s="1" t="n">
        <v>45472</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30194-2021</t>
        </is>
      </c>
      <c r="B836" s="1" t="n">
        <v>44363</v>
      </c>
      <c r="C836" s="1" t="n">
        <v>45472</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30449-2021</t>
        </is>
      </c>
      <c r="B837" s="1" t="n">
        <v>44364</v>
      </c>
      <c r="C837" s="1" t="n">
        <v>45472</v>
      </c>
      <c r="D837" t="inlineStr">
        <is>
          <t>VÄSTERBOTTENS LÄN</t>
        </is>
      </c>
      <c r="E837" t="inlineStr">
        <is>
          <t>SKELLEFTEÅ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30332-2021</t>
        </is>
      </c>
      <c r="B838" s="1" t="n">
        <v>44364</v>
      </c>
      <c r="C838" s="1" t="n">
        <v>45472</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30744-2021</t>
        </is>
      </c>
      <c r="B839" s="1" t="n">
        <v>44365</v>
      </c>
      <c r="C839" s="1" t="n">
        <v>45472</v>
      </c>
      <c r="D839" t="inlineStr">
        <is>
          <t>VÄSTERBOTTENS LÄN</t>
        </is>
      </c>
      <c r="E839" t="inlineStr">
        <is>
          <t>SKELLEFTEÅ</t>
        </is>
      </c>
      <c r="G839" t="n">
        <v>38.3</v>
      </c>
      <c r="H839" t="n">
        <v>0</v>
      </c>
      <c r="I839" t="n">
        <v>0</v>
      </c>
      <c r="J839" t="n">
        <v>0</v>
      </c>
      <c r="K839" t="n">
        <v>0</v>
      </c>
      <c r="L839" t="n">
        <v>0</v>
      </c>
      <c r="M839" t="n">
        <v>0</v>
      </c>
      <c r="N839" t="n">
        <v>0</v>
      </c>
      <c r="O839" t="n">
        <v>0</v>
      </c>
      <c r="P839" t="n">
        <v>0</v>
      </c>
      <c r="Q839" t="n">
        <v>0</v>
      </c>
      <c r="R839" s="2" t="inlineStr"/>
    </row>
    <row r="840" ht="15" customHeight="1">
      <c r="A840" t="inlineStr">
        <is>
          <t>A 30719-2021</t>
        </is>
      </c>
      <c r="B840" s="1" t="n">
        <v>44365</v>
      </c>
      <c r="C840" s="1" t="n">
        <v>45472</v>
      </c>
      <c r="D840" t="inlineStr">
        <is>
          <t>VÄSTERBOTTENS LÄN</t>
        </is>
      </c>
      <c r="E840" t="inlineStr">
        <is>
          <t>SKELLEFTEÅ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30704-2021</t>
        </is>
      </c>
      <c r="B841" s="1" t="n">
        <v>44365</v>
      </c>
      <c r="C841" s="1" t="n">
        <v>45472</v>
      </c>
      <c r="D841" t="inlineStr">
        <is>
          <t>VÄSTERBOTTENS LÄN</t>
        </is>
      </c>
      <c r="E841" t="inlineStr">
        <is>
          <t>SKELLEFTEÅ</t>
        </is>
      </c>
      <c r="G841" t="n">
        <v>20.2</v>
      </c>
      <c r="H841" t="n">
        <v>0</v>
      </c>
      <c r="I841" t="n">
        <v>0</v>
      </c>
      <c r="J841" t="n">
        <v>0</v>
      </c>
      <c r="K841" t="n">
        <v>0</v>
      </c>
      <c r="L841" t="n">
        <v>0</v>
      </c>
      <c r="M841" t="n">
        <v>0</v>
      </c>
      <c r="N841" t="n">
        <v>0</v>
      </c>
      <c r="O841" t="n">
        <v>0</v>
      </c>
      <c r="P841" t="n">
        <v>0</v>
      </c>
      <c r="Q841" t="n">
        <v>0</v>
      </c>
      <c r="R841" s="2" t="inlineStr"/>
    </row>
    <row r="842" ht="15" customHeight="1">
      <c r="A842" t="inlineStr">
        <is>
          <t>A 30754-2021</t>
        </is>
      </c>
      <c r="B842" s="1" t="n">
        <v>44365</v>
      </c>
      <c r="C842" s="1" t="n">
        <v>45472</v>
      </c>
      <c r="D842" t="inlineStr">
        <is>
          <t>VÄSTERBOTTENS LÄN</t>
        </is>
      </c>
      <c r="E842" t="inlineStr">
        <is>
          <t>SKELLEFTEÅ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30870-2021</t>
        </is>
      </c>
      <c r="B843" s="1" t="n">
        <v>44365</v>
      </c>
      <c r="C843" s="1" t="n">
        <v>45472</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30959-2021</t>
        </is>
      </c>
      <c r="B844" s="1" t="n">
        <v>44365</v>
      </c>
      <c r="C844" s="1" t="n">
        <v>45472</v>
      </c>
      <c r="D844" t="inlineStr">
        <is>
          <t>VÄSTERBOTTENS LÄN</t>
        </is>
      </c>
      <c r="E844" t="inlineStr">
        <is>
          <t>SKELLEFTEÅ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31185-2021</t>
        </is>
      </c>
      <c r="B845" s="1" t="n">
        <v>44367</v>
      </c>
      <c r="C845" s="1" t="n">
        <v>45472</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31186-2021</t>
        </is>
      </c>
      <c r="B846" s="1" t="n">
        <v>44368</v>
      </c>
      <c r="C846" s="1" t="n">
        <v>45472</v>
      </c>
      <c r="D846" t="inlineStr">
        <is>
          <t>VÄSTERBOTTENS LÄN</t>
        </is>
      </c>
      <c r="E846" t="inlineStr">
        <is>
          <t>SKELLEFTEÅ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31181-2021</t>
        </is>
      </c>
      <c r="B847" s="1" t="n">
        <v>44368</v>
      </c>
      <c r="C847" s="1" t="n">
        <v>45472</v>
      </c>
      <c r="D847" t="inlineStr">
        <is>
          <t>VÄSTERBOTTENS LÄN</t>
        </is>
      </c>
      <c r="E847" t="inlineStr">
        <is>
          <t>SKELLEFTEÅ</t>
        </is>
      </c>
      <c r="G847" t="n">
        <v>6.3</v>
      </c>
      <c r="H847" t="n">
        <v>0</v>
      </c>
      <c r="I847" t="n">
        <v>0</v>
      </c>
      <c r="J847" t="n">
        <v>0</v>
      </c>
      <c r="K847" t="n">
        <v>0</v>
      </c>
      <c r="L847" t="n">
        <v>0</v>
      </c>
      <c r="M847" t="n">
        <v>0</v>
      </c>
      <c r="N847" t="n">
        <v>0</v>
      </c>
      <c r="O847" t="n">
        <v>0</v>
      </c>
      <c r="P847" t="n">
        <v>0</v>
      </c>
      <c r="Q847" t="n">
        <v>0</v>
      </c>
      <c r="R847" s="2" t="inlineStr"/>
    </row>
    <row r="848" ht="15" customHeight="1">
      <c r="A848" t="inlineStr">
        <is>
          <t>A 31197-2021</t>
        </is>
      </c>
      <c r="B848" s="1" t="n">
        <v>44368</v>
      </c>
      <c r="C848" s="1" t="n">
        <v>45472</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31251-2021</t>
        </is>
      </c>
      <c r="B849" s="1" t="n">
        <v>44368</v>
      </c>
      <c r="C849" s="1" t="n">
        <v>45472</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31419-2021</t>
        </is>
      </c>
      <c r="B850" s="1" t="n">
        <v>44368</v>
      </c>
      <c r="C850" s="1" t="n">
        <v>45472</v>
      </c>
      <c r="D850" t="inlineStr">
        <is>
          <t>VÄSTERBOTTENS LÄN</t>
        </is>
      </c>
      <c r="E850" t="inlineStr">
        <is>
          <t>SKELLEFTEÅ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31395-2021</t>
        </is>
      </c>
      <c r="B851" s="1" t="n">
        <v>44369</v>
      </c>
      <c r="C851" s="1" t="n">
        <v>45472</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31766-2021</t>
        </is>
      </c>
      <c r="B852" s="1" t="n">
        <v>44369</v>
      </c>
      <c r="C852" s="1" t="n">
        <v>45472</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32114-2021</t>
        </is>
      </c>
      <c r="B853" s="1" t="n">
        <v>44371</v>
      </c>
      <c r="C853" s="1" t="n">
        <v>45472</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32439-2021</t>
        </is>
      </c>
      <c r="B854" s="1" t="n">
        <v>44371</v>
      </c>
      <c r="C854" s="1" t="n">
        <v>45472</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32438-2021</t>
        </is>
      </c>
      <c r="B855" s="1" t="n">
        <v>44371</v>
      </c>
      <c r="C855" s="1" t="n">
        <v>45472</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32616-2021</t>
        </is>
      </c>
      <c r="B856" s="1" t="n">
        <v>44371</v>
      </c>
      <c r="C856" s="1" t="n">
        <v>45472</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32585-2021</t>
        </is>
      </c>
      <c r="B857" s="1" t="n">
        <v>44375</v>
      </c>
      <c r="C857" s="1" t="n">
        <v>45472</v>
      </c>
      <c r="D857" t="inlineStr">
        <is>
          <t>VÄSTERBOTTENS LÄN</t>
        </is>
      </c>
      <c r="E857" t="inlineStr">
        <is>
          <t>SKELLEFTEÅ</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32917-2021</t>
        </is>
      </c>
      <c r="B858" s="1" t="n">
        <v>44375</v>
      </c>
      <c r="C858" s="1" t="n">
        <v>45472</v>
      </c>
      <c r="D858" t="inlineStr">
        <is>
          <t>VÄSTERBOTTENS LÄN</t>
        </is>
      </c>
      <c r="E858" t="inlineStr">
        <is>
          <t>SKELLEFTEÅ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32964-2021</t>
        </is>
      </c>
      <c r="B859" s="1" t="n">
        <v>44376</v>
      </c>
      <c r="C859" s="1" t="n">
        <v>45472</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33236-2021</t>
        </is>
      </c>
      <c r="B860" s="1" t="n">
        <v>44376</v>
      </c>
      <c r="C860" s="1" t="n">
        <v>45472</v>
      </c>
      <c r="D860" t="inlineStr">
        <is>
          <t>VÄSTERBOTTENS LÄN</t>
        </is>
      </c>
      <c r="E860" t="inlineStr">
        <is>
          <t>SKELLEFTEÅ</t>
        </is>
      </c>
      <c r="G860" t="n">
        <v>5.4</v>
      </c>
      <c r="H860" t="n">
        <v>0</v>
      </c>
      <c r="I860" t="n">
        <v>0</v>
      </c>
      <c r="J860" t="n">
        <v>0</v>
      </c>
      <c r="K860" t="n">
        <v>0</v>
      </c>
      <c r="L860" t="n">
        <v>0</v>
      </c>
      <c r="M860" t="n">
        <v>0</v>
      </c>
      <c r="N860" t="n">
        <v>0</v>
      </c>
      <c r="O860" t="n">
        <v>0</v>
      </c>
      <c r="P860" t="n">
        <v>0</v>
      </c>
      <c r="Q860" t="n">
        <v>0</v>
      </c>
      <c r="R860" s="2" t="inlineStr"/>
    </row>
    <row r="861" ht="15" customHeight="1">
      <c r="A861" t="inlineStr">
        <is>
          <t>A 33283-2021</t>
        </is>
      </c>
      <c r="B861" s="1" t="n">
        <v>44377</v>
      </c>
      <c r="C861" s="1" t="n">
        <v>45472</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33284-2021</t>
        </is>
      </c>
      <c r="B862" s="1" t="n">
        <v>44377</v>
      </c>
      <c r="C862" s="1" t="n">
        <v>45472</v>
      </c>
      <c r="D862" t="inlineStr">
        <is>
          <t>VÄSTERBOTTENS LÄN</t>
        </is>
      </c>
      <c r="E862" t="inlineStr">
        <is>
          <t>SKELLEFTEÅ</t>
        </is>
      </c>
      <c r="G862" t="n">
        <v>3.6</v>
      </c>
      <c r="H862" t="n">
        <v>0</v>
      </c>
      <c r="I862" t="n">
        <v>0</v>
      </c>
      <c r="J862" t="n">
        <v>0</v>
      </c>
      <c r="K862" t="n">
        <v>0</v>
      </c>
      <c r="L862" t="n">
        <v>0</v>
      </c>
      <c r="M862" t="n">
        <v>0</v>
      </c>
      <c r="N862" t="n">
        <v>0</v>
      </c>
      <c r="O862" t="n">
        <v>0</v>
      </c>
      <c r="P862" t="n">
        <v>0</v>
      </c>
      <c r="Q862" t="n">
        <v>0</v>
      </c>
      <c r="R862" s="2" t="inlineStr"/>
    </row>
    <row r="863" ht="15" customHeight="1">
      <c r="A863" t="inlineStr">
        <is>
          <t>A 33373-2021</t>
        </is>
      </c>
      <c r="B863" s="1" t="n">
        <v>44377</v>
      </c>
      <c r="C863" s="1" t="n">
        <v>45472</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33473-2021</t>
        </is>
      </c>
      <c r="B864" s="1" t="n">
        <v>44377</v>
      </c>
      <c r="C864" s="1" t="n">
        <v>45472</v>
      </c>
      <c r="D864" t="inlineStr">
        <is>
          <t>VÄSTERBOTTENS LÄN</t>
        </is>
      </c>
      <c r="E864" t="inlineStr">
        <is>
          <t>SKELLEFTEÅ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33520-2021</t>
        </is>
      </c>
      <c r="B865" s="1" t="n">
        <v>44377</v>
      </c>
      <c r="C865" s="1" t="n">
        <v>45472</v>
      </c>
      <c r="D865" t="inlineStr">
        <is>
          <t>VÄSTERBOTTENS LÄN</t>
        </is>
      </c>
      <c r="E865" t="inlineStr">
        <is>
          <t>SKELLEFTEÅ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33576-2021</t>
        </is>
      </c>
      <c r="B866" s="1" t="n">
        <v>44378</v>
      </c>
      <c r="C866" s="1" t="n">
        <v>45472</v>
      </c>
      <c r="D866" t="inlineStr">
        <is>
          <t>VÄSTERBOTTENS LÄN</t>
        </is>
      </c>
      <c r="E866" t="inlineStr">
        <is>
          <t>SKELLEFTEÅ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33519-2021</t>
        </is>
      </c>
      <c r="B867" s="1" t="n">
        <v>44377</v>
      </c>
      <c r="C867" s="1" t="n">
        <v>45472</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33680-2021</t>
        </is>
      </c>
      <c r="B868" s="1" t="n">
        <v>44378</v>
      </c>
      <c r="C868" s="1" t="n">
        <v>45472</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33661-2021</t>
        </is>
      </c>
      <c r="B869" s="1" t="n">
        <v>44378</v>
      </c>
      <c r="C869" s="1" t="n">
        <v>45472</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33687-2021</t>
        </is>
      </c>
      <c r="B870" s="1" t="n">
        <v>44378</v>
      </c>
      <c r="C870" s="1" t="n">
        <v>45472</v>
      </c>
      <c r="D870" t="inlineStr">
        <is>
          <t>VÄSTERBOTTENS LÄN</t>
        </is>
      </c>
      <c r="E870" t="inlineStr">
        <is>
          <t>SKELLEFTEÅ</t>
        </is>
      </c>
      <c r="G870" t="n">
        <v>0.1</v>
      </c>
      <c r="H870" t="n">
        <v>0</v>
      </c>
      <c r="I870" t="n">
        <v>0</v>
      </c>
      <c r="J870" t="n">
        <v>0</v>
      </c>
      <c r="K870" t="n">
        <v>0</v>
      </c>
      <c r="L870" t="n">
        <v>0</v>
      </c>
      <c r="M870" t="n">
        <v>0</v>
      </c>
      <c r="N870" t="n">
        <v>0</v>
      </c>
      <c r="O870" t="n">
        <v>0</v>
      </c>
      <c r="P870" t="n">
        <v>0</v>
      </c>
      <c r="Q870" t="n">
        <v>0</v>
      </c>
      <c r="R870" s="2" t="inlineStr"/>
    </row>
    <row r="871" ht="15" customHeight="1">
      <c r="A871" t="inlineStr">
        <is>
          <t>A 33841-2021</t>
        </is>
      </c>
      <c r="B871" s="1" t="n">
        <v>44378</v>
      </c>
      <c r="C871" s="1" t="n">
        <v>45472</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34111-2021</t>
        </is>
      </c>
      <c r="B872" s="1" t="n">
        <v>44379</v>
      </c>
      <c r="C872" s="1" t="n">
        <v>45472</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34633-2021</t>
        </is>
      </c>
      <c r="B873" s="1" t="n">
        <v>44382</v>
      </c>
      <c r="C873" s="1" t="n">
        <v>45472</v>
      </c>
      <c r="D873" t="inlineStr">
        <is>
          <t>VÄSTERBOTTENS LÄN</t>
        </is>
      </c>
      <c r="E873" t="inlineStr">
        <is>
          <t>SKELLEFTEÅ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34773-2021</t>
        </is>
      </c>
      <c r="B874" s="1" t="n">
        <v>44382</v>
      </c>
      <c r="C874" s="1" t="n">
        <v>45472</v>
      </c>
      <c r="D874" t="inlineStr">
        <is>
          <t>VÄSTERBOTTENS LÄN</t>
        </is>
      </c>
      <c r="E874" t="inlineStr">
        <is>
          <t>SKELLEFTEÅ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35049-2021</t>
        </is>
      </c>
      <c r="B875" s="1" t="n">
        <v>44384</v>
      </c>
      <c r="C875" s="1" t="n">
        <v>45472</v>
      </c>
      <c r="D875" t="inlineStr">
        <is>
          <t>VÄSTERBOTTENS LÄN</t>
        </is>
      </c>
      <c r="E875" t="inlineStr">
        <is>
          <t>SKELLEFTEÅ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35087-2021</t>
        </is>
      </c>
      <c r="B876" s="1" t="n">
        <v>44383</v>
      </c>
      <c r="C876" s="1" t="n">
        <v>45472</v>
      </c>
      <c r="D876" t="inlineStr">
        <is>
          <t>VÄSTERBOTTENS LÄN</t>
        </is>
      </c>
      <c r="E876" t="inlineStr">
        <is>
          <t>SKELLEFTEÅ</t>
        </is>
      </c>
      <c r="G876" t="n">
        <v>7</v>
      </c>
      <c r="H876" t="n">
        <v>0</v>
      </c>
      <c r="I876" t="n">
        <v>0</v>
      </c>
      <c r="J876" t="n">
        <v>0</v>
      </c>
      <c r="K876" t="n">
        <v>0</v>
      </c>
      <c r="L876" t="n">
        <v>0</v>
      </c>
      <c r="M876" t="n">
        <v>0</v>
      </c>
      <c r="N876" t="n">
        <v>0</v>
      </c>
      <c r="O876" t="n">
        <v>0</v>
      </c>
      <c r="P876" t="n">
        <v>0</v>
      </c>
      <c r="Q876" t="n">
        <v>0</v>
      </c>
      <c r="R876" s="2" t="inlineStr"/>
    </row>
    <row r="877" ht="15" customHeight="1">
      <c r="A877" t="inlineStr">
        <is>
          <t>A 35078-2021</t>
        </is>
      </c>
      <c r="B877" s="1" t="n">
        <v>44384</v>
      </c>
      <c r="C877" s="1" t="n">
        <v>45472</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35442-2021</t>
        </is>
      </c>
      <c r="B878" s="1" t="n">
        <v>44384</v>
      </c>
      <c r="C878" s="1" t="n">
        <v>45472</v>
      </c>
      <c r="D878" t="inlineStr">
        <is>
          <t>VÄSTERBOTTENS LÄN</t>
        </is>
      </c>
      <c r="E878" t="inlineStr">
        <is>
          <t>SKELLEFTEÅ</t>
        </is>
      </c>
      <c r="G878" t="n">
        <v>1.6</v>
      </c>
      <c r="H878" t="n">
        <v>0</v>
      </c>
      <c r="I878" t="n">
        <v>0</v>
      </c>
      <c r="J878" t="n">
        <v>0</v>
      </c>
      <c r="K878" t="n">
        <v>0</v>
      </c>
      <c r="L878" t="n">
        <v>0</v>
      </c>
      <c r="M878" t="n">
        <v>0</v>
      </c>
      <c r="N878" t="n">
        <v>0</v>
      </c>
      <c r="O878" t="n">
        <v>0</v>
      </c>
      <c r="P878" t="n">
        <v>0</v>
      </c>
      <c r="Q878" t="n">
        <v>0</v>
      </c>
      <c r="R878" s="2" t="inlineStr"/>
    </row>
    <row r="879" ht="15" customHeight="1">
      <c r="A879" t="inlineStr">
        <is>
          <t>A 35435-2021</t>
        </is>
      </c>
      <c r="B879" s="1" t="n">
        <v>44385</v>
      </c>
      <c r="C879" s="1" t="n">
        <v>45472</v>
      </c>
      <c r="D879" t="inlineStr">
        <is>
          <t>VÄSTERBOTTENS LÄN</t>
        </is>
      </c>
      <c r="E879" t="inlineStr">
        <is>
          <t>SKELLEFTEÅ</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35578-2021</t>
        </is>
      </c>
      <c r="B880" s="1" t="n">
        <v>44386</v>
      </c>
      <c r="C880" s="1" t="n">
        <v>45472</v>
      </c>
      <c r="D880" t="inlineStr">
        <is>
          <t>VÄSTERBOTTENS LÄN</t>
        </is>
      </c>
      <c r="E880" t="inlineStr">
        <is>
          <t>SKELLEFTEÅ</t>
        </is>
      </c>
      <c r="F880" t="inlineStr">
        <is>
          <t>Sveaskog</t>
        </is>
      </c>
      <c r="G880" t="n">
        <v>15.5</v>
      </c>
      <c r="H880" t="n">
        <v>0</v>
      </c>
      <c r="I880" t="n">
        <v>0</v>
      </c>
      <c r="J880" t="n">
        <v>0</v>
      </c>
      <c r="K880" t="n">
        <v>0</v>
      </c>
      <c r="L880" t="n">
        <v>0</v>
      </c>
      <c r="M880" t="n">
        <v>0</v>
      </c>
      <c r="N880" t="n">
        <v>0</v>
      </c>
      <c r="O880" t="n">
        <v>0</v>
      </c>
      <c r="P880" t="n">
        <v>0</v>
      </c>
      <c r="Q880" t="n">
        <v>0</v>
      </c>
      <c r="R880" s="2" t="inlineStr"/>
    </row>
    <row r="881" ht="15" customHeight="1">
      <c r="A881" t="inlineStr">
        <is>
          <t>A 35650-2021</t>
        </is>
      </c>
      <c r="B881" s="1" t="n">
        <v>44386</v>
      </c>
      <c r="C881" s="1" t="n">
        <v>45472</v>
      </c>
      <c r="D881" t="inlineStr">
        <is>
          <t>VÄSTERBOTTENS LÄN</t>
        </is>
      </c>
      <c r="E881" t="inlineStr">
        <is>
          <t>SKELLEFTEÅ</t>
        </is>
      </c>
      <c r="F881" t="inlineStr">
        <is>
          <t>Holmen skog AB</t>
        </is>
      </c>
      <c r="G881" t="n">
        <v>5.5</v>
      </c>
      <c r="H881" t="n">
        <v>0</v>
      </c>
      <c r="I881" t="n">
        <v>0</v>
      </c>
      <c r="J881" t="n">
        <v>0</v>
      </c>
      <c r="K881" t="n">
        <v>0</v>
      </c>
      <c r="L881" t="n">
        <v>0</v>
      </c>
      <c r="M881" t="n">
        <v>0</v>
      </c>
      <c r="N881" t="n">
        <v>0</v>
      </c>
      <c r="O881" t="n">
        <v>0</v>
      </c>
      <c r="P881" t="n">
        <v>0</v>
      </c>
      <c r="Q881" t="n">
        <v>0</v>
      </c>
      <c r="R881" s="2" t="inlineStr"/>
    </row>
    <row r="882" ht="15" customHeight="1">
      <c r="A882" t="inlineStr">
        <is>
          <t>A 36086-2021</t>
        </is>
      </c>
      <c r="B882" s="1" t="n">
        <v>44386</v>
      </c>
      <c r="C882" s="1" t="n">
        <v>45472</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36564-2021</t>
        </is>
      </c>
      <c r="B883" s="1" t="n">
        <v>44391</v>
      </c>
      <c r="C883" s="1" t="n">
        <v>45472</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36588-2021</t>
        </is>
      </c>
      <c r="B884" s="1" t="n">
        <v>44391</v>
      </c>
      <c r="C884" s="1" t="n">
        <v>45472</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36603-2021</t>
        </is>
      </c>
      <c r="B885" s="1" t="n">
        <v>44391</v>
      </c>
      <c r="C885" s="1" t="n">
        <v>45472</v>
      </c>
      <c r="D885" t="inlineStr">
        <is>
          <t>VÄSTERBOTTENS LÄN</t>
        </is>
      </c>
      <c r="E885" t="inlineStr">
        <is>
          <t>SKELLEFTEÅ</t>
        </is>
      </c>
      <c r="G885" t="n">
        <v>2.7</v>
      </c>
      <c r="H885" t="n">
        <v>0</v>
      </c>
      <c r="I885" t="n">
        <v>0</v>
      </c>
      <c r="J885" t="n">
        <v>0</v>
      </c>
      <c r="K885" t="n">
        <v>0</v>
      </c>
      <c r="L885" t="n">
        <v>0</v>
      </c>
      <c r="M885" t="n">
        <v>0</v>
      </c>
      <c r="N885" t="n">
        <v>0</v>
      </c>
      <c r="O885" t="n">
        <v>0</v>
      </c>
      <c r="P885" t="n">
        <v>0</v>
      </c>
      <c r="Q885" t="n">
        <v>0</v>
      </c>
      <c r="R885" s="2" t="inlineStr"/>
    </row>
    <row r="886" ht="15" customHeight="1">
      <c r="A886" t="inlineStr">
        <is>
          <t>A 36609-2021</t>
        </is>
      </c>
      <c r="B886" s="1" t="n">
        <v>44391</v>
      </c>
      <c r="C886" s="1" t="n">
        <v>45472</v>
      </c>
      <c r="D886" t="inlineStr">
        <is>
          <t>VÄSTERBOTTENS LÄN</t>
        </is>
      </c>
      <c r="E886" t="inlineStr">
        <is>
          <t>SKELLEFTEÅ</t>
        </is>
      </c>
      <c r="G886" t="n">
        <v>10.6</v>
      </c>
      <c r="H886" t="n">
        <v>0</v>
      </c>
      <c r="I886" t="n">
        <v>0</v>
      </c>
      <c r="J886" t="n">
        <v>0</v>
      </c>
      <c r="K886" t="n">
        <v>0</v>
      </c>
      <c r="L886" t="n">
        <v>0</v>
      </c>
      <c r="M886" t="n">
        <v>0</v>
      </c>
      <c r="N886" t="n">
        <v>0</v>
      </c>
      <c r="O886" t="n">
        <v>0</v>
      </c>
      <c r="P886" t="n">
        <v>0</v>
      </c>
      <c r="Q886" t="n">
        <v>0</v>
      </c>
      <c r="R886" s="2" t="inlineStr"/>
    </row>
    <row r="887" ht="15" customHeight="1">
      <c r="A887" t="inlineStr">
        <is>
          <t>A 37210-2021</t>
        </is>
      </c>
      <c r="B887" s="1" t="n">
        <v>44396</v>
      </c>
      <c r="C887" s="1" t="n">
        <v>45472</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37211-2021</t>
        </is>
      </c>
      <c r="B888" s="1" t="n">
        <v>44396</v>
      </c>
      <c r="C888" s="1" t="n">
        <v>45472</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37208-2021</t>
        </is>
      </c>
      <c r="B889" s="1" t="n">
        <v>44396</v>
      </c>
      <c r="C889" s="1" t="n">
        <v>45472</v>
      </c>
      <c r="D889" t="inlineStr">
        <is>
          <t>VÄSTERBOTTENS LÄN</t>
        </is>
      </c>
      <c r="E889" t="inlineStr">
        <is>
          <t>SKELLEFTEÅ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37498-2021</t>
        </is>
      </c>
      <c r="B890" s="1" t="n">
        <v>44399</v>
      </c>
      <c r="C890" s="1" t="n">
        <v>45472</v>
      </c>
      <c r="D890" t="inlineStr">
        <is>
          <t>VÄSTERBOTTENS LÄN</t>
        </is>
      </c>
      <c r="E890" t="inlineStr">
        <is>
          <t>SKELLEFTEÅ</t>
        </is>
      </c>
      <c r="G890" t="n">
        <v>12.8</v>
      </c>
      <c r="H890" t="n">
        <v>0</v>
      </c>
      <c r="I890" t="n">
        <v>0</v>
      </c>
      <c r="J890" t="n">
        <v>0</v>
      </c>
      <c r="K890" t="n">
        <v>0</v>
      </c>
      <c r="L890" t="n">
        <v>0</v>
      </c>
      <c r="M890" t="n">
        <v>0</v>
      </c>
      <c r="N890" t="n">
        <v>0</v>
      </c>
      <c r="O890" t="n">
        <v>0</v>
      </c>
      <c r="P890" t="n">
        <v>0</v>
      </c>
      <c r="Q890" t="n">
        <v>0</v>
      </c>
      <c r="R890" s="2" t="inlineStr"/>
    </row>
    <row r="891" ht="15" customHeight="1">
      <c r="A891" t="inlineStr">
        <is>
          <t>A 37792-2021</t>
        </is>
      </c>
      <c r="B891" s="1" t="n">
        <v>44401</v>
      </c>
      <c r="C891" s="1" t="n">
        <v>45472</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37937-2021</t>
        </is>
      </c>
      <c r="B892" s="1" t="n">
        <v>44403</v>
      </c>
      <c r="C892" s="1" t="n">
        <v>45472</v>
      </c>
      <c r="D892" t="inlineStr">
        <is>
          <t>VÄSTERBOTTENS LÄN</t>
        </is>
      </c>
      <c r="E892" t="inlineStr">
        <is>
          <t>SKELLEFTEÅ</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37938-2021</t>
        </is>
      </c>
      <c r="B893" s="1" t="n">
        <v>44403</v>
      </c>
      <c r="C893" s="1" t="n">
        <v>45472</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38026-2021</t>
        </is>
      </c>
      <c r="B894" s="1" t="n">
        <v>44404</v>
      </c>
      <c r="C894" s="1" t="n">
        <v>45472</v>
      </c>
      <c r="D894" t="inlineStr">
        <is>
          <t>VÄSTERBOTTENS LÄN</t>
        </is>
      </c>
      <c r="E894" t="inlineStr">
        <is>
          <t>SKELLEFTEÅ</t>
        </is>
      </c>
      <c r="F894" t="inlineStr">
        <is>
          <t>Holmen skog AB</t>
        </is>
      </c>
      <c r="G894" t="n">
        <v>7.8</v>
      </c>
      <c r="H894" t="n">
        <v>0</v>
      </c>
      <c r="I894" t="n">
        <v>0</v>
      </c>
      <c r="J894" t="n">
        <v>0</v>
      </c>
      <c r="K894" t="n">
        <v>0</v>
      </c>
      <c r="L894" t="n">
        <v>0</v>
      </c>
      <c r="M894" t="n">
        <v>0</v>
      </c>
      <c r="N894" t="n">
        <v>0</v>
      </c>
      <c r="O894" t="n">
        <v>0</v>
      </c>
      <c r="P894" t="n">
        <v>0</v>
      </c>
      <c r="Q894" t="n">
        <v>0</v>
      </c>
      <c r="R894" s="2" t="inlineStr"/>
    </row>
    <row r="895" ht="15" customHeight="1">
      <c r="A895" t="inlineStr">
        <is>
          <t>A 38260-2021</t>
        </is>
      </c>
      <c r="B895" s="1" t="n">
        <v>44405</v>
      </c>
      <c r="C895" s="1" t="n">
        <v>45472</v>
      </c>
      <c r="D895" t="inlineStr">
        <is>
          <t>VÄSTERBOTTENS LÄN</t>
        </is>
      </c>
      <c r="E895" t="inlineStr">
        <is>
          <t>SKELLEFTEÅ</t>
        </is>
      </c>
      <c r="G895" t="n">
        <v>8.5</v>
      </c>
      <c r="H895" t="n">
        <v>0</v>
      </c>
      <c r="I895" t="n">
        <v>0</v>
      </c>
      <c r="J895" t="n">
        <v>0</v>
      </c>
      <c r="K895" t="n">
        <v>0</v>
      </c>
      <c r="L895" t="n">
        <v>0</v>
      </c>
      <c r="M895" t="n">
        <v>0</v>
      </c>
      <c r="N895" t="n">
        <v>0</v>
      </c>
      <c r="O895" t="n">
        <v>0</v>
      </c>
      <c r="P895" t="n">
        <v>0</v>
      </c>
      <c r="Q895" t="n">
        <v>0</v>
      </c>
      <c r="R895" s="2" t="inlineStr"/>
    </row>
    <row r="896" ht="15" customHeight="1">
      <c r="A896" t="inlineStr">
        <is>
          <t>A 38504-2021</t>
        </is>
      </c>
      <c r="B896" s="1" t="n">
        <v>44407</v>
      </c>
      <c r="C896" s="1" t="n">
        <v>45472</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38506-2021</t>
        </is>
      </c>
      <c r="B897" s="1" t="n">
        <v>44407</v>
      </c>
      <c r="C897" s="1" t="n">
        <v>45472</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38505-2021</t>
        </is>
      </c>
      <c r="B898" s="1" t="n">
        <v>44407</v>
      </c>
      <c r="C898" s="1" t="n">
        <v>45472</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39035-2021</t>
        </is>
      </c>
      <c r="B899" s="1" t="n">
        <v>44411</v>
      </c>
      <c r="C899" s="1" t="n">
        <v>45472</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39623-2021</t>
        </is>
      </c>
      <c r="B900" s="1" t="n">
        <v>44413</v>
      </c>
      <c r="C900" s="1" t="n">
        <v>45472</v>
      </c>
      <c r="D900" t="inlineStr">
        <is>
          <t>VÄSTERBOTTENS LÄN</t>
        </is>
      </c>
      <c r="E900" t="inlineStr">
        <is>
          <t>SKELLEFTEÅ</t>
        </is>
      </c>
      <c r="G900" t="n">
        <v>2.5</v>
      </c>
      <c r="H900" t="n">
        <v>0</v>
      </c>
      <c r="I900" t="n">
        <v>0</v>
      </c>
      <c r="J900" t="n">
        <v>0</v>
      </c>
      <c r="K900" t="n">
        <v>0</v>
      </c>
      <c r="L900" t="n">
        <v>0</v>
      </c>
      <c r="M900" t="n">
        <v>0</v>
      </c>
      <c r="N900" t="n">
        <v>0</v>
      </c>
      <c r="O900" t="n">
        <v>0</v>
      </c>
      <c r="P900" t="n">
        <v>0</v>
      </c>
      <c r="Q900" t="n">
        <v>0</v>
      </c>
      <c r="R900" s="2" t="inlineStr"/>
    </row>
    <row r="901" ht="15" customHeight="1">
      <c r="A901" t="inlineStr">
        <is>
          <t>A 39185-2021</t>
        </is>
      </c>
      <c r="B901" s="1" t="n">
        <v>44413</v>
      </c>
      <c r="C901" s="1" t="n">
        <v>45472</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39277-2021</t>
        </is>
      </c>
      <c r="B902" s="1" t="n">
        <v>44413</v>
      </c>
      <c r="C902" s="1" t="n">
        <v>45472</v>
      </c>
      <c r="D902" t="inlineStr">
        <is>
          <t>VÄSTERBOTTENS LÄN</t>
        </is>
      </c>
      <c r="E902" t="inlineStr">
        <is>
          <t>SKELLEFTEÅ</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39192-2021</t>
        </is>
      </c>
      <c r="B903" s="1" t="n">
        <v>44413</v>
      </c>
      <c r="C903" s="1" t="n">
        <v>45472</v>
      </c>
      <c r="D903" t="inlineStr">
        <is>
          <t>VÄSTERBOTTENS LÄN</t>
        </is>
      </c>
      <c r="E903" t="inlineStr">
        <is>
          <t>SKELLEFTEÅ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39226-2021</t>
        </is>
      </c>
      <c r="B904" s="1" t="n">
        <v>44413</v>
      </c>
      <c r="C904" s="1" t="n">
        <v>45472</v>
      </c>
      <c r="D904" t="inlineStr">
        <is>
          <t>VÄSTERBOTTENS LÄN</t>
        </is>
      </c>
      <c r="E904" t="inlineStr">
        <is>
          <t>SKELLEFTEÅ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39589-2021</t>
        </is>
      </c>
      <c r="B905" s="1" t="n">
        <v>44413</v>
      </c>
      <c r="C905" s="1" t="n">
        <v>45472</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39590-2021</t>
        </is>
      </c>
      <c r="B906" s="1" t="n">
        <v>44413</v>
      </c>
      <c r="C906" s="1" t="n">
        <v>45472</v>
      </c>
      <c r="D906" t="inlineStr">
        <is>
          <t>VÄSTERBOTTENS LÄN</t>
        </is>
      </c>
      <c r="E906" t="inlineStr">
        <is>
          <t>SKELLEFTEÅ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45472</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39827-2021</t>
        </is>
      </c>
      <c r="B908" s="1" t="n">
        <v>44417</v>
      </c>
      <c r="C908" s="1" t="n">
        <v>45472</v>
      </c>
      <c r="D908" t="inlineStr">
        <is>
          <t>VÄSTERBOTTENS LÄN</t>
        </is>
      </c>
      <c r="E908" t="inlineStr">
        <is>
          <t>SKELLEFTEÅ</t>
        </is>
      </c>
      <c r="G908" t="n">
        <v>3.8</v>
      </c>
      <c r="H908" t="n">
        <v>0</v>
      </c>
      <c r="I908" t="n">
        <v>0</v>
      </c>
      <c r="J908" t="n">
        <v>0</v>
      </c>
      <c r="K908" t="n">
        <v>0</v>
      </c>
      <c r="L908" t="n">
        <v>0</v>
      </c>
      <c r="M908" t="n">
        <v>0</v>
      </c>
      <c r="N908" t="n">
        <v>0</v>
      </c>
      <c r="O908" t="n">
        <v>0</v>
      </c>
      <c r="P908" t="n">
        <v>0</v>
      </c>
      <c r="Q908" t="n">
        <v>0</v>
      </c>
      <c r="R908" s="2" t="inlineStr"/>
    </row>
    <row r="909" ht="15" customHeight="1">
      <c r="A909" t="inlineStr">
        <is>
          <t>A 40683-2021</t>
        </is>
      </c>
      <c r="B909" s="1" t="n">
        <v>44420</v>
      </c>
      <c r="C909" s="1" t="n">
        <v>45472</v>
      </c>
      <c r="D909" t="inlineStr">
        <is>
          <t>VÄSTERBOTTENS LÄN</t>
        </is>
      </c>
      <c r="E909" t="inlineStr">
        <is>
          <t>SKELLEFTEÅ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40828-2021</t>
        </is>
      </c>
      <c r="B910" s="1" t="n">
        <v>44421</v>
      </c>
      <c r="C910" s="1" t="n">
        <v>45472</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40906-2021</t>
        </is>
      </c>
      <c r="B911" s="1" t="n">
        <v>44421</v>
      </c>
      <c r="C911" s="1" t="n">
        <v>45472</v>
      </c>
      <c r="D911" t="inlineStr">
        <is>
          <t>VÄSTERBOTTENS LÄN</t>
        </is>
      </c>
      <c r="E911" t="inlineStr">
        <is>
          <t>SKELLEFTEÅ</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40929-2021</t>
        </is>
      </c>
      <c r="B912" s="1" t="n">
        <v>44421</v>
      </c>
      <c r="C912" s="1" t="n">
        <v>45472</v>
      </c>
      <c r="D912" t="inlineStr">
        <is>
          <t>VÄSTERBOTTENS LÄN</t>
        </is>
      </c>
      <c r="E912" t="inlineStr">
        <is>
          <t>SKELLEFTEÅ</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40898-2021</t>
        </is>
      </c>
      <c r="B913" s="1" t="n">
        <v>44421</v>
      </c>
      <c r="C913" s="1" t="n">
        <v>45472</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41464-2021</t>
        </is>
      </c>
      <c r="B914" s="1" t="n">
        <v>44424</v>
      </c>
      <c r="C914" s="1" t="n">
        <v>45472</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41507-2021</t>
        </is>
      </c>
      <c r="B915" s="1" t="n">
        <v>44425</v>
      </c>
      <c r="C915" s="1" t="n">
        <v>45472</v>
      </c>
      <c r="D915" t="inlineStr">
        <is>
          <t>VÄSTERBOTTENS LÄN</t>
        </is>
      </c>
      <c r="E915" t="inlineStr">
        <is>
          <t>SKELLEFTEÅ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42057-2021</t>
        </is>
      </c>
      <c r="B916" s="1" t="n">
        <v>44426</v>
      </c>
      <c r="C916" s="1" t="n">
        <v>45472</v>
      </c>
      <c r="D916" t="inlineStr">
        <is>
          <t>VÄSTERBOTTENS LÄN</t>
        </is>
      </c>
      <c r="E916" t="inlineStr">
        <is>
          <t>SKELLEFTEÅ</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41993-2021</t>
        </is>
      </c>
      <c r="B917" s="1" t="n">
        <v>44426</v>
      </c>
      <c r="C917" s="1" t="n">
        <v>45472</v>
      </c>
      <c r="D917" t="inlineStr">
        <is>
          <t>VÄSTERBOTTENS LÄN</t>
        </is>
      </c>
      <c r="E917" t="inlineStr">
        <is>
          <t>SKELLEFTEÅ</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42026-2021</t>
        </is>
      </c>
      <c r="B918" s="1" t="n">
        <v>44426</v>
      </c>
      <c r="C918" s="1" t="n">
        <v>45472</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42323-2021</t>
        </is>
      </c>
      <c r="B919" s="1" t="n">
        <v>44426</v>
      </c>
      <c r="C919" s="1" t="n">
        <v>45472</v>
      </c>
      <c r="D919" t="inlineStr">
        <is>
          <t>VÄSTERBOTTENS LÄN</t>
        </is>
      </c>
      <c r="E919" t="inlineStr">
        <is>
          <t>SKELLEFTEÅ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42367-2021</t>
        </is>
      </c>
      <c r="B920" s="1" t="n">
        <v>44427</v>
      </c>
      <c r="C920" s="1" t="n">
        <v>45472</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42557-2021</t>
        </is>
      </c>
      <c r="B921" s="1" t="n">
        <v>44428</v>
      </c>
      <c r="C921" s="1" t="n">
        <v>45472</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42609-2021</t>
        </is>
      </c>
      <c r="B922" s="1" t="n">
        <v>44428</v>
      </c>
      <c r="C922" s="1" t="n">
        <v>45472</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43228-2021</t>
        </is>
      </c>
      <c r="B923" s="1" t="n">
        <v>44432</v>
      </c>
      <c r="C923" s="1" t="n">
        <v>45472</v>
      </c>
      <c r="D923" t="inlineStr">
        <is>
          <t>VÄSTERBOTTENS LÄN</t>
        </is>
      </c>
      <c r="E923" t="inlineStr">
        <is>
          <t>SKELLEFTEÅ</t>
        </is>
      </c>
      <c r="G923" t="n">
        <v>10.6</v>
      </c>
      <c r="H923" t="n">
        <v>0</v>
      </c>
      <c r="I923" t="n">
        <v>0</v>
      </c>
      <c r="J923" t="n">
        <v>0</v>
      </c>
      <c r="K923" t="n">
        <v>0</v>
      </c>
      <c r="L923" t="n">
        <v>0</v>
      </c>
      <c r="M923" t="n">
        <v>0</v>
      </c>
      <c r="N923" t="n">
        <v>0</v>
      </c>
      <c r="O923" t="n">
        <v>0</v>
      </c>
      <c r="P923" t="n">
        <v>0</v>
      </c>
      <c r="Q923" t="n">
        <v>0</v>
      </c>
      <c r="R923" s="2" t="inlineStr"/>
    </row>
    <row r="924" ht="15" customHeight="1">
      <c r="A924" t="inlineStr">
        <is>
          <t>A 43252-2021</t>
        </is>
      </c>
      <c r="B924" s="1" t="n">
        <v>44432</v>
      </c>
      <c r="C924" s="1" t="n">
        <v>45472</v>
      </c>
      <c r="D924" t="inlineStr">
        <is>
          <t>VÄSTERBOTTENS LÄN</t>
        </is>
      </c>
      <c r="E924" t="inlineStr">
        <is>
          <t>SKELLEFTEÅ</t>
        </is>
      </c>
      <c r="G924" t="n">
        <v>2.3</v>
      </c>
      <c r="H924" t="n">
        <v>0</v>
      </c>
      <c r="I924" t="n">
        <v>0</v>
      </c>
      <c r="J924" t="n">
        <v>0</v>
      </c>
      <c r="K924" t="n">
        <v>0</v>
      </c>
      <c r="L924" t="n">
        <v>0</v>
      </c>
      <c r="M924" t="n">
        <v>0</v>
      </c>
      <c r="N924" t="n">
        <v>0</v>
      </c>
      <c r="O924" t="n">
        <v>0</v>
      </c>
      <c r="P924" t="n">
        <v>0</v>
      </c>
      <c r="Q924" t="n">
        <v>0</v>
      </c>
      <c r="R924" s="2" t="inlineStr"/>
    </row>
    <row r="925" ht="15" customHeight="1">
      <c r="A925" t="inlineStr">
        <is>
          <t>A 43863-2021</t>
        </is>
      </c>
      <c r="B925" s="1" t="n">
        <v>44433</v>
      </c>
      <c r="C925" s="1" t="n">
        <v>45472</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44090-2021</t>
        </is>
      </c>
      <c r="B926" s="1" t="n">
        <v>44434</v>
      </c>
      <c r="C926" s="1" t="n">
        <v>45472</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44570-2021</t>
        </is>
      </c>
      <c r="B927" s="1" t="n">
        <v>44435</v>
      </c>
      <c r="C927" s="1" t="n">
        <v>45472</v>
      </c>
      <c r="D927" t="inlineStr">
        <is>
          <t>VÄSTERBOTTENS LÄN</t>
        </is>
      </c>
      <c r="E927" t="inlineStr">
        <is>
          <t>SKELLEFTEÅ</t>
        </is>
      </c>
      <c r="F927" t="inlineStr">
        <is>
          <t>Sveaskog</t>
        </is>
      </c>
      <c r="G927" t="n">
        <v>11.4</v>
      </c>
      <c r="H927" t="n">
        <v>0</v>
      </c>
      <c r="I927" t="n">
        <v>0</v>
      </c>
      <c r="J927" t="n">
        <v>0</v>
      </c>
      <c r="K927" t="n">
        <v>0</v>
      </c>
      <c r="L927" t="n">
        <v>0</v>
      </c>
      <c r="M927" t="n">
        <v>0</v>
      </c>
      <c r="N927" t="n">
        <v>0</v>
      </c>
      <c r="O927" t="n">
        <v>0</v>
      </c>
      <c r="P927" t="n">
        <v>0</v>
      </c>
      <c r="Q927" t="n">
        <v>0</v>
      </c>
      <c r="R927" s="2" t="inlineStr"/>
    </row>
    <row r="928" ht="15" customHeight="1">
      <c r="A928" t="inlineStr">
        <is>
          <t>A 45043-2021</t>
        </is>
      </c>
      <c r="B928" s="1" t="n">
        <v>44438</v>
      </c>
      <c r="C928" s="1" t="n">
        <v>45472</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45036-2021</t>
        </is>
      </c>
      <c r="B929" s="1" t="n">
        <v>44438</v>
      </c>
      <c r="C929" s="1" t="n">
        <v>45472</v>
      </c>
      <c r="D929" t="inlineStr">
        <is>
          <t>VÄSTERBOTTENS LÄN</t>
        </is>
      </c>
      <c r="E929" t="inlineStr">
        <is>
          <t>SKELLEFTEÅ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45384-2021</t>
        </is>
      </c>
      <c r="B930" s="1" t="n">
        <v>44440</v>
      </c>
      <c r="C930" s="1" t="n">
        <v>45472</v>
      </c>
      <c r="D930" t="inlineStr">
        <is>
          <t>VÄSTERBOTTENS LÄN</t>
        </is>
      </c>
      <c r="E930" t="inlineStr">
        <is>
          <t>SKELLEFTEÅ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45406-2021</t>
        </is>
      </c>
      <c r="B931" s="1" t="n">
        <v>44440</v>
      </c>
      <c r="C931" s="1" t="n">
        <v>45472</v>
      </c>
      <c r="D931" t="inlineStr">
        <is>
          <t>VÄSTERBOTTENS LÄN</t>
        </is>
      </c>
      <c r="E931" t="inlineStr">
        <is>
          <t>SKELLEFTEÅ</t>
        </is>
      </c>
      <c r="G931" t="n">
        <v>3.3</v>
      </c>
      <c r="H931" t="n">
        <v>0</v>
      </c>
      <c r="I931" t="n">
        <v>0</v>
      </c>
      <c r="J931" t="n">
        <v>0</v>
      </c>
      <c r="K931" t="n">
        <v>0</v>
      </c>
      <c r="L931" t="n">
        <v>0</v>
      </c>
      <c r="M931" t="n">
        <v>0</v>
      </c>
      <c r="N931" t="n">
        <v>0</v>
      </c>
      <c r="O931" t="n">
        <v>0</v>
      </c>
      <c r="P931" t="n">
        <v>0</v>
      </c>
      <c r="Q931" t="n">
        <v>0</v>
      </c>
      <c r="R931" s="2" t="inlineStr"/>
    </row>
    <row r="932" ht="15" customHeight="1">
      <c r="A932" t="inlineStr">
        <is>
          <t>A 45389-2021</t>
        </is>
      </c>
      <c r="B932" s="1" t="n">
        <v>44440</v>
      </c>
      <c r="C932" s="1" t="n">
        <v>45472</v>
      </c>
      <c r="D932" t="inlineStr">
        <is>
          <t>VÄSTERBOTTENS LÄN</t>
        </is>
      </c>
      <c r="E932" t="inlineStr">
        <is>
          <t>SKELLEFTEÅ</t>
        </is>
      </c>
      <c r="G932" t="n">
        <v>0.3</v>
      </c>
      <c r="H932" t="n">
        <v>0</v>
      </c>
      <c r="I932" t="n">
        <v>0</v>
      </c>
      <c r="J932" t="n">
        <v>0</v>
      </c>
      <c r="K932" t="n">
        <v>0</v>
      </c>
      <c r="L932" t="n">
        <v>0</v>
      </c>
      <c r="M932" t="n">
        <v>0</v>
      </c>
      <c r="N932" t="n">
        <v>0</v>
      </c>
      <c r="O932" t="n">
        <v>0</v>
      </c>
      <c r="P932" t="n">
        <v>0</v>
      </c>
      <c r="Q932" t="n">
        <v>0</v>
      </c>
      <c r="R932" s="2" t="inlineStr"/>
    </row>
    <row r="933" ht="15" customHeight="1">
      <c r="A933" t="inlineStr">
        <is>
          <t>A 46005-2021</t>
        </is>
      </c>
      <c r="B933" s="1" t="n">
        <v>44441</v>
      </c>
      <c r="C933" s="1" t="n">
        <v>45472</v>
      </c>
      <c r="D933" t="inlineStr">
        <is>
          <t>VÄSTERBOTTENS LÄN</t>
        </is>
      </c>
      <c r="E933" t="inlineStr">
        <is>
          <t>SKELLEFTEÅ</t>
        </is>
      </c>
      <c r="G933" t="n">
        <v>2.9</v>
      </c>
      <c r="H933" t="n">
        <v>0</v>
      </c>
      <c r="I933" t="n">
        <v>0</v>
      </c>
      <c r="J933" t="n">
        <v>0</v>
      </c>
      <c r="K933" t="n">
        <v>0</v>
      </c>
      <c r="L933" t="n">
        <v>0</v>
      </c>
      <c r="M933" t="n">
        <v>0</v>
      </c>
      <c r="N933" t="n">
        <v>0</v>
      </c>
      <c r="O933" t="n">
        <v>0</v>
      </c>
      <c r="P933" t="n">
        <v>0</v>
      </c>
      <c r="Q933" t="n">
        <v>0</v>
      </c>
      <c r="R933" s="2" t="inlineStr"/>
    </row>
    <row r="934" ht="15" customHeight="1">
      <c r="A934" t="inlineStr">
        <is>
          <t>A 46006-2021</t>
        </is>
      </c>
      <c r="B934" s="1" t="n">
        <v>44441</v>
      </c>
      <c r="C934" s="1" t="n">
        <v>45472</v>
      </c>
      <c r="D934" t="inlineStr">
        <is>
          <t>VÄSTERBOTTENS LÄN</t>
        </is>
      </c>
      <c r="E934" t="inlineStr">
        <is>
          <t>SKELLEFTEÅ</t>
        </is>
      </c>
      <c r="G934" t="n">
        <v>6.1</v>
      </c>
      <c r="H934" t="n">
        <v>0</v>
      </c>
      <c r="I934" t="n">
        <v>0</v>
      </c>
      <c r="J934" t="n">
        <v>0</v>
      </c>
      <c r="K934" t="n">
        <v>0</v>
      </c>
      <c r="L934" t="n">
        <v>0</v>
      </c>
      <c r="M934" t="n">
        <v>0</v>
      </c>
      <c r="N934" t="n">
        <v>0</v>
      </c>
      <c r="O934" t="n">
        <v>0</v>
      </c>
      <c r="P934" t="n">
        <v>0</v>
      </c>
      <c r="Q934" t="n">
        <v>0</v>
      </c>
      <c r="R934" s="2" t="inlineStr"/>
    </row>
    <row r="935" ht="15" customHeight="1">
      <c r="A935" t="inlineStr">
        <is>
          <t>A 46178-2021</t>
        </is>
      </c>
      <c r="B935" s="1" t="n">
        <v>44441</v>
      </c>
      <c r="C935" s="1" t="n">
        <v>45472</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46619-2021</t>
        </is>
      </c>
      <c r="B936" s="1" t="n">
        <v>44442</v>
      </c>
      <c r="C936" s="1" t="n">
        <v>45472</v>
      </c>
      <c r="D936" t="inlineStr">
        <is>
          <t>VÄSTERBOTTENS LÄN</t>
        </is>
      </c>
      <c r="E936" t="inlineStr">
        <is>
          <t>SKELLEFTEÅ</t>
        </is>
      </c>
      <c r="G936" t="n">
        <v>0</v>
      </c>
      <c r="H936" t="n">
        <v>0</v>
      </c>
      <c r="I936" t="n">
        <v>0</v>
      </c>
      <c r="J936" t="n">
        <v>0</v>
      </c>
      <c r="K936" t="n">
        <v>0</v>
      </c>
      <c r="L936" t="n">
        <v>0</v>
      </c>
      <c r="M936" t="n">
        <v>0</v>
      </c>
      <c r="N936" t="n">
        <v>0</v>
      </c>
      <c r="O936" t="n">
        <v>0</v>
      </c>
      <c r="P936" t="n">
        <v>0</v>
      </c>
      <c r="Q936" t="n">
        <v>0</v>
      </c>
      <c r="R936" s="2" t="inlineStr"/>
    </row>
    <row r="937" ht="15" customHeight="1">
      <c r="A937" t="inlineStr">
        <is>
          <t>A 46628-2021</t>
        </is>
      </c>
      <c r="B937" s="1" t="n">
        <v>44445</v>
      </c>
      <c r="C937" s="1" t="n">
        <v>45472</v>
      </c>
      <c r="D937" t="inlineStr">
        <is>
          <t>VÄSTERBOTTENS LÄN</t>
        </is>
      </c>
      <c r="E937" t="inlineStr">
        <is>
          <t>SKELLEFTEÅ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47039-2021</t>
        </is>
      </c>
      <c r="B938" s="1" t="n">
        <v>44446</v>
      </c>
      <c r="C938" s="1" t="n">
        <v>45472</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47610-2021</t>
        </is>
      </c>
      <c r="B939" s="1" t="n">
        <v>44448</v>
      </c>
      <c r="C939" s="1" t="n">
        <v>45472</v>
      </c>
      <c r="D939" t="inlineStr">
        <is>
          <t>VÄSTERBOTTENS LÄN</t>
        </is>
      </c>
      <c r="E939" t="inlineStr">
        <is>
          <t>SKELLEFTEÅ</t>
        </is>
      </c>
      <c r="G939" t="n">
        <v>7.9</v>
      </c>
      <c r="H939" t="n">
        <v>0</v>
      </c>
      <c r="I939" t="n">
        <v>0</v>
      </c>
      <c r="J939" t="n">
        <v>0</v>
      </c>
      <c r="K939" t="n">
        <v>0</v>
      </c>
      <c r="L939" t="n">
        <v>0</v>
      </c>
      <c r="M939" t="n">
        <v>0</v>
      </c>
      <c r="N939" t="n">
        <v>0</v>
      </c>
      <c r="O939" t="n">
        <v>0</v>
      </c>
      <c r="P939" t="n">
        <v>0</v>
      </c>
      <c r="Q939" t="n">
        <v>0</v>
      </c>
      <c r="R939" s="2" t="inlineStr"/>
    </row>
    <row r="940" ht="15" customHeight="1">
      <c r="A940" t="inlineStr">
        <is>
          <t>A 47974-2021</t>
        </is>
      </c>
      <c r="B940" s="1" t="n">
        <v>44448</v>
      </c>
      <c r="C940" s="1" t="n">
        <v>45472</v>
      </c>
      <c r="D940" t="inlineStr">
        <is>
          <t>VÄSTERBOTTENS LÄN</t>
        </is>
      </c>
      <c r="E940" t="inlineStr">
        <is>
          <t>SKELLEFTEÅ</t>
        </is>
      </c>
      <c r="G940" t="n">
        <v>5.9</v>
      </c>
      <c r="H940" t="n">
        <v>0</v>
      </c>
      <c r="I940" t="n">
        <v>0</v>
      </c>
      <c r="J940" t="n">
        <v>0</v>
      </c>
      <c r="K940" t="n">
        <v>0</v>
      </c>
      <c r="L940" t="n">
        <v>0</v>
      </c>
      <c r="M940" t="n">
        <v>0</v>
      </c>
      <c r="N940" t="n">
        <v>0</v>
      </c>
      <c r="O940" t="n">
        <v>0</v>
      </c>
      <c r="P940" t="n">
        <v>0</v>
      </c>
      <c r="Q940" t="n">
        <v>0</v>
      </c>
      <c r="R940" s="2" t="inlineStr"/>
    </row>
    <row r="941" ht="15" customHeight="1">
      <c r="A941" t="inlineStr">
        <is>
          <t>A 48015-2021</t>
        </is>
      </c>
      <c r="B941" s="1" t="n">
        <v>44449</v>
      </c>
      <c r="C941" s="1" t="n">
        <v>45472</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48538-2021</t>
        </is>
      </c>
      <c r="B942" s="1" t="n">
        <v>44451</v>
      </c>
      <c r="C942" s="1" t="n">
        <v>45472</v>
      </c>
      <c r="D942" t="inlineStr">
        <is>
          <t>VÄSTERBOTTENS LÄN</t>
        </is>
      </c>
      <c r="E942" t="inlineStr">
        <is>
          <t>SKELLEFTEÅ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50603-2021</t>
        </is>
      </c>
      <c r="B943" s="1" t="n">
        <v>44459</v>
      </c>
      <c r="C943" s="1" t="n">
        <v>45472</v>
      </c>
      <c r="D943" t="inlineStr">
        <is>
          <t>VÄSTERBOTTENS LÄN</t>
        </is>
      </c>
      <c r="E943" t="inlineStr">
        <is>
          <t>SKELLEFTEÅ</t>
        </is>
      </c>
      <c r="G943" t="n">
        <v>7.2</v>
      </c>
      <c r="H943" t="n">
        <v>0</v>
      </c>
      <c r="I943" t="n">
        <v>0</v>
      </c>
      <c r="J943" t="n">
        <v>0</v>
      </c>
      <c r="K943" t="n">
        <v>0</v>
      </c>
      <c r="L943" t="n">
        <v>0</v>
      </c>
      <c r="M943" t="n">
        <v>0</v>
      </c>
      <c r="N943" t="n">
        <v>0</v>
      </c>
      <c r="O943" t="n">
        <v>0</v>
      </c>
      <c r="P943" t="n">
        <v>0</v>
      </c>
      <c r="Q943" t="n">
        <v>0</v>
      </c>
      <c r="R943" s="2" t="inlineStr"/>
    </row>
    <row r="944" ht="15" customHeight="1">
      <c r="A944" t="inlineStr">
        <is>
          <t>A 50772-2021</t>
        </is>
      </c>
      <c r="B944" s="1" t="n">
        <v>44460</v>
      </c>
      <c r="C944" s="1" t="n">
        <v>45472</v>
      </c>
      <c r="D944" t="inlineStr">
        <is>
          <t>VÄSTERBOTTENS LÄN</t>
        </is>
      </c>
      <c r="E944" t="inlineStr">
        <is>
          <t>SKELLEFTEÅ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51789-2021</t>
        </is>
      </c>
      <c r="B945" s="1" t="n">
        <v>44461</v>
      </c>
      <c r="C945" s="1" t="n">
        <v>45472</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51734-2021</t>
        </is>
      </c>
      <c r="B946" s="1" t="n">
        <v>44461</v>
      </c>
      <c r="C946" s="1" t="n">
        <v>45472</v>
      </c>
      <c r="D946" t="inlineStr">
        <is>
          <t>VÄSTERBOTTENS LÄN</t>
        </is>
      </c>
      <c r="E946" t="inlineStr">
        <is>
          <t>SKELLEFTEÅ</t>
        </is>
      </c>
      <c r="G946" t="n">
        <v>3.5</v>
      </c>
      <c r="H946" t="n">
        <v>0</v>
      </c>
      <c r="I946" t="n">
        <v>0</v>
      </c>
      <c r="J946" t="n">
        <v>0</v>
      </c>
      <c r="K946" t="n">
        <v>0</v>
      </c>
      <c r="L946" t="n">
        <v>0</v>
      </c>
      <c r="M946" t="n">
        <v>0</v>
      </c>
      <c r="N946" t="n">
        <v>0</v>
      </c>
      <c r="O946" t="n">
        <v>0</v>
      </c>
      <c r="P946" t="n">
        <v>0</v>
      </c>
      <c r="Q946" t="n">
        <v>0</v>
      </c>
      <c r="R946" s="2" t="inlineStr"/>
    </row>
    <row r="947" ht="15" customHeight="1">
      <c r="A947" t="inlineStr">
        <is>
          <t>A 51476-2021</t>
        </is>
      </c>
      <c r="B947" s="1" t="n">
        <v>44462</v>
      </c>
      <c r="C947" s="1" t="n">
        <v>45472</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51587-2021</t>
        </is>
      </c>
      <c r="B948" s="1" t="n">
        <v>44462</v>
      </c>
      <c r="C948" s="1" t="n">
        <v>45472</v>
      </c>
      <c r="D948" t="inlineStr">
        <is>
          <t>VÄSTERBOTTENS LÄN</t>
        </is>
      </c>
      <c r="E948" t="inlineStr">
        <is>
          <t>SKELLEFTEÅ</t>
        </is>
      </c>
      <c r="F948" t="inlineStr">
        <is>
          <t>Holmen skog AB</t>
        </is>
      </c>
      <c r="G948" t="n">
        <v>7.3</v>
      </c>
      <c r="H948" t="n">
        <v>0</v>
      </c>
      <c r="I948" t="n">
        <v>0</v>
      </c>
      <c r="J948" t="n">
        <v>0</v>
      </c>
      <c r="K948" t="n">
        <v>0</v>
      </c>
      <c r="L948" t="n">
        <v>0</v>
      </c>
      <c r="M948" t="n">
        <v>0</v>
      </c>
      <c r="N948" t="n">
        <v>0</v>
      </c>
      <c r="O948" t="n">
        <v>0</v>
      </c>
      <c r="P948" t="n">
        <v>0</v>
      </c>
      <c r="Q948" t="n">
        <v>0</v>
      </c>
      <c r="R948" s="2" t="inlineStr"/>
    </row>
    <row r="949" ht="15" customHeight="1">
      <c r="A949" t="inlineStr">
        <is>
          <t>A 51544-2021</t>
        </is>
      </c>
      <c r="B949" s="1" t="n">
        <v>44462</v>
      </c>
      <c r="C949" s="1" t="n">
        <v>45472</v>
      </c>
      <c r="D949" t="inlineStr">
        <is>
          <t>VÄSTERBOTTENS LÄN</t>
        </is>
      </c>
      <c r="E949" t="inlineStr">
        <is>
          <t>SKELLEFTEÅ</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52069-2021</t>
        </is>
      </c>
      <c r="B950" s="1" t="n">
        <v>44462</v>
      </c>
      <c r="C950" s="1" t="n">
        <v>45472</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52080-2021</t>
        </is>
      </c>
      <c r="B951" s="1" t="n">
        <v>44463</v>
      </c>
      <c r="C951" s="1" t="n">
        <v>45472</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52086-2021</t>
        </is>
      </c>
      <c r="B952" s="1" t="n">
        <v>44463</v>
      </c>
      <c r="C952" s="1" t="n">
        <v>45472</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52453-2021</t>
        </is>
      </c>
      <c r="B953" s="1" t="n">
        <v>44463</v>
      </c>
      <c r="C953" s="1" t="n">
        <v>45472</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52462-2021</t>
        </is>
      </c>
      <c r="B954" s="1" t="n">
        <v>44463</v>
      </c>
      <c r="C954" s="1" t="n">
        <v>45472</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52746-2021</t>
        </is>
      </c>
      <c r="B955" s="1" t="n">
        <v>44467</v>
      </c>
      <c r="C955" s="1" t="n">
        <v>45472</v>
      </c>
      <c r="D955" t="inlineStr">
        <is>
          <t>VÄSTERBOTTENS LÄN</t>
        </is>
      </c>
      <c r="E955" t="inlineStr">
        <is>
          <t>SKELLEFTEÅ</t>
        </is>
      </c>
      <c r="G955" t="n">
        <v>6.1</v>
      </c>
      <c r="H955" t="n">
        <v>0</v>
      </c>
      <c r="I955" t="n">
        <v>0</v>
      </c>
      <c r="J955" t="n">
        <v>0</v>
      </c>
      <c r="K955" t="n">
        <v>0</v>
      </c>
      <c r="L955" t="n">
        <v>0</v>
      </c>
      <c r="M955" t="n">
        <v>0</v>
      </c>
      <c r="N955" t="n">
        <v>0</v>
      </c>
      <c r="O955" t="n">
        <v>0</v>
      </c>
      <c r="P955" t="n">
        <v>0</v>
      </c>
      <c r="Q955" t="n">
        <v>0</v>
      </c>
      <c r="R955" s="2" t="inlineStr"/>
    </row>
    <row r="956" ht="15" customHeight="1">
      <c r="A956" t="inlineStr">
        <is>
          <t>A 53152-2021</t>
        </is>
      </c>
      <c r="B956" s="1" t="n">
        <v>44468</v>
      </c>
      <c r="C956" s="1" t="n">
        <v>45472</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54193-2021</t>
        </is>
      </c>
      <c r="B957" s="1" t="n">
        <v>44470</v>
      </c>
      <c r="C957" s="1" t="n">
        <v>45472</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54280-2021</t>
        </is>
      </c>
      <c r="B958" s="1" t="n">
        <v>44470</v>
      </c>
      <c r="C958" s="1" t="n">
        <v>45472</v>
      </c>
      <c r="D958" t="inlineStr">
        <is>
          <t>VÄSTERBOTTENS LÄN</t>
        </is>
      </c>
      <c r="E958" t="inlineStr">
        <is>
          <t>SKELLEFTEÅ</t>
        </is>
      </c>
      <c r="F958" t="inlineStr">
        <is>
          <t>Sveaskog</t>
        </is>
      </c>
      <c r="G958" t="n">
        <v>22.6</v>
      </c>
      <c r="H958" t="n">
        <v>0</v>
      </c>
      <c r="I958" t="n">
        <v>0</v>
      </c>
      <c r="J958" t="n">
        <v>0</v>
      </c>
      <c r="K958" t="n">
        <v>0</v>
      </c>
      <c r="L958" t="n">
        <v>0</v>
      </c>
      <c r="M958" t="n">
        <v>0</v>
      </c>
      <c r="N958" t="n">
        <v>0</v>
      </c>
      <c r="O958" t="n">
        <v>0</v>
      </c>
      <c r="P958" t="n">
        <v>0</v>
      </c>
      <c r="Q958" t="n">
        <v>0</v>
      </c>
      <c r="R958" s="2" t="inlineStr"/>
    </row>
    <row r="959" ht="15" customHeight="1">
      <c r="A959" t="inlineStr">
        <is>
          <t>A 54288-2021</t>
        </is>
      </c>
      <c r="B959" s="1" t="n">
        <v>44471</v>
      </c>
      <c r="C959" s="1" t="n">
        <v>45472</v>
      </c>
      <c r="D959" t="inlineStr">
        <is>
          <t>VÄSTERBOTTENS LÄN</t>
        </is>
      </c>
      <c r="E959" t="inlineStr">
        <is>
          <t>SKELLEFTEÅ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54287-2021</t>
        </is>
      </c>
      <c r="B960" s="1" t="n">
        <v>44471</v>
      </c>
      <c r="C960" s="1" t="n">
        <v>45472</v>
      </c>
      <c r="D960" t="inlineStr">
        <is>
          <t>VÄSTERBOTTENS LÄN</t>
        </is>
      </c>
      <c r="E960" t="inlineStr">
        <is>
          <t>SKELLEFTEÅ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54384-2021</t>
        </is>
      </c>
      <c r="B961" s="1" t="n">
        <v>44473</v>
      </c>
      <c r="C961" s="1" t="n">
        <v>45472</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54863-2021</t>
        </is>
      </c>
      <c r="B962" s="1" t="n">
        <v>44473</v>
      </c>
      <c r="C962" s="1" t="n">
        <v>45472</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54850-2021</t>
        </is>
      </c>
      <c r="B963" s="1" t="n">
        <v>44473</v>
      </c>
      <c r="C963" s="1" t="n">
        <v>45472</v>
      </c>
      <c r="D963" t="inlineStr">
        <is>
          <t>VÄSTERBOTTENS LÄN</t>
        </is>
      </c>
      <c r="E963" t="inlineStr">
        <is>
          <t>SKELLEFTEÅ</t>
        </is>
      </c>
      <c r="G963" t="n">
        <v>18.4</v>
      </c>
      <c r="H963" t="n">
        <v>0</v>
      </c>
      <c r="I963" t="n">
        <v>0</v>
      </c>
      <c r="J963" t="n">
        <v>0</v>
      </c>
      <c r="K963" t="n">
        <v>0</v>
      </c>
      <c r="L963" t="n">
        <v>0</v>
      </c>
      <c r="M963" t="n">
        <v>0</v>
      </c>
      <c r="N963" t="n">
        <v>0</v>
      </c>
      <c r="O963" t="n">
        <v>0</v>
      </c>
      <c r="P963" t="n">
        <v>0</v>
      </c>
      <c r="Q963" t="n">
        <v>0</v>
      </c>
      <c r="R963" s="2" t="inlineStr"/>
    </row>
    <row r="964" ht="15" customHeight="1">
      <c r="A964" t="inlineStr">
        <is>
          <t>A 55067-2021</t>
        </is>
      </c>
      <c r="B964" s="1" t="n">
        <v>44474</v>
      </c>
      <c r="C964" s="1" t="n">
        <v>45472</v>
      </c>
      <c r="D964" t="inlineStr">
        <is>
          <t>VÄSTERBOTTENS LÄN</t>
        </is>
      </c>
      <c r="E964" t="inlineStr">
        <is>
          <t>SKELLEFTEÅ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55032-2021</t>
        </is>
      </c>
      <c r="B965" s="1" t="n">
        <v>44474</v>
      </c>
      <c r="C965" s="1" t="n">
        <v>45472</v>
      </c>
      <c r="D965" t="inlineStr">
        <is>
          <t>VÄSTERBOTTENS LÄN</t>
        </is>
      </c>
      <c r="E965" t="inlineStr">
        <is>
          <t>SKELLEFTEÅ</t>
        </is>
      </c>
      <c r="G965" t="n">
        <v>5.2</v>
      </c>
      <c r="H965" t="n">
        <v>0</v>
      </c>
      <c r="I965" t="n">
        <v>0</v>
      </c>
      <c r="J965" t="n">
        <v>0</v>
      </c>
      <c r="K965" t="n">
        <v>0</v>
      </c>
      <c r="L965" t="n">
        <v>0</v>
      </c>
      <c r="M965" t="n">
        <v>0</v>
      </c>
      <c r="N965" t="n">
        <v>0</v>
      </c>
      <c r="O965" t="n">
        <v>0</v>
      </c>
      <c r="P965" t="n">
        <v>0</v>
      </c>
      <c r="Q965" t="n">
        <v>0</v>
      </c>
      <c r="R965" s="2" t="inlineStr"/>
    </row>
    <row r="966" ht="15" customHeight="1">
      <c r="A966" t="inlineStr">
        <is>
          <t>A 55168-2021</t>
        </is>
      </c>
      <c r="B966" s="1" t="n">
        <v>44475</v>
      </c>
      <c r="C966" s="1" t="n">
        <v>45472</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55206-2021</t>
        </is>
      </c>
      <c r="B967" s="1" t="n">
        <v>44475</v>
      </c>
      <c r="C967" s="1" t="n">
        <v>45472</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55182-2021</t>
        </is>
      </c>
      <c r="B968" s="1" t="n">
        <v>44475</v>
      </c>
      <c r="C968" s="1" t="n">
        <v>45472</v>
      </c>
      <c r="D968" t="inlineStr">
        <is>
          <t>VÄSTERBOTTENS LÄN</t>
        </is>
      </c>
      <c r="E968" t="inlineStr">
        <is>
          <t>SKELLEFTEÅ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55471-2021</t>
        </is>
      </c>
      <c r="B969" s="1" t="n">
        <v>44475</v>
      </c>
      <c r="C969" s="1" t="n">
        <v>45472</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55568-2021</t>
        </is>
      </c>
      <c r="B970" s="1" t="n">
        <v>44475</v>
      </c>
      <c r="C970" s="1" t="n">
        <v>45472</v>
      </c>
      <c r="D970" t="inlineStr">
        <is>
          <t>VÄSTERBOTTENS LÄN</t>
        </is>
      </c>
      <c r="E970" t="inlineStr">
        <is>
          <t>SKELLEFTEÅ</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55814-2021</t>
        </is>
      </c>
      <c r="B971" s="1" t="n">
        <v>44476</v>
      </c>
      <c r="C971" s="1" t="n">
        <v>45472</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56084-2021</t>
        </is>
      </c>
      <c r="B972" s="1" t="n">
        <v>44477</v>
      </c>
      <c r="C972" s="1" t="n">
        <v>45472</v>
      </c>
      <c r="D972" t="inlineStr">
        <is>
          <t>VÄSTERBOTTENS LÄN</t>
        </is>
      </c>
      <c r="E972" t="inlineStr">
        <is>
          <t>SKELLEFTEÅ</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56134-2021</t>
        </is>
      </c>
      <c r="B973" s="1" t="n">
        <v>44477</v>
      </c>
      <c r="C973" s="1" t="n">
        <v>45472</v>
      </c>
      <c r="D973" t="inlineStr">
        <is>
          <t>VÄSTERBOTTENS LÄN</t>
        </is>
      </c>
      <c r="E973" t="inlineStr">
        <is>
          <t>SKELLEFTEÅ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56001-2021</t>
        </is>
      </c>
      <c r="B974" s="1" t="n">
        <v>44477</v>
      </c>
      <c r="C974" s="1" t="n">
        <v>45472</v>
      </c>
      <c r="D974" t="inlineStr">
        <is>
          <t>VÄSTERBOTTENS LÄN</t>
        </is>
      </c>
      <c r="E974" t="inlineStr">
        <is>
          <t>SKELLEFTEÅ</t>
        </is>
      </c>
      <c r="G974" t="n">
        <v>7.6</v>
      </c>
      <c r="H974" t="n">
        <v>0</v>
      </c>
      <c r="I974" t="n">
        <v>0</v>
      </c>
      <c r="J974" t="n">
        <v>0</v>
      </c>
      <c r="K974" t="n">
        <v>0</v>
      </c>
      <c r="L974" t="n">
        <v>0</v>
      </c>
      <c r="M974" t="n">
        <v>0</v>
      </c>
      <c r="N974" t="n">
        <v>0</v>
      </c>
      <c r="O974" t="n">
        <v>0</v>
      </c>
      <c r="P974" t="n">
        <v>0</v>
      </c>
      <c r="Q974" t="n">
        <v>0</v>
      </c>
      <c r="R974" s="2" t="inlineStr"/>
    </row>
    <row r="975" ht="15" customHeight="1">
      <c r="A975" t="inlineStr">
        <is>
          <t>A 56536-2021</t>
        </is>
      </c>
      <c r="B975" s="1" t="n">
        <v>44480</v>
      </c>
      <c r="C975" s="1" t="n">
        <v>45472</v>
      </c>
      <c r="D975" t="inlineStr">
        <is>
          <t>VÄSTERBOTTENS LÄN</t>
        </is>
      </c>
      <c r="E975" t="inlineStr">
        <is>
          <t>SKELLEFTEÅ</t>
        </is>
      </c>
      <c r="F975" t="inlineStr">
        <is>
          <t>Holmen skog AB</t>
        </is>
      </c>
      <c r="G975" t="n">
        <v>8</v>
      </c>
      <c r="H975" t="n">
        <v>0</v>
      </c>
      <c r="I975" t="n">
        <v>0</v>
      </c>
      <c r="J975" t="n">
        <v>0</v>
      </c>
      <c r="K975" t="n">
        <v>0</v>
      </c>
      <c r="L975" t="n">
        <v>0</v>
      </c>
      <c r="M975" t="n">
        <v>0</v>
      </c>
      <c r="N975" t="n">
        <v>0</v>
      </c>
      <c r="O975" t="n">
        <v>0</v>
      </c>
      <c r="P975" t="n">
        <v>0</v>
      </c>
      <c r="Q975" t="n">
        <v>0</v>
      </c>
      <c r="R975" s="2" t="inlineStr"/>
    </row>
    <row r="976" ht="15" customHeight="1">
      <c r="A976" t="inlineStr">
        <is>
          <t>A 56540-2021</t>
        </is>
      </c>
      <c r="B976" s="1" t="n">
        <v>44480</v>
      </c>
      <c r="C976" s="1" t="n">
        <v>45472</v>
      </c>
      <c r="D976" t="inlineStr">
        <is>
          <t>VÄSTERBOTTENS LÄN</t>
        </is>
      </c>
      <c r="E976" t="inlineStr">
        <is>
          <t>SKELLEFTEÅ</t>
        </is>
      </c>
      <c r="G976" t="n">
        <v>10.5</v>
      </c>
      <c r="H976" t="n">
        <v>0</v>
      </c>
      <c r="I976" t="n">
        <v>0</v>
      </c>
      <c r="J976" t="n">
        <v>0</v>
      </c>
      <c r="K976" t="n">
        <v>0</v>
      </c>
      <c r="L976" t="n">
        <v>0</v>
      </c>
      <c r="M976" t="n">
        <v>0</v>
      </c>
      <c r="N976" t="n">
        <v>0</v>
      </c>
      <c r="O976" t="n">
        <v>0</v>
      </c>
      <c r="P976" t="n">
        <v>0</v>
      </c>
      <c r="Q976" t="n">
        <v>0</v>
      </c>
      <c r="R976" s="2" t="inlineStr"/>
    </row>
    <row r="977" ht="15" customHeight="1">
      <c r="A977" t="inlineStr">
        <is>
          <t>A 56627-2021</t>
        </is>
      </c>
      <c r="B977" s="1" t="n">
        <v>44480</v>
      </c>
      <c r="C977" s="1" t="n">
        <v>45472</v>
      </c>
      <c r="D977" t="inlineStr">
        <is>
          <t>VÄSTERBOTTENS LÄN</t>
        </is>
      </c>
      <c r="E977" t="inlineStr">
        <is>
          <t>SKELLEFTEÅ</t>
        </is>
      </c>
      <c r="F977" t="inlineStr">
        <is>
          <t>Sveaskog</t>
        </is>
      </c>
      <c r="G977" t="n">
        <v>20.1</v>
      </c>
      <c r="H977" t="n">
        <v>0</v>
      </c>
      <c r="I977" t="n">
        <v>0</v>
      </c>
      <c r="J977" t="n">
        <v>0</v>
      </c>
      <c r="K977" t="n">
        <v>0</v>
      </c>
      <c r="L977" t="n">
        <v>0</v>
      </c>
      <c r="M977" t="n">
        <v>0</v>
      </c>
      <c r="N977" t="n">
        <v>0</v>
      </c>
      <c r="O977" t="n">
        <v>0</v>
      </c>
      <c r="P977" t="n">
        <v>0</v>
      </c>
      <c r="Q977" t="n">
        <v>0</v>
      </c>
      <c r="R977" s="2" t="inlineStr"/>
    </row>
    <row r="978" ht="15" customHeight="1">
      <c r="A978" t="inlineStr">
        <is>
          <t>A 57197-2021</t>
        </is>
      </c>
      <c r="B978" s="1" t="n">
        <v>44483</v>
      </c>
      <c r="C978" s="1" t="n">
        <v>45472</v>
      </c>
      <c r="D978" t="inlineStr">
        <is>
          <t>VÄSTERBOTTENS LÄN</t>
        </is>
      </c>
      <c r="E978" t="inlineStr">
        <is>
          <t>SKELLEFTEÅ</t>
        </is>
      </c>
      <c r="G978" t="n">
        <v>4.9</v>
      </c>
      <c r="H978" t="n">
        <v>0</v>
      </c>
      <c r="I978" t="n">
        <v>0</v>
      </c>
      <c r="J978" t="n">
        <v>0</v>
      </c>
      <c r="K978" t="n">
        <v>0</v>
      </c>
      <c r="L978" t="n">
        <v>0</v>
      </c>
      <c r="M978" t="n">
        <v>0</v>
      </c>
      <c r="N978" t="n">
        <v>0</v>
      </c>
      <c r="O978" t="n">
        <v>0</v>
      </c>
      <c r="P978" t="n">
        <v>0</v>
      </c>
      <c r="Q978" t="n">
        <v>0</v>
      </c>
      <c r="R978" s="2" t="inlineStr"/>
    </row>
    <row r="979" ht="15" customHeight="1">
      <c r="A979" t="inlineStr">
        <is>
          <t>A 57370-2021</t>
        </is>
      </c>
      <c r="B979" s="1" t="n">
        <v>44483</v>
      </c>
      <c r="C979" s="1" t="n">
        <v>45472</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57530-2021</t>
        </is>
      </c>
      <c r="B980" s="1" t="n">
        <v>44483</v>
      </c>
      <c r="C980" s="1" t="n">
        <v>45472</v>
      </c>
      <c r="D980" t="inlineStr">
        <is>
          <t>VÄSTERBOTTENS LÄN</t>
        </is>
      </c>
      <c r="E980" t="inlineStr">
        <is>
          <t>SKELLEFTEÅ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57978-2021</t>
        </is>
      </c>
      <c r="B981" s="1" t="n">
        <v>44484</v>
      </c>
      <c r="C981" s="1" t="n">
        <v>45472</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57714-2021</t>
        </is>
      </c>
      <c r="B982" s="1" t="n">
        <v>44484</v>
      </c>
      <c r="C982" s="1" t="n">
        <v>45472</v>
      </c>
      <c r="D982" t="inlineStr">
        <is>
          <t>VÄSTERBOTTENS LÄN</t>
        </is>
      </c>
      <c r="E982" t="inlineStr">
        <is>
          <t>SKELLEFTEÅ</t>
        </is>
      </c>
      <c r="G982" t="n">
        <v>6</v>
      </c>
      <c r="H982" t="n">
        <v>0</v>
      </c>
      <c r="I982" t="n">
        <v>0</v>
      </c>
      <c r="J982" t="n">
        <v>0</v>
      </c>
      <c r="K982" t="n">
        <v>0</v>
      </c>
      <c r="L982" t="n">
        <v>0</v>
      </c>
      <c r="M982" t="n">
        <v>0</v>
      </c>
      <c r="N982" t="n">
        <v>0</v>
      </c>
      <c r="O982" t="n">
        <v>0</v>
      </c>
      <c r="P982" t="n">
        <v>0</v>
      </c>
      <c r="Q982" t="n">
        <v>0</v>
      </c>
      <c r="R982" s="2" t="inlineStr"/>
    </row>
    <row r="983" ht="15" customHeight="1">
      <c r="A983" t="inlineStr">
        <is>
          <t>A 57966-2021</t>
        </is>
      </c>
      <c r="B983" s="1" t="n">
        <v>44484</v>
      </c>
      <c r="C983" s="1" t="n">
        <v>45472</v>
      </c>
      <c r="D983" t="inlineStr">
        <is>
          <t>VÄSTERBOTTENS LÄN</t>
        </is>
      </c>
      <c r="E983" t="inlineStr">
        <is>
          <t>SKELLEFTEÅ</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58303-2021</t>
        </is>
      </c>
      <c r="B984" s="1" t="n">
        <v>44488</v>
      </c>
      <c r="C984" s="1" t="n">
        <v>45472</v>
      </c>
      <c r="D984" t="inlineStr">
        <is>
          <t>VÄSTERBOTTENS LÄN</t>
        </is>
      </c>
      <c r="E984" t="inlineStr">
        <is>
          <t>SKELLEFTEÅ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58570-2021</t>
        </is>
      </c>
      <c r="B985" s="1" t="n">
        <v>44489</v>
      </c>
      <c r="C985" s="1" t="n">
        <v>45472</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58808-2021</t>
        </is>
      </c>
      <c r="B986" s="1" t="n">
        <v>44489</v>
      </c>
      <c r="C986" s="1" t="n">
        <v>45472</v>
      </c>
      <c r="D986" t="inlineStr">
        <is>
          <t>VÄSTERBOTTENS LÄN</t>
        </is>
      </c>
      <c r="E986" t="inlineStr">
        <is>
          <t>SKELLEFTEÅ</t>
        </is>
      </c>
      <c r="F986" t="inlineStr">
        <is>
          <t>Sveaskog</t>
        </is>
      </c>
      <c r="G986" t="n">
        <v>15.5</v>
      </c>
      <c r="H986" t="n">
        <v>0</v>
      </c>
      <c r="I986" t="n">
        <v>0</v>
      </c>
      <c r="J986" t="n">
        <v>0</v>
      </c>
      <c r="K986" t="n">
        <v>0</v>
      </c>
      <c r="L986" t="n">
        <v>0</v>
      </c>
      <c r="M986" t="n">
        <v>0</v>
      </c>
      <c r="N986" t="n">
        <v>0</v>
      </c>
      <c r="O986" t="n">
        <v>0</v>
      </c>
      <c r="P986" t="n">
        <v>0</v>
      </c>
      <c r="Q986" t="n">
        <v>0</v>
      </c>
      <c r="R986" s="2" t="inlineStr"/>
    </row>
    <row r="987" ht="15" customHeight="1">
      <c r="A987" t="inlineStr">
        <is>
          <t>A 58844-2021</t>
        </is>
      </c>
      <c r="B987" s="1" t="n">
        <v>44489</v>
      </c>
      <c r="C987" s="1" t="n">
        <v>45472</v>
      </c>
      <c r="D987" t="inlineStr">
        <is>
          <t>VÄSTERBOTTENS LÄN</t>
        </is>
      </c>
      <c r="E987" t="inlineStr">
        <is>
          <t>SKELLEFTEÅ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58813-2021</t>
        </is>
      </c>
      <c r="B988" s="1" t="n">
        <v>44489</v>
      </c>
      <c r="C988" s="1" t="n">
        <v>45472</v>
      </c>
      <c r="D988" t="inlineStr">
        <is>
          <t>VÄSTERBOTTENS LÄN</t>
        </is>
      </c>
      <c r="E988" t="inlineStr">
        <is>
          <t>SKELLEFTEÅ</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58847-2021</t>
        </is>
      </c>
      <c r="B989" s="1" t="n">
        <v>44489</v>
      </c>
      <c r="C989" s="1" t="n">
        <v>45472</v>
      </c>
      <c r="D989" t="inlineStr">
        <is>
          <t>VÄSTERBOTTENS LÄN</t>
        </is>
      </c>
      <c r="E989" t="inlineStr">
        <is>
          <t>SKELLEFTEÅ</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58872-2021</t>
        </is>
      </c>
      <c r="B990" s="1" t="n">
        <v>44489</v>
      </c>
      <c r="C990" s="1" t="n">
        <v>45472</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58811-2021</t>
        </is>
      </c>
      <c r="B991" s="1" t="n">
        <v>44489</v>
      </c>
      <c r="C991" s="1" t="n">
        <v>45472</v>
      </c>
      <c r="D991" t="inlineStr">
        <is>
          <t>VÄSTERBOTTENS LÄN</t>
        </is>
      </c>
      <c r="E991" t="inlineStr">
        <is>
          <t>SKELLEFTEÅ</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59180-2021</t>
        </is>
      </c>
      <c r="B992" s="1" t="n">
        <v>44489</v>
      </c>
      <c r="C992" s="1" t="n">
        <v>45472</v>
      </c>
      <c r="D992" t="inlineStr">
        <is>
          <t>VÄSTERBOTTENS LÄN</t>
        </is>
      </c>
      <c r="E992" t="inlineStr">
        <is>
          <t>SKELLEFTEÅ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59171-2021</t>
        </is>
      </c>
      <c r="B993" s="1" t="n">
        <v>44489</v>
      </c>
      <c r="C993" s="1" t="n">
        <v>45472</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58892-2021</t>
        </is>
      </c>
      <c r="B994" s="1" t="n">
        <v>44489</v>
      </c>
      <c r="C994" s="1" t="n">
        <v>45472</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59457-2021</t>
        </is>
      </c>
      <c r="B995" s="1" t="n">
        <v>44491</v>
      </c>
      <c r="C995" s="1" t="n">
        <v>45472</v>
      </c>
      <c r="D995" t="inlineStr">
        <is>
          <t>VÄSTERBOTTENS LÄN</t>
        </is>
      </c>
      <c r="E995" t="inlineStr">
        <is>
          <t>SKELLEFTEÅ</t>
        </is>
      </c>
      <c r="F995" t="inlineStr">
        <is>
          <t>Sveaskog</t>
        </is>
      </c>
      <c r="G995" t="n">
        <v>10.4</v>
      </c>
      <c r="H995" t="n">
        <v>0</v>
      </c>
      <c r="I995" t="n">
        <v>0</v>
      </c>
      <c r="J995" t="n">
        <v>0</v>
      </c>
      <c r="K995" t="n">
        <v>0</v>
      </c>
      <c r="L995" t="n">
        <v>0</v>
      </c>
      <c r="M995" t="n">
        <v>0</v>
      </c>
      <c r="N995" t="n">
        <v>0</v>
      </c>
      <c r="O995" t="n">
        <v>0</v>
      </c>
      <c r="P995" t="n">
        <v>0</v>
      </c>
      <c r="Q995" t="n">
        <v>0</v>
      </c>
      <c r="R995" s="2" t="inlineStr"/>
    </row>
    <row r="996" ht="15" customHeight="1">
      <c r="A996" t="inlineStr">
        <is>
          <t>A 59372-2021</t>
        </is>
      </c>
      <c r="B996" s="1" t="n">
        <v>44491</v>
      </c>
      <c r="C996" s="1" t="n">
        <v>45472</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59851-2021</t>
        </is>
      </c>
      <c r="B997" s="1" t="n">
        <v>44491</v>
      </c>
      <c r="C997" s="1" t="n">
        <v>45472</v>
      </c>
      <c r="D997" t="inlineStr">
        <is>
          <t>VÄSTERBOTTENS LÄN</t>
        </is>
      </c>
      <c r="E997" t="inlineStr">
        <is>
          <t>SKELLEFTEÅ</t>
        </is>
      </c>
      <c r="G997" t="n">
        <v>11.6</v>
      </c>
      <c r="H997" t="n">
        <v>0</v>
      </c>
      <c r="I997" t="n">
        <v>0</v>
      </c>
      <c r="J997" t="n">
        <v>0</v>
      </c>
      <c r="K997" t="n">
        <v>0</v>
      </c>
      <c r="L997" t="n">
        <v>0</v>
      </c>
      <c r="M997" t="n">
        <v>0</v>
      </c>
      <c r="N997" t="n">
        <v>0</v>
      </c>
      <c r="O997" t="n">
        <v>0</v>
      </c>
      <c r="P997" t="n">
        <v>0</v>
      </c>
      <c r="Q997" t="n">
        <v>0</v>
      </c>
      <c r="R997" s="2" t="inlineStr"/>
    </row>
    <row r="998" ht="15" customHeight="1">
      <c r="A998" t="inlineStr">
        <is>
          <t>A 59522-2021</t>
        </is>
      </c>
      <c r="B998" s="1" t="n">
        <v>44491</v>
      </c>
      <c r="C998" s="1" t="n">
        <v>45472</v>
      </c>
      <c r="D998" t="inlineStr">
        <is>
          <t>VÄSTERBOTTENS LÄN</t>
        </is>
      </c>
      <c r="E998" t="inlineStr">
        <is>
          <t>SKELLEFTEÅ</t>
        </is>
      </c>
      <c r="G998" t="n">
        <v>5.5</v>
      </c>
      <c r="H998" t="n">
        <v>0</v>
      </c>
      <c r="I998" t="n">
        <v>0</v>
      </c>
      <c r="J998" t="n">
        <v>0</v>
      </c>
      <c r="K998" t="n">
        <v>0</v>
      </c>
      <c r="L998" t="n">
        <v>0</v>
      </c>
      <c r="M998" t="n">
        <v>0</v>
      </c>
      <c r="N998" t="n">
        <v>0</v>
      </c>
      <c r="O998" t="n">
        <v>0</v>
      </c>
      <c r="P998" t="n">
        <v>0</v>
      </c>
      <c r="Q998" t="n">
        <v>0</v>
      </c>
      <c r="R998" s="2" t="inlineStr"/>
    </row>
    <row r="999" ht="15" customHeight="1">
      <c r="A999" t="inlineStr">
        <is>
          <t>A 59659-2021</t>
        </is>
      </c>
      <c r="B999" s="1" t="n">
        <v>44491</v>
      </c>
      <c r="C999" s="1" t="n">
        <v>45472</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59647-2021</t>
        </is>
      </c>
      <c r="B1000" s="1" t="n">
        <v>44493</v>
      </c>
      <c r="C1000" s="1" t="n">
        <v>45472</v>
      </c>
      <c r="D1000" t="inlineStr">
        <is>
          <t>VÄSTERBOTTENS LÄN</t>
        </is>
      </c>
      <c r="E1000" t="inlineStr">
        <is>
          <t>SKELLEFTEÅ</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59711-2021</t>
        </is>
      </c>
      <c r="B1001" s="1" t="n">
        <v>44494</v>
      </c>
      <c r="C1001" s="1" t="n">
        <v>45472</v>
      </c>
      <c r="D1001" t="inlineStr">
        <is>
          <t>VÄSTERBOTTENS LÄN</t>
        </is>
      </c>
      <c r="E1001" t="inlineStr">
        <is>
          <t>SKELLEFTEÅ</t>
        </is>
      </c>
      <c r="F1001" t="inlineStr">
        <is>
          <t>Sveaskog</t>
        </is>
      </c>
      <c r="G1001" t="n">
        <v>33.9</v>
      </c>
      <c r="H1001" t="n">
        <v>0</v>
      </c>
      <c r="I1001" t="n">
        <v>0</v>
      </c>
      <c r="J1001" t="n">
        <v>0</v>
      </c>
      <c r="K1001" t="n">
        <v>0</v>
      </c>
      <c r="L1001" t="n">
        <v>0</v>
      </c>
      <c r="M1001" t="n">
        <v>0</v>
      </c>
      <c r="N1001" t="n">
        <v>0</v>
      </c>
      <c r="O1001" t="n">
        <v>0</v>
      </c>
      <c r="P1001" t="n">
        <v>0</v>
      </c>
      <c r="Q1001" t="n">
        <v>0</v>
      </c>
      <c r="R1001" s="2" t="inlineStr"/>
    </row>
    <row r="1002" ht="15" customHeight="1">
      <c r="A1002" t="inlineStr">
        <is>
          <t>A 59748-2021</t>
        </is>
      </c>
      <c r="B1002" s="1" t="n">
        <v>44494</v>
      </c>
      <c r="C1002" s="1" t="n">
        <v>45472</v>
      </c>
      <c r="D1002" t="inlineStr">
        <is>
          <t>VÄSTERBOTTENS LÄN</t>
        </is>
      </c>
      <c r="E1002" t="inlineStr">
        <is>
          <t>SKELLEFTEÅ</t>
        </is>
      </c>
      <c r="F1002" t="inlineStr">
        <is>
          <t>Sveaskog</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59717-2021</t>
        </is>
      </c>
      <c r="B1003" s="1" t="n">
        <v>44494</v>
      </c>
      <c r="C1003" s="1" t="n">
        <v>45472</v>
      </c>
      <c r="D1003" t="inlineStr">
        <is>
          <t>VÄSTERBOTTENS LÄN</t>
        </is>
      </c>
      <c r="E1003" t="inlineStr">
        <is>
          <t>SKELLEFTEÅ</t>
        </is>
      </c>
      <c r="F1003" t="inlineStr">
        <is>
          <t>Sveaskog</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59736-2021</t>
        </is>
      </c>
      <c r="B1004" s="1" t="n">
        <v>44494</v>
      </c>
      <c r="C1004" s="1" t="n">
        <v>45472</v>
      </c>
      <c r="D1004" t="inlineStr">
        <is>
          <t>VÄSTERBOTTENS LÄN</t>
        </is>
      </c>
      <c r="E1004" t="inlineStr">
        <is>
          <t>SKELLEFTEÅ</t>
        </is>
      </c>
      <c r="F1004" t="inlineStr">
        <is>
          <t>Sveaskog</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59859-2021</t>
        </is>
      </c>
      <c r="B1005" s="1" t="n">
        <v>44494</v>
      </c>
      <c r="C1005" s="1" t="n">
        <v>45472</v>
      </c>
      <c r="D1005" t="inlineStr">
        <is>
          <t>VÄSTERBOTTENS LÄN</t>
        </is>
      </c>
      <c r="E1005" t="inlineStr">
        <is>
          <t>SKELLEFTEÅ</t>
        </is>
      </c>
      <c r="F1005" t="inlineStr">
        <is>
          <t>Holmen skog AB</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60066-2021</t>
        </is>
      </c>
      <c r="B1006" s="1" t="n">
        <v>44494</v>
      </c>
      <c r="C1006" s="1" t="n">
        <v>45472</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60107-2021</t>
        </is>
      </c>
      <c r="B1007" s="1" t="n">
        <v>44495</v>
      </c>
      <c r="C1007" s="1" t="n">
        <v>45472</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60539-2021</t>
        </is>
      </c>
      <c r="B1008" s="1" t="n">
        <v>44495</v>
      </c>
      <c r="C1008" s="1" t="n">
        <v>45472</v>
      </c>
      <c r="D1008" t="inlineStr">
        <is>
          <t>VÄSTERBOTTENS LÄN</t>
        </is>
      </c>
      <c r="E1008" t="inlineStr">
        <is>
          <t>SKELLEFTEÅ</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61656-2021</t>
        </is>
      </c>
      <c r="B1009" s="1" t="n">
        <v>44501</v>
      </c>
      <c r="C1009" s="1" t="n">
        <v>45472</v>
      </c>
      <c r="D1009" t="inlineStr">
        <is>
          <t>VÄSTERBOTTENS LÄN</t>
        </is>
      </c>
      <c r="E1009" t="inlineStr">
        <is>
          <t>SKELLEFTEÅ</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61811-2021</t>
        </is>
      </c>
      <c r="B1010" s="1" t="n">
        <v>44501</v>
      </c>
      <c r="C1010" s="1" t="n">
        <v>45472</v>
      </c>
      <c r="D1010" t="inlineStr">
        <is>
          <t>VÄSTERBOTTENS LÄN</t>
        </is>
      </c>
      <c r="E1010" t="inlineStr">
        <is>
          <t>SKELLEFTEÅ</t>
        </is>
      </c>
      <c r="F1010" t="inlineStr">
        <is>
          <t>Sveaskog</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61844-2021</t>
        </is>
      </c>
      <c r="B1011" s="1" t="n">
        <v>44501</v>
      </c>
      <c r="C1011" s="1" t="n">
        <v>45472</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62227-2021</t>
        </is>
      </c>
      <c r="B1012" s="1" t="n">
        <v>44501</v>
      </c>
      <c r="C1012" s="1" t="n">
        <v>45472</v>
      </c>
      <c r="D1012" t="inlineStr">
        <is>
          <t>VÄSTERBOTTENS LÄN</t>
        </is>
      </c>
      <c r="E1012" t="inlineStr">
        <is>
          <t>SKELLEFTEÅ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62345-2021</t>
        </is>
      </c>
      <c r="B1013" s="1" t="n">
        <v>44503</v>
      </c>
      <c r="C1013" s="1" t="n">
        <v>45472</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62486-2021</t>
        </is>
      </c>
      <c r="B1014" s="1" t="n">
        <v>44503</v>
      </c>
      <c r="C1014" s="1" t="n">
        <v>45472</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62651-2021</t>
        </is>
      </c>
      <c r="B1015" s="1" t="n">
        <v>44503</v>
      </c>
      <c r="C1015" s="1" t="n">
        <v>45472</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63145-2021</t>
        </is>
      </c>
      <c r="B1016" s="1" t="n">
        <v>44505</v>
      </c>
      <c r="C1016" s="1" t="n">
        <v>45472</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63171-2021</t>
        </is>
      </c>
      <c r="B1017" s="1" t="n">
        <v>44506</v>
      </c>
      <c r="C1017" s="1" t="n">
        <v>45472</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63502-2021</t>
        </is>
      </c>
      <c r="B1018" s="1" t="n">
        <v>44508</v>
      </c>
      <c r="C1018" s="1" t="n">
        <v>45472</v>
      </c>
      <c r="D1018" t="inlineStr">
        <is>
          <t>VÄSTERBOTTENS LÄN</t>
        </is>
      </c>
      <c r="E1018" t="inlineStr">
        <is>
          <t>SKELLEFTEÅ</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63801-2021</t>
        </is>
      </c>
      <c r="B1019" s="1" t="n">
        <v>44508</v>
      </c>
      <c r="C1019" s="1" t="n">
        <v>45472</v>
      </c>
      <c r="D1019" t="inlineStr">
        <is>
          <t>VÄSTERBOTTENS LÄN</t>
        </is>
      </c>
      <c r="E1019" t="inlineStr">
        <is>
          <t>SKELLEFTEÅ</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63620-2021</t>
        </is>
      </c>
      <c r="B1020" s="1" t="n">
        <v>44509</v>
      </c>
      <c r="C1020" s="1" t="n">
        <v>45472</v>
      </c>
      <c r="D1020" t="inlineStr">
        <is>
          <t>VÄSTERBOTTENS LÄN</t>
        </is>
      </c>
      <c r="E1020" t="inlineStr">
        <is>
          <t>SKELLEFTEÅ</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64087-2021</t>
        </is>
      </c>
      <c r="B1021" s="1" t="n">
        <v>44509</v>
      </c>
      <c r="C1021" s="1" t="n">
        <v>45472</v>
      </c>
      <c r="D1021" t="inlineStr">
        <is>
          <t>VÄSTERBOTTENS LÄN</t>
        </is>
      </c>
      <c r="E1021" t="inlineStr">
        <is>
          <t>SKELLEFTEÅ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64409-2021</t>
        </is>
      </c>
      <c r="B1022" s="1" t="n">
        <v>44510</v>
      </c>
      <c r="C1022" s="1" t="n">
        <v>45472</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64316-2021</t>
        </is>
      </c>
      <c r="B1023" s="1" t="n">
        <v>44510</v>
      </c>
      <c r="C1023" s="1" t="n">
        <v>45472</v>
      </c>
      <c r="D1023" t="inlineStr">
        <is>
          <t>VÄSTERBOTTENS LÄN</t>
        </is>
      </c>
      <c r="E1023" t="inlineStr">
        <is>
          <t>SKELLEFTEÅ</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64391-2021</t>
        </is>
      </c>
      <c r="B1024" s="1" t="n">
        <v>44511</v>
      </c>
      <c r="C1024" s="1" t="n">
        <v>45472</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64399-2021</t>
        </is>
      </c>
      <c r="B1025" s="1" t="n">
        <v>44511</v>
      </c>
      <c r="C1025" s="1" t="n">
        <v>45472</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64593-2021</t>
        </is>
      </c>
      <c r="B1026" s="1" t="n">
        <v>44511</v>
      </c>
      <c r="C1026" s="1" t="n">
        <v>45472</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64580-2021</t>
        </is>
      </c>
      <c r="B1027" s="1" t="n">
        <v>44511</v>
      </c>
      <c r="C1027" s="1" t="n">
        <v>45472</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64761-2021</t>
        </is>
      </c>
      <c r="B1028" s="1" t="n">
        <v>44511</v>
      </c>
      <c r="C1028" s="1" t="n">
        <v>45472</v>
      </c>
      <c r="D1028" t="inlineStr">
        <is>
          <t>VÄSTERBOTTENS LÄN</t>
        </is>
      </c>
      <c r="E1028" t="inlineStr">
        <is>
          <t>SKELLEFTEÅ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64765-2021</t>
        </is>
      </c>
      <c r="B1029" s="1" t="n">
        <v>44511</v>
      </c>
      <c r="C1029" s="1" t="n">
        <v>45472</v>
      </c>
      <c r="D1029" t="inlineStr">
        <is>
          <t>VÄSTERBOTTENS LÄN</t>
        </is>
      </c>
      <c r="E1029" t="inlineStr">
        <is>
          <t>SKELLEFTEÅ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65455-2021</t>
        </is>
      </c>
      <c r="B1030" s="1" t="n">
        <v>44516</v>
      </c>
      <c r="C1030" s="1" t="n">
        <v>45472</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66250-2021</t>
        </is>
      </c>
      <c r="B1031" s="1" t="n">
        <v>44518</v>
      </c>
      <c r="C1031" s="1" t="n">
        <v>45472</v>
      </c>
      <c r="D1031" t="inlineStr">
        <is>
          <t>VÄSTERBOTTENS LÄN</t>
        </is>
      </c>
      <c r="E1031" t="inlineStr">
        <is>
          <t>SKELLEFTEÅ</t>
        </is>
      </c>
      <c r="F1031" t="inlineStr">
        <is>
          <t>Holmen skog AB</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66463-2021</t>
        </is>
      </c>
      <c r="B1032" s="1" t="n">
        <v>44518</v>
      </c>
      <c r="C1032" s="1" t="n">
        <v>45472</v>
      </c>
      <c r="D1032" t="inlineStr">
        <is>
          <t>VÄSTERBOTTENS LÄN</t>
        </is>
      </c>
      <c r="E1032" t="inlineStr">
        <is>
          <t>SKELLEFTEÅ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66465-2021</t>
        </is>
      </c>
      <c r="B1033" s="1" t="n">
        <v>44518</v>
      </c>
      <c r="C1033" s="1" t="n">
        <v>45472</v>
      </c>
      <c r="D1033" t="inlineStr">
        <is>
          <t>VÄSTERBOTTENS LÄN</t>
        </is>
      </c>
      <c r="E1033" t="inlineStr">
        <is>
          <t>SKELLEFTEÅ</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66501-2021</t>
        </is>
      </c>
      <c r="B1034" s="1" t="n">
        <v>44519</v>
      </c>
      <c r="C1034" s="1" t="n">
        <v>45472</v>
      </c>
      <c r="D1034" t="inlineStr">
        <is>
          <t>VÄSTERBOTTENS LÄN</t>
        </is>
      </c>
      <c r="E1034" t="inlineStr">
        <is>
          <t>SKELLEFTEÅ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66500-2021</t>
        </is>
      </c>
      <c r="B1035" s="1" t="n">
        <v>44519</v>
      </c>
      <c r="C1035" s="1" t="n">
        <v>45472</v>
      </c>
      <c r="D1035" t="inlineStr">
        <is>
          <t>VÄSTERBOTTENS LÄN</t>
        </is>
      </c>
      <c r="E1035" t="inlineStr">
        <is>
          <t>SKELLEFTEÅ</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66499-2021</t>
        </is>
      </c>
      <c r="B1036" s="1" t="n">
        <v>44519</v>
      </c>
      <c r="C1036" s="1" t="n">
        <v>45472</v>
      </c>
      <c r="D1036" t="inlineStr">
        <is>
          <t>VÄSTERBOTTENS LÄN</t>
        </is>
      </c>
      <c r="E1036" t="inlineStr">
        <is>
          <t>SKELLEFTEÅ</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66502-2021</t>
        </is>
      </c>
      <c r="B1037" s="1" t="n">
        <v>44519</v>
      </c>
      <c r="C1037" s="1" t="n">
        <v>45472</v>
      </c>
      <c r="D1037" t="inlineStr">
        <is>
          <t>VÄSTERBOTTENS LÄN</t>
        </is>
      </c>
      <c r="E1037" t="inlineStr">
        <is>
          <t>SKELLEFTEÅ</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66756-2021</t>
        </is>
      </c>
      <c r="B1038" s="1" t="n">
        <v>44521</v>
      </c>
      <c r="C1038" s="1" t="n">
        <v>45472</v>
      </c>
      <c r="D1038" t="inlineStr">
        <is>
          <t>VÄSTERBOTTENS LÄN</t>
        </is>
      </c>
      <c r="E1038" t="inlineStr">
        <is>
          <t>SKELLEFTEÅ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66949-2021</t>
        </is>
      </c>
      <c r="B1039" s="1" t="n">
        <v>44522</v>
      </c>
      <c r="C1039" s="1" t="n">
        <v>45472</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c r="U1039">
        <f>HYPERLINK("https://klasma.github.io/Logging_2482/knärot/A 66949-2021 karta knärot.png", "A 66949-2021")</f>
        <v/>
      </c>
      <c r="V1039">
        <f>HYPERLINK("https://klasma.github.io/Logging_2482/klagomål/A 66949-2021 FSC-klagomål.docx", "A 66949-2021")</f>
        <v/>
      </c>
      <c r="W1039">
        <f>HYPERLINK("https://klasma.github.io/Logging_2482/klagomålsmail/A 66949-2021 FSC-klagomål mail.docx", "A 66949-2021")</f>
        <v/>
      </c>
      <c r="X1039">
        <f>HYPERLINK("https://klasma.github.io/Logging_2482/tillsyn/A 66949-2021 tillsynsbegäran.docx", "A 66949-2021")</f>
        <v/>
      </c>
      <c r="Y1039">
        <f>HYPERLINK("https://klasma.github.io/Logging_2482/tillsynsmail/A 66949-2021 tillsynsbegäran mail.docx", "A 66949-2021")</f>
        <v/>
      </c>
    </row>
    <row r="1040" ht="15" customHeight="1">
      <c r="A1040" t="inlineStr">
        <is>
          <t>A 67450-2021</t>
        </is>
      </c>
      <c r="B1040" s="1" t="n">
        <v>44524</v>
      </c>
      <c r="C1040" s="1" t="n">
        <v>45472</v>
      </c>
      <c r="D1040" t="inlineStr">
        <is>
          <t>VÄSTERBOTTENS LÄN</t>
        </is>
      </c>
      <c r="E1040" t="inlineStr">
        <is>
          <t>SKELLEFTEÅ</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67893-2021</t>
        </is>
      </c>
      <c r="B1041" s="1" t="n">
        <v>44525</v>
      </c>
      <c r="C1041" s="1" t="n">
        <v>45472</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68251-2021</t>
        </is>
      </c>
      <c r="B1042" s="1" t="n">
        <v>44525</v>
      </c>
      <c r="C1042" s="1" t="n">
        <v>45472</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68334-2021</t>
        </is>
      </c>
      <c r="B1043" s="1" t="n">
        <v>44527</v>
      </c>
      <c r="C1043" s="1" t="n">
        <v>45472</v>
      </c>
      <c r="D1043" t="inlineStr">
        <is>
          <t>VÄSTERBOTTENS LÄN</t>
        </is>
      </c>
      <c r="E1043" t="inlineStr">
        <is>
          <t>SKELLEFTEÅ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69106-2021</t>
        </is>
      </c>
      <c r="B1044" s="1" t="n">
        <v>44530</v>
      </c>
      <c r="C1044" s="1" t="n">
        <v>45472</v>
      </c>
      <c r="D1044" t="inlineStr">
        <is>
          <t>VÄSTERBOTTENS LÄN</t>
        </is>
      </c>
      <c r="E1044" t="inlineStr">
        <is>
          <t>SKELLEFTEÅ</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69262-2021</t>
        </is>
      </c>
      <c r="B1045" s="1" t="n">
        <v>44531</v>
      </c>
      <c r="C1045" s="1" t="n">
        <v>45472</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69315-2021</t>
        </is>
      </c>
      <c r="B1046" s="1" t="n">
        <v>44531</v>
      </c>
      <c r="C1046" s="1" t="n">
        <v>45472</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70168-2021</t>
        </is>
      </c>
      <c r="B1047" s="1" t="n">
        <v>44533</v>
      </c>
      <c r="C1047" s="1" t="n">
        <v>45472</v>
      </c>
      <c r="D1047" t="inlineStr">
        <is>
          <t>VÄSTERBOTTENS LÄN</t>
        </is>
      </c>
      <c r="E1047" t="inlineStr">
        <is>
          <t>SKELLEFTEÅ</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70176-2021</t>
        </is>
      </c>
      <c r="B1048" s="1" t="n">
        <v>44533</v>
      </c>
      <c r="C1048" s="1" t="n">
        <v>45472</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70029-2021</t>
        </is>
      </c>
      <c r="B1049" s="1" t="n">
        <v>44533</v>
      </c>
      <c r="C1049" s="1" t="n">
        <v>45472</v>
      </c>
      <c r="D1049" t="inlineStr">
        <is>
          <t>VÄSTERBOTTENS LÄN</t>
        </is>
      </c>
      <c r="E1049" t="inlineStr">
        <is>
          <t>SKELLEFTEÅ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69992-2021</t>
        </is>
      </c>
      <c r="B1050" s="1" t="n">
        <v>44533</v>
      </c>
      <c r="C1050" s="1" t="n">
        <v>45472</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69996-2021</t>
        </is>
      </c>
      <c r="B1051" s="1" t="n">
        <v>44533</v>
      </c>
      <c r="C1051" s="1" t="n">
        <v>45472</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69991-2021</t>
        </is>
      </c>
      <c r="B1052" s="1" t="n">
        <v>44533</v>
      </c>
      <c r="C1052" s="1" t="n">
        <v>45472</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69978-2021</t>
        </is>
      </c>
      <c r="B1053" s="1" t="n">
        <v>44533</v>
      </c>
      <c r="C1053" s="1" t="n">
        <v>45472</v>
      </c>
      <c r="D1053" t="inlineStr">
        <is>
          <t>VÄSTERBOTTENS LÄN</t>
        </is>
      </c>
      <c r="E1053" t="inlineStr">
        <is>
          <t>SKELLEFTEÅ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70229-2021</t>
        </is>
      </c>
      <c r="B1054" s="1" t="n">
        <v>44533</v>
      </c>
      <c r="C1054" s="1" t="n">
        <v>45472</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70272-2021</t>
        </is>
      </c>
      <c r="B1055" s="1" t="n">
        <v>44536</v>
      </c>
      <c r="C1055" s="1" t="n">
        <v>45472</v>
      </c>
      <c r="D1055" t="inlineStr">
        <is>
          <t>VÄSTERBOTTENS LÄN</t>
        </is>
      </c>
      <c r="E1055" t="inlineStr">
        <is>
          <t>SKELLEFTEÅ</t>
        </is>
      </c>
      <c r="F1055" t="inlineStr">
        <is>
          <t>Kyrkan</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70339-2021</t>
        </is>
      </c>
      <c r="B1056" s="1" t="n">
        <v>44536</v>
      </c>
      <c r="C1056" s="1" t="n">
        <v>45472</v>
      </c>
      <c r="D1056" t="inlineStr">
        <is>
          <t>VÄSTERBOTTENS LÄN</t>
        </is>
      </c>
      <c r="E1056" t="inlineStr">
        <is>
          <t>SKELLEFTEÅ</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70508-2021</t>
        </is>
      </c>
      <c r="B1057" s="1" t="n">
        <v>44536</v>
      </c>
      <c r="C1057" s="1" t="n">
        <v>45472</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70703-2021</t>
        </is>
      </c>
      <c r="B1058" s="1" t="n">
        <v>44536</v>
      </c>
      <c r="C1058" s="1" t="n">
        <v>45472</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70718-2021</t>
        </is>
      </c>
      <c r="B1059" s="1" t="n">
        <v>44536</v>
      </c>
      <c r="C1059" s="1" t="n">
        <v>45472</v>
      </c>
      <c r="D1059" t="inlineStr">
        <is>
          <t>VÄSTERBOTTENS LÄN</t>
        </is>
      </c>
      <c r="E1059" t="inlineStr">
        <is>
          <t>SKELLEFTEÅ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70851-2021</t>
        </is>
      </c>
      <c r="B1060" s="1" t="n">
        <v>44536</v>
      </c>
      <c r="C1060" s="1" t="n">
        <v>45472</v>
      </c>
      <c r="D1060" t="inlineStr">
        <is>
          <t>VÄSTERBOTTENS LÄN</t>
        </is>
      </c>
      <c r="E1060" t="inlineStr">
        <is>
          <t>SKELLEFTEÅ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70558-2021</t>
        </is>
      </c>
      <c r="B1061" s="1" t="n">
        <v>44537</v>
      </c>
      <c r="C1061" s="1" t="n">
        <v>45472</v>
      </c>
      <c r="D1061" t="inlineStr">
        <is>
          <t>VÄSTERBOTTENS LÄN</t>
        </is>
      </c>
      <c r="E1061" t="inlineStr">
        <is>
          <t>SKELLEFTEÅ</t>
        </is>
      </c>
      <c r="F1061" t="inlineStr">
        <is>
          <t>Sveaskog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70748-2021</t>
        </is>
      </c>
      <c r="B1062" s="1" t="n">
        <v>44537</v>
      </c>
      <c r="C1062" s="1" t="n">
        <v>45472</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71019-2021</t>
        </is>
      </c>
      <c r="B1063" s="1" t="n">
        <v>44538</v>
      </c>
      <c r="C1063" s="1" t="n">
        <v>45472</v>
      </c>
      <c r="D1063" t="inlineStr">
        <is>
          <t>VÄSTERBOTTENS LÄN</t>
        </is>
      </c>
      <c r="E1063" t="inlineStr">
        <is>
          <t>SKELLEFTEÅ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71410-2021</t>
        </is>
      </c>
      <c r="B1064" s="1" t="n">
        <v>44540</v>
      </c>
      <c r="C1064" s="1" t="n">
        <v>45472</v>
      </c>
      <c r="D1064" t="inlineStr">
        <is>
          <t>VÄSTERBOTTENS LÄN</t>
        </is>
      </c>
      <c r="E1064" t="inlineStr">
        <is>
          <t>SKELLEFTEÅ</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71422-2021</t>
        </is>
      </c>
      <c r="B1065" s="1" t="n">
        <v>44540</v>
      </c>
      <c r="C1065" s="1" t="n">
        <v>45472</v>
      </c>
      <c r="D1065" t="inlineStr">
        <is>
          <t>VÄSTERBOTTENS LÄN</t>
        </is>
      </c>
      <c r="E1065" t="inlineStr">
        <is>
          <t>SKELLEFTEÅ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71445-2021</t>
        </is>
      </c>
      <c r="B1066" s="1" t="n">
        <v>44540</v>
      </c>
      <c r="C1066" s="1" t="n">
        <v>45472</v>
      </c>
      <c r="D1066" t="inlineStr">
        <is>
          <t>VÄSTERBOTTENS LÄN</t>
        </is>
      </c>
      <c r="E1066" t="inlineStr">
        <is>
          <t>SKELLEFTEÅ</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71464-2021</t>
        </is>
      </c>
      <c r="B1067" s="1" t="n">
        <v>44540</v>
      </c>
      <c r="C1067" s="1" t="n">
        <v>45472</v>
      </c>
      <c r="D1067" t="inlineStr">
        <is>
          <t>VÄSTERBOTTENS LÄN</t>
        </is>
      </c>
      <c r="E1067" t="inlineStr">
        <is>
          <t>SKELLEFTEÅ</t>
        </is>
      </c>
      <c r="F1067" t="inlineStr">
        <is>
          <t>Sveaskog</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71434-2021</t>
        </is>
      </c>
      <c r="B1068" s="1" t="n">
        <v>44540</v>
      </c>
      <c r="C1068" s="1" t="n">
        <v>45472</v>
      </c>
      <c r="D1068" t="inlineStr">
        <is>
          <t>VÄSTERBOTTENS LÄN</t>
        </is>
      </c>
      <c r="E1068" t="inlineStr">
        <is>
          <t>SKELLEFTEÅ</t>
        </is>
      </c>
      <c r="F1068" t="inlineStr">
        <is>
          <t>Sveaskog</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71565-2021</t>
        </is>
      </c>
      <c r="B1069" s="1" t="n">
        <v>44540</v>
      </c>
      <c r="C1069" s="1" t="n">
        <v>45472</v>
      </c>
      <c r="D1069" t="inlineStr">
        <is>
          <t>VÄSTERBOTTENS LÄN</t>
        </is>
      </c>
      <c r="E1069" t="inlineStr">
        <is>
          <t>SKELLEFTEÅ</t>
        </is>
      </c>
      <c r="F1069" t="inlineStr">
        <is>
          <t>Sveaskog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71400-2021</t>
        </is>
      </c>
      <c r="B1070" s="1" t="n">
        <v>44540</v>
      </c>
      <c r="C1070" s="1" t="n">
        <v>45472</v>
      </c>
      <c r="D1070" t="inlineStr">
        <is>
          <t>VÄSTERBOTTENS LÄN</t>
        </is>
      </c>
      <c r="E1070" t="inlineStr">
        <is>
          <t>SKELLEFTEÅ</t>
        </is>
      </c>
      <c r="F1070" t="inlineStr">
        <is>
          <t>Sveaskog</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71460-2021</t>
        </is>
      </c>
      <c r="B1071" s="1" t="n">
        <v>44540</v>
      </c>
      <c r="C1071" s="1" t="n">
        <v>45472</v>
      </c>
      <c r="D1071" t="inlineStr">
        <is>
          <t>VÄSTERBOTTENS LÄN</t>
        </is>
      </c>
      <c r="E1071" t="inlineStr">
        <is>
          <t>SKELLEFTEÅ</t>
        </is>
      </c>
      <c r="F1071" t="inlineStr">
        <is>
          <t>Sveaskog</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71459-2021</t>
        </is>
      </c>
      <c r="B1072" s="1" t="n">
        <v>44540</v>
      </c>
      <c r="C1072" s="1" t="n">
        <v>45472</v>
      </c>
      <c r="D1072" t="inlineStr">
        <is>
          <t>VÄSTERBOTTENS LÄN</t>
        </is>
      </c>
      <c r="E1072" t="inlineStr">
        <is>
          <t>SKELLEFTEÅ</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71798-2021</t>
        </is>
      </c>
      <c r="B1073" s="1" t="n">
        <v>44543</v>
      </c>
      <c r="C1073" s="1" t="n">
        <v>45472</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71924-2021</t>
        </is>
      </c>
      <c r="B1074" s="1" t="n">
        <v>44543</v>
      </c>
      <c r="C1074" s="1" t="n">
        <v>45472</v>
      </c>
      <c r="D1074" t="inlineStr">
        <is>
          <t>VÄSTERBOTTENS LÄN</t>
        </is>
      </c>
      <c r="E1074" t="inlineStr">
        <is>
          <t>SKELLEFTEÅ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71943-2021</t>
        </is>
      </c>
      <c r="B1075" s="1" t="n">
        <v>44543</v>
      </c>
      <c r="C1075" s="1" t="n">
        <v>45472</v>
      </c>
      <c r="D1075" t="inlineStr">
        <is>
          <t>VÄSTERBOTTENS LÄN</t>
        </is>
      </c>
      <c r="E1075" t="inlineStr">
        <is>
          <t>SKELLEFTEÅ</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71931-2021</t>
        </is>
      </c>
      <c r="B1076" s="1" t="n">
        <v>44543</v>
      </c>
      <c r="C1076" s="1" t="n">
        <v>45472</v>
      </c>
      <c r="D1076" t="inlineStr">
        <is>
          <t>VÄSTERBOTTENS LÄN</t>
        </is>
      </c>
      <c r="E1076" t="inlineStr">
        <is>
          <t>SKELLEFTEÅ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72203-2021</t>
        </is>
      </c>
      <c r="B1077" s="1" t="n">
        <v>44543</v>
      </c>
      <c r="C1077" s="1" t="n">
        <v>45472</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71934-2021</t>
        </is>
      </c>
      <c r="B1078" s="1" t="n">
        <v>44543</v>
      </c>
      <c r="C1078" s="1" t="n">
        <v>45472</v>
      </c>
      <c r="D1078" t="inlineStr">
        <is>
          <t>VÄSTERBOTTENS LÄN</t>
        </is>
      </c>
      <c r="E1078" t="inlineStr">
        <is>
          <t>SKELLEFTEÅ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72033-2021</t>
        </is>
      </c>
      <c r="B1079" s="1" t="n">
        <v>44544</v>
      </c>
      <c r="C1079" s="1" t="n">
        <v>45472</v>
      </c>
      <c r="D1079" t="inlineStr">
        <is>
          <t>VÄSTERBOTTENS LÄN</t>
        </is>
      </c>
      <c r="E1079" t="inlineStr">
        <is>
          <t>SKELLEFTEÅ</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72183-2021</t>
        </is>
      </c>
      <c r="B1080" s="1" t="n">
        <v>44544</v>
      </c>
      <c r="C1080" s="1" t="n">
        <v>45472</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72692-2021</t>
        </is>
      </c>
      <c r="B1081" s="1" t="n">
        <v>44545</v>
      </c>
      <c r="C1081" s="1" t="n">
        <v>45472</v>
      </c>
      <c r="D1081" t="inlineStr">
        <is>
          <t>VÄSTERBOTTENS LÄN</t>
        </is>
      </c>
      <c r="E1081" t="inlineStr">
        <is>
          <t>SKELLEFTEÅ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72545-2021</t>
        </is>
      </c>
      <c r="B1082" s="1" t="n">
        <v>44546</v>
      </c>
      <c r="C1082" s="1" t="n">
        <v>45472</v>
      </c>
      <c r="D1082" t="inlineStr">
        <is>
          <t>VÄSTERBOTTENS LÄN</t>
        </is>
      </c>
      <c r="E1082" t="inlineStr">
        <is>
          <t>SKELLEFTEÅ</t>
        </is>
      </c>
      <c r="F1082" t="inlineStr">
        <is>
          <t>Holmen skog AB</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73159-2021</t>
        </is>
      </c>
      <c r="B1083" s="1" t="n">
        <v>44550</v>
      </c>
      <c r="C1083" s="1" t="n">
        <v>45472</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73556-2021</t>
        </is>
      </c>
      <c r="B1084" s="1" t="n">
        <v>44551</v>
      </c>
      <c r="C1084" s="1" t="n">
        <v>45472</v>
      </c>
      <c r="D1084" t="inlineStr">
        <is>
          <t>VÄSTERBOTTENS LÄN</t>
        </is>
      </c>
      <c r="E1084" t="inlineStr">
        <is>
          <t>SKELLEFTEÅ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73614-2021</t>
        </is>
      </c>
      <c r="B1085" s="1" t="n">
        <v>44551</v>
      </c>
      <c r="C1085" s="1" t="n">
        <v>45472</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73684-2021</t>
        </is>
      </c>
      <c r="B1086" s="1" t="n">
        <v>44551</v>
      </c>
      <c r="C1086" s="1" t="n">
        <v>45472</v>
      </c>
      <c r="D1086" t="inlineStr">
        <is>
          <t>VÄSTERBOTTENS LÄN</t>
        </is>
      </c>
      <c r="E1086" t="inlineStr">
        <is>
          <t>SKELLEFTEÅ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73833-2021</t>
        </is>
      </c>
      <c r="B1087" s="1" t="n">
        <v>44552</v>
      </c>
      <c r="C1087" s="1" t="n">
        <v>45472</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73956-2021</t>
        </is>
      </c>
      <c r="B1088" s="1" t="n">
        <v>44553</v>
      </c>
      <c r="C1088" s="1" t="n">
        <v>45472</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73957-2021</t>
        </is>
      </c>
      <c r="B1089" s="1" t="n">
        <v>44553</v>
      </c>
      <c r="C1089" s="1" t="n">
        <v>45472</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73950-2021</t>
        </is>
      </c>
      <c r="B1090" s="1" t="n">
        <v>44553</v>
      </c>
      <c r="C1090" s="1" t="n">
        <v>45472</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73985-2021</t>
        </is>
      </c>
      <c r="B1091" s="1" t="n">
        <v>44555</v>
      </c>
      <c r="C1091" s="1" t="n">
        <v>45472</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74077-2021</t>
        </is>
      </c>
      <c r="B1092" s="1" t="n">
        <v>44557</v>
      </c>
      <c r="C1092" s="1" t="n">
        <v>45472</v>
      </c>
      <c r="D1092" t="inlineStr">
        <is>
          <t>VÄSTERBOTTENS LÄN</t>
        </is>
      </c>
      <c r="E1092" t="inlineStr">
        <is>
          <t>SKELLEFTEÅ</t>
        </is>
      </c>
      <c r="F1092" t="inlineStr">
        <is>
          <t>Holmen skog AB</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74205-2021</t>
        </is>
      </c>
      <c r="B1093" s="1" t="n">
        <v>44558</v>
      </c>
      <c r="C1093" s="1" t="n">
        <v>45472</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528-2022</t>
        </is>
      </c>
      <c r="B1094" s="1" t="n">
        <v>44566</v>
      </c>
      <c r="C1094" s="1" t="n">
        <v>45472</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808-2022</t>
        </is>
      </c>
      <c r="B1095" s="1" t="n">
        <v>44568</v>
      </c>
      <c r="C1095" s="1" t="n">
        <v>45472</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1626-2022</t>
        </is>
      </c>
      <c r="B1096" s="1" t="n">
        <v>44573</v>
      </c>
      <c r="C1096" s="1" t="n">
        <v>45472</v>
      </c>
      <c r="D1096" t="inlineStr">
        <is>
          <t>VÄSTERBOTTENS LÄN</t>
        </is>
      </c>
      <c r="E1096" t="inlineStr">
        <is>
          <t>SKELLEFTEÅ</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1750-2022</t>
        </is>
      </c>
      <c r="B1097" s="1" t="n">
        <v>44574</v>
      </c>
      <c r="C1097" s="1" t="n">
        <v>45472</v>
      </c>
      <c r="D1097" t="inlineStr">
        <is>
          <t>VÄSTERBOTTENS LÄN</t>
        </is>
      </c>
      <c r="E1097" t="inlineStr">
        <is>
          <t>SKELLEFTEÅ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1834-2022</t>
        </is>
      </c>
      <c r="B1098" s="1" t="n">
        <v>44574</v>
      </c>
      <c r="C1098" s="1" t="n">
        <v>45472</v>
      </c>
      <c r="D1098" t="inlineStr">
        <is>
          <t>VÄSTERBOTTENS LÄN</t>
        </is>
      </c>
      <c r="E1098" t="inlineStr">
        <is>
          <t>SKELLEFTEÅ</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2486-2022</t>
        </is>
      </c>
      <c r="B1099" s="1" t="n">
        <v>44579</v>
      </c>
      <c r="C1099" s="1" t="n">
        <v>45472</v>
      </c>
      <c r="D1099" t="inlineStr">
        <is>
          <t>VÄSTERBOTTENS LÄN</t>
        </is>
      </c>
      <c r="E1099" t="inlineStr">
        <is>
          <t>SKELLEFTEÅ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2607-2022</t>
        </is>
      </c>
      <c r="B1100" s="1" t="n">
        <v>44580</v>
      </c>
      <c r="C1100" s="1" t="n">
        <v>45472</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2813-2022</t>
        </is>
      </c>
      <c r="B1101" s="1" t="n">
        <v>44580</v>
      </c>
      <c r="C1101" s="1" t="n">
        <v>45472</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3006-2022</t>
        </is>
      </c>
      <c r="B1102" s="1" t="n">
        <v>44581</v>
      </c>
      <c r="C1102" s="1" t="n">
        <v>45472</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3009-2022</t>
        </is>
      </c>
      <c r="B1103" s="1" t="n">
        <v>44581</v>
      </c>
      <c r="C1103" s="1" t="n">
        <v>45472</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3268-2022</t>
        </is>
      </c>
      <c r="B1104" s="1" t="n">
        <v>44583</v>
      </c>
      <c r="C1104" s="1" t="n">
        <v>45472</v>
      </c>
      <c r="D1104" t="inlineStr">
        <is>
          <t>VÄSTERBOTTENS LÄN</t>
        </is>
      </c>
      <c r="E1104" t="inlineStr">
        <is>
          <t>SKELLEFTEÅ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3265-2022</t>
        </is>
      </c>
      <c r="B1105" s="1" t="n">
        <v>44583</v>
      </c>
      <c r="C1105" s="1" t="n">
        <v>45472</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3266-2022</t>
        </is>
      </c>
      <c r="B1106" s="1" t="n">
        <v>44583</v>
      </c>
      <c r="C1106" s="1" t="n">
        <v>45472</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3362-2022</t>
        </is>
      </c>
      <c r="B1107" s="1" t="n">
        <v>44585</v>
      </c>
      <c r="C1107" s="1" t="n">
        <v>45472</v>
      </c>
      <c r="D1107" t="inlineStr">
        <is>
          <t>VÄSTERBOTTENS LÄN</t>
        </is>
      </c>
      <c r="E1107" t="inlineStr">
        <is>
          <t>SKELLEFTEÅ</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3616-2022</t>
        </is>
      </c>
      <c r="B1108" s="1" t="n">
        <v>44586</v>
      </c>
      <c r="C1108" s="1" t="n">
        <v>45472</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3600-2022</t>
        </is>
      </c>
      <c r="B1109" s="1" t="n">
        <v>44586</v>
      </c>
      <c r="C1109" s="1" t="n">
        <v>45472</v>
      </c>
      <c r="D1109" t="inlineStr">
        <is>
          <t>VÄSTERBOTTENS LÄN</t>
        </is>
      </c>
      <c r="E1109" t="inlineStr">
        <is>
          <t>SKELLEFTEÅ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3876-2022</t>
        </is>
      </c>
      <c r="B1110" s="1" t="n">
        <v>44587</v>
      </c>
      <c r="C1110" s="1" t="n">
        <v>45472</v>
      </c>
      <c r="D1110" t="inlineStr">
        <is>
          <t>VÄSTERBOTTENS LÄN</t>
        </is>
      </c>
      <c r="E1110" t="inlineStr">
        <is>
          <t>SKELLEFTEÅ</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3924-2022</t>
        </is>
      </c>
      <c r="B1111" s="1" t="n">
        <v>44587</v>
      </c>
      <c r="C1111" s="1" t="n">
        <v>45472</v>
      </c>
      <c r="D1111" t="inlineStr">
        <is>
          <t>VÄSTERBOTTENS LÄN</t>
        </is>
      </c>
      <c r="E1111" t="inlineStr">
        <is>
          <t>SKELLEFTEÅ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3882-2022</t>
        </is>
      </c>
      <c r="B1112" s="1" t="n">
        <v>44587</v>
      </c>
      <c r="C1112" s="1" t="n">
        <v>45472</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3944-2022</t>
        </is>
      </c>
      <c r="B1113" s="1" t="n">
        <v>44587</v>
      </c>
      <c r="C1113" s="1" t="n">
        <v>45472</v>
      </c>
      <c r="D1113" t="inlineStr">
        <is>
          <t>VÄSTERBOTTENS LÄN</t>
        </is>
      </c>
      <c r="E1113" t="inlineStr">
        <is>
          <t>SKELLEFTEÅ</t>
        </is>
      </c>
      <c r="F1113" t="inlineStr">
        <is>
          <t>Kommuner</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3987-2022</t>
        </is>
      </c>
      <c r="B1114" s="1" t="n">
        <v>44587</v>
      </c>
      <c r="C1114" s="1" t="n">
        <v>45472</v>
      </c>
      <c r="D1114" t="inlineStr">
        <is>
          <t>VÄSTERBOTTENS LÄN</t>
        </is>
      </c>
      <c r="E1114" t="inlineStr">
        <is>
          <t>SKELLEFTEÅ</t>
        </is>
      </c>
      <c r="F1114" t="inlineStr">
        <is>
          <t>Sveaskog</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4008-2022</t>
        </is>
      </c>
      <c r="B1115" s="1" t="n">
        <v>44587</v>
      </c>
      <c r="C1115" s="1" t="n">
        <v>45472</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3963-2022</t>
        </is>
      </c>
      <c r="B1116" s="1" t="n">
        <v>44587</v>
      </c>
      <c r="C1116" s="1" t="n">
        <v>45472</v>
      </c>
      <c r="D1116" t="inlineStr">
        <is>
          <t>VÄSTERBOTTENS LÄN</t>
        </is>
      </c>
      <c r="E1116" t="inlineStr">
        <is>
          <t>SKELLEFTEÅ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4005-2022</t>
        </is>
      </c>
      <c r="B1117" s="1" t="n">
        <v>44587</v>
      </c>
      <c r="C1117" s="1" t="n">
        <v>45472</v>
      </c>
      <c r="D1117" t="inlineStr">
        <is>
          <t>VÄSTERBOTTENS LÄN</t>
        </is>
      </c>
      <c r="E1117" t="inlineStr">
        <is>
          <t>SKELLEFTEÅ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4603-2022</t>
        </is>
      </c>
      <c r="B1118" s="1" t="n">
        <v>44592</v>
      </c>
      <c r="C1118" s="1" t="n">
        <v>45472</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4653-2022</t>
        </is>
      </c>
      <c r="B1119" s="1" t="n">
        <v>44592</v>
      </c>
      <c r="C1119" s="1" t="n">
        <v>45472</v>
      </c>
      <c r="D1119" t="inlineStr">
        <is>
          <t>VÄSTERBOTTENS LÄN</t>
        </is>
      </c>
      <c r="E1119" t="inlineStr">
        <is>
          <t>SKELLEFTEÅ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4762-2022</t>
        </is>
      </c>
      <c r="B1120" s="1" t="n">
        <v>44592</v>
      </c>
      <c r="C1120" s="1" t="n">
        <v>45472</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4844-2022</t>
        </is>
      </c>
      <c r="B1121" s="1" t="n">
        <v>44592</v>
      </c>
      <c r="C1121" s="1" t="n">
        <v>45472</v>
      </c>
      <c r="D1121" t="inlineStr">
        <is>
          <t>VÄSTERBOTTENS LÄN</t>
        </is>
      </c>
      <c r="E1121" t="inlineStr">
        <is>
          <t>SKELLEFTEÅ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4791-2022</t>
        </is>
      </c>
      <c r="B1122" s="1" t="n">
        <v>44592</v>
      </c>
      <c r="C1122" s="1" t="n">
        <v>45472</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5817-2022</t>
        </is>
      </c>
      <c r="B1123" s="1" t="n">
        <v>44596</v>
      </c>
      <c r="C1123" s="1" t="n">
        <v>45472</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5826-2022</t>
        </is>
      </c>
      <c r="B1124" s="1" t="n">
        <v>44596</v>
      </c>
      <c r="C1124" s="1" t="n">
        <v>45472</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5828-2022</t>
        </is>
      </c>
      <c r="B1125" s="1" t="n">
        <v>44596</v>
      </c>
      <c r="C1125" s="1" t="n">
        <v>45472</v>
      </c>
      <c r="D1125" t="inlineStr">
        <is>
          <t>VÄSTERBOTTENS LÄN</t>
        </is>
      </c>
      <c r="E1125" t="inlineStr">
        <is>
          <t>SKELLEFTEÅ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5972-2022</t>
        </is>
      </c>
      <c r="B1126" s="1" t="n">
        <v>44599</v>
      </c>
      <c r="C1126" s="1" t="n">
        <v>45472</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6635-2022</t>
        </is>
      </c>
      <c r="B1127" s="1" t="n">
        <v>44601</v>
      </c>
      <c r="C1127" s="1" t="n">
        <v>45472</v>
      </c>
      <c r="D1127" t="inlineStr">
        <is>
          <t>VÄSTERBOTTENS LÄN</t>
        </is>
      </c>
      <c r="E1127" t="inlineStr">
        <is>
          <t>SKELLEFTEÅ</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6666-2022</t>
        </is>
      </c>
      <c r="B1128" s="1" t="n">
        <v>44602</v>
      </c>
      <c r="C1128" s="1" t="n">
        <v>45472</v>
      </c>
      <c r="D1128" t="inlineStr">
        <is>
          <t>VÄSTERBOTTENS LÄN</t>
        </is>
      </c>
      <c r="E1128" t="inlineStr">
        <is>
          <t>SKELLEFTEÅ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6837-2022</t>
        </is>
      </c>
      <c r="B1129" s="1" t="n">
        <v>44602</v>
      </c>
      <c r="C1129" s="1" t="n">
        <v>45472</v>
      </c>
      <c r="D1129" t="inlineStr">
        <is>
          <t>VÄSTERBOTTENS LÄN</t>
        </is>
      </c>
      <c r="E1129" t="inlineStr">
        <is>
          <t>SKELLEFTEÅ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6834-2022</t>
        </is>
      </c>
      <c r="B1130" s="1" t="n">
        <v>44602</v>
      </c>
      <c r="C1130" s="1" t="n">
        <v>45472</v>
      </c>
      <c r="D1130" t="inlineStr">
        <is>
          <t>VÄSTERBOTTENS LÄN</t>
        </is>
      </c>
      <c r="E1130" t="inlineStr">
        <is>
          <t>SKELLEFTEÅ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7006-2022</t>
        </is>
      </c>
      <c r="B1131" s="1" t="n">
        <v>44602</v>
      </c>
      <c r="C1131" s="1" t="n">
        <v>45472</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7052-2022</t>
        </is>
      </c>
      <c r="B1132" s="1" t="n">
        <v>44603</v>
      </c>
      <c r="C1132" s="1" t="n">
        <v>45472</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7127-2022</t>
        </is>
      </c>
      <c r="B1133" s="1" t="n">
        <v>44603</v>
      </c>
      <c r="C1133" s="1" t="n">
        <v>45472</v>
      </c>
      <c r="D1133" t="inlineStr">
        <is>
          <t>VÄSTERBOTTENS LÄN</t>
        </is>
      </c>
      <c r="E1133" t="inlineStr">
        <is>
          <t>SKELLEFTEÅ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7462-2022</t>
        </is>
      </c>
      <c r="B1134" s="1" t="n">
        <v>44606</v>
      </c>
      <c r="C1134" s="1" t="n">
        <v>45472</v>
      </c>
      <c r="D1134" t="inlineStr">
        <is>
          <t>VÄSTERBOTTENS LÄN</t>
        </is>
      </c>
      <c r="E1134" t="inlineStr">
        <is>
          <t>SKELLEFTEÅ</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7495-2022</t>
        </is>
      </c>
      <c r="B1135" s="1" t="n">
        <v>44607</v>
      </c>
      <c r="C1135" s="1" t="n">
        <v>45472</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7518-2022</t>
        </is>
      </c>
      <c r="B1136" s="1" t="n">
        <v>44607</v>
      </c>
      <c r="C1136" s="1" t="n">
        <v>45472</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7579-2022</t>
        </is>
      </c>
      <c r="B1137" s="1" t="n">
        <v>44607</v>
      </c>
      <c r="C1137" s="1" t="n">
        <v>45472</v>
      </c>
      <c r="D1137" t="inlineStr">
        <is>
          <t>VÄSTERBOTTENS LÄN</t>
        </is>
      </c>
      <c r="E1137" t="inlineStr">
        <is>
          <t>SKELLEFTEÅ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45472</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8203-2022</t>
        </is>
      </c>
      <c r="B1139" s="1" t="n">
        <v>44609</v>
      </c>
      <c r="C1139" s="1" t="n">
        <v>45472</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8456-2022</t>
        </is>
      </c>
      <c r="B1140" s="1" t="n">
        <v>44612</v>
      </c>
      <c r="C1140" s="1" t="n">
        <v>45472</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8436-2022</t>
        </is>
      </c>
      <c r="B1141" s="1" t="n">
        <v>44612</v>
      </c>
      <c r="C1141" s="1" t="n">
        <v>45472</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8600-2022</t>
        </is>
      </c>
      <c r="B1142" s="1" t="n">
        <v>44613</v>
      </c>
      <c r="C1142" s="1" t="n">
        <v>45472</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8603-2022</t>
        </is>
      </c>
      <c r="B1143" s="1" t="n">
        <v>44613</v>
      </c>
      <c r="C1143" s="1" t="n">
        <v>45472</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8598-2022</t>
        </is>
      </c>
      <c r="B1144" s="1" t="n">
        <v>44613</v>
      </c>
      <c r="C1144" s="1" t="n">
        <v>45472</v>
      </c>
      <c r="D1144" t="inlineStr">
        <is>
          <t>VÄSTERBOTTENS LÄN</t>
        </is>
      </c>
      <c r="E1144" t="inlineStr">
        <is>
          <t>SKELLEFTEÅ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8595-2022</t>
        </is>
      </c>
      <c r="B1145" s="1" t="n">
        <v>44613</v>
      </c>
      <c r="C1145" s="1" t="n">
        <v>45472</v>
      </c>
      <c r="D1145" t="inlineStr">
        <is>
          <t>VÄSTERBOTTENS LÄN</t>
        </is>
      </c>
      <c r="E1145" t="inlineStr">
        <is>
          <t>SKELLEFTEÅ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8539-2022</t>
        </is>
      </c>
      <c r="B1146" s="1" t="n">
        <v>44613</v>
      </c>
      <c r="C1146" s="1" t="n">
        <v>45472</v>
      </c>
      <c r="D1146" t="inlineStr">
        <is>
          <t>VÄSTERBOTTENS LÄN</t>
        </is>
      </c>
      <c r="E1146" t="inlineStr">
        <is>
          <t>SKELLEFTEÅ</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9053-2022</t>
        </is>
      </c>
      <c r="B1147" s="1" t="n">
        <v>44615</v>
      </c>
      <c r="C1147" s="1" t="n">
        <v>45472</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9500-2022</t>
        </is>
      </c>
      <c r="B1148" s="1" t="n">
        <v>44616</v>
      </c>
      <c r="C1148" s="1" t="n">
        <v>45472</v>
      </c>
      <c r="D1148" t="inlineStr">
        <is>
          <t>VÄSTERBOTTENS LÄN</t>
        </is>
      </c>
      <c r="E1148" t="inlineStr">
        <is>
          <t>SKELLEFTEÅ</t>
        </is>
      </c>
      <c r="F1148" t="inlineStr">
        <is>
          <t>SCA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9579-2022</t>
        </is>
      </c>
      <c r="B1149" s="1" t="n">
        <v>44617</v>
      </c>
      <c r="C1149" s="1" t="n">
        <v>45472</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9925-2022</t>
        </is>
      </c>
      <c r="B1150" s="1" t="n">
        <v>44620</v>
      </c>
      <c r="C1150" s="1" t="n">
        <v>45472</v>
      </c>
      <c r="D1150" t="inlineStr">
        <is>
          <t>VÄSTERBOTTENS LÄN</t>
        </is>
      </c>
      <c r="E1150" t="inlineStr">
        <is>
          <t>SKELLEFTEÅ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9950-2022</t>
        </is>
      </c>
      <c r="B1151" s="1" t="n">
        <v>44620</v>
      </c>
      <c r="C1151" s="1" t="n">
        <v>45472</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10132-2022</t>
        </is>
      </c>
      <c r="B1152" s="1" t="n">
        <v>44621</v>
      </c>
      <c r="C1152" s="1" t="n">
        <v>45472</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10578-2022</t>
        </is>
      </c>
      <c r="B1153" s="1" t="n">
        <v>44624</v>
      </c>
      <c r="C1153" s="1" t="n">
        <v>45472</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10568-2022</t>
        </is>
      </c>
      <c r="B1154" s="1" t="n">
        <v>44624</v>
      </c>
      <c r="C1154" s="1" t="n">
        <v>45472</v>
      </c>
      <c r="D1154" t="inlineStr">
        <is>
          <t>VÄSTERBOTTENS LÄN</t>
        </is>
      </c>
      <c r="E1154" t="inlineStr">
        <is>
          <t>SKELLEFTEÅ</t>
        </is>
      </c>
      <c r="F1154" t="inlineStr">
        <is>
          <t>Holmen skog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10723-2022</t>
        </is>
      </c>
      <c r="B1155" s="1" t="n">
        <v>44624</v>
      </c>
      <c r="C1155" s="1" t="n">
        <v>45472</v>
      </c>
      <c r="D1155" t="inlineStr">
        <is>
          <t>VÄSTERBOTTENS LÄN</t>
        </is>
      </c>
      <c r="E1155" t="inlineStr">
        <is>
          <t>SKELLEFTEÅ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11226-2022</t>
        </is>
      </c>
      <c r="B1156" s="1" t="n">
        <v>44624</v>
      </c>
      <c r="C1156" s="1" t="n">
        <v>45472</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11260-2022</t>
        </is>
      </c>
      <c r="B1157" s="1" t="n">
        <v>44629</v>
      </c>
      <c r="C1157" s="1" t="n">
        <v>45472</v>
      </c>
      <c r="D1157" t="inlineStr">
        <is>
          <t>VÄSTERBOTTENS LÄN</t>
        </is>
      </c>
      <c r="E1157" t="inlineStr">
        <is>
          <t>SKELLEFTEÅ</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11468-2022</t>
        </is>
      </c>
      <c r="B1158" s="1" t="n">
        <v>44630</v>
      </c>
      <c r="C1158" s="1" t="n">
        <v>45472</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11685-2022</t>
        </is>
      </c>
      <c r="B1159" s="1" t="n">
        <v>44634</v>
      </c>
      <c r="C1159" s="1" t="n">
        <v>45472</v>
      </c>
      <c r="D1159" t="inlineStr">
        <is>
          <t>VÄSTERBOTTENS LÄN</t>
        </is>
      </c>
      <c r="E1159" t="inlineStr">
        <is>
          <t>SKELLEFTEÅ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11790-2022</t>
        </is>
      </c>
      <c r="B1160" s="1" t="n">
        <v>44634</v>
      </c>
      <c r="C1160" s="1" t="n">
        <v>45472</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11879-2022</t>
        </is>
      </c>
      <c r="B1161" s="1" t="n">
        <v>44635</v>
      </c>
      <c r="C1161" s="1" t="n">
        <v>45472</v>
      </c>
      <c r="D1161" t="inlineStr">
        <is>
          <t>VÄSTERBOTTENS LÄN</t>
        </is>
      </c>
      <c r="E1161" t="inlineStr">
        <is>
          <t>SKELLEFTEÅ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12009-2022</t>
        </is>
      </c>
      <c r="B1162" s="1" t="n">
        <v>44635</v>
      </c>
      <c r="C1162" s="1" t="n">
        <v>45472</v>
      </c>
      <c r="D1162" t="inlineStr">
        <is>
          <t>VÄSTERBOTTENS LÄN</t>
        </is>
      </c>
      <c r="E1162" t="inlineStr">
        <is>
          <t>SKELLEFTEÅ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12326-2022</t>
        </is>
      </c>
      <c r="B1163" s="1" t="n">
        <v>44637</v>
      </c>
      <c r="C1163" s="1" t="n">
        <v>45472</v>
      </c>
      <c r="D1163" t="inlineStr">
        <is>
          <t>VÄSTERBOTTENS LÄN</t>
        </is>
      </c>
      <c r="E1163" t="inlineStr">
        <is>
          <t>SKELLEFTEÅ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12512-2022</t>
        </is>
      </c>
      <c r="B1164" s="1" t="n">
        <v>44638</v>
      </c>
      <c r="C1164" s="1" t="n">
        <v>45472</v>
      </c>
      <c r="D1164" t="inlineStr">
        <is>
          <t>VÄSTERBOTTENS LÄN</t>
        </is>
      </c>
      <c r="E1164" t="inlineStr">
        <is>
          <t>SKELLEFTEÅ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12518-2022</t>
        </is>
      </c>
      <c r="B1165" s="1" t="n">
        <v>44638</v>
      </c>
      <c r="C1165" s="1" t="n">
        <v>45472</v>
      </c>
      <c r="D1165" t="inlineStr">
        <is>
          <t>VÄSTERBOTTENS LÄN</t>
        </is>
      </c>
      <c r="E1165" t="inlineStr">
        <is>
          <t>SKELLEFTEÅ</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12529-2022</t>
        </is>
      </c>
      <c r="B1166" s="1" t="n">
        <v>44638</v>
      </c>
      <c r="C1166" s="1" t="n">
        <v>45472</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12516-2022</t>
        </is>
      </c>
      <c r="B1167" s="1" t="n">
        <v>44638</v>
      </c>
      <c r="C1167" s="1" t="n">
        <v>45472</v>
      </c>
      <c r="D1167" t="inlineStr">
        <is>
          <t>VÄSTERBOTTENS LÄN</t>
        </is>
      </c>
      <c r="E1167" t="inlineStr">
        <is>
          <t>SKELLEFTEÅ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12511-2022</t>
        </is>
      </c>
      <c r="B1168" s="1" t="n">
        <v>44638</v>
      </c>
      <c r="C1168" s="1" t="n">
        <v>45472</v>
      </c>
      <c r="D1168" t="inlineStr">
        <is>
          <t>VÄSTERBOTTENS LÄN</t>
        </is>
      </c>
      <c r="E1168" t="inlineStr">
        <is>
          <t>SKELLEFTEÅ</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12509-2022</t>
        </is>
      </c>
      <c r="B1169" s="1" t="n">
        <v>44638</v>
      </c>
      <c r="C1169" s="1" t="n">
        <v>45472</v>
      </c>
      <c r="D1169" t="inlineStr">
        <is>
          <t>VÄSTERBOTTENS LÄN</t>
        </is>
      </c>
      <c r="E1169" t="inlineStr">
        <is>
          <t>SKELLEFTEÅ</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12715-2022</t>
        </is>
      </c>
      <c r="B1170" s="1" t="n">
        <v>44641</v>
      </c>
      <c r="C1170" s="1" t="n">
        <v>45472</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13131-2022</t>
        </is>
      </c>
      <c r="B1171" s="1" t="n">
        <v>44644</v>
      </c>
      <c r="C1171" s="1" t="n">
        <v>45472</v>
      </c>
      <c r="D1171" t="inlineStr">
        <is>
          <t>VÄSTERBOTTENS LÄN</t>
        </is>
      </c>
      <c r="E1171" t="inlineStr">
        <is>
          <t>SKELLEFTEÅ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13430-2022</t>
        </is>
      </c>
      <c r="B1172" s="1" t="n">
        <v>44645</v>
      </c>
      <c r="C1172" s="1" t="n">
        <v>45472</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13391-2022</t>
        </is>
      </c>
      <c r="B1173" s="1" t="n">
        <v>44645</v>
      </c>
      <c r="C1173" s="1" t="n">
        <v>45472</v>
      </c>
      <c r="D1173" t="inlineStr">
        <is>
          <t>VÄSTERBOTTENS LÄN</t>
        </is>
      </c>
      <c r="E1173" t="inlineStr">
        <is>
          <t>SKELLEFTEÅ</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13530-2022</t>
        </is>
      </c>
      <c r="B1174" s="1" t="n">
        <v>44648</v>
      </c>
      <c r="C1174" s="1" t="n">
        <v>45472</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13693-2022</t>
        </is>
      </c>
      <c r="B1175" s="1" t="n">
        <v>44648</v>
      </c>
      <c r="C1175" s="1" t="n">
        <v>45472</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14088-2022</t>
        </is>
      </c>
      <c r="B1176" s="1" t="n">
        <v>44650</v>
      </c>
      <c r="C1176" s="1" t="n">
        <v>45472</v>
      </c>
      <c r="D1176" t="inlineStr">
        <is>
          <t>VÄSTERBOTTENS LÄN</t>
        </is>
      </c>
      <c r="E1176" t="inlineStr">
        <is>
          <t>SKELLEFTEÅ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14096-2022</t>
        </is>
      </c>
      <c r="B1177" s="1" t="n">
        <v>44651</v>
      </c>
      <c r="C1177" s="1" t="n">
        <v>45472</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14627-2022</t>
        </is>
      </c>
      <c r="B1178" s="1" t="n">
        <v>44655</v>
      </c>
      <c r="C1178" s="1" t="n">
        <v>45472</v>
      </c>
      <c r="D1178" t="inlineStr">
        <is>
          <t>VÄSTERBOTTENS LÄN</t>
        </is>
      </c>
      <c r="E1178" t="inlineStr">
        <is>
          <t>SKELLEFTEÅ</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14759-2022</t>
        </is>
      </c>
      <c r="B1179" s="1" t="n">
        <v>44656</v>
      </c>
      <c r="C1179" s="1" t="n">
        <v>45472</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14756-2022</t>
        </is>
      </c>
      <c r="B1180" s="1" t="n">
        <v>44656</v>
      </c>
      <c r="C1180" s="1" t="n">
        <v>45472</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14952-2022</t>
        </is>
      </c>
      <c r="B1181" s="1" t="n">
        <v>44657</v>
      </c>
      <c r="C1181" s="1" t="n">
        <v>45472</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15441-2022</t>
        </is>
      </c>
      <c r="B1182" s="1" t="n">
        <v>44659</v>
      </c>
      <c r="C1182" s="1" t="n">
        <v>45472</v>
      </c>
      <c r="D1182" t="inlineStr">
        <is>
          <t>VÄSTERBOTTENS LÄN</t>
        </is>
      </c>
      <c r="E1182" t="inlineStr">
        <is>
          <t>SKELLEFTEÅ</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15740-2022</t>
        </is>
      </c>
      <c r="B1183" s="1" t="n">
        <v>44663</v>
      </c>
      <c r="C1183" s="1" t="n">
        <v>45472</v>
      </c>
      <c r="D1183" t="inlineStr">
        <is>
          <t>VÄSTERBOTTENS LÄN</t>
        </is>
      </c>
      <c r="E1183" t="inlineStr">
        <is>
          <t>SKELLEFTEÅ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16139-2022</t>
        </is>
      </c>
      <c r="B1184" s="1" t="n">
        <v>44665</v>
      </c>
      <c r="C1184" s="1" t="n">
        <v>45472</v>
      </c>
      <c r="D1184" t="inlineStr">
        <is>
          <t>VÄSTERBOTTENS LÄN</t>
        </is>
      </c>
      <c r="E1184" t="inlineStr">
        <is>
          <t>SKELLEFTEÅ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16198-2022</t>
        </is>
      </c>
      <c r="B1185" s="1" t="n">
        <v>44665</v>
      </c>
      <c r="C1185" s="1" t="n">
        <v>45472</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16653-2022</t>
        </is>
      </c>
      <c r="B1186" s="1" t="n">
        <v>44672</v>
      </c>
      <c r="C1186" s="1" t="n">
        <v>45472</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16802-2022</t>
        </is>
      </c>
      <c r="B1187" s="1" t="n">
        <v>44673</v>
      </c>
      <c r="C1187" s="1" t="n">
        <v>45472</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16837-2022</t>
        </is>
      </c>
      <c r="B1188" s="1" t="n">
        <v>44674</v>
      </c>
      <c r="C1188" s="1" t="n">
        <v>45472</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16750-2022</t>
        </is>
      </c>
      <c r="B1189" s="1" t="n">
        <v>44673</v>
      </c>
      <c r="C1189" s="1" t="n">
        <v>45472</v>
      </c>
      <c r="D1189" t="inlineStr">
        <is>
          <t>VÄSTERBOTTENS LÄN</t>
        </is>
      </c>
      <c r="E1189" t="inlineStr">
        <is>
          <t>SKELLEFTEÅ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16842-2022</t>
        </is>
      </c>
      <c r="B1190" s="1" t="n">
        <v>44674</v>
      </c>
      <c r="C1190" s="1" t="n">
        <v>45472</v>
      </c>
      <c r="D1190" t="inlineStr">
        <is>
          <t>VÄSTERBOTTENS LÄN</t>
        </is>
      </c>
      <c r="E1190" t="inlineStr">
        <is>
          <t>SKELLEFTEÅ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17197-2022</t>
        </is>
      </c>
      <c r="B1191" s="1" t="n">
        <v>44677</v>
      </c>
      <c r="C1191" s="1" t="n">
        <v>45472</v>
      </c>
      <c r="D1191" t="inlineStr">
        <is>
          <t>VÄSTERBOTTENS LÄN</t>
        </is>
      </c>
      <c r="E1191" t="inlineStr">
        <is>
          <t>SKELLEFTEÅ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17257-2022</t>
        </is>
      </c>
      <c r="B1192" s="1" t="n">
        <v>44678</v>
      </c>
      <c r="C1192" s="1" t="n">
        <v>45472</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17251-2022</t>
        </is>
      </c>
      <c r="B1193" s="1" t="n">
        <v>44678</v>
      </c>
      <c r="C1193" s="1" t="n">
        <v>45472</v>
      </c>
      <c r="D1193" t="inlineStr">
        <is>
          <t>VÄSTERBOTTENS LÄN</t>
        </is>
      </c>
      <c r="E1193" t="inlineStr">
        <is>
          <t>SKELLEFTEÅ</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18056-2022</t>
        </is>
      </c>
      <c r="B1194" s="1" t="n">
        <v>44684</v>
      </c>
      <c r="C1194" s="1" t="n">
        <v>45472</v>
      </c>
      <c r="D1194" t="inlineStr">
        <is>
          <t>VÄSTERBOTTENS LÄN</t>
        </is>
      </c>
      <c r="E1194" t="inlineStr">
        <is>
          <t>SKELLEFTEÅ</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18070-2022</t>
        </is>
      </c>
      <c r="B1195" s="1" t="n">
        <v>44684</v>
      </c>
      <c r="C1195" s="1" t="n">
        <v>45472</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18046-2022</t>
        </is>
      </c>
      <c r="B1196" s="1" t="n">
        <v>44684</v>
      </c>
      <c r="C1196" s="1" t="n">
        <v>45472</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18081-2022</t>
        </is>
      </c>
      <c r="B1197" s="1" t="n">
        <v>44684</v>
      </c>
      <c r="C1197" s="1" t="n">
        <v>45472</v>
      </c>
      <c r="D1197" t="inlineStr">
        <is>
          <t>VÄSTERBOTTENS LÄN</t>
        </is>
      </c>
      <c r="E1197" t="inlineStr">
        <is>
          <t>SKELLEFTEÅ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18255-2022</t>
        </is>
      </c>
      <c r="B1198" s="1" t="n">
        <v>44685</v>
      </c>
      <c r="C1198" s="1" t="n">
        <v>45472</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18584-2022</t>
        </is>
      </c>
      <c r="B1199" s="1" t="n">
        <v>44687</v>
      </c>
      <c r="C1199" s="1" t="n">
        <v>45472</v>
      </c>
      <c r="D1199" t="inlineStr">
        <is>
          <t>VÄSTERBOTTENS LÄN</t>
        </is>
      </c>
      <c r="E1199" t="inlineStr">
        <is>
          <t>SKELLEFTEÅ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18661-2022</t>
        </is>
      </c>
      <c r="B1200" s="1" t="n">
        <v>44687</v>
      </c>
      <c r="C1200" s="1" t="n">
        <v>45472</v>
      </c>
      <c r="D1200" t="inlineStr">
        <is>
          <t>VÄSTERBOTTENS LÄN</t>
        </is>
      </c>
      <c r="E1200" t="inlineStr">
        <is>
          <t>SKELLEFTEÅ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19804-2022</t>
        </is>
      </c>
      <c r="B1201" s="1" t="n">
        <v>44694</v>
      </c>
      <c r="C1201" s="1" t="n">
        <v>45472</v>
      </c>
      <c r="D1201" t="inlineStr">
        <is>
          <t>VÄSTERBOTTENS LÄN</t>
        </is>
      </c>
      <c r="E1201" t="inlineStr">
        <is>
          <t>SKELLEFTEÅ</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19805-2022</t>
        </is>
      </c>
      <c r="B1202" s="1" t="n">
        <v>44694</v>
      </c>
      <c r="C1202" s="1" t="n">
        <v>45472</v>
      </c>
      <c r="D1202" t="inlineStr">
        <is>
          <t>VÄSTERBOTTENS LÄN</t>
        </is>
      </c>
      <c r="E1202" t="inlineStr">
        <is>
          <t>SKELLEFTEÅ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19870-2022</t>
        </is>
      </c>
      <c r="B1203" s="1" t="n">
        <v>44694</v>
      </c>
      <c r="C1203" s="1" t="n">
        <v>45472</v>
      </c>
      <c r="D1203" t="inlineStr">
        <is>
          <t>VÄSTERBOTTENS LÄN</t>
        </is>
      </c>
      <c r="E1203" t="inlineStr">
        <is>
          <t>SKELLEFTEÅ</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20515-2022</t>
        </is>
      </c>
      <c r="B1204" s="1" t="n">
        <v>44699</v>
      </c>
      <c r="C1204" s="1" t="n">
        <v>45472</v>
      </c>
      <c r="D1204" t="inlineStr">
        <is>
          <t>VÄSTERBOTTENS LÄN</t>
        </is>
      </c>
      <c r="E1204" t="inlineStr">
        <is>
          <t>SKELLEFTEÅ</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20638-2022</t>
        </is>
      </c>
      <c r="B1205" s="1" t="n">
        <v>44700</v>
      </c>
      <c r="C1205" s="1" t="n">
        <v>45472</v>
      </c>
      <c r="D1205" t="inlineStr">
        <is>
          <t>VÄSTERBOTTENS LÄN</t>
        </is>
      </c>
      <c r="E1205" t="inlineStr">
        <is>
          <t>SKELLEFTEÅ</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20654-2022</t>
        </is>
      </c>
      <c r="B1206" s="1" t="n">
        <v>44700</v>
      </c>
      <c r="C1206" s="1" t="n">
        <v>45472</v>
      </c>
      <c r="D1206" t="inlineStr">
        <is>
          <t>VÄSTERBOTTENS LÄN</t>
        </is>
      </c>
      <c r="E1206" t="inlineStr">
        <is>
          <t>SKELLEFTEÅ</t>
        </is>
      </c>
      <c r="F1206" t="inlineStr">
        <is>
          <t>Holmen skog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20610-2022</t>
        </is>
      </c>
      <c r="B1207" s="1" t="n">
        <v>44700</v>
      </c>
      <c r="C1207" s="1" t="n">
        <v>45472</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21035-2022</t>
        </is>
      </c>
      <c r="B1208" s="1" t="n">
        <v>44704</v>
      </c>
      <c r="C1208" s="1" t="n">
        <v>45472</v>
      </c>
      <c r="D1208" t="inlineStr">
        <is>
          <t>VÄSTERBOTTENS LÄN</t>
        </is>
      </c>
      <c r="E1208" t="inlineStr">
        <is>
          <t>SKELLEFTEÅ</t>
        </is>
      </c>
      <c r="G1208" t="n">
        <v>26.9</v>
      </c>
      <c r="H1208" t="n">
        <v>0</v>
      </c>
      <c r="I1208" t="n">
        <v>0</v>
      </c>
      <c r="J1208" t="n">
        <v>0</v>
      </c>
      <c r="K1208" t="n">
        <v>0</v>
      </c>
      <c r="L1208" t="n">
        <v>0</v>
      </c>
      <c r="M1208" t="n">
        <v>0</v>
      </c>
      <c r="N1208" t="n">
        <v>0</v>
      </c>
      <c r="O1208" t="n">
        <v>0</v>
      </c>
      <c r="P1208" t="n">
        <v>0</v>
      </c>
      <c r="Q1208" t="n">
        <v>0</v>
      </c>
      <c r="R1208" s="2" t="inlineStr"/>
    </row>
    <row r="1209" ht="15" customHeight="1">
      <c r="A1209" t="inlineStr">
        <is>
          <t>A 21136-2022</t>
        </is>
      </c>
      <c r="B1209" s="1" t="n">
        <v>44704</v>
      </c>
      <c r="C1209" s="1" t="n">
        <v>45472</v>
      </c>
      <c r="D1209" t="inlineStr">
        <is>
          <t>VÄSTERBOTTENS LÄN</t>
        </is>
      </c>
      <c r="E1209" t="inlineStr">
        <is>
          <t>SKELLEFTEÅ</t>
        </is>
      </c>
      <c r="F1209" t="inlineStr">
        <is>
          <t>Holmen skog AB</t>
        </is>
      </c>
      <c r="G1209" t="n">
        <v>22.6</v>
      </c>
      <c r="H1209" t="n">
        <v>0</v>
      </c>
      <c r="I1209" t="n">
        <v>0</v>
      </c>
      <c r="J1209" t="n">
        <v>0</v>
      </c>
      <c r="K1209" t="n">
        <v>0</v>
      </c>
      <c r="L1209" t="n">
        <v>0</v>
      </c>
      <c r="M1209" t="n">
        <v>0</v>
      </c>
      <c r="N1209" t="n">
        <v>0</v>
      </c>
      <c r="O1209" t="n">
        <v>0</v>
      </c>
      <c r="P1209" t="n">
        <v>0</v>
      </c>
      <c r="Q1209" t="n">
        <v>0</v>
      </c>
      <c r="R1209" s="2" t="inlineStr"/>
    </row>
    <row r="1210" ht="15" customHeight="1">
      <c r="A1210" t="inlineStr">
        <is>
          <t>A 21395-2022</t>
        </is>
      </c>
      <c r="B1210" s="1" t="n">
        <v>44706</v>
      </c>
      <c r="C1210" s="1" t="n">
        <v>45472</v>
      </c>
      <c r="D1210" t="inlineStr">
        <is>
          <t>VÄSTERBOTTENS LÄN</t>
        </is>
      </c>
      <c r="E1210" t="inlineStr">
        <is>
          <t>SKELLEFTEÅ</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21539-2022</t>
        </is>
      </c>
      <c r="B1211" s="1" t="n">
        <v>44706</v>
      </c>
      <c r="C1211" s="1" t="n">
        <v>45472</v>
      </c>
      <c r="D1211" t="inlineStr">
        <is>
          <t>VÄSTERBOTTENS LÄN</t>
        </is>
      </c>
      <c r="E1211" t="inlineStr">
        <is>
          <t>SKELLEFTEÅ</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21843-2022</t>
        </is>
      </c>
      <c r="B1212" s="1" t="n">
        <v>44711</v>
      </c>
      <c r="C1212" s="1" t="n">
        <v>45472</v>
      </c>
      <c r="D1212" t="inlineStr">
        <is>
          <t>VÄSTERBOTTENS LÄN</t>
        </is>
      </c>
      <c r="E1212" t="inlineStr">
        <is>
          <t>SKELLEFTEÅ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21882-2022</t>
        </is>
      </c>
      <c r="B1213" s="1" t="n">
        <v>44711</v>
      </c>
      <c r="C1213" s="1" t="n">
        <v>45472</v>
      </c>
      <c r="D1213" t="inlineStr">
        <is>
          <t>VÄSTERBOTTENS LÄN</t>
        </is>
      </c>
      <c r="E1213" t="inlineStr">
        <is>
          <t>SKELLEFTEÅ</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21883-2022</t>
        </is>
      </c>
      <c r="B1214" s="1" t="n">
        <v>44711</v>
      </c>
      <c r="C1214" s="1" t="n">
        <v>45472</v>
      </c>
      <c r="D1214" t="inlineStr">
        <is>
          <t>VÄSTERBOTTENS LÄN</t>
        </is>
      </c>
      <c r="E1214" t="inlineStr">
        <is>
          <t>SKELLEFTEÅ</t>
        </is>
      </c>
      <c r="F1214" t="inlineStr">
        <is>
          <t>Holmen skog AB</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21842-2022</t>
        </is>
      </c>
      <c r="B1215" s="1" t="n">
        <v>44711</v>
      </c>
      <c r="C1215" s="1" t="n">
        <v>45472</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21996-2022</t>
        </is>
      </c>
      <c r="B1216" s="1" t="n">
        <v>44711</v>
      </c>
      <c r="C1216" s="1" t="n">
        <v>45472</v>
      </c>
      <c r="D1216" t="inlineStr">
        <is>
          <t>VÄSTERBOTTENS LÄN</t>
        </is>
      </c>
      <c r="E1216" t="inlineStr">
        <is>
          <t>SKELLEFTEÅ</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22373-2022</t>
        </is>
      </c>
      <c r="B1217" s="1" t="n">
        <v>44713</v>
      </c>
      <c r="C1217" s="1" t="n">
        <v>45472</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22364-2022</t>
        </is>
      </c>
      <c r="B1218" s="1" t="n">
        <v>44713</v>
      </c>
      <c r="C1218" s="1" t="n">
        <v>45472</v>
      </c>
      <c r="D1218" t="inlineStr">
        <is>
          <t>VÄSTERBOTTENS LÄN</t>
        </is>
      </c>
      <c r="E1218" t="inlineStr">
        <is>
          <t>SKELLEFTEÅ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22661-2022</t>
        </is>
      </c>
      <c r="B1219" s="1" t="n">
        <v>44714</v>
      </c>
      <c r="C1219" s="1" t="n">
        <v>45472</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22618-2022</t>
        </is>
      </c>
      <c r="B1220" s="1" t="n">
        <v>44714</v>
      </c>
      <c r="C1220" s="1" t="n">
        <v>45472</v>
      </c>
      <c r="D1220" t="inlineStr">
        <is>
          <t>VÄSTERBOTTENS LÄN</t>
        </is>
      </c>
      <c r="E1220" t="inlineStr">
        <is>
          <t>SKELLEFTEÅ</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22758-2022</t>
        </is>
      </c>
      <c r="B1221" s="1" t="n">
        <v>44714</v>
      </c>
      <c r="C1221" s="1" t="n">
        <v>45472</v>
      </c>
      <c r="D1221" t="inlineStr">
        <is>
          <t>VÄSTERBOTTENS LÄN</t>
        </is>
      </c>
      <c r="E1221" t="inlineStr">
        <is>
          <t>SKELLEFTEÅ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22760-2022</t>
        </is>
      </c>
      <c r="B1222" s="1" t="n">
        <v>44714</v>
      </c>
      <c r="C1222" s="1" t="n">
        <v>45472</v>
      </c>
      <c r="D1222" t="inlineStr">
        <is>
          <t>VÄSTERBOTTENS LÄN</t>
        </is>
      </c>
      <c r="E1222" t="inlineStr">
        <is>
          <t>SKELLEFTEÅ</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22822-2022</t>
        </is>
      </c>
      <c r="B1223" s="1" t="n">
        <v>44714</v>
      </c>
      <c r="C1223" s="1" t="n">
        <v>45472</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22763-2022</t>
        </is>
      </c>
      <c r="B1224" s="1" t="n">
        <v>44715</v>
      </c>
      <c r="C1224" s="1" t="n">
        <v>45472</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22828-2022</t>
        </is>
      </c>
      <c r="B1225" s="1" t="n">
        <v>44714</v>
      </c>
      <c r="C1225" s="1" t="n">
        <v>45472</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22896-2022</t>
        </is>
      </c>
      <c r="B1226" s="1" t="n">
        <v>44715</v>
      </c>
      <c r="C1226" s="1" t="n">
        <v>45472</v>
      </c>
      <c r="D1226" t="inlineStr">
        <is>
          <t>VÄSTERBOTTENS LÄN</t>
        </is>
      </c>
      <c r="E1226" t="inlineStr">
        <is>
          <t>SKELLEFTEÅ</t>
        </is>
      </c>
      <c r="F1226" t="inlineStr">
        <is>
          <t>Holmen skog AB</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23042-2022</t>
        </is>
      </c>
      <c r="B1227" s="1" t="n">
        <v>44719</v>
      </c>
      <c r="C1227" s="1" t="n">
        <v>45472</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23046-2022</t>
        </is>
      </c>
      <c r="B1228" s="1" t="n">
        <v>44719</v>
      </c>
      <c r="C1228" s="1" t="n">
        <v>45472</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23513-2022</t>
        </is>
      </c>
      <c r="B1229" s="1" t="n">
        <v>44721</v>
      </c>
      <c r="C1229" s="1" t="n">
        <v>45472</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23715-2022</t>
        </is>
      </c>
      <c r="B1230" s="1" t="n">
        <v>44721</v>
      </c>
      <c r="C1230" s="1" t="n">
        <v>45472</v>
      </c>
      <c r="D1230" t="inlineStr">
        <is>
          <t>VÄSTERBOTTENS LÄN</t>
        </is>
      </c>
      <c r="E1230" t="inlineStr">
        <is>
          <t>SKELLEFTEÅ</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23729-2022</t>
        </is>
      </c>
      <c r="B1231" s="1" t="n">
        <v>44722</v>
      </c>
      <c r="C1231" s="1" t="n">
        <v>45472</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24238-2022</t>
        </is>
      </c>
      <c r="B1232" s="1" t="n">
        <v>44725</v>
      </c>
      <c r="C1232" s="1" t="n">
        <v>45472</v>
      </c>
      <c r="D1232" t="inlineStr">
        <is>
          <t>VÄSTERBOTTENS LÄN</t>
        </is>
      </c>
      <c r="E1232" t="inlineStr">
        <is>
          <t>SKELLEFTEÅ</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24323-2022</t>
        </is>
      </c>
      <c r="B1233" s="1" t="n">
        <v>44725</v>
      </c>
      <c r="C1233" s="1" t="n">
        <v>45472</v>
      </c>
      <c r="D1233" t="inlineStr">
        <is>
          <t>VÄSTERBOTTENS LÄN</t>
        </is>
      </c>
      <c r="E1233" t="inlineStr">
        <is>
          <t>SKELLEFTEÅ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24242-2022</t>
        </is>
      </c>
      <c r="B1234" s="1" t="n">
        <v>44725</v>
      </c>
      <c r="C1234" s="1" t="n">
        <v>45472</v>
      </c>
      <c r="D1234" t="inlineStr">
        <is>
          <t>VÄSTERBOTTENS LÄN</t>
        </is>
      </c>
      <c r="E1234" t="inlineStr">
        <is>
          <t>SKELLEFTEÅ</t>
        </is>
      </c>
      <c r="F1234" t="inlineStr">
        <is>
          <t>Övriga Aktiebolag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24505-2022</t>
        </is>
      </c>
      <c r="B1235" s="1" t="n">
        <v>44727</v>
      </c>
      <c r="C1235" s="1" t="n">
        <v>45472</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24577-2022</t>
        </is>
      </c>
      <c r="B1236" s="1" t="n">
        <v>44727</v>
      </c>
      <c r="C1236" s="1" t="n">
        <v>45472</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24583-2022</t>
        </is>
      </c>
      <c r="B1237" s="1" t="n">
        <v>44727</v>
      </c>
      <c r="C1237" s="1" t="n">
        <v>45472</v>
      </c>
      <c r="D1237" t="inlineStr">
        <is>
          <t>VÄSTERBOTTENS LÄN</t>
        </is>
      </c>
      <c r="E1237" t="inlineStr">
        <is>
          <t>SKELLEFTEÅ</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24663-2022</t>
        </is>
      </c>
      <c r="B1238" s="1" t="n">
        <v>44728</v>
      </c>
      <c r="C1238" s="1" t="n">
        <v>45472</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24832-2022</t>
        </is>
      </c>
      <c r="B1239" s="1" t="n">
        <v>44728</v>
      </c>
      <c r="C1239" s="1" t="n">
        <v>45472</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24899-2022</t>
        </is>
      </c>
      <c r="B1240" s="1" t="n">
        <v>44728</v>
      </c>
      <c r="C1240" s="1" t="n">
        <v>45472</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24941-2022</t>
        </is>
      </c>
      <c r="B1241" s="1" t="n">
        <v>44728</v>
      </c>
      <c r="C1241" s="1" t="n">
        <v>45472</v>
      </c>
      <c r="D1241" t="inlineStr">
        <is>
          <t>VÄSTERBOTTENS LÄN</t>
        </is>
      </c>
      <c r="E1241" t="inlineStr">
        <is>
          <t>SKELLEFTEÅ</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25009-2022</t>
        </is>
      </c>
      <c r="B1242" s="1" t="n">
        <v>44729</v>
      </c>
      <c r="C1242" s="1" t="n">
        <v>45472</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25182-2022</t>
        </is>
      </c>
      <c r="B1243" s="1" t="n">
        <v>44729</v>
      </c>
      <c r="C1243" s="1" t="n">
        <v>45472</v>
      </c>
      <c r="D1243" t="inlineStr">
        <is>
          <t>VÄSTERBOTTENS LÄN</t>
        </is>
      </c>
      <c r="E1243" t="inlineStr">
        <is>
          <t>SKELLEFTEÅ</t>
        </is>
      </c>
      <c r="F1243" t="inlineStr">
        <is>
          <t>Holmen skog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25207-2022</t>
        </is>
      </c>
      <c r="B1244" s="1" t="n">
        <v>44729</v>
      </c>
      <c r="C1244" s="1" t="n">
        <v>45472</v>
      </c>
      <c r="D1244" t="inlineStr">
        <is>
          <t>VÄSTERBOTTENS LÄN</t>
        </is>
      </c>
      <c r="E1244" t="inlineStr">
        <is>
          <t>SKELLEFTEÅ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25336-2022</t>
        </is>
      </c>
      <c r="B1245" s="1" t="n">
        <v>44732</v>
      </c>
      <c r="C1245" s="1" t="n">
        <v>45472</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25404-2022</t>
        </is>
      </c>
      <c r="B1246" s="1" t="n">
        <v>44732</v>
      </c>
      <c r="C1246" s="1" t="n">
        <v>45472</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25568-2022</t>
        </is>
      </c>
      <c r="B1247" s="1" t="n">
        <v>44732</v>
      </c>
      <c r="C1247" s="1" t="n">
        <v>45472</v>
      </c>
      <c r="D1247" t="inlineStr">
        <is>
          <t>VÄSTERBOTTENS LÄN</t>
        </is>
      </c>
      <c r="E1247" t="inlineStr">
        <is>
          <t>SKELLEFTEÅ</t>
        </is>
      </c>
      <c r="F1247" t="inlineStr">
        <is>
          <t>Holmen skog AB</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25596-2022</t>
        </is>
      </c>
      <c r="B1248" s="1" t="n">
        <v>44732</v>
      </c>
      <c r="C1248" s="1" t="n">
        <v>45472</v>
      </c>
      <c r="D1248" t="inlineStr">
        <is>
          <t>VÄSTERBOTTENS LÄN</t>
        </is>
      </c>
      <c r="E1248" t="inlineStr">
        <is>
          <t>SKELLEFTEÅ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25674-2022</t>
        </is>
      </c>
      <c r="B1249" s="1" t="n">
        <v>44732</v>
      </c>
      <c r="C1249" s="1" t="n">
        <v>45472</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26031-2022</t>
        </is>
      </c>
      <c r="B1250" s="1" t="n">
        <v>44734</v>
      </c>
      <c r="C1250" s="1" t="n">
        <v>45472</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26203-2022</t>
        </is>
      </c>
      <c r="B1251" s="1" t="n">
        <v>44735</v>
      </c>
      <c r="C1251" s="1" t="n">
        <v>45472</v>
      </c>
      <c r="D1251" t="inlineStr">
        <is>
          <t>VÄSTERBOTTENS LÄN</t>
        </is>
      </c>
      <c r="E1251" t="inlineStr">
        <is>
          <t>SKELLEFTEÅ</t>
        </is>
      </c>
      <c r="F1251" t="inlineStr">
        <is>
          <t>Kommuner</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26166-2022</t>
        </is>
      </c>
      <c r="B1252" s="1" t="n">
        <v>44735</v>
      </c>
      <c r="C1252" s="1" t="n">
        <v>45472</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26545-2022</t>
        </is>
      </c>
      <c r="B1253" s="1" t="n">
        <v>44739</v>
      </c>
      <c r="C1253" s="1" t="n">
        <v>45472</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26483-2022</t>
        </is>
      </c>
      <c r="B1254" s="1" t="n">
        <v>44739</v>
      </c>
      <c r="C1254" s="1" t="n">
        <v>45472</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26798-2022</t>
        </is>
      </c>
      <c r="B1255" s="1" t="n">
        <v>44740</v>
      </c>
      <c r="C1255" s="1" t="n">
        <v>45472</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26807-2022</t>
        </is>
      </c>
      <c r="B1256" s="1" t="n">
        <v>44740</v>
      </c>
      <c r="C1256" s="1" t="n">
        <v>45472</v>
      </c>
      <c r="D1256" t="inlineStr">
        <is>
          <t>VÄSTERBOTTENS LÄN</t>
        </is>
      </c>
      <c r="E1256" t="inlineStr">
        <is>
          <t>SKELLEFTEÅ</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26803-2022</t>
        </is>
      </c>
      <c r="B1257" s="1" t="n">
        <v>44740</v>
      </c>
      <c r="C1257" s="1" t="n">
        <v>45472</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26881-2022</t>
        </is>
      </c>
      <c r="B1258" s="1" t="n">
        <v>44740</v>
      </c>
      <c r="C1258" s="1" t="n">
        <v>45472</v>
      </c>
      <c r="D1258" t="inlineStr">
        <is>
          <t>VÄSTERBOTTENS LÄN</t>
        </is>
      </c>
      <c r="E1258" t="inlineStr">
        <is>
          <t>SKELLEFTEÅ</t>
        </is>
      </c>
      <c r="F1258" t="inlineStr">
        <is>
          <t>Holmen skog AB</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26999-2022</t>
        </is>
      </c>
      <c r="B1259" s="1" t="n">
        <v>44740</v>
      </c>
      <c r="C1259" s="1" t="n">
        <v>45472</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27003-2022</t>
        </is>
      </c>
      <c r="B1260" s="1" t="n">
        <v>44741</v>
      </c>
      <c r="C1260" s="1" t="n">
        <v>45472</v>
      </c>
      <c r="D1260" t="inlineStr">
        <is>
          <t>VÄSTERBOTTENS LÄN</t>
        </is>
      </c>
      <c r="E1260" t="inlineStr">
        <is>
          <t>SKELLEFTEÅ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27028-2022</t>
        </is>
      </c>
      <c r="B1261" s="1" t="n">
        <v>44740</v>
      </c>
      <c r="C1261" s="1" t="n">
        <v>45472</v>
      </c>
      <c r="D1261" t="inlineStr">
        <is>
          <t>VÄSTERBOTTENS LÄN</t>
        </is>
      </c>
      <c r="E1261" t="inlineStr">
        <is>
          <t>SKELLEFTEÅ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27002-2022</t>
        </is>
      </c>
      <c r="B1262" s="1" t="n">
        <v>44740</v>
      </c>
      <c r="C1262" s="1" t="n">
        <v>45472</v>
      </c>
      <c r="D1262" t="inlineStr">
        <is>
          <t>VÄSTERBOTTENS LÄN</t>
        </is>
      </c>
      <c r="E1262" t="inlineStr">
        <is>
          <t>SKELLEFTEÅ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27265-2022</t>
        </is>
      </c>
      <c r="B1263" s="1" t="n">
        <v>44741</v>
      </c>
      <c r="C1263" s="1" t="n">
        <v>45472</v>
      </c>
      <c r="D1263" t="inlineStr">
        <is>
          <t>VÄSTERBOTTENS LÄN</t>
        </is>
      </c>
      <c r="E1263" t="inlineStr">
        <is>
          <t>SKELLEFTEÅ</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27555-2022</t>
        </is>
      </c>
      <c r="B1264" s="1" t="n">
        <v>44743</v>
      </c>
      <c r="C1264" s="1" t="n">
        <v>45472</v>
      </c>
      <c r="D1264" t="inlineStr">
        <is>
          <t>VÄSTERBOTTENS LÄN</t>
        </is>
      </c>
      <c r="E1264" t="inlineStr">
        <is>
          <t>SKELLEFTEÅ</t>
        </is>
      </c>
      <c r="F1264" t="inlineStr">
        <is>
          <t>Kommuner</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27560-2022</t>
        </is>
      </c>
      <c r="B1265" s="1" t="n">
        <v>44743</v>
      </c>
      <c r="C1265" s="1" t="n">
        <v>45472</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27817-2022</t>
        </is>
      </c>
      <c r="B1266" s="1" t="n">
        <v>44743</v>
      </c>
      <c r="C1266" s="1" t="n">
        <v>45472</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27637-2022</t>
        </is>
      </c>
      <c r="B1267" s="1" t="n">
        <v>44743</v>
      </c>
      <c r="C1267" s="1" t="n">
        <v>45472</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27672-2022</t>
        </is>
      </c>
      <c r="B1268" s="1" t="n">
        <v>44743</v>
      </c>
      <c r="C1268" s="1" t="n">
        <v>45472</v>
      </c>
      <c r="D1268" t="inlineStr">
        <is>
          <t>VÄSTERBOTTENS LÄN</t>
        </is>
      </c>
      <c r="E1268" t="inlineStr">
        <is>
          <t>SKELLEFTEÅ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27631-2022</t>
        </is>
      </c>
      <c r="B1269" s="1" t="n">
        <v>44743</v>
      </c>
      <c r="C1269" s="1" t="n">
        <v>45472</v>
      </c>
      <c r="D1269" t="inlineStr">
        <is>
          <t>VÄSTERBOTTENS LÄN</t>
        </is>
      </c>
      <c r="E1269" t="inlineStr">
        <is>
          <t>SKELLEFTEÅ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27636-2022</t>
        </is>
      </c>
      <c r="B1270" s="1" t="n">
        <v>44743</v>
      </c>
      <c r="C1270" s="1" t="n">
        <v>45472</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27907-2022</t>
        </is>
      </c>
      <c r="B1271" s="1" t="n">
        <v>44743</v>
      </c>
      <c r="C1271" s="1" t="n">
        <v>45472</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27901-2022</t>
        </is>
      </c>
      <c r="B1272" s="1" t="n">
        <v>44743</v>
      </c>
      <c r="C1272" s="1" t="n">
        <v>45472</v>
      </c>
      <c r="D1272" t="inlineStr">
        <is>
          <t>VÄSTERBOTTENS LÄN</t>
        </is>
      </c>
      <c r="E1272" t="inlineStr">
        <is>
          <t>SKELLEFTEÅ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28352-2022</t>
        </is>
      </c>
      <c r="B1273" s="1" t="n">
        <v>44747</v>
      </c>
      <c r="C1273" s="1" t="n">
        <v>45472</v>
      </c>
      <c r="D1273" t="inlineStr">
        <is>
          <t>VÄSTERBOTTENS LÄN</t>
        </is>
      </c>
      <c r="E1273" t="inlineStr">
        <is>
          <t>SKELLEFTEÅ</t>
        </is>
      </c>
      <c r="F1273" t="inlineStr">
        <is>
          <t>Holmen skog AB</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29085-2022</t>
        </is>
      </c>
      <c r="B1274" s="1" t="n">
        <v>44749</v>
      </c>
      <c r="C1274" s="1" t="n">
        <v>45472</v>
      </c>
      <c r="D1274" t="inlineStr">
        <is>
          <t>VÄSTERBOTTENS LÄN</t>
        </is>
      </c>
      <c r="E1274" t="inlineStr">
        <is>
          <t>SKELLEFTEÅ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29030-2022</t>
        </is>
      </c>
      <c r="B1275" s="1" t="n">
        <v>44749</v>
      </c>
      <c r="C1275" s="1" t="n">
        <v>45472</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29028-2022</t>
        </is>
      </c>
      <c r="B1276" s="1" t="n">
        <v>44749</v>
      </c>
      <c r="C1276" s="1" t="n">
        <v>45472</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29029-2022</t>
        </is>
      </c>
      <c r="B1277" s="1" t="n">
        <v>44749</v>
      </c>
      <c r="C1277" s="1" t="n">
        <v>45472</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29092-2022</t>
        </is>
      </c>
      <c r="B1278" s="1" t="n">
        <v>44750</v>
      </c>
      <c r="C1278" s="1" t="n">
        <v>45472</v>
      </c>
      <c r="D1278" t="inlineStr">
        <is>
          <t>VÄSTERBOTTENS LÄN</t>
        </is>
      </c>
      <c r="E1278" t="inlineStr">
        <is>
          <t>SKELLEFTEÅ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29164-2022</t>
        </is>
      </c>
      <c r="B1279" s="1" t="n">
        <v>44750</v>
      </c>
      <c r="C1279" s="1" t="n">
        <v>45472</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29161-2022</t>
        </is>
      </c>
      <c r="B1280" s="1" t="n">
        <v>44750</v>
      </c>
      <c r="C1280" s="1" t="n">
        <v>45472</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29802-2022</t>
        </is>
      </c>
      <c r="B1281" s="1" t="n">
        <v>44755</v>
      </c>
      <c r="C1281" s="1" t="n">
        <v>45472</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30184-2022</t>
        </is>
      </c>
      <c r="B1282" s="1" t="n">
        <v>44757</v>
      </c>
      <c r="C1282" s="1" t="n">
        <v>45472</v>
      </c>
      <c r="D1282" t="inlineStr">
        <is>
          <t>VÄSTERBOTTENS LÄN</t>
        </is>
      </c>
      <c r="E1282" t="inlineStr">
        <is>
          <t>SKELLEFTEÅ</t>
        </is>
      </c>
      <c r="F1282" t="inlineStr">
        <is>
          <t>Holmen skog AB</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30278-2022</t>
        </is>
      </c>
      <c r="B1283" s="1" t="n">
        <v>44759</v>
      </c>
      <c r="C1283" s="1" t="n">
        <v>45472</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30905-2022</t>
        </is>
      </c>
      <c r="B1284" s="1" t="n">
        <v>44767</v>
      </c>
      <c r="C1284" s="1" t="n">
        <v>45472</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31124-2022</t>
        </is>
      </c>
      <c r="B1285" s="1" t="n">
        <v>44770</v>
      </c>
      <c r="C1285" s="1" t="n">
        <v>45472</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31234-2022</t>
        </is>
      </c>
      <c r="B1286" s="1" t="n">
        <v>44771</v>
      </c>
      <c r="C1286" s="1" t="n">
        <v>45472</v>
      </c>
      <c r="D1286" t="inlineStr">
        <is>
          <t>VÄSTERBOTTENS LÄN</t>
        </is>
      </c>
      <c r="E1286" t="inlineStr">
        <is>
          <t>SKELLEFTEÅ</t>
        </is>
      </c>
      <c r="F1286" t="inlineStr">
        <is>
          <t>Holmen skog AB</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31955-2022</t>
        </is>
      </c>
      <c r="B1287" s="1" t="n">
        <v>44778</v>
      </c>
      <c r="C1287" s="1" t="n">
        <v>45472</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31960-2022</t>
        </is>
      </c>
      <c r="B1288" s="1" t="n">
        <v>44778</v>
      </c>
      <c r="C1288" s="1" t="n">
        <v>45472</v>
      </c>
      <c r="D1288" t="inlineStr">
        <is>
          <t>VÄSTERBOTTENS LÄN</t>
        </is>
      </c>
      <c r="E1288" t="inlineStr">
        <is>
          <t>SKELLEFTEÅ</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31954-2022</t>
        </is>
      </c>
      <c r="B1289" s="1" t="n">
        <v>44778</v>
      </c>
      <c r="C1289" s="1" t="n">
        <v>45472</v>
      </c>
      <c r="D1289" t="inlineStr">
        <is>
          <t>VÄSTERBOTTENS LÄN</t>
        </is>
      </c>
      <c r="E1289" t="inlineStr">
        <is>
          <t>SKELLEFTEÅ</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32173-2022</t>
        </is>
      </c>
      <c r="B1290" s="1" t="n">
        <v>44781</v>
      </c>
      <c r="C1290" s="1" t="n">
        <v>45472</v>
      </c>
      <c r="D1290" t="inlineStr">
        <is>
          <t>VÄSTERBOTTENS LÄN</t>
        </is>
      </c>
      <c r="E1290" t="inlineStr">
        <is>
          <t>SKELLEFTEÅ</t>
        </is>
      </c>
      <c r="F1290" t="inlineStr">
        <is>
          <t>Kommuner</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32244-2022</t>
        </is>
      </c>
      <c r="B1291" s="1" t="n">
        <v>44781</v>
      </c>
      <c r="C1291" s="1" t="n">
        <v>45472</v>
      </c>
      <c r="D1291" t="inlineStr">
        <is>
          <t>VÄSTERBOTTENS LÄN</t>
        </is>
      </c>
      <c r="E1291" t="inlineStr">
        <is>
          <t>SKELLEFTEÅ</t>
        </is>
      </c>
      <c r="F1291" t="inlineStr">
        <is>
          <t>Holmen skog AB</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32279-2022</t>
        </is>
      </c>
      <c r="B1292" s="1" t="n">
        <v>44781</v>
      </c>
      <c r="C1292" s="1" t="n">
        <v>45472</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32200-2022</t>
        </is>
      </c>
      <c r="B1293" s="1" t="n">
        <v>44781</v>
      </c>
      <c r="C1293" s="1" t="n">
        <v>45472</v>
      </c>
      <c r="D1293" t="inlineStr">
        <is>
          <t>VÄSTERBOTTENS LÄN</t>
        </is>
      </c>
      <c r="E1293" t="inlineStr">
        <is>
          <t>SKELLEFTEÅ</t>
        </is>
      </c>
      <c r="F1293" t="inlineStr">
        <is>
          <t>Kommuner</t>
        </is>
      </c>
      <c r="G1293" t="n">
        <v>20.6</v>
      </c>
      <c r="H1293" t="n">
        <v>0</v>
      </c>
      <c r="I1293" t="n">
        <v>0</v>
      </c>
      <c r="J1293" t="n">
        <v>0</v>
      </c>
      <c r="K1293" t="n">
        <v>0</v>
      </c>
      <c r="L1293" t="n">
        <v>0</v>
      </c>
      <c r="M1293" t="n">
        <v>0</v>
      </c>
      <c r="N1293" t="n">
        <v>0</v>
      </c>
      <c r="O1293" t="n">
        <v>0</v>
      </c>
      <c r="P1293" t="n">
        <v>0</v>
      </c>
      <c r="Q1293" t="n">
        <v>0</v>
      </c>
      <c r="R1293" s="2" t="inlineStr"/>
    </row>
    <row r="1294" ht="15" customHeight="1">
      <c r="A1294" t="inlineStr">
        <is>
          <t>A 32344-2022</t>
        </is>
      </c>
      <c r="B1294" s="1" t="n">
        <v>44781</v>
      </c>
      <c r="C1294" s="1" t="n">
        <v>45472</v>
      </c>
      <c r="D1294" t="inlineStr">
        <is>
          <t>VÄSTERBOTTENS LÄN</t>
        </is>
      </c>
      <c r="E1294" t="inlineStr">
        <is>
          <t>SKELLEFTEÅ</t>
        </is>
      </c>
      <c r="F1294" t="inlineStr">
        <is>
          <t>Sveaskog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32427-2022</t>
        </is>
      </c>
      <c r="B1295" s="1" t="n">
        <v>44782</v>
      </c>
      <c r="C1295" s="1" t="n">
        <v>45472</v>
      </c>
      <c r="D1295" t="inlineStr">
        <is>
          <t>VÄSTERBOTTENS LÄN</t>
        </is>
      </c>
      <c r="E1295" t="inlineStr">
        <is>
          <t>SKELLEFTEÅ</t>
        </is>
      </c>
      <c r="F1295" t="inlineStr">
        <is>
          <t>Kommuner</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32434-2022</t>
        </is>
      </c>
      <c r="B1296" s="1" t="n">
        <v>44782</v>
      </c>
      <c r="C1296" s="1" t="n">
        <v>45472</v>
      </c>
      <c r="D1296" t="inlineStr">
        <is>
          <t>VÄSTERBOTTENS LÄN</t>
        </is>
      </c>
      <c r="E1296" t="inlineStr">
        <is>
          <t>SKELLEFTEÅ</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32415-2022</t>
        </is>
      </c>
      <c r="B1297" s="1" t="n">
        <v>44782</v>
      </c>
      <c r="C1297" s="1" t="n">
        <v>45472</v>
      </c>
      <c r="D1297" t="inlineStr">
        <is>
          <t>VÄSTERBOTTENS LÄN</t>
        </is>
      </c>
      <c r="E1297" t="inlineStr">
        <is>
          <t>SKELLEFTEÅ</t>
        </is>
      </c>
      <c r="F1297" t="inlineStr">
        <is>
          <t>Kommuner</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32436-2022</t>
        </is>
      </c>
      <c r="B1298" s="1" t="n">
        <v>44782</v>
      </c>
      <c r="C1298" s="1" t="n">
        <v>45472</v>
      </c>
      <c r="D1298" t="inlineStr">
        <is>
          <t>VÄSTERBOTTENS LÄN</t>
        </is>
      </c>
      <c r="E1298" t="inlineStr">
        <is>
          <t>SKELLEFTEÅ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32420-2022</t>
        </is>
      </c>
      <c r="B1299" s="1" t="n">
        <v>44782</v>
      </c>
      <c r="C1299" s="1" t="n">
        <v>45472</v>
      </c>
      <c r="D1299" t="inlineStr">
        <is>
          <t>VÄSTERBOTTENS LÄN</t>
        </is>
      </c>
      <c r="E1299" t="inlineStr">
        <is>
          <t>SKELLEFTEÅ</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32448-2022</t>
        </is>
      </c>
      <c r="B1300" s="1" t="n">
        <v>44782</v>
      </c>
      <c r="C1300" s="1" t="n">
        <v>45472</v>
      </c>
      <c r="D1300" t="inlineStr">
        <is>
          <t>VÄSTERBOTTENS LÄN</t>
        </is>
      </c>
      <c r="E1300" t="inlineStr">
        <is>
          <t>SKELLEFTEÅ</t>
        </is>
      </c>
      <c r="F1300" t="inlineStr">
        <is>
          <t>Kommuner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32560-2022</t>
        </is>
      </c>
      <c r="B1301" s="1" t="n">
        <v>44783</v>
      </c>
      <c r="C1301" s="1" t="n">
        <v>45472</v>
      </c>
      <c r="D1301" t="inlineStr">
        <is>
          <t>VÄSTERBOTTENS LÄN</t>
        </is>
      </c>
      <c r="E1301" t="inlineStr">
        <is>
          <t>SKELLEFTEÅ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32677-2022</t>
        </is>
      </c>
      <c r="B1302" s="1" t="n">
        <v>44783</v>
      </c>
      <c r="C1302" s="1" t="n">
        <v>45472</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32539-2022</t>
        </is>
      </c>
      <c r="B1303" s="1" t="n">
        <v>44783</v>
      </c>
      <c r="C1303" s="1" t="n">
        <v>45472</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32657-2022</t>
        </is>
      </c>
      <c r="B1304" s="1" t="n">
        <v>44783</v>
      </c>
      <c r="C1304" s="1" t="n">
        <v>45472</v>
      </c>
      <c r="D1304" t="inlineStr">
        <is>
          <t>VÄSTERBOTTENS LÄN</t>
        </is>
      </c>
      <c r="E1304" t="inlineStr">
        <is>
          <t>SKELLEFTEÅ</t>
        </is>
      </c>
      <c r="F1304" t="inlineStr">
        <is>
          <t>Sveaskog</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32985-2022</t>
        </is>
      </c>
      <c r="B1305" s="1" t="n">
        <v>44785</v>
      </c>
      <c r="C1305" s="1" t="n">
        <v>45472</v>
      </c>
      <c r="D1305" t="inlineStr">
        <is>
          <t>VÄSTERBOTTENS LÄN</t>
        </is>
      </c>
      <c r="E1305" t="inlineStr">
        <is>
          <t>SKELLEFTEÅ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32984-2022</t>
        </is>
      </c>
      <c r="B1306" s="1" t="n">
        <v>44784</v>
      </c>
      <c r="C1306" s="1" t="n">
        <v>45472</v>
      </c>
      <c r="D1306" t="inlineStr">
        <is>
          <t>VÄSTERBOTTENS LÄN</t>
        </is>
      </c>
      <c r="E1306" t="inlineStr">
        <is>
          <t>SKELLEFTEÅ</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33268-2022</t>
        </is>
      </c>
      <c r="B1307" s="1" t="n">
        <v>44788</v>
      </c>
      <c r="C1307" s="1" t="n">
        <v>45472</v>
      </c>
      <c r="D1307" t="inlineStr">
        <is>
          <t>VÄSTERBOTTENS LÄN</t>
        </is>
      </c>
      <c r="E1307" t="inlineStr">
        <is>
          <t>SKELLEFTEÅ</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33324-2022</t>
        </is>
      </c>
      <c r="B1308" s="1" t="n">
        <v>44788</v>
      </c>
      <c r="C1308" s="1" t="n">
        <v>45472</v>
      </c>
      <c r="D1308" t="inlineStr">
        <is>
          <t>VÄSTERBOTTENS LÄN</t>
        </is>
      </c>
      <c r="E1308" t="inlineStr">
        <is>
          <t>SKELLEFTEÅ</t>
        </is>
      </c>
      <c r="F1308" t="inlineStr">
        <is>
          <t>Holmen skog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33629-2022</t>
        </is>
      </c>
      <c r="B1309" s="1" t="n">
        <v>44789</v>
      </c>
      <c r="C1309" s="1" t="n">
        <v>45472</v>
      </c>
      <c r="D1309" t="inlineStr">
        <is>
          <t>VÄSTERBOTTENS LÄN</t>
        </is>
      </c>
      <c r="E1309" t="inlineStr">
        <is>
          <t>SKELLEFTEÅ</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33984-2022</t>
        </is>
      </c>
      <c r="B1310" s="1" t="n">
        <v>44791</v>
      </c>
      <c r="C1310" s="1" t="n">
        <v>45472</v>
      </c>
      <c r="D1310" t="inlineStr">
        <is>
          <t>VÄSTERBOTTENS LÄN</t>
        </is>
      </c>
      <c r="E1310" t="inlineStr">
        <is>
          <t>SKELLEFTEÅ</t>
        </is>
      </c>
      <c r="F1310" t="inlineStr">
        <is>
          <t>Sveaskog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34094-2022</t>
        </is>
      </c>
      <c r="B1311" s="1" t="n">
        <v>44791</v>
      </c>
      <c r="C1311" s="1" t="n">
        <v>45472</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34104-2022</t>
        </is>
      </c>
      <c r="B1312" s="1" t="n">
        <v>44791</v>
      </c>
      <c r="C1312" s="1" t="n">
        <v>45472</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34082-2022</t>
        </is>
      </c>
      <c r="B1313" s="1" t="n">
        <v>44791</v>
      </c>
      <c r="C1313" s="1" t="n">
        <v>45472</v>
      </c>
      <c r="D1313" t="inlineStr">
        <is>
          <t>VÄSTERBOTTENS LÄN</t>
        </is>
      </c>
      <c r="E1313" t="inlineStr">
        <is>
          <t>SKELLEFTEÅ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34547-2022</t>
        </is>
      </c>
      <c r="B1314" s="1" t="n">
        <v>44794</v>
      </c>
      <c r="C1314" s="1" t="n">
        <v>45472</v>
      </c>
      <c r="D1314" t="inlineStr">
        <is>
          <t>VÄSTERBOTTENS LÄN</t>
        </is>
      </c>
      <c r="E1314" t="inlineStr">
        <is>
          <t>SKELLEFTEÅ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34639-2022</t>
        </is>
      </c>
      <c r="B1315" s="1" t="n">
        <v>44795</v>
      </c>
      <c r="C1315" s="1" t="n">
        <v>45472</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34895-2022</t>
        </is>
      </c>
      <c r="B1316" s="1" t="n">
        <v>44796</v>
      </c>
      <c r="C1316" s="1" t="n">
        <v>45472</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35001-2022</t>
        </is>
      </c>
      <c r="B1317" s="1" t="n">
        <v>44797</v>
      </c>
      <c r="C1317" s="1" t="n">
        <v>45472</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35119-2022</t>
        </is>
      </c>
      <c r="B1318" s="1" t="n">
        <v>44797</v>
      </c>
      <c r="C1318" s="1" t="n">
        <v>45472</v>
      </c>
      <c r="D1318" t="inlineStr">
        <is>
          <t>VÄSTERBOTTENS LÄN</t>
        </is>
      </c>
      <c r="E1318" t="inlineStr">
        <is>
          <t>SKELLEFTEÅ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35189-2022</t>
        </is>
      </c>
      <c r="B1319" s="1" t="n">
        <v>44797</v>
      </c>
      <c r="C1319" s="1" t="n">
        <v>45472</v>
      </c>
      <c r="D1319" t="inlineStr">
        <is>
          <t>VÄSTERBOTTENS LÄN</t>
        </is>
      </c>
      <c r="E1319" t="inlineStr">
        <is>
          <t>SKELLEFTEÅ</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35491-2022</t>
        </is>
      </c>
      <c r="B1320" s="1" t="n">
        <v>44798</v>
      </c>
      <c r="C1320" s="1" t="n">
        <v>45472</v>
      </c>
      <c r="D1320" t="inlineStr">
        <is>
          <t>VÄSTERBOTTENS LÄN</t>
        </is>
      </c>
      <c r="E1320" t="inlineStr">
        <is>
          <t>SKELLEFTEÅ</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35558-2022</t>
        </is>
      </c>
      <c r="B1321" s="1" t="n">
        <v>44799</v>
      </c>
      <c r="C1321" s="1" t="n">
        <v>45472</v>
      </c>
      <c r="D1321" t="inlineStr">
        <is>
          <t>VÄSTERBOTTENS LÄN</t>
        </is>
      </c>
      <c r="E1321" t="inlineStr">
        <is>
          <t>SKELLEFTEÅ</t>
        </is>
      </c>
      <c r="F1321" t="inlineStr">
        <is>
          <t>Sveaskog</t>
        </is>
      </c>
      <c r="G1321" t="n">
        <v>21.8</v>
      </c>
      <c r="H1321" t="n">
        <v>0</v>
      </c>
      <c r="I1321" t="n">
        <v>0</v>
      </c>
      <c r="J1321" t="n">
        <v>0</v>
      </c>
      <c r="K1321" t="n">
        <v>0</v>
      </c>
      <c r="L1321" t="n">
        <v>0</v>
      </c>
      <c r="M1321" t="n">
        <v>0</v>
      </c>
      <c r="N1321" t="n">
        <v>0</v>
      </c>
      <c r="O1321" t="n">
        <v>0</v>
      </c>
      <c r="P1321" t="n">
        <v>0</v>
      </c>
      <c r="Q1321" t="n">
        <v>0</v>
      </c>
      <c r="R1321" s="2" t="inlineStr"/>
    </row>
    <row r="1322" ht="15" customHeight="1">
      <c r="A1322" t="inlineStr">
        <is>
          <t>A 35609-2022</t>
        </is>
      </c>
      <c r="B1322" s="1" t="n">
        <v>44799</v>
      </c>
      <c r="C1322" s="1" t="n">
        <v>45472</v>
      </c>
      <c r="D1322" t="inlineStr">
        <is>
          <t>VÄSTERBOTTENS LÄN</t>
        </is>
      </c>
      <c r="E1322" t="inlineStr">
        <is>
          <t>SKELLEFTEÅ</t>
        </is>
      </c>
      <c r="F1322" t="inlineStr">
        <is>
          <t>Holmen skog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35652-2022</t>
        </is>
      </c>
      <c r="B1323" s="1" t="n">
        <v>44799</v>
      </c>
      <c r="C1323" s="1" t="n">
        <v>45472</v>
      </c>
      <c r="D1323" t="inlineStr">
        <is>
          <t>VÄSTERBOTTENS LÄN</t>
        </is>
      </c>
      <c r="E1323" t="inlineStr">
        <is>
          <t>SKELLEFTEÅ</t>
        </is>
      </c>
      <c r="F1323" t="inlineStr">
        <is>
          <t>Sveaskog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35635-2022</t>
        </is>
      </c>
      <c r="B1324" s="1" t="n">
        <v>44799</v>
      </c>
      <c r="C1324" s="1" t="n">
        <v>45472</v>
      </c>
      <c r="D1324" t="inlineStr">
        <is>
          <t>VÄSTERBOTTENS LÄN</t>
        </is>
      </c>
      <c r="E1324" t="inlineStr">
        <is>
          <t>SKELLEFTEÅ</t>
        </is>
      </c>
      <c r="F1324" t="inlineStr">
        <is>
          <t>Holmen skog AB</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35608-2022</t>
        </is>
      </c>
      <c r="B1325" s="1" t="n">
        <v>44799</v>
      </c>
      <c r="C1325" s="1" t="n">
        <v>45472</v>
      </c>
      <c r="D1325" t="inlineStr">
        <is>
          <t>VÄSTERBOTTENS LÄN</t>
        </is>
      </c>
      <c r="E1325" t="inlineStr">
        <is>
          <t>SKELLEFTEÅ</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35794-2022</t>
        </is>
      </c>
      <c r="B1326" s="1" t="n">
        <v>44801</v>
      </c>
      <c r="C1326" s="1" t="n">
        <v>45472</v>
      </c>
      <c r="D1326" t="inlineStr">
        <is>
          <t>VÄSTERBOTTENS LÄN</t>
        </is>
      </c>
      <c r="E1326" t="inlineStr">
        <is>
          <t>SKELLEFTEÅ</t>
        </is>
      </c>
      <c r="F1326" t="inlineStr">
        <is>
          <t>Sveaskog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35771-2022</t>
        </is>
      </c>
      <c r="B1327" s="1" t="n">
        <v>44801</v>
      </c>
      <c r="C1327" s="1" t="n">
        <v>45472</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35809-2022</t>
        </is>
      </c>
      <c r="B1328" s="1" t="n">
        <v>44802</v>
      </c>
      <c r="C1328" s="1" t="n">
        <v>45472</v>
      </c>
      <c r="D1328" t="inlineStr">
        <is>
          <t>VÄSTERBOTTENS LÄN</t>
        </is>
      </c>
      <c r="E1328" t="inlineStr">
        <is>
          <t>SKELLEFTEÅ</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36208-2022</t>
        </is>
      </c>
      <c r="B1329" s="1" t="n">
        <v>44803</v>
      </c>
      <c r="C1329" s="1" t="n">
        <v>45472</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35888-2022</t>
        </is>
      </c>
      <c r="B1330" s="1" t="n">
        <v>44803</v>
      </c>
      <c r="C1330" s="1" t="n">
        <v>45472</v>
      </c>
      <c r="D1330" t="inlineStr">
        <is>
          <t>VÄSTERBOTTENS LÄN</t>
        </is>
      </c>
      <c r="E1330" t="inlineStr">
        <is>
          <t>SKELLEFTEÅ</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36723-2022</t>
        </is>
      </c>
      <c r="B1331" s="1" t="n">
        <v>44804</v>
      </c>
      <c r="C1331" s="1" t="n">
        <v>45472</v>
      </c>
      <c r="D1331" t="inlineStr">
        <is>
          <t>VÄSTERBOTTENS LÄN</t>
        </is>
      </c>
      <c r="E1331" t="inlineStr">
        <is>
          <t>SKELLEFTEÅ</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36539-2022</t>
        </is>
      </c>
      <c r="B1332" s="1" t="n">
        <v>44804</v>
      </c>
      <c r="C1332" s="1" t="n">
        <v>45472</v>
      </c>
      <c r="D1332" t="inlineStr">
        <is>
          <t>VÄSTERBOTTENS LÄN</t>
        </is>
      </c>
      <c r="E1332" t="inlineStr">
        <is>
          <t>SKELLEFTEÅ</t>
        </is>
      </c>
      <c r="F1332" t="inlineStr">
        <is>
          <t>Kommuner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36728-2022</t>
        </is>
      </c>
      <c r="B1333" s="1" t="n">
        <v>44804</v>
      </c>
      <c r="C1333" s="1" t="n">
        <v>45472</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37669-2022</t>
        </is>
      </c>
      <c r="B1334" s="1" t="n">
        <v>44810</v>
      </c>
      <c r="C1334" s="1" t="n">
        <v>45472</v>
      </c>
      <c r="D1334" t="inlineStr">
        <is>
          <t>VÄSTERBOTTENS LÄN</t>
        </is>
      </c>
      <c r="E1334" t="inlineStr">
        <is>
          <t>SKELLEFTEÅ</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37823-2022</t>
        </is>
      </c>
      <c r="B1335" s="1" t="n">
        <v>44811</v>
      </c>
      <c r="C1335" s="1" t="n">
        <v>45472</v>
      </c>
      <c r="D1335" t="inlineStr">
        <is>
          <t>VÄSTERBOTTENS LÄN</t>
        </is>
      </c>
      <c r="E1335" t="inlineStr">
        <is>
          <t>SKELLEFTEÅ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37819-2022</t>
        </is>
      </c>
      <c r="B1336" s="1" t="n">
        <v>44810</v>
      </c>
      <c r="C1336" s="1" t="n">
        <v>45472</v>
      </c>
      <c r="D1336" t="inlineStr">
        <is>
          <t>VÄSTERBOTTENS LÄN</t>
        </is>
      </c>
      <c r="E1336" t="inlineStr">
        <is>
          <t>SKELLEFTEÅ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37825-2022</t>
        </is>
      </c>
      <c r="B1337" s="1" t="n">
        <v>44811</v>
      </c>
      <c r="C1337" s="1" t="n">
        <v>45472</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37944-2022</t>
        </is>
      </c>
      <c r="B1338" s="1" t="n">
        <v>44811</v>
      </c>
      <c r="C1338" s="1" t="n">
        <v>45472</v>
      </c>
      <c r="D1338" t="inlineStr">
        <is>
          <t>VÄSTERBOTTENS LÄN</t>
        </is>
      </c>
      <c r="E1338" t="inlineStr">
        <is>
          <t>SKELLEFTEÅ</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37940-2022</t>
        </is>
      </c>
      <c r="B1339" s="1" t="n">
        <v>44811</v>
      </c>
      <c r="C1339" s="1" t="n">
        <v>45472</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37950-2022</t>
        </is>
      </c>
      <c r="B1340" s="1" t="n">
        <v>44811</v>
      </c>
      <c r="C1340" s="1" t="n">
        <v>45472</v>
      </c>
      <c r="D1340" t="inlineStr">
        <is>
          <t>VÄSTERBOTTENS LÄN</t>
        </is>
      </c>
      <c r="E1340" t="inlineStr">
        <is>
          <t>SKELLEFTEÅ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38275-2022</t>
        </is>
      </c>
      <c r="B1341" s="1" t="n">
        <v>44812</v>
      </c>
      <c r="C1341" s="1" t="n">
        <v>45472</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38457-2022</t>
        </is>
      </c>
      <c r="B1342" s="1" t="n">
        <v>44813</v>
      </c>
      <c r="C1342" s="1" t="n">
        <v>45472</v>
      </c>
      <c r="D1342" t="inlineStr">
        <is>
          <t>VÄSTERBOTTENS LÄN</t>
        </is>
      </c>
      <c r="E1342" t="inlineStr">
        <is>
          <t>SKELLEFTEÅ</t>
        </is>
      </c>
      <c r="F1342" t="inlineStr">
        <is>
          <t>Holmen skog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38578-2022</t>
        </is>
      </c>
      <c r="B1343" s="1" t="n">
        <v>44813</v>
      </c>
      <c r="C1343" s="1" t="n">
        <v>45472</v>
      </c>
      <c r="D1343" t="inlineStr">
        <is>
          <t>VÄSTERBOTTENS LÄN</t>
        </is>
      </c>
      <c r="E1343" t="inlineStr">
        <is>
          <t>SKELLEFTEÅ</t>
        </is>
      </c>
      <c r="F1343" t="inlineStr">
        <is>
          <t>Holmen skog AB</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38514-2022</t>
        </is>
      </c>
      <c r="B1344" s="1" t="n">
        <v>44813</v>
      </c>
      <c r="C1344" s="1" t="n">
        <v>45472</v>
      </c>
      <c r="D1344" t="inlineStr">
        <is>
          <t>VÄSTERBOTTENS LÄN</t>
        </is>
      </c>
      <c r="E1344" t="inlineStr">
        <is>
          <t>SKELLEFTEÅ</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38728-2022</t>
        </is>
      </c>
      <c r="B1345" s="1" t="n">
        <v>44816</v>
      </c>
      <c r="C1345" s="1" t="n">
        <v>45472</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38727-2022</t>
        </is>
      </c>
      <c r="B1346" s="1" t="n">
        <v>44816</v>
      </c>
      <c r="C1346" s="1" t="n">
        <v>45472</v>
      </c>
      <c r="D1346" t="inlineStr">
        <is>
          <t>VÄSTERBOTTENS LÄN</t>
        </is>
      </c>
      <c r="E1346" t="inlineStr">
        <is>
          <t>SKELLEFTEÅ</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38767-2022</t>
        </is>
      </c>
      <c r="B1347" s="1" t="n">
        <v>44816</v>
      </c>
      <c r="C1347" s="1" t="n">
        <v>45472</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38873-2022</t>
        </is>
      </c>
      <c r="B1348" s="1" t="n">
        <v>44816</v>
      </c>
      <c r="C1348" s="1" t="n">
        <v>45472</v>
      </c>
      <c r="D1348" t="inlineStr">
        <is>
          <t>VÄSTERBOTTENS LÄN</t>
        </is>
      </c>
      <c r="E1348" t="inlineStr">
        <is>
          <t>SKELLEFTEÅ</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38876-2022</t>
        </is>
      </c>
      <c r="B1349" s="1" t="n">
        <v>44816</v>
      </c>
      <c r="C1349" s="1" t="n">
        <v>45472</v>
      </c>
      <c r="D1349" t="inlineStr">
        <is>
          <t>VÄSTERBOTTENS LÄN</t>
        </is>
      </c>
      <c r="E1349" t="inlineStr">
        <is>
          <t>SKELLEFTEÅ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38932-2022</t>
        </is>
      </c>
      <c r="B1350" s="1" t="n">
        <v>44816</v>
      </c>
      <c r="C1350" s="1" t="n">
        <v>45472</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38940-2022</t>
        </is>
      </c>
      <c r="B1351" s="1" t="n">
        <v>44816</v>
      </c>
      <c r="C1351" s="1" t="n">
        <v>45472</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38995-2022</t>
        </is>
      </c>
      <c r="B1352" s="1" t="n">
        <v>44816</v>
      </c>
      <c r="C1352" s="1" t="n">
        <v>45472</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38997-2022</t>
        </is>
      </c>
      <c r="B1353" s="1" t="n">
        <v>44817</v>
      </c>
      <c r="C1353" s="1" t="n">
        <v>45472</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38998-2022</t>
        </is>
      </c>
      <c r="B1354" s="1" t="n">
        <v>44817</v>
      </c>
      <c r="C1354" s="1" t="n">
        <v>45472</v>
      </c>
      <c r="D1354" t="inlineStr">
        <is>
          <t>VÄSTERBOTTENS LÄN</t>
        </is>
      </c>
      <c r="E1354" t="inlineStr">
        <is>
          <t>SKELLEFTEÅ</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38993-2022</t>
        </is>
      </c>
      <c r="B1355" s="1" t="n">
        <v>44816</v>
      </c>
      <c r="C1355" s="1" t="n">
        <v>45472</v>
      </c>
      <c r="D1355" t="inlineStr">
        <is>
          <t>VÄSTERBOTTENS LÄN</t>
        </is>
      </c>
      <c r="E1355" t="inlineStr">
        <is>
          <t>SKELLEFTEÅ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39019-2022</t>
        </is>
      </c>
      <c r="B1356" s="1" t="n">
        <v>44817</v>
      </c>
      <c r="C1356" s="1" t="n">
        <v>45472</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39668-2022</t>
        </is>
      </c>
      <c r="B1357" s="1" t="n">
        <v>44818</v>
      </c>
      <c r="C1357" s="1" t="n">
        <v>45472</v>
      </c>
      <c r="D1357" t="inlineStr">
        <is>
          <t>VÄSTERBOTTENS LÄN</t>
        </is>
      </c>
      <c r="E1357" t="inlineStr">
        <is>
          <t>SKELLEFTEÅ</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39794-2022</t>
        </is>
      </c>
      <c r="B1358" s="1" t="n">
        <v>44819</v>
      </c>
      <c r="C1358" s="1" t="n">
        <v>45472</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39732-2022</t>
        </is>
      </c>
      <c r="B1359" s="1" t="n">
        <v>44819</v>
      </c>
      <c r="C1359" s="1" t="n">
        <v>45472</v>
      </c>
      <c r="D1359" t="inlineStr">
        <is>
          <t>VÄSTERBOTTENS LÄN</t>
        </is>
      </c>
      <c r="E1359" t="inlineStr">
        <is>
          <t>SKELLEFTEÅ</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39918-2022</t>
        </is>
      </c>
      <c r="B1360" s="1" t="n">
        <v>44819</v>
      </c>
      <c r="C1360" s="1" t="n">
        <v>45472</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v>
      </c>
      <c r="C1361" s="1" t="n">
        <v>45472</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v>
      </c>
      <c r="C1362" s="1" t="n">
        <v>45472</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40013-2022</t>
        </is>
      </c>
      <c r="B1363" s="1" t="n">
        <v>44820</v>
      </c>
      <c r="C1363" s="1" t="n">
        <v>45472</v>
      </c>
      <c r="D1363" t="inlineStr">
        <is>
          <t>VÄSTERBOTTENS LÄN</t>
        </is>
      </c>
      <c r="E1363" t="inlineStr">
        <is>
          <t>SKELLEFTEÅ</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v>
      </c>
      <c r="C1364" s="1" t="n">
        <v>45472</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39985-2022</t>
        </is>
      </c>
      <c r="B1365" s="1" t="n">
        <v>44820</v>
      </c>
      <c r="C1365" s="1" t="n">
        <v>45472</v>
      </c>
      <c r="D1365" t="inlineStr">
        <is>
          <t>VÄSTERBOTTENS LÄN</t>
        </is>
      </c>
      <c r="E1365" t="inlineStr">
        <is>
          <t>SKELLEFTEÅ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40219-2022</t>
        </is>
      </c>
      <c r="B1366" s="1" t="n">
        <v>44820</v>
      </c>
      <c r="C1366" s="1" t="n">
        <v>45472</v>
      </c>
      <c r="D1366" t="inlineStr">
        <is>
          <t>VÄSTERBOTTENS LÄN</t>
        </is>
      </c>
      <c r="E1366" t="inlineStr">
        <is>
          <t>SKELLEFTEÅ</t>
        </is>
      </c>
      <c r="F1366" t="inlineStr">
        <is>
          <t>Sveaskog</t>
        </is>
      </c>
      <c r="G1366" t="n">
        <v>12.7</v>
      </c>
      <c r="H1366" t="n">
        <v>0</v>
      </c>
      <c r="I1366" t="n">
        <v>0</v>
      </c>
      <c r="J1366" t="n">
        <v>0</v>
      </c>
      <c r="K1366" t="n">
        <v>0</v>
      </c>
      <c r="L1366" t="n">
        <v>0</v>
      </c>
      <c r="M1366" t="n">
        <v>0</v>
      </c>
      <c r="N1366" t="n">
        <v>0</v>
      </c>
      <c r="O1366" t="n">
        <v>0</v>
      </c>
      <c r="P1366" t="n">
        <v>0</v>
      </c>
      <c r="Q1366" t="n">
        <v>0</v>
      </c>
      <c r="R1366" s="2" t="inlineStr"/>
    </row>
    <row r="1367" ht="15" customHeight="1">
      <c r="A1367" t="inlineStr">
        <is>
          <t>A 40905-2022</t>
        </is>
      </c>
      <c r="B1367" s="1" t="n">
        <v>44820</v>
      </c>
      <c r="C1367" s="1" t="n">
        <v>45472</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40345-2022</t>
        </is>
      </c>
      <c r="B1368" s="1" t="n">
        <v>44823</v>
      </c>
      <c r="C1368" s="1" t="n">
        <v>45472</v>
      </c>
      <c r="D1368" t="inlineStr">
        <is>
          <t>VÄSTERBOTTENS LÄN</t>
        </is>
      </c>
      <c r="E1368" t="inlineStr">
        <is>
          <t>SKELLEFTEÅ</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45472</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40329-2022</t>
        </is>
      </c>
      <c r="B1370" s="1" t="n">
        <v>44823</v>
      </c>
      <c r="C1370" s="1" t="n">
        <v>45472</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40964-2022</t>
        </is>
      </c>
      <c r="B1371" s="1" t="n">
        <v>44823</v>
      </c>
      <c r="C1371" s="1" t="n">
        <v>45472</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40969-2022</t>
        </is>
      </c>
      <c r="B1372" s="1" t="n">
        <v>44824</v>
      </c>
      <c r="C1372" s="1" t="n">
        <v>45472</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41010-2022</t>
        </is>
      </c>
      <c r="B1373" s="1" t="n">
        <v>44825</v>
      </c>
      <c r="C1373" s="1" t="n">
        <v>45472</v>
      </c>
      <c r="D1373" t="inlineStr">
        <is>
          <t>VÄSTERBOTTENS LÄN</t>
        </is>
      </c>
      <c r="E1373" t="inlineStr">
        <is>
          <t>SKELLEFTEÅ</t>
        </is>
      </c>
      <c r="F1373" t="inlineStr">
        <is>
          <t>Kyrkan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40851-2022</t>
        </is>
      </c>
      <c r="B1374" s="1" t="n">
        <v>44825</v>
      </c>
      <c r="C1374" s="1" t="n">
        <v>45472</v>
      </c>
      <c r="D1374" t="inlineStr">
        <is>
          <t>VÄSTERBOTTENS LÄN</t>
        </is>
      </c>
      <c r="E1374" t="inlineStr">
        <is>
          <t>SKELLEFTEÅ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41360-2022</t>
        </is>
      </c>
      <c r="B1375" s="1" t="n">
        <v>44825</v>
      </c>
      <c r="C1375" s="1" t="n">
        <v>45472</v>
      </c>
      <c r="D1375" t="inlineStr">
        <is>
          <t>VÄSTERBOTTENS LÄN</t>
        </is>
      </c>
      <c r="E1375" t="inlineStr">
        <is>
          <t>SKELLEFTEÅ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41409-2022</t>
        </is>
      </c>
      <c r="B1376" s="1" t="n">
        <v>44826</v>
      </c>
      <c r="C1376" s="1" t="n">
        <v>45472</v>
      </c>
      <c r="D1376" t="inlineStr">
        <is>
          <t>VÄSTERBOTTENS LÄN</t>
        </is>
      </c>
      <c r="E1376" t="inlineStr">
        <is>
          <t>SKELLEFTEÅ</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41513-2022</t>
        </is>
      </c>
      <c r="B1377" s="1" t="n">
        <v>44827</v>
      </c>
      <c r="C1377" s="1" t="n">
        <v>45472</v>
      </c>
      <c r="D1377" t="inlineStr">
        <is>
          <t>VÄSTERBOTTENS LÄN</t>
        </is>
      </c>
      <c r="E1377" t="inlineStr">
        <is>
          <t>SKELLEFTEÅ</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41802-2022</t>
        </is>
      </c>
      <c r="B1378" s="1" t="n">
        <v>44827</v>
      </c>
      <c r="C1378" s="1" t="n">
        <v>45472</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41803-2022</t>
        </is>
      </c>
      <c r="B1379" s="1" t="n">
        <v>44828</v>
      </c>
      <c r="C1379" s="1" t="n">
        <v>45472</v>
      </c>
      <c r="D1379" t="inlineStr">
        <is>
          <t>VÄSTERBOTTENS LÄN</t>
        </is>
      </c>
      <c r="E1379" t="inlineStr">
        <is>
          <t>SKELLEFTEÅ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41801-2022</t>
        </is>
      </c>
      <c r="B1380" s="1" t="n">
        <v>44828</v>
      </c>
      <c r="C1380" s="1" t="n">
        <v>45472</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42357-2022</t>
        </is>
      </c>
      <c r="B1381" s="1" t="n">
        <v>44827</v>
      </c>
      <c r="C1381" s="1" t="n">
        <v>45472</v>
      </c>
      <c r="D1381" t="inlineStr">
        <is>
          <t>VÄSTERBOTTENS LÄN</t>
        </is>
      </c>
      <c r="E1381" t="inlineStr">
        <is>
          <t>SKELLEFTEÅ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42348-2022</t>
        </is>
      </c>
      <c r="B1382" s="1" t="n">
        <v>44827</v>
      </c>
      <c r="C1382" s="1" t="n">
        <v>45472</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42109-2022</t>
        </is>
      </c>
      <c r="B1383" s="1" t="n">
        <v>44827</v>
      </c>
      <c r="C1383" s="1" t="n">
        <v>45472</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42099-2022</t>
        </is>
      </c>
      <c r="B1384" s="1" t="n">
        <v>44827</v>
      </c>
      <c r="C1384" s="1" t="n">
        <v>45472</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41889-2022</t>
        </is>
      </c>
      <c r="B1385" s="1" t="n">
        <v>44830</v>
      </c>
      <c r="C1385" s="1" t="n">
        <v>45472</v>
      </c>
      <c r="D1385" t="inlineStr">
        <is>
          <t>VÄSTERBOTTENS LÄN</t>
        </is>
      </c>
      <c r="E1385" t="inlineStr">
        <is>
          <t>SKELLEFTEÅ</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41956-2022</t>
        </is>
      </c>
      <c r="B1386" s="1" t="n">
        <v>44830</v>
      </c>
      <c r="C1386" s="1" t="n">
        <v>45472</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41883-2022</t>
        </is>
      </c>
      <c r="B1387" s="1" t="n">
        <v>44830</v>
      </c>
      <c r="C1387" s="1" t="n">
        <v>45472</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42255-2022</t>
        </is>
      </c>
      <c r="B1388" s="1" t="n">
        <v>44830</v>
      </c>
      <c r="C1388" s="1" t="n">
        <v>45472</v>
      </c>
      <c r="D1388" t="inlineStr">
        <is>
          <t>VÄSTERBOTTENS LÄN</t>
        </is>
      </c>
      <c r="E1388" t="inlineStr">
        <is>
          <t>SKELLEFTEÅ</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42260-2022</t>
        </is>
      </c>
      <c r="B1389" s="1" t="n">
        <v>44830</v>
      </c>
      <c r="C1389" s="1" t="n">
        <v>45472</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42682-2022</t>
        </is>
      </c>
      <c r="B1390" s="1" t="n">
        <v>44831</v>
      </c>
      <c r="C1390" s="1" t="n">
        <v>45472</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42798-2022</t>
        </is>
      </c>
      <c r="B1391" s="1" t="n">
        <v>44832</v>
      </c>
      <c r="C1391" s="1" t="n">
        <v>45472</v>
      </c>
      <c r="D1391" t="inlineStr">
        <is>
          <t>VÄSTERBOTTENS LÄN</t>
        </is>
      </c>
      <c r="E1391" t="inlineStr">
        <is>
          <t>SKELLEFTEÅ</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42808-2022</t>
        </is>
      </c>
      <c r="B1392" s="1" t="n">
        <v>44832</v>
      </c>
      <c r="C1392" s="1" t="n">
        <v>45472</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42946-2022</t>
        </is>
      </c>
      <c r="B1393" s="1" t="n">
        <v>44833</v>
      </c>
      <c r="C1393" s="1" t="n">
        <v>45472</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43069-2022</t>
        </is>
      </c>
      <c r="B1394" s="1" t="n">
        <v>44833</v>
      </c>
      <c r="C1394" s="1" t="n">
        <v>45472</v>
      </c>
      <c r="D1394" t="inlineStr">
        <is>
          <t>VÄSTERBOTTENS LÄN</t>
        </is>
      </c>
      <c r="E1394" t="inlineStr">
        <is>
          <t>SKELLEFTEÅ</t>
        </is>
      </c>
      <c r="F1394" t="inlineStr">
        <is>
          <t>Sveaskog</t>
        </is>
      </c>
      <c r="G1394" t="n">
        <v>19.6</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v>
      </c>
      <c r="C1395" s="1" t="n">
        <v>45472</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43515-2022</t>
        </is>
      </c>
      <c r="B1396" s="1" t="n">
        <v>44837</v>
      </c>
      <c r="C1396" s="1" t="n">
        <v>45472</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43544-2022</t>
        </is>
      </c>
      <c r="B1397" s="1" t="n">
        <v>44837</v>
      </c>
      <c r="C1397" s="1" t="n">
        <v>45472</v>
      </c>
      <c r="D1397" t="inlineStr">
        <is>
          <t>VÄSTERBOTTENS LÄN</t>
        </is>
      </c>
      <c r="E1397" t="inlineStr">
        <is>
          <t>SKELLEFTEÅ</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43763-2022</t>
        </is>
      </c>
      <c r="B1398" s="1" t="n">
        <v>44838</v>
      </c>
      <c r="C1398" s="1" t="n">
        <v>45472</v>
      </c>
      <c r="D1398" t="inlineStr">
        <is>
          <t>VÄSTERBOTTENS LÄN</t>
        </is>
      </c>
      <c r="E1398" t="inlineStr">
        <is>
          <t>SKELLEFTEÅ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43917-2022</t>
        </is>
      </c>
      <c r="B1399" s="1" t="n">
        <v>44838</v>
      </c>
      <c r="C1399" s="1" t="n">
        <v>45472</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44621-2022</t>
        </is>
      </c>
      <c r="B1400" s="1" t="n">
        <v>44838</v>
      </c>
      <c r="C1400" s="1" t="n">
        <v>45472</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44397-2022</t>
        </is>
      </c>
      <c r="B1401" s="1" t="n">
        <v>44839</v>
      </c>
      <c r="C1401" s="1" t="n">
        <v>45472</v>
      </c>
      <c r="D1401" t="inlineStr">
        <is>
          <t>VÄSTERBOTTENS LÄN</t>
        </is>
      </c>
      <c r="E1401" t="inlineStr">
        <is>
          <t>SKELLEFTEÅ</t>
        </is>
      </c>
      <c r="F1401" t="inlineStr">
        <is>
          <t>Sveaskog</t>
        </is>
      </c>
      <c r="G1401" t="n">
        <v>31.1</v>
      </c>
      <c r="H1401" t="n">
        <v>0</v>
      </c>
      <c r="I1401" t="n">
        <v>0</v>
      </c>
      <c r="J1401" t="n">
        <v>0</v>
      </c>
      <c r="K1401" t="n">
        <v>0</v>
      </c>
      <c r="L1401" t="n">
        <v>0</v>
      </c>
      <c r="M1401" t="n">
        <v>0</v>
      </c>
      <c r="N1401" t="n">
        <v>0</v>
      </c>
      <c r="O1401" t="n">
        <v>0</v>
      </c>
      <c r="P1401" t="n">
        <v>0</v>
      </c>
      <c r="Q1401" t="n">
        <v>0</v>
      </c>
      <c r="R1401" s="2" t="inlineStr"/>
    </row>
    <row r="1402" ht="15" customHeight="1">
      <c r="A1402" t="inlineStr">
        <is>
          <t>A 44398-2022</t>
        </is>
      </c>
      <c r="B1402" s="1" t="n">
        <v>44839</v>
      </c>
      <c r="C1402" s="1" t="n">
        <v>45472</v>
      </c>
      <c r="D1402" t="inlineStr">
        <is>
          <t>VÄSTERBOTTENS LÄN</t>
        </is>
      </c>
      <c r="E1402" t="inlineStr">
        <is>
          <t>SKELLEFTEÅ</t>
        </is>
      </c>
      <c r="F1402" t="inlineStr">
        <is>
          <t>Sveaskog</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44616-2022</t>
        </is>
      </c>
      <c r="B1403" s="1" t="n">
        <v>44839</v>
      </c>
      <c r="C1403" s="1" t="n">
        <v>45472</v>
      </c>
      <c r="D1403" t="inlineStr">
        <is>
          <t>VÄSTERBOTTENS LÄN</t>
        </is>
      </c>
      <c r="E1403" t="inlineStr">
        <is>
          <t>SKELLEFTEÅ</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44959-2022</t>
        </is>
      </c>
      <c r="B1404" s="1" t="n">
        <v>44839</v>
      </c>
      <c r="C1404" s="1" t="n">
        <v>45472</v>
      </c>
      <c r="D1404" t="inlineStr">
        <is>
          <t>VÄSTERBOTTENS LÄN</t>
        </is>
      </c>
      <c r="E1404" t="inlineStr">
        <is>
          <t>SKELLEFTEÅ</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44724-2022</t>
        </is>
      </c>
      <c r="B1405" s="1" t="n">
        <v>44840</v>
      </c>
      <c r="C1405" s="1" t="n">
        <v>45472</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44722-2022</t>
        </is>
      </c>
      <c r="B1406" s="1" t="n">
        <v>44840</v>
      </c>
      <c r="C1406" s="1" t="n">
        <v>45472</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45011-2022</t>
        </is>
      </c>
      <c r="B1407" s="1" t="n">
        <v>44840</v>
      </c>
      <c r="C1407" s="1" t="n">
        <v>45472</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45266-2022</t>
        </is>
      </c>
      <c r="B1408" s="1" t="n">
        <v>44844</v>
      </c>
      <c r="C1408" s="1" t="n">
        <v>45472</v>
      </c>
      <c r="D1408" t="inlineStr">
        <is>
          <t>VÄSTERBOTTENS LÄN</t>
        </is>
      </c>
      <c r="E1408" t="inlineStr">
        <is>
          <t>SKELLEFTEÅ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45250-2022</t>
        </is>
      </c>
      <c r="B1409" s="1" t="n">
        <v>44844</v>
      </c>
      <c r="C1409" s="1" t="n">
        <v>45472</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45985-2022</t>
        </is>
      </c>
      <c r="B1410" s="1" t="n">
        <v>44844</v>
      </c>
      <c r="C1410" s="1" t="n">
        <v>45472</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45890-2022</t>
        </is>
      </c>
      <c r="B1411" s="1" t="n">
        <v>44844</v>
      </c>
      <c r="C1411" s="1" t="n">
        <v>45472</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45495-2022</t>
        </is>
      </c>
      <c r="B1412" s="1" t="n">
        <v>44845</v>
      </c>
      <c r="C1412" s="1" t="n">
        <v>45472</v>
      </c>
      <c r="D1412" t="inlineStr">
        <is>
          <t>VÄSTERBOTTENS LÄN</t>
        </is>
      </c>
      <c r="E1412" t="inlineStr">
        <is>
          <t>SKELLEFTEÅ</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45554-2022</t>
        </is>
      </c>
      <c r="B1413" s="1" t="n">
        <v>44845</v>
      </c>
      <c r="C1413" s="1" t="n">
        <v>45472</v>
      </c>
      <c r="D1413" t="inlineStr">
        <is>
          <t>VÄSTERBOTTENS LÄN</t>
        </is>
      </c>
      <c r="E1413" t="inlineStr">
        <is>
          <t>SKELLEFTEÅ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45619-2022</t>
        </is>
      </c>
      <c r="B1414" s="1" t="n">
        <v>44845</v>
      </c>
      <c r="C1414" s="1" t="n">
        <v>45472</v>
      </c>
      <c r="D1414" t="inlineStr">
        <is>
          <t>VÄSTERBOTTENS LÄN</t>
        </is>
      </c>
      <c r="E1414" t="inlineStr">
        <is>
          <t>SKELLEFTEÅ</t>
        </is>
      </c>
      <c r="F1414" t="inlineStr">
        <is>
          <t>Holmen skog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46181-2022</t>
        </is>
      </c>
      <c r="B1415" s="1" t="n">
        <v>44845</v>
      </c>
      <c r="C1415" s="1" t="n">
        <v>45472</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46218-2022</t>
        </is>
      </c>
      <c r="B1416" s="1" t="n">
        <v>44845</v>
      </c>
      <c r="C1416" s="1" t="n">
        <v>45472</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45748-2022</t>
        </is>
      </c>
      <c r="B1417" s="1" t="n">
        <v>44846</v>
      </c>
      <c r="C1417" s="1" t="n">
        <v>45472</v>
      </c>
      <c r="D1417" t="inlineStr">
        <is>
          <t>VÄSTERBOTTENS LÄN</t>
        </is>
      </c>
      <c r="E1417" t="inlineStr">
        <is>
          <t>SKELLEFTEÅ</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46233-2022</t>
        </is>
      </c>
      <c r="B1418" s="1" t="n">
        <v>44847</v>
      </c>
      <c r="C1418" s="1" t="n">
        <v>45472</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46216-2022</t>
        </is>
      </c>
      <c r="B1419" s="1" t="n">
        <v>44847</v>
      </c>
      <c r="C1419" s="1" t="n">
        <v>45472</v>
      </c>
      <c r="D1419" t="inlineStr">
        <is>
          <t>VÄSTERBOTTENS LÄN</t>
        </is>
      </c>
      <c r="E1419" t="inlineStr">
        <is>
          <t>SKELLEFTEÅ</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46409-2022</t>
        </is>
      </c>
      <c r="B1420" s="1" t="n">
        <v>44848</v>
      </c>
      <c r="C1420" s="1" t="n">
        <v>45472</v>
      </c>
      <c r="D1420" t="inlineStr">
        <is>
          <t>VÄSTERBOTTENS LÄN</t>
        </is>
      </c>
      <c r="E1420" t="inlineStr">
        <is>
          <t>SKELLEFTEÅ</t>
        </is>
      </c>
      <c r="F1420" t="inlineStr">
        <is>
          <t>Holmen skog AB</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46445-2022</t>
        </is>
      </c>
      <c r="B1421" s="1" t="n">
        <v>44848</v>
      </c>
      <c r="C1421" s="1" t="n">
        <v>45472</v>
      </c>
      <c r="D1421" t="inlineStr">
        <is>
          <t>VÄSTERBOTTENS LÄN</t>
        </is>
      </c>
      <c r="E1421" t="inlineStr">
        <is>
          <t>SKELLEFTEÅ</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46868-2022</t>
        </is>
      </c>
      <c r="B1422" s="1" t="n">
        <v>44848</v>
      </c>
      <c r="C1422" s="1" t="n">
        <v>45472</v>
      </c>
      <c r="D1422" t="inlineStr">
        <is>
          <t>VÄSTERBOTTENS LÄN</t>
        </is>
      </c>
      <c r="E1422" t="inlineStr">
        <is>
          <t>SKELLEFTEÅ</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47637-2022</t>
        </is>
      </c>
      <c r="B1423" s="1" t="n">
        <v>44852</v>
      </c>
      <c r="C1423" s="1" t="n">
        <v>45472</v>
      </c>
      <c r="D1423" t="inlineStr">
        <is>
          <t>VÄSTERBOTTENS LÄN</t>
        </is>
      </c>
      <c r="E1423" t="inlineStr">
        <is>
          <t>SKELLEFTEÅ</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47500-2022</t>
        </is>
      </c>
      <c r="B1424" s="1" t="n">
        <v>44852</v>
      </c>
      <c r="C1424" s="1" t="n">
        <v>45472</v>
      </c>
      <c r="D1424" t="inlineStr">
        <is>
          <t>VÄSTERBOTTENS LÄN</t>
        </is>
      </c>
      <c r="E1424" t="inlineStr">
        <is>
          <t>SKELLEFTEÅ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47410-2022</t>
        </is>
      </c>
      <c r="B1425" s="1" t="n">
        <v>44853</v>
      </c>
      <c r="C1425" s="1" t="n">
        <v>45472</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47548-2022</t>
        </is>
      </c>
      <c r="B1426" s="1" t="n">
        <v>44854</v>
      </c>
      <c r="C1426" s="1" t="n">
        <v>45472</v>
      </c>
      <c r="D1426" t="inlineStr">
        <is>
          <t>VÄSTERBOTTENS LÄN</t>
        </is>
      </c>
      <c r="E1426" t="inlineStr">
        <is>
          <t>SKELLEFTEÅ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47554-2022</t>
        </is>
      </c>
      <c r="B1427" s="1" t="n">
        <v>44854</v>
      </c>
      <c r="C1427" s="1" t="n">
        <v>45472</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47988-2022</t>
        </is>
      </c>
      <c r="B1428" s="1" t="n">
        <v>44853</v>
      </c>
      <c r="C1428" s="1" t="n">
        <v>45472</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47984-2022</t>
        </is>
      </c>
      <c r="B1429" s="1" t="n">
        <v>44853</v>
      </c>
      <c r="C1429" s="1" t="n">
        <v>45472</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47991-2022</t>
        </is>
      </c>
      <c r="B1430" s="1" t="n">
        <v>44853</v>
      </c>
      <c r="C1430" s="1" t="n">
        <v>45472</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47696-2022</t>
        </is>
      </c>
      <c r="B1431" s="1" t="n">
        <v>44854</v>
      </c>
      <c r="C1431" s="1" t="n">
        <v>45472</v>
      </c>
      <c r="D1431" t="inlineStr">
        <is>
          <t>VÄSTERBOTTENS LÄN</t>
        </is>
      </c>
      <c r="E1431" t="inlineStr">
        <is>
          <t>SKELLEFTEÅ</t>
        </is>
      </c>
      <c r="F1431" t="inlineStr">
        <is>
          <t>Holmen skog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48011-2022</t>
        </is>
      </c>
      <c r="B1432" s="1" t="n">
        <v>44855</v>
      </c>
      <c r="C1432" s="1" t="n">
        <v>45472</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48082-2022</t>
        </is>
      </c>
      <c r="B1433" s="1" t="n">
        <v>44856</v>
      </c>
      <c r="C1433" s="1" t="n">
        <v>45472</v>
      </c>
      <c r="D1433" t="inlineStr">
        <is>
          <t>VÄSTERBOTTENS LÄN</t>
        </is>
      </c>
      <c r="E1433" t="inlineStr">
        <is>
          <t>SKELLEFTEÅ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48722-2022</t>
        </is>
      </c>
      <c r="B1434" s="1" t="n">
        <v>44855</v>
      </c>
      <c r="C1434" s="1" t="n">
        <v>45472</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48125-2022</t>
        </is>
      </c>
      <c r="B1435" s="1" t="n">
        <v>44857</v>
      </c>
      <c r="C1435" s="1" t="n">
        <v>45472</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48133-2022</t>
        </is>
      </c>
      <c r="B1436" s="1" t="n">
        <v>44857</v>
      </c>
      <c r="C1436" s="1" t="n">
        <v>45472</v>
      </c>
      <c r="D1436" t="inlineStr">
        <is>
          <t>VÄSTERBOTTENS LÄN</t>
        </is>
      </c>
      <c r="E1436" t="inlineStr">
        <is>
          <t>SKELLEFTEÅ</t>
        </is>
      </c>
      <c r="F1436" t="inlineStr">
        <is>
          <t>Sveaskog</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49241-2022</t>
        </is>
      </c>
      <c r="B1437" s="1" t="n">
        <v>44858</v>
      </c>
      <c r="C1437" s="1" t="n">
        <v>45472</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49992-2022</t>
        </is>
      </c>
      <c r="B1438" s="1" t="n">
        <v>44860</v>
      </c>
      <c r="C1438" s="1" t="n">
        <v>45472</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49246-2022</t>
        </is>
      </c>
      <c r="B1439" s="1" t="n">
        <v>44861</v>
      </c>
      <c r="C1439" s="1" t="n">
        <v>45472</v>
      </c>
      <c r="D1439" t="inlineStr">
        <is>
          <t>VÄSTERBOTTENS LÄN</t>
        </is>
      </c>
      <c r="E1439" t="inlineStr">
        <is>
          <t>SKELLEFTEÅ</t>
        </is>
      </c>
      <c r="F1439" t="inlineStr">
        <is>
          <t>Holmen skog AB</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49328-2022</t>
        </is>
      </c>
      <c r="B1440" s="1" t="n">
        <v>44861</v>
      </c>
      <c r="C1440" s="1" t="n">
        <v>45472</v>
      </c>
      <c r="D1440" t="inlineStr">
        <is>
          <t>VÄSTERBOTTENS LÄN</t>
        </is>
      </c>
      <c r="E1440" t="inlineStr">
        <is>
          <t>SKELLEFTEÅ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49382-2022</t>
        </is>
      </c>
      <c r="B1441" s="1" t="n">
        <v>44861</v>
      </c>
      <c r="C1441" s="1" t="n">
        <v>45472</v>
      </c>
      <c r="D1441" t="inlineStr">
        <is>
          <t>VÄSTERBOTTENS LÄN</t>
        </is>
      </c>
      <c r="E1441" t="inlineStr">
        <is>
          <t>SKELLEFTEÅ</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49277-2022</t>
        </is>
      </c>
      <c r="B1442" s="1" t="n">
        <v>44861</v>
      </c>
      <c r="C1442" s="1" t="n">
        <v>45472</v>
      </c>
      <c r="D1442" t="inlineStr">
        <is>
          <t>VÄSTERBOTTENS LÄN</t>
        </is>
      </c>
      <c r="E1442" t="inlineStr">
        <is>
          <t>SKELLEFTEÅ</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49757-2022</t>
        </is>
      </c>
      <c r="B1443" s="1" t="n">
        <v>44862</v>
      </c>
      <c r="C1443" s="1" t="n">
        <v>45472</v>
      </c>
      <c r="D1443" t="inlineStr">
        <is>
          <t>VÄSTERBOTTENS LÄN</t>
        </is>
      </c>
      <c r="E1443" t="inlineStr">
        <is>
          <t>SKELLEFTEÅ</t>
        </is>
      </c>
      <c r="F1443" t="inlineStr">
        <is>
          <t>Holmen skog AB</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49749-2022</t>
        </is>
      </c>
      <c r="B1444" s="1" t="n">
        <v>44862</v>
      </c>
      <c r="C1444" s="1" t="n">
        <v>45472</v>
      </c>
      <c r="D1444" t="inlineStr">
        <is>
          <t>VÄSTERBOTTENS LÄN</t>
        </is>
      </c>
      <c r="E1444" t="inlineStr">
        <is>
          <t>SKELLEFTEÅ</t>
        </is>
      </c>
      <c r="F1444" t="inlineStr">
        <is>
          <t>Holmen skog AB</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49876-2022</t>
        </is>
      </c>
      <c r="B1445" s="1" t="n">
        <v>44864</v>
      </c>
      <c r="C1445" s="1" t="n">
        <v>45472</v>
      </c>
      <c r="D1445" t="inlineStr">
        <is>
          <t>VÄSTERBOTTENS LÄN</t>
        </is>
      </c>
      <c r="E1445" t="inlineStr">
        <is>
          <t>SKELLEFTEÅ</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49875-2022</t>
        </is>
      </c>
      <c r="B1446" s="1" t="n">
        <v>44864</v>
      </c>
      <c r="C1446" s="1" t="n">
        <v>45472</v>
      </c>
      <c r="D1446" t="inlineStr">
        <is>
          <t>VÄSTERBOTTENS LÄN</t>
        </is>
      </c>
      <c r="E1446" t="inlineStr">
        <is>
          <t>SKELLEFTEÅ</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49906-2022</t>
        </is>
      </c>
      <c r="B1447" s="1" t="n">
        <v>44864</v>
      </c>
      <c r="C1447" s="1" t="n">
        <v>45472</v>
      </c>
      <c r="D1447" t="inlineStr">
        <is>
          <t>VÄSTERBOTTENS LÄN</t>
        </is>
      </c>
      <c r="E1447" t="inlineStr">
        <is>
          <t>SKELLEFTEÅ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49908-2022</t>
        </is>
      </c>
      <c r="B1448" s="1" t="n">
        <v>44864</v>
      </c>
      <c r="C1448" s="1" t="n">
        <v>45472</v>
      </c>
      <c r="D1448" t="inlineStr">
        <is>
          <t>VÄSTERBOTTENS LÄN</t>
        </is>
      </c>
      <c r="E1448" t="inlineStr">
        <is>
          <t>SKELLEFTEÅ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49905-2022</t>
        </is>
      </c>
      <c r="B1449" s="1" t="n">
        <v>44864</v>
      </c>
      <c r="C1449" s="1" t="n">
        <v>45472</v>
      </c>
      <c r="D1449" t="inlineStr">
        <is>
          <t>VÄSTERBOTTENS LÄN</t>
        </is>
      </c>
      <c r="E1449" t="inlineStr">
        <is>
          <t>SKELLEFTEÅ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49907-2022</t>
        </is>
      </c>
      <c r="B1450" s="1" t="n">
        <v>44864</v>
      </c>
      <c r="C1450" s="1" t="n">
        <v>45472</v>
      </c>
      <c r="D1450" t="inlineStr">
        <is>
          <t>VÄSTERBOTTENS LÄN</t>
        </is>
      </c>
      <c r="E1450" t="inlineStr">
        <is>
          <t>SKELLEFTEÅ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50055-2022</t>
        </is>
      </c>
      <c r="B1451" s="1" t="n">
        <v>44865</v>
      </c>
      <c r="C1451" s="1" t="n">
        <v>45472</v>
      </c>
      <c r="D1451" t="inlineStr">
        <is>
          <t>VÄSTERBOTTENS LÄN</t>
        </is>
      </c>
      <c r="E1451" t="inlineStr">
        <is>
          <t>SKELLEFTEÅ</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49961-2022</t>
        </is>
      </c>
      <c r="B1452" s="1" t="n">
        <v>44865</v>
      </c>
      <c r="C1452" s="1" t="n">
        <v>45472</v>
      </c>
      <c r="D1452" t="inlineStr">
        <is>
          <t>VÄSTERBOTTENS LÄN</t>
        </is>
      </c>
      <c r="E1452" t="inlineStr">
        <is>
          <t>SKELLEFTEÅ</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50371-2022</t>
        </is>
      </c>
      <c r="B1453" s="1" t="n">
        <v>44866</v>
      </c>
      <c r="C1453" s="1" t="n">
        <v>45472</v>
      </c>
      <c r="D1453" t="inlineStr">
        <is>
          <t>VÄSTERBOTTENS LÄN</t>
        </is>
      </c>
      <c r="E1453" t="inlineStr">
        <is>
          <t>SKELLEFTEÅ</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50366-2022</t>
        </is>
      </c>
      <c r="B1454" s="1" t="n">
        <v>44866</v>
      </c>
      <c r="C1454" s="1" t="n">
        <v>45472</v>
      </c>
      <c r="D1454" t="inlineStr">
        <is>
          <t>VÄSTERBOTTENS LÄN</t>
        </is>
      </c>
      <c r="E1454" t="inlineStr">
        <is>
          <t>SKELLEFTEÅ</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50529-2022</t>
        </is>
      </c>
      <c r="B1455" s="1" t="n">
        <v>44866</v>
      </c>
      <c r="C1455" s="1" t="n">
        <v>45472</v>
      </c>
      <c r="D1455" t="inlineStr">
        <is>
          <t>VÄSTERBOTTENS LÄN</t>
        </is>
      </c>
      <c r="E1455" t="inlineStr">
        <is>
          <t>SKELLEFTEÅ</t>
        </is>
      </c>
      <c r="F1455" t="inlineStr">
        <is>
          <t>Holmen skog AB</t>
        </is>
      </c>
      <c r="G1455" t="n">
        <v>20.7</v>
      </c>
      <c r="H1455" t="n">
        <v>0</v>
      </c>
      <c r="I1455" t="n">
        <v>0</v>
      </c>
      <c r="J1455" t="n">
        <v>0</v>
      </c>
      <c r="K1455" t="n">
        <v>0</v>
      </c>
      <c r="L1455" t="n">
        <v>0</v>
      </c>
      <c r="M1455" t="n">
        <v>0</v>
      </c>
      <c r="N1455" t="n">
        <v>0</v>
      </c>
      <c r="O1455" t="n">
        <v>0</v>
      </c>
      <c r="P1455" t="n">
        <v>0</v>
      </c>
      <c r="Q1455" t="n">
        <v>0</v>
      </c>
      <c r="R1455" s="2" t="inlineStr"/>
    </row>
    <row r="1456" ht="15" customHeight="1">
      <c r="A1456" t="inlineStr">
        <is>
          <t>A 50409-2022</t>
        </is>
      </c>
      <c r="B1456" s="1" t="n">
        <v>44866</v>
      </c>
      <c r="C1456" s="1" t="n">
        <v>45472</v>
      </c>
      <c r="D1456" t="inlineStr">
        <is>
          <t>VÄSTERBOTTENS LÄN</t>
        </is>
      </c>
      <c r="E1456" t="inlineStr">
        <is>
          <t>SKELLEFTEÅ</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50538-2022</t>
        </is>
      </c>
      <c r="B1457" s="1" t="n">
        <v>44866</v>
      </c>
      <c r="C1457" s="1" t="n">
        <v>45472</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50549-2022</t>
        </is>
      </c>
      <c r="B1458" s="1" t="n">
        <v>44866</v>
      </c>
      <c r="C1458" s="1" t="n">
        <v>45472</v>
      </c>
      <c r="D1458" t="inlineStr">
        <is>
          <t>VÄSTERBOTTENS LÄN</t>
        </is>
      </c>
      <c r="E1458" t="inlineStr">
        <is>
          <t>SKELLEFTEÅ</t>
        </is>
      </c>
      <c r="F1458" t="inlineStr">
        <is>
          <t>Kommuner</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50531-2022</t>
        </is>
      </c>
      <c r="B1459" s="1" t="n">
        <v>44866</v>
      </c>
      <c r="C1459" s="1" t="n">
        <v>45472</v>
      </c>
      <c r="D1459" t="inlineStr">
        <is>
          <t>VÄSTERBOTTENS LÄN</t>
        </is>
      </c>
      <c r="E1459" t="inlineStr">
        <is>
          <t>SKELLEFTEÅ</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50554-2022</t>
        </is>
      </c>
      <c r="B1460" s="1" t="n">
        <v>44866</v>
      </c>
      <c r="C1460" s="1" t="n">
        <v>45472</v>
      </c>
      <c r="D1460" t="inlineStr">
        <is>
          <t>VÄSTERBOTTENS LÄN</t>
        </is>
      </c>
      <c r="E1460" t="inlineStr">
        <is>
          <t>SKELLEFTEÅ</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50872-2022</t>
        </is>
      </c>
      <c r="B1461" s="1" t="n">
        <v>44867</v>
      </c>
      <c r="C1461" s="1" t="n">
        <v>45472</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50838-2022</t>
        </is>
      </c>
      <c r="B1462" s="1" t="n">
        <v>44867</v>
      </c>
      <c r="C1462" s="1" t="n">
        <v>45472</v>
      </c>
      <c r="D1462" t="inlineStr">
        <is>
          <t>VÄSTERBOTTENS LÄN</t>
        </is>
      </c>
      <c r="E1462" t="inlineStr">
        <is>
          <t>SKELLEFTEÅ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51811-2022</t>
        </is>
      </c>
      <c r="B1463" s="1" t="n">
        <v>44867</v>
      </c>
      <c r="C1463" s="1" t="n">
        <v>45472</v>
      </c>
      <c r="D1463" t="inlineStr">
        <is>
          <t>VÄSTERBOTTENS LÄN</t>
        </is>
      </c>
      <c r="E1463" t="inlineStr">
        <is>
          <t>SKELLEFTEÅ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51222-2022</t>
        </is>
      </c>
      <c r="B1464" s="1" t="n">
        <v>44868</v>
      </c>
      <c r="C1464" s="1" t="n">
        <v>45472</v>
      </c>
      <c r="D1464" t="inlineStr">
        <is>
          <t>VÄSTERBOTTENS LÄN</t>
        </is>
      </c>
      <c r="E1464" t="inlineStr">
        <is>
          <t>SKELLEFTEÅ</t>
        </is>
      </c>
      <c r="F1464" t="inlineStr">
        <is>
          <t>Holmen skog AB</t>
        </is>
      </c>
      <c r="G1464" t="n">
        <v>16.4</v>
      </c>
      <c r="H1464" t="n">
        <v>0</v>
      </c>
      <c r="I1464" t="n">
        <v>0</v>
      </c>
      <c r="J1464" t="n">
        <v>0</v>
      </c>
      <c r="K1464" t="n">
        <v>0</v>
      </c>
      <c r="L1464" t="n">
        <v>0</v>
      </c>
      <c r="M1464" t="n">
        <v>0</v>
      </c>
      <c r="N1464" t="n">
        <v>0</v>
      </c>
      <c r="O1464" t="n">
        <v>0</v>
      </c>
      <c r="P1464" t="n">
        <v>0</v>
      </c>
      <c r="Q1464" t="n">
        <v>0</v>
      </c>
      <c r="R1464" s="2" t="inlineStr"/>
    </row>
    <row r="1465" ht="15" customHeight="1">
      <c r="A1465" t="inlineStr">
        <is>
          <t>A 51160-2022</t>
        </is>
      </c>
      <c r="B1465" s="1" t="n">
        <v>44868</v>
      </c>
      <c r="C1465" s="1" t="n">
        <v>45472</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51240-2022</t>
        </is>
      </c>
      <c r="B1466" s="1" t="n">
        <v>44868</v>
      </c>
      <c r="C1466" s="1" t="n">
        <v>45472</v>
      </c>
      <c r="D1466" t="inlineStr">
        <is>
          <t>VÄSTERBOTTENS LÄN</t>
        </is>
      </c>
      <c r="E1466" t="inlineStr">
        <is>
          <t>SKELLEFTEÅ</t>
        </is>
      </c>
      <c r="F1466" t="inlineStr">
        <is>
          <t>Holmen skog AB</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52129-2022</t>
        </is>
      </c>
      <c r="B1467" s="1" t="n">
        <v>44868</v>
      </c>
      <c r="C1467" s="1" t="n">
        <v>45472</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52141-2022</t>
        </is>
      </c>
      <c r="B1468" s="1" t="n">
        <v>44868</v>
      </c>
      <c r="C1468" s="1" t="n">
        <v>45472</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52148-2022</t>
        </is>
      </c>
      <c r="B1469" s="1" t="n">
        <v>44868</v>
      </c>
      <c r="C1469" s="1" t="n">
        <v>45472</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52135-2022</t>
        </is>
      </c>
      <c r="B1470" s="1" t="n">
        <v>44868</v>
      </c>
      <c r="C1470" s="1" t="n">
        <v>45472</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51486-2022</t>
        </is>
      </c>
      <c r="B1471" s="1" t="n">
        <v>44869</v>
      </c>
      <c r="C1471" s="1" t="n">
        <v>45472</v>
      </c>
      <c r="D1471" t="inlineStr">
        <is>
          <t>VÄSTERBOTTENS LÄN</t>
        </is>
      </c>
      <c r="E1471" t="inlineStr">
        <is>
          <t>SKELLEFTEÅ</t>
        </is>
      </c>
      <c r="F1471" t="inlineStr">
        <is>
          <t>Holmen skog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51427-2022</t>
        </is>
      </c>
      <c r="B1472" s="1" t="n">
        <v>44869</v>
      </c>
      <c r="C1472" s="1" t="n">
        <v>45472</v>
      </c>
      <c r="D1472" t="inlineStr">
        <is>
          <t>VÄSTERBOTTENS LÄN</t>
        </is>
      </c>
      <c r="E1472" t="inlineStr">
        <is>
          <t>SKELLEFTEÅ</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51438-2022</t>
        </is>
      </c>
      <c r="B1473" s="1" t="n">
        <v>44869</v>
      </c>
      <c r="C1473" s="1" t="n">
        <v>45472</v>
      </c>
      <c r="D1473" t="inlineStr">
        <is>
          <t>VÄSTERBOTTENS LÄN</t>
        </is>
      </c>
      <c r="E1473" t="inlineStr">
        <is>
          <t>SKELLEFTEÅ</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52482-2022</t>
        </is>
      </c>
      <c r="B1474" s="1" t="n">
        <v>44869</v>
      </c>
      <c r="C1474" s="1" t="n">
        <v>45472</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52500-2022</t>
        </is>
      </c>
      <c r="B1475" s="1" t="n">
        <v>44869</v>
      </c>
      <c r="C1475" s="1" t="n">
        <v>45472</v>
      </c>
      <c r="D1475" t="inlineStr">
        <is>
          <t>VÄSTERBOTTENS LÄN</t>
        </is>
      </c>
      <c r="E1475" t="inlineStr">
        <is>
          <t>SKELLEFTEÅ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52475-2022</t>
        </is>
      </c>
      <c r="B1476" s="1" t="n">
        <v>44869</v>
      </c>
      <c r="C1476" s="1" t="n">
        <v>45472</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52497-2022</t>
        </is>
      </c>
      <c r="B1477" s="1" t="n">
        <v>44869</v>
      </c>
      <c r="C1477" s="1" t="n">
        <v>45472</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52459-2022</t>
        </is>
      </c>
      <c r="B1478" s="1" t="n">
        <v>44869</v>
      </c>
      <c r="C1478" s="1" t="n">
        <v>45472</v>
      </c>
      <c r="D1478" t="inlineStr">
        <is>
          <t>VÄSTERBOTTENS LÄN</t>
        </is>
      </c>
      <c r="E1478" t="inlineStr">
        <is>
          <t>SKELLEFTEÅ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52492-2022</t>
        </is>
      </c>
      <c r="B1479" s="1" t="n">
        <v>44869</v>
      </c>
      <c r="C1479" s="1" t="n">
        <v>45472</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52488-2022</t>
        </is>
      </c>
      <c r="B1480" s="1" t="n">
        <v>44869</v>
      </c>
      <c r="C1480" s="1" t="n">
        <v>45472</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51919-2022</t>
        </is>
      </c>
      <c r="B1481" s="1" t="n">
        <v>44872</v>
      </c>
      <c r="C1481" s="1" t="n">
        <v>45472</v>
      </c>
      <c r="D1481" t="inlineStr">
        <is>
          <t>VÄSTERBOTTENS LÄN</t>
        </is>
      </c>
      <c r="E1481" t="inlineStr">
        <is>
          <t>SKELLEFTEÅ</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51951-2022</t>
        </is>
      </c>
      <c r="B1482" s="1" t="n">
        <v>44872</v>
      </c>
      <c r="C1482" s="1" t="n">
        <v>45472</v>
      </c>
      <c r="D1482" t="inlineStr">
        <is>
          <t>VÄSTERBOTTENS LÄN</t>
        </is>
      </c>
      <c r="E1482" t="inlineStr">
        <is>
          <t>SKELLEFTEÅ</t>
        </is>
      </c>
      <c r="F1482" t="inlineStr">
        <is>
          <t>Holmen skog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52009-2022</t>
        </is>
      </c>
      <c r="B1483" s="1" t="n">
        <v>44872</v>
      </c>
      <c r="C1483" s="1" t="n">
        <v>45472</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51982-2022</t>
        </is>
      </c>
      <c r="B1484" s="1" t="n">
        <v>44872</v>
      </c>
      <c r="C1484" s="1" t="n">
        <v>45472</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51874-2022</t>
        </is>
      </c>
      <c r="B1485" s="1" t="n">
        <v>44872</v>
      </c>
      <c r="C1485" s="1" t="n">
        <v>45472</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52864-2022</t>
        </is>
      </c>
      <c r="B1486" s="1" t="n">
        <v>44872</v>
      </c>
      <c r="C1486" s="1" t="n">
        <v>45472</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52003-2022</t>
        </is>
      </c>
      <c r="B1487" s="1" t="n">
        <v>44872</v>
      </c>
      <c r="C1487" s="1" t="n">
        <v>45472</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52817-2022</t>
        </is>
      </c>
      <c r="B1488" s="1" t="n">
        <v>44872</v>
      </c>
      <c r="C1488" s="1" t="n">
        <v>45472</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53753-2022</t>
        </is>
      </c>
      <c r="B1489" s="1" t="n">
        <v>44872</v>
      </c>
      <c r="C1489" s="1" t="n">
        <v>45472</v>
      </c>
      <c r="D1489" t="inlineStr">
        <is>
          <t>VÄSTERBOTTENS LÄN</t>
        </is>
      </c>
      <c r="E1489" t="inlineStr">
        <is>
          <t>SKELLEFTEÅ</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52871-2022</t>
        </is>
      </c>
      <c r="B1490" s="1" t="n">
        <v>44872</v>
      </c>
      <c r="C1490" s="1" t="n">
        <v>45472</v>
      </c>
      <c r="D1490" t="inlineStr">
        <is>
          <t>VÄSTERBOTTENS LÄN</t>
        </is>
      </c>
      <c r="E1490" t="inlineStr">
        <is>
          <t>SKELLEFTEÅ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53743-2022</t>
        </is>
      </c>
      <c r="B1491" s="1" t="n">
        <v>44872</v>
      </c>
      <c r="C1491" s="1" t="n">
        <v>45472</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52855-2022</t>
        </is>
      </c>
      <c r="B1492" s="1" t="n">
        <v>44872</v>
      </c>
      <c r="C1492" s="1" t="n">
        <v>45472</v>
      </c>
      <c r="D1492" t="inlineStr">
        <is>
          <t>VÄSTERBOTTENS LÄN</t>
        </is>
      </c>
      <c r="E1492" t="inlineStr">
        <is>
          <t>SKELLEFTEÅ</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52043-2022</t>
        </is>
      </c>
      <c r="B1493" s="1" t="n">
        <v>44873</v>
      </c>
      <c r="C1493" s="1" t="n">
        <v>45472</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52589-2022</t>
        </is>
      </c>
      <c r="B1494" s="1" t="n">
        <v>44874</v>
      </c>
      <c r="C1494" s="1" t="n">
        <v>45472</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52548-2022</t>
        </is>
      </c>
      <c r="B1495" s="1" t="n">
        <v>44874</v>
      </c>
      <c r="C1495" s="1" t="n">
        <v>45472</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52555-2022</t>
        </is>
      </c>
      <c r="B1496" s="1" t="n">
        <v>44874</v>
      </c>
      <c r="C1496" s="1" t="n">
        <v>45472</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52835-2022</t>
        </is>
      </c>
      <c r="B1497" s="1" t="n">
        <v>44875</v>
      </c>
      <c r="C1497" s="1" t="n">
        <v>45472</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52869-2022</t>
        </is>
      </c>
      <c r="B1498" s="1" t="n">
        <v>44875</v>
      </c>
      <c r="C1498" s="1" t="n">
        <v>45472</v>
      </c>
      <c r="D1498" t="inlineStr">
        <is>
          <t>VÄSTERBOTTENS LÄN</t>
        </is>
      </c>
      <c r="E1498" t="inlineStr">
        <is>
          <t>SKELLEFTEÅ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52986-2022</t>
        </is>
      </c>
      <c r="B1499" s="1" t="n">
        <v>44875</v>
      </c>
      <c r="C1499" s="1" t="n">
        <v>45472</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52988-2022</t>
        </is>
      </c>
      <c r="B1500" s="1" t="n">
        <v>44875</v>
      </c>
      <c r="C1500" s="1" t="n">
        <v>45472</v>
      </c>
      <c r="D1500" t="inlineStr">
        <is>
          <t>VÄSTERBOTTENS LÄN</t>
        </is>
      </c>
      <c r="E1500" t="inlineStr">
        <is>
          <t>SKELLEFTEÅ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53033-2022</t>
        </is>
      </c>
      <c r="B1501" s="1" t="n">
        <v>44876</v>
      </c>
      <c r="C1501" s="1" t="n">
        <v>45472</v>
      </c>
      <c r="D1501" t="inlineStr">
        <is>
          <t>VÄSTERBOTTENS LÄN</t>
        </is>
      </c>
      <c r="E1501" t="inlineStr">
        <is>
          <t>SKELLEFTEÅ</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53075-2022</t>
        </is>
      </c>
      <c r="B1502" s="1" t="n">
        <v>44876</v>
      </c>
      <c r="C1502" s="1" t="n">
        <v>45472</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53089-2022</t>
        </is>
      </c>
      <c r="B1503" s="1" t="n">
        <v>44876</v>
      </c>
      <c r="C1503" s="1" t="n">
        <v>45472</v>
      </c>
      <c r="D1503" t="inlineStr">
        <is>
          <t>VÄSTERBOTTENS LÄN</t>
        </is>
      </c>
      <c r="E1503" t="inlineStr">
        <is>
          <t>SKELLEFTEÅ</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53092-2022</t>
        </is>
      </c>
      <c r="B1504" s="1" t="n">
        <v>44876</v>
      </c>
      <c r="C1504" s="1" t="n">
        <v>45472</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53083-2022</t>
        </is>
      </c>
      <c r="B1505" s="1" t="n">
        <v>44876</v>
      </c>
      <c r="C1505" s="1" t="n">
        <v>45472</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53639-2022</t>
        </is>
      </c>
      <c r="B1506" s="1" t="n">
        <v>44879</v>
      </c>
      <c r="C1506" s="1" t="n">
        <v>45472</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53646-2022</t>
        </is>
      </c>
      <c r="B1507" s="1" t="n">
        <v>44879</v>
      </c>
      <c r="C1507" s="1" t="n">
        <v>45472</v>
      </c>
      <c r="D1507" t="inlineStr">
        <is>
          <t>VÄSTERBOTTENS LÄN</t>
        </is>
      </c>
      <c r="E1507" t="inlineStr">
        <is>
          <t>SKELLEFTEÅ</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53642-2022</t>
        </is>
      </c>
      <c r="B1508" s="1" t="n">
        <v>44879</v>
      </c>
      <c r="C1508" s="1" t="n">
        <v>45472</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53641-2022</t>
        </is>
      </c>
      <c r="B1509" s="1" t="n">
        <v>44879</v>
      </c>
      <c r="C1509" s="1" t="n">
        <v>45472</v>
      </c>
      <c r="D1509" t="inlineStr">
        <is>
          <t>VÄSTERBOTTENS LÄN</t>
        </is>
      </c>
      <c r="E1509" t="inlineStr">
        <is>
          <t>SKELLEFTEÅ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54316-2022</t>
        </is>
      </c>
      <c r="B1510" s="1" t="n">
        <v>44879</v>
      </c>
      <c r="C1510" s="1" t="n">
        <v>45472</v>
      </c>
      <c r="D1510" t="inlineStr">
        <is>
          <t>VÄSTERBOTTENS LÄN</t>
        </is>
      </c>
      <c r="E1510" t="inlineStr">
        <is>
          <t>SKELLEFTEÅ</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54438-2022</t>
        </is>
      </c>
      <c r="B1511" s="1" t="n">
        <v>44880</v>
      </c>
      <c r="C1511" s="1" t="n">
        <v>45472</v>
      </c>
      <c r="D1511" t="inlineStr">
        <is>
          <t>VÄSTERBOTTENS LÄN</t>
        </is>
      </c>
      <c r="E1511" t="inlineStr">
        <is>
          <t>SKELLEFTEÅ</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53903-2022</t>
        </is>
      </c>
      <c r="B1512" s="1" t="n">
        <v>44880</v>
      </c>
      <c r="C1512" s="1" t="n">
        <v>45472</v>
      </c>
      <c r="D1512" t="inlineStr">
        <is>
          <t>VÄSTERBOTTENS LÄN</t>
        </is>
      </c>
      <c r="E1512" t="inlineStr">
        <is>
          <t>SKELLEFTEÅ</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54456-2022</t>
        </is>
      </c>
      <c r="B1513" s="1" t="n">
        <v>44880</v>
      </c>
      <c r="C1513" s="1" t="n">
        <v>45472</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54081-2022</t>
        </is>
      </c>
      <c r="B1514" s="1" t="n">
        <v>44881</v>
      </c>
      <c r="C1514" s="1" t="n">
        <v>45472</v>
      </c>
      <c r="D1514" t="inlineStr">
        <is>
          <t>VÄSTERBOTTENS LÄN</t>
        </is>
      </c>
      <c r="E1514" t="inlineStr">
        <is>
          <t>SKELLEFTEÅ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54825-2022</t>
        </is>
      </c>
      <c r="B1515" s="1" t="n">
        <v>44883</v>
      </c>
      <c r="C1515" s="1" t="n">
        <v>45472</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54635-2022</t>
        </is>
      </c>
      <c r="B1516" s="1" t="n">
        <v>44883</v>
      </c>
      <c r="C1516" s="1" t="n">
        <v>45472</v>
      </c>
      <c r="D1516" t="inlineStr">
        <is>
          <t>VÄSTERBOTTENS LÄN</t>
        </is>
      </c>
      <c r="E1516" t="inlineStr">
        <is>
          <t>SKELLEFTEÅ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55018-2022</t>
        </is>
      </c>
      <c r="B1517" s="1" t="n">
        <v>44886</v>
      </c>
      <c r="C1517" s="1" t="n">
        <v>45472</v>
      </c>
      <c r="D1517" t="inlineStr">
        <is>
          <t>VÄSTERBOTTENS LÄN</t>
        </is>
      </c>
      <c r="E1517" t="inlineStr">
        <is>
          <t>SKELLEFTEÅ</t>
        </is>
      </c>
      <c r="F1517" t="inlineStr">
        <is>
          <t>Holmen skog AB</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55063-2022</t>
        </is>
      </c>
      <c r="B1518" s="1" t="n">
        <v>44886</v>
      </c>
      <c r="C1518" s="1" t="n">
        <v>45472</v>
      </c>
      <c r="D1518" t="inlineStr">
        <is>
          <t>VÄSTERBOTTENS LÄN</t>
        </is>
      </c>
      <c r="E1518" t="inlineStr">
        <is>
          <t>SKELLEFTEÅ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55037-2022</t>
        </is>
      </c>
      <c r="B1519" s="1" t="n">
        <v>44886</v>
      </c>
      <c r="C1519" s="1" t="n">
        <v>45472</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55176-2022</t>
        </is>
      </c>
      <c r="B1520" s="1" t="n">
        <v>44886</v>
      </c>
      <c r="C1520" s="1" t="n">
        <v>45472</v>
      </c>
      <c r="D1520" t="inlineStr">
        <is>
          <t>VÄSTERBOTTENS LÄN</t>
        </is>
      </c>
      <c r="E1520" t="inlineStr">
        <is>
          <t>SKELLEFTEÅ</t>
        </is>
      </c>
      <c r="F1520" t="inlineStr">
        <is>
          <t>Sveaskog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56313-2022</t>
        </is>
      </c>
      <c r="B1521" s="1" t="n">
        <v>44887</v>
      </c>
      <c r="C1521" s="1" t="n">
        <v>45472</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56299-2022</t>
        </is>
      </c>
      <c r="B1522" s="1" t="n">
        <v>44887</v>
      </c>
      <c r="C1522" s="1" t="n">
        <v>45472</v>
      </c>
      <c r="D1522" t="inlineStr">
        <is>
          <t>VÄSTERBOTTENS LÄN</t>
        </is>
      </c>
      <c r="E1522" t="inlineStr">
        <is>
          <t>SKELLEFTEÅ</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55611-2022</t>
        </is>
      </c>
      <c r="B1523" s="1" t="n">
        <v>44888</v>
      </c>
      <c r="C1523" s="1" t="n">
        <v>45472</v>
      </c>
      <c r="D1523" t="inlineStr">
        <is>
          <t>VÄSTERBOTTENS LÄN</t>
        </is>
      </c>
      <c r="E1523" t="inlineStr">
        <is>
          <t>SKELLEFTEÅ</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55584-2022</t>
        </is>
      </c>
      <c r="B1524" s="1" t="n">
        <v>44888</v>
      </c>
      <c r="C1524" s="1" t="n">
        <v>45472</v>
      </c>
      <c r="D1524" t="inlineStr">
        <is>
          <t>VÄSTERBOTTENS LÄN</t>
        </is>
      </c>
      <c r="E1524" t="inlineStr">
        <is>
          <t>SKELLEFTEÅ</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55603-2022</t>
        </is>
      </c>
      <c r="B1525" s="1" t="n">
        <v>44888</v>
      </c>
      <c r="C1525" s="1" t="n">
        <v>45472</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55623-2022</t>
        </is>
      </c>
      <c r="B1526" s="1" t="n">
        <v>44888</v>
      </c>
      <c r="C1526" s="1" t="n">
        <v>45472</v>
      </c>
      <c r="D1526" t="inlineStr">
        <is>
          <t>VÄSTERBOTTENS LÄN</t>
        </is>
      </c>
      <c r="E1526" t="inlineStr">
        <is>
          <t>SKELLEFTEÅ</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55815-2022</t>
        </is>
      </c>
      <c r="B1527" s="1" t="n">
        <v>44888</v>
      </c>
      <c r="C1527" s="1" t="n">
        <v>45472</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55827-2022</t>
        </is>
      </c>
      <c r="B1528" s="1" t="n">
        <v>44888</v>
      </c>
      <c r="C1528" s="1" t="n">
        <v>45472</v>
      </c>
      <c r="D1528" t="inlineStr">
        <is>
          <t>VÄSTERBOTTENS LÄN</t>
        </is>
      </c>
      <c r="E1528" t="inlineStr">
        <is>
          <t>SKELLEFTEÅ</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56824-2022</t>
        </is>
      </c>
      <c r="B1529" s="1" t="n">
        <v>44888</v>
      </c>
      <c r="C1529" s="1" t="n">
        <v>45472</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56031-2022</t>
        </is>
      </c>
      <c r="B1530" s="1" t="n">
        <v>44889</v>
      </c>
      <c r="C1530" s="1" t="n">
        <v>45472</v>
      </c>
      <c r="D1530" t="inlineStr">
        <is>
          <t>VÄSTERBOTTENS LÄN</t>
        </is>
      </c>
      <c r="E1530" t="inlineStr">
        <is>
          <t>SKELLEFTEÅ</t>
        </is>
      </c>
      <c r="F1530" t="inlineStr">
        <is>
          <t>Sveaskog</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55982-2022</t>
        </is>
      </c>
      <c r="B1531" s="1" t="n">
        <v>44889</v>
      </c>
      <c r="C1531" s="1" t="n">
        <v>45472</v>
      </c>
      <c r="D1531" t="inlineStr">
        <is>
          <t>VÄSTERBOTTENS LÄN</t>
        </is>
      </c>
      <c r="E1531" t="inlineStr">
        <is>
          <t>SKELLEFTEÅ</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55999-2022</t>
        </is>
      </c>
      <c r="B1532" s="1" t="n">
        <v>44889</v>
      </c>
      <c r="C1532" s="1" t="n">
        <v>45472</v>
      </c>
      <c r="D1532" t="inlineStr">
        <is>
          <t>VÄSTERBOTTENS LÄN</t>
        </is>
      </c>
      <c r="E1532" t="inlineStr">
        <is>
          <t>SKELLEFTEÅ</t>
        </is>
      </c>
      <c r="F1532" t="inlineStr">
        <is>
          <t>Holmen skog AB</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56072-2022</t>
        </is>
      </c>
      <c r="B1533" s="1" t="n">
        <v>44889</v>
      </c>
      <c r="C1533" s="1" t="n">
        <v>45472</v>
      </c>
      <c r="D1533" t="inlineStr">
        <is>
          <t>VÄSTERBOTTENS LÄN</t>
        </is>
      </c>
      <c r="E1533" t="inlineStr">
        <is>
          <t>SKELLEFTEÅ</t>
        </is>
      </c>
      <c r="F1533" t="inlineStr">
        <is>
          <t>Holmen skog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56141-2022</t>
        </is>
      </c>
      <c r="B1534" s="1" t="n">
        <v>44889</v>
      </c>
      <c r="C1534" s="1" t="n">
        <v>45472</v>
      </c>
      <c r="D1534" t="inlineStr">
        <is>
          <t>VÄSTERBOTTENS LÄN</t>
        </is>
      </c>
      <c r="E1534" t="inlineStr">
        <is>
          <t>SKELLEFTEÅ</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56155-2022</t>
        </is>
      </c>
      <c r="B1535" s="1" t="n">
        <v>44889</v>
      </c>
      <c r="C1535" s="1" t="n">
        <v>45472</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56113-2022</t>
        </is>
      </c>
      <c r="B1536" s="1" t="n">
        <v>44889</v>
      </c>
      <c r="C1536" s="1" t="n">
        <v>45472</v>
      </c>
      <c r="D1536" t="inlineStr">
        <is>
          <t>VÄSTERBOTTENS LÄN</t>
        </is>
      </c>
      <c r="E1536" t="inlineStr">
        <is>
          <t>SKELLEFTEÅ</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56156-2022</t>
        </is>
      </c>
      <c r="B1537" s="1" t="n">
        <v>44889</v>
      </c>
      <c r="C1537" s="1" t="n">
        <v>45472</v>
      </c>
      <c r="D1537" t="inlineStr">
        <is>
          <t>VÄSTERBOTTENS LÄN</t>
        </is>
      </c>
      <c r="E1537" t="inlineStr">
        <is>
          <t>SKELLEFTEÅ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57405-2022</t>
        </is>
      </c>
      <c r="B1538" s="1" t="n">
        <v>44889</v>
      </c>
      <c r="C1538" s="1" t="n">
        <v>45472</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57432-2022</t>
        </is>
      </c>
      <c r="B1539" s="1" t="n">
        <v>44889</v>
      </c>
      <c r="C1539" s="1" t="n">
        <v>45472</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56284-2022</t>
        </is>
      </c>
      <c r="B1540" s="1" t="n">
        <v>44890</v>
      </c>
      <c r="C1540" s="1" t="n">
        <v>45472</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56394-2022</t>
        </is>
      </c>
      <c r="B1541" s="1" t="n">
        <v>44890</v>
      </c>
      <c r="C1541" s="1" t="n">
        <v>45472</v>
      </c>
      <c r="D1541" t="inlineStr">
        <is>
          <t>VÄSTERBOTTENS LÄN</t>
        </is>
      </c>
      <c r="E1541" t="inlineStr">
        <is>
          <t>SKELLEFTEÅ</t>
        </is>
      </c>
      <c r="F1541" t="inlineStr">
        <is>
          <t>Sveaskog</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56435-2022</t>
        </is>
      </c>
      <c r="B1542" s="1" t="n">
        <v>44892</v>
      </c>
      <c r="C1542" s="1" t="n">
        <v>45472</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56503-2022</t>
        </is>
      </c>
      <c r="B1543" s="1" t="n">
        <v>44893</v>
      </c>
      <c r="C1543" s="1" t="n">
        <v>45472</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57406-2022</t>
        </is>
      </c>
      <c r="B1544" s="1" t="n">
        <v>44893</v>
      </c>
      <c r="C1544" s="1" t="n">
        <v>45472</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58114-2022</t>
        </is>
      </c>
      <c r="B1545" s="1" t="n">
        <v>44893</v>
      </c>
      <c r="C1545" s="1" t="n">
        <v>45472</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56993-2022</t>
        </is>
      </c>
      <c r="B1546" s="1" t="n">
        <v>44894</v>
      </c>
      <c r="C1546" s="1" t="n">
        <v>45472</v>
      </c>
      <c r="D1546" t="inlineStr">
        <is>
          <t>VÄSTERBOTTENS LÄN</t>
        </is>
      </c>
      <c r="E1546" t="inlineStr">
        <is>
          <t>SKELLEFTEÅ</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56960-2022</t>
        </is>
      </c>
      <c r="B1547" s="1" t="n">
        <v>44894</v>
      </c>
      <c r="C1547" s="1" t="n">
        <v>45472</v>
      </c>
      <c r="D1547" t="inlineStr">
        <is>
          <t>VÄSTERBOTTENS LÄN</t>
        </is>
      </c>
      <c r="E1547" t="inlineStr">
        <is>
          <t>SKELLEFTEÅ</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56995-2022</t>
        </is>
      </c>
      <c r="B1548" s="1" t="n">
        <v>44894</v>
      </c>
      <c r="C1548" s="1" t="n">
        <v>45472</v>
      </c>
      <c r="D1548" t="inlineStr">
        <is>
          <t>VÄSTERBOTTENS LÄN</t>
        </is>
      </c>
      <c r="E1548" t="inlineStr">
        <is>
          <t>SKELLEFTEÅ</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58250-2022</t>
        </is>
      </c>
      <c r="B1549" s="1" t="n">
        <v>44894</v>
      </c>
      <c r="C1549" s="1" t="n">
        <v>45472</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58634-2022</t>
        </is>
      </c>
      <c r="B1550" s="1" t="n">
        <v>44894</v>
      </c>
      <c r="C1550" s="1" t="n">
        <v>45472</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57059-2022</t>
        </is>
      </c>
      <c r="B1551" s="1" t="n">
        <v>44895</v>
      </c>
      <c r="C1551" s="1" t="n">
        <v>45472</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57103-2022</t>
        </is>
      </c>
      <c r="B1552" s="1" t="n">
        <v>44895</v>
      </c>
      <c r="C1552" s="1" t="n">
        <v>45472</v>
      </c>
      <c r="D1552" t="inlineStr">
        <is>
          <t>VÄSTERBOTTENS LÄN</t>
        </is>
      </c>
      <c r="E1552" t="inlineStr">
        <is>
          <t>SKELLEFTEÅ</t>
        </is>
      </c>
      <c r="F1552" t="inlineStr">
        <is>
          <t>Holmen skog AB</t>
        </is>
      </c>
      <c r="G1552" t="n">
        <v>18.7</v>
      </c>
      <c r="H1552" t="n">
        <v>0</v>
      </c>
      <c r="I1552" t="n">
        <v>0</v>
      </c>
      <c r="J1552" t="n">
        <v>0</v>
      </c>
      <c r="K1552" t="n">
        <v>0</v>
      </c>
      <c r="L1552" t="n">
        <v>0</v>
      </c>
      <c r="M1552" t="n">
        <v>0</v>
      </c>
      <c r="N1552" t="n">
        <v>0</v>
      </c>
      <c r="O1552" t="n">
        <v>0</v>
      </c>
      <c r="P1552" t="n">
        <v>0</v>
      </c>
      <c r="Q1552" t="n">
        <v>0</v>
      </c>
      <c r="R1552" s="2" t="inlineStr"/>
    </row>
    <row r="1553" ht="15" customHeight="1">
      <c r="A1553" t="inlineStr">
        <is>
          <t>A 57057-2022</t>
        </is>
      </c>
      <c r="B1553" s="1" t="n">
        <v>44895</v>
      </c>
      <c r="C1553" s="1" t="n">
        <v>45472</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57054-2022</t>
        </is>
      </c>
      <c r="B1554" s="1" t="n">
        <v>44895</v>
      </c>
      <c r="C1554" s="1" t="n">
        <v>45472</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57152-2022</t>
        </is>
      </c>
      <c r="B1555" s="1" t="n">
        <v>44895</v>
      </c>
      <c r="C1555" s="1" t="n">
        <v>45472</v>
      </c>
      <c r="D1555" t="inlineStr">
        <is>
          <t>VÄSTERBOTTENS LÄN</t>
        </is>
      </c>
      <c r="E1555" t="inlineStr">
        <is>
          <t>SKELLEFTEÅ</t>
        </is>
      </c>
      <c r="F1555" t="inlineStr">
        <is>
          <t>Holmen skog AB</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57187-2022</t>
        </is>
      </c>
      <c r="B1556" s="1" t="n">
        <v>44895</v>
      </c>
      <c r="C1556" s="1" t="n">
        <v>45472</v>
      </c>
      <c r="D1556" t="inlineStr">
        <is>
          <t>VÄSTERBOTTENS LÄN</t>
        </is>
      </c>
      <c r="E1556" t="inlineStr">
        <is>
          <t>SKELLEFTEÅ</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58897-2022</t>
        </is>
      </c>
      <c r="B1557" s="1" t="n">
        <v>44895</v>
      </c>
      <c r="C1557" s="1" t="n">
        <v>45472</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58814-2022</t>
        </is>
      </c>
      <c r="B1558" s="1" t="n">
        <v>44895</v>
      </c>
      <c r="C1558" s="1" t="n">
        <v>45472</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57364-2022</t>
        </is>
      </c>
      <c r="B1559" s="1" t="n">
        <v>44896</v>
      </c>
      <c r="C1559" s="1" t="n">
        <v>45472</v>
      </c>
      <c r="D1559" t="inlineStr">
        <is>
          <t>VÄSTERBOTTENS LÄN</t>
        </is>
      </c>
      <c r="E1559" t="inlineStr">
        <is>
          <t>SKELLEFTEÅ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57417-2022</t>
        </is>
      </c>
      <c r="B1560" s="1" t="n">
        <v>44896</v>
      </c>
      <c r="C1560" s="1" t="n">
        <v>45472</v>
      </c>
      <c r="D1560" t="inlineStr">
        <is>
          <t>VÄSTERBOTTENS LÄN</t>
        </is>
      </c>
      <c r="E1560" t="inlineStr">
        <is>
          <t>SKELLEFTEÅ</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57579-2022</t>
        </is>
      </c>
      <c r="B1561" s="1" t="n">
        <v>44896</v>
      </c>
      <c r="C1561" s="1" t="n">
        <v>45472</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57362-2022</t>
        </is>
      </c>
      <c r="B1562" s="1" t="n">
        <v>44896</v>
      </c>
      <c r="C1562" s="1" t="n">
        <v>45472</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57457-2022</t>
        </is>
      </c>
      <c r="B1563" s="1" t="n">
        <v>44896</v>
      </c>
      <c r="C1563" s="1" t="n">
        <v>45472</v>
      </c>
      <c r="D1563" t="inlineStr">
        <is>
          <t>VÄSTERBOTTENS LÄN</t>
        </is>
      </c>
      <c r="E1563" t="inlineStr">
        <is>
          <t>SKELLEFTEÅ</t>
        </is>
      </c>
      <c r="F1563" t="inlineStr">
        <is>
          <t>Holmen skog AB</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57569-2022</t>
        </is>
      </c>
      <c r="B1564" s="1" t="n">
        <v>44896</v>
      </c>
      <c r="C1564" s="1" t="n">
        <v>45472</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57570-2022</t>
        </is>
      </c>
      <c r="B1565" s="1" t="n">
        <v>44896</v>
      </c>
      <c r="C1565" s="1" t="n">
        <v>45472</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57577-2022</t>
        </is>
      </c>
      <c r="B1566" s="1" t="n">
        <v>44896</v>
      </c>
      <c r="C1566" s="1" t="n">
        <v>45472</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57583-2022</t>
        </is>
      </c>
      <c r="B1567" s="1" t="n">
        <v>44896</v>
      </c>
      <c r="C1567" s="1" t="n">
        <v>45472</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57582-2022</t>
        </is>
      </c>
      <c r="B1568" s="1" t="n">
        <v>44896</v>
      </c>
      <c r="C1568" s="1" t="n">
        <v>45472</v>
      </c>
      <c r="D1568" t="inlineStr">
        <is>
          <t>VÄSTERBOTTENS LÄN</t>
        </is>
      </c>
      <c r="E1568" t="inlineStr">
        <is>
          <t>SKELLEFTEÅ</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57571-2022</t>
        </is>
      </c>
      <c r="B1569" s="1" t="n">
        <v>44896</v>
      </c>
      <c r="C1569" s="1" t="n">
        <v>45472</v>
      </c>
      <c r="D1569" t="inlineStr">
        <is>
          <t>VÄSTERBOTTENS LÄN</t>
        </is>
      </c>
      <c r="E1569" t="inlineStr">
        <is>
          <t>SKELLEFTEÅ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57578-2022</t>
        </is>
      </c>
      <c r="B1570" s="1" t="n">
        <v>44896</v>
      </c>
      <c r="C1570" s="1" t="n">
        <v>45472</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57584-2022</t>
        </is>
      </c>
      <c r="B1571" s="1" t="n">
        <v>44896</v>
      </c>
      <c r="C1571" s="1" t="n">
        <v>45472</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58877-2022</t>
        </is>
      </c>
      <c r="B1572" s="1" t="n">
        <v>44896</v>
      </c>
      <c r="C1572" s="1" t="n">
        <v>45472</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58926-2022</t>
        </is>
      </c>
      <c r="B1573" s="1" t="n">
        <v>44896</v>
      </c>
      <c r="C1573" s="1" t="n">
        <v>45472</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57646-2022</t>
        </is>
      </c>
      <c r="B1574" s="1" t="n">
        <v>44897</v>
      </c>
      <c r="C1574" s="1" t="n">
        <v>45472</v>
      </c>
      <c r="D1574" t="inlineStr">
        <is>
          <t>VÄSTERBOTTENS LÄN</t>
        </is>
      </c>
      <c r="E1574" t="inlineStr">
        <is>
          <t>SKELLEFTEÅ</t>
        </is>
      </c>
      <c r="F1574" t="inlineStr">
        <is>
          <t>Holmen skog AB</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57770-2022</t>
        </is>
      </c>
      <c r="B1575" s="1" t="n">
        <v>44897</v>
      </c>
      <c r="C1575" s="1" t="n">
        <v>45472</v>
      </c>
      <c r="D1575" t="inlineStr">
        <is>
          <t>VÄSTERBOTTENS LÄN</t>
        </is>
      </c>
      <c r="E1575" t="inlineStr">
        <is>
          <t>SKELLEFTEÅ</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57654-2022</t>
        </is>
      </c>
      <c r="B1576" s="1" t="n">
        <v>44897</v>
      </c>
      <c r="C1576" s="1" t="n">
        <v>45472</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57659-2022</t>
        </is>
      </c>
      <c r="B1577" s="1" t="n">
        <v>44897</v>
      </c>
      <c r="C1577" s="1" t="n">
        <v>45472</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59020-2022</t>
        </is>
      </c>
      <c r="B1578" s="1" t="n">
        <v>44897</v>
      </c>
      <c r="C1578" s="1" t="n">
        <v>45472</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57847-2022</t>
        </is>
      </c>
      <c r="B1579" s="1" t="n">
        <v>44898</v>
      </c>
      <c r="C1579" s="1" t="n">
        <v>45472</v>
      </c>
      <c r="D1579" t="inlineStr">
        <is>
          <t>VÄSTERBOTTENS LÄN</t>
        </is>
      </c>
      <c r="E1579" t="inlineStr">
        <is>
          <t>SKELLEFTEÅ</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57849-2022</t>
        </is>
      </c>
      <c r="B1580" s="1" t="n">
        <v>44898</v>
      </c>
      <c r="C1580" s="1" t="n">
        <v>45472</v>
      </c>
      <c r="D1580" t="inlineStr">
        <is>
          <t>VÄSTERBOTTENS LÄN</t>
        </is>
      </c>
      <c r="E1580" t="inlineStr">
        <is>
          <t>SKELLEFTEÅ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57848-2022</t>
        </is>
      </c>
      <c r="B1581" s="1" t="n">
        <v>44898</v>
      </c>
      <c r="C1581" s="1" t="n">
        <v>45472</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57851-2022</t>
        </is>
      </c>
      <c r="B1582" s="1" t="n">
        <v>44898</v>
      </c>
      <c r="C1582" s="1" t="n">
        <v>45472</v>
      </c>
      <c r="D1582" t="inlineStr">
        <is>
          <t>VÄSTERBOTTENS LÄN</t>
        </is>
      </c>
      <c r="E1582" t="inlineStr">
        <is>
          <t>SKELLEFTEÅ</t>
        </is>
      </c>
      <c r="F1582" t="inlineStr">
        <is>
          <t>Holmen skog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57908-2022</t>
        </is>
      </c>
      <c r="B1583" s="1" t="n">
        <v>44900</v>
      </c>
      <c r="C1583" s="1" t="n">
        <v>45472</v>
      </c>
      <c r="D1583" t="inlineStr">
        <is>
          <t>VÄSTERBOTTENS LÄN</t>
        </is>
      </c>
      <c r="E1583" t="inlineStr">
        <is>
          <t>SKELLEFTEÅ</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58053-2022</t>
        </is>
      </c>
      <c r="B1584" s="1" t="n">
        <v>44900</v>
      </c>
      <c r="C1584" s="1" t="n">
        <v>45472</v>
      </c>
      <c r="D1584" t="inlineStr">
        <is>
          <t>VÄSTERBOTTENS LÄN</t>
        </is>
      </c>
      <c r="E1584" t="inlineStr">
        <is>
          <t>SKELLEFTEÅ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57899-2022</t>
        </is>
      </c>
      <c r="B1585" s="1" t="n">
        <v>44900</v>
      </c>
      <c r="C1585" s="1" t="n">
        <v>45472</v>
      </c>
      <c r="D1585" t="inlineStr">
        <is>
          <t>VÄSTERBOTTENS LÄN</t>
        </is>
      </c>
      <c r="E1585" t="inlineStr">
        <is>
          <t>SKELLEFTEÅ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58063-2022</t>
        </is>
      </c>
      <c r="B1586" s="1" t="n">
        <v>44900</v>
      </c>
      <c r="C1586" s="1" t="n">
        <v>45472</v>
      </c>
      <c r="D1586" t="inlineStr">
        <is>
          <t>VÄSTERBOTTENS LÄN</t>
        </is>
      </c>
      <c r="E1586" t="inlineStr">
        <is>
          <t>SKELLEFTEÅ</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59754-2022</t>
        </is>
      </c>
      <c r="B1587" s="1" t="n">
        <v>44900</v>
      </c>
      <c r="C1587" s="1" t="n">
        <v>45472</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58298-2022</t>
        </is>
      </c>
      <c r="B1588" s="1" t="n">
        <v>44901</v>
      </c>
      <c r="C1588" s="1" t="n">
        <v>45472</v>
      </c>
      <c r="D1588" t="inlineStr">
        <is>
          <t>VÄSTERBOTTENS LÄN</t>
        </is>
      </c>
      <c r="E1588" t="inlineStr">
        <is>
          <t>SKELLEFTEÅ</t>
        </is>
      </c>
      <c r="F1588" t="inlineStr">
        <is>
          <t>Sveaskog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58325-2022</t>
        </is>
      </c>
      <c r="B1589" s="1" t="n">
        <v>44901</v>
      </c>
      <c r="C1589" s="1" t="n">
        <v>45472</v>
      </c>
      <c r="D1589" t="inlineStr">
        <is>
          <t>VÄSTERBOTTENS LÄN</t>
        </is>
      </c>
      <c r="E1589" t="inlineStr">
        <is>
          <t>SKELLEFTEÅ</t>
        </is>
      </c>
      <c r="F1589" t="inlineStr">
        <is>
          <t>Sveaskog</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58376-2022</t>
        </is>
      </c>
      <c r="B1590" s="1" t="n">
        <v>44901</v>
      </c>
      <c r="C1590" s="1" t="n">
        <v>45472</v>
      </c>
      <c r="D1590" t="inlineStr">
        <is>
          <t>VÄSTERBOTTENS LÄN</t>
        </is>
      </c>
      <c r="E1590" t="inlineStr">
        <is>
          <t>SKELLEFTEÅ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58429-2022</t>
        </is>
      </c>
      <c r="B1591" s="1" t="n">
        <v>44901</v>
      </c>
      <c r="C1591" s="1" t="n">
        <v>45472</v>
      </c>
      <c r="D1591" t="inlineStr">
        <is>
          <t>VÄSTERBOTTENS LÄN</t>
        </is>
      </c>
      <c r="E1591" t="inlineStr">
        <is>
          <t>SKELLEFTEÅ</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58304-2022</t>
        </is>
      </c>
      <c r="B1592" s="1" t="n">
        <v>44901</v>
      </c>
      <c r="C1592" s="1" t="n">
        <v>45472</v>
      </c>
      <c r="D1592" t="inlineStr">
        <is>
          <t>VÄSTERBOTTENS LÄN</t>
        </is>
      </c>
      <c r="E1592" t="inlineStr">
        <is>
          <t>SKELLEFTEÅ</t>
        </is>
      </c>
      <c r="F1592" t="inlineStr">
        <is>
          <t>Sveaskog</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58197-2022</t>
        </is>
      </c>
      <c r="B1593" s="1" t="n">
        <v>44901</v>
      </c>
      <c r="C1593" s="1" t="n">
        <v>45472</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58295-2022</t>
        </is>
      </c>
      <c r="B1594" s="1" t="n">
        <v>44901</v>
      </c>
      <c r="C1594" s="1" t="n">
        <v>45472</v>
      </c>
      <c r="D1594" t="inlineStr">
        <is>
          <t>VÄSTERBOTTENS LÄN</t>
        </is>
      </c>
      <c r="E1594" t="inlineStr">
        <is>
          <t>SKELLEFTEÅ</t>
        </is>
      </c>
      <c r="F1594" t="inlineStr">
        <is>
          <t>Sveaskog</t>
        </is>
      </c>
      <c r="G1594" t="n">
        <v>18.3</v>
      </c>
      <c r="H1594" t="n">
        <v>0</v>
      </c>
      <c r="I1594" t="n">
        <v>0</v>
      </c>
      <c r="J1594" t="n">
        <v>0</v>
      </c>
      <c r="K1594" t="n">
        <v>0</v>
      </c>
      <c r="L1594" t="n">
        <v>0</v>
      </c>
      <c r="M1594" t="n">
        <v>0</v>
      </c>
      <c r="N1594" t="n">
        <v>0</v>
      </c>
      <c r="O1594" t="n">
        <v>0</v>
      </c>
      <c r="P1594" t="n">
        <v>0</v>
      </c>
      <c r="Q1594" t="n">
        <v>0</v>
      </c>
      <c r="R1594" s="2" t="inlineStr"/>
    </row>
    <row r="1595" ht="15" customHeight="1">
      <c r="A1595" t="inlineStr">
        <is>
          <t>A 58349-2022</t>
        </is>
      </c>
      <c r="B1595" s="1" t="n">
        <v>44901</v>
      </c>
      <c r="C1595" s="1" t="n">
        <v>45472</v>
      </c>
      <c r="D1595" t="inlineStr">
        <is>
          <t>VÄSTERBOTTENS LÄN</t>
        </is>
      </c>
      <c r="E1595" t="inlineStr">
        <is>
          <t>SKELLEFTEÅ</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58464-2022</t>
        </is>
      </c>
      <c r="B1596" s="1" t="n">
        <v>44902</v>
      </c>
      <c r="C1596" s="1" t="n">
        <v>45472</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58572-2022</t>
        </is>
      </c>
      <c r="B1597" s="1" t="n">
        <v>44902</v>
      </c>
      <c r="C1597" s="1" t="n">
        <v>45472</v>
      </c>
      <c r="D1597" t="inlineStr">
        <is>
          <t>VÄSTERBOTTENS LÄN</t>
        </is>
      </c>
      <c r="E1597" t="inlineStr">
        <is>
          <t>SKELLEFTEÅ</t>
        </is>
      </c>
      <c r="F1597" t="inlineStr">
        <is>
          <t>Sveaskog</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58676-2022</t>
        </is>
      </c>
      <c r="B1598" s="1" t="n">
        <v>44902</v>
      </c>
      <c r="C1598" s="1" t="n">
        <v>45472</v>
      </c>
      <c r="D1598" t="inlineStr">
        <is>
          <t>VÄSTERBOTTENS LÄN</t>
        </is>
      </c>
      <c r="E1598" t="inlineStr">
        <is>
          <t>SKELLEFTEÅ</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58803-2022</t>
        </is>
      </c>
      <c r="B1599" s="1" t="n">
        <v>44903</v>
      </c>
      <c r="C1599" s="1" t="n">
        <v>45472</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60237-2022</t>
        </is>
      </c>
      <c r="B1600" s="1" t="n">
        <v>44903</v>
      </c>
      <c r="C1600" s="1" t="n">
        <v>45472</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59067-2022</t>
        </is>
      </c>
      <c r="B1601" s="1" t="n">
        <v>44904</v>
      </c>
      <c r="C1601" s="1" t="n">
        <v>45472</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60558-2022</t>
        </is>
      </c>
      <c r="B1602" s="1" t="n">
        <v>44904</v>
      </c>
      <c r="C1602" s="1" t="n">
        <v>45472</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60356-2022</t>
        </is>
      </c>
      <c r="B1603" s="1" t="n">
        <v>44904</v>
      </c>
      <c r="C1603" s="1" t="n">
        <v>45472</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59531-2022</t>
        </is>
      </c>
      <c r="B1604" s="1" t="n">
        <v>44907</v>
      </c>
      <c r="C1604" s="1" t="n">
        <v>45472</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60981-2022</t>
        </is>
      </c>
      <c r="B1605" s="1" t="n">
        <v>44907</v>
      </c>
      <c r="C1605" s="1" t="n">
        <v>45472</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60785-2022</t>
        </is>
      </c>
      <c r="B1606" s="1" t="n">
        <v>44907</v>
      </c>
      <c r="C1606" s="1" t="n">
        <v>45472</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60970-2022</t>
        </is>
      </c>
      <c r="B1607" s="1" t="n">
        <v>44907</v>
      </c>
      <c r="C1607" s="1" t="n">
        <v>45472</v>
      </c>
      <c r="D1607" t="inlineStr">
        <is>
          <t>VÄSTERBOTTENS LÄN</t>
        </is>
      </c>
      <c r="E1607" t="inlineStr">
        <is>
          <t>SKELLEFTEÅ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59666-2022</t>
        </is>
      </c>
      <c r="B1608" s="1" t="n">
        <v>44908</v>
      </c>
      <c r="C1608" s="1" t="n">
        <v>45472</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59744-2022</t>
        </is>
      </c>
      <c r="B1609" s="1" t="n">
        <v>44908</v>
      </c>
      <c r="C1609" s="1" t="n">
        <v>45472</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59664-2022</t>
        </is>
      </c>
      <c r="B1610" s="1" t="n">
        <v>44908</v>
      </c>
      <c r="C1610" s="1" t="n">
        <v>45472</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59748-2022</t>
        </is>
      </c>
      <c r="B1611" s="1" t="n">
        <v>44908</v>
      </c>
      <c r="C1611" s="1" t="n">
        <v>45472</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61153-2022</t>
        </is>
      </c>
      <c r="B1612" s="1" t="n">
        <v>44908</v>
      </c>
      <c r="C1612" s="1" t="n">
        <v>45472</v>
      </c>
      <c r="D1612" t="inlineStr">
        <is>
          <t>VÄSTERBOTTENS LÄN</t>
        </is>
      </c>
      <c r="E1612" t="inlineStr">
        <is>
          <t>SKELLEFTEÅ</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60000-2022</t>
        </is>
      </c>
      <c r="B1613" s="1" t="n">
        <v>44909</v>
      </c>
      <c r="C1613" s="1" t="n">
        <v>45472</v>
      </c>
      <c r="D1613" t="inlineStr">
        <is>
          <t>VÄSTERBOTTENS LÄN</t>
        </is>
      </c>
      <c r="E1613" t="inlineStr">
        <is>
          <t>SKELLEFTEÅ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61275-2022</t>
        </is>
      </c>
      <c r="B1614" s="1" t="n">
        <v>44909</v>
      </c>
      <c r="C1614" s="1" t="n">
        <v>45472</v>
      </c>
      <c r="D1614" t="inlineStr">
        <is>
          <t>VÄSTERBOTTENS LÄN</t>
        </is>
      </c>
      <c r="E1614" t="inlineStr">
        <is>
          <t>SKELLEFTEÅ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60378-2022</t>
        </is>
      </c>
      <c r="B1615" s="1" t="n">
        <v>44910</v>
      </c>
      <c r="C1615" s="1" t="n">
        <v>45472</v>
      </c>
      <c r="D1615" t="inlineStr">
        <is>
          <t>VÄSTERBOTTENS LÄN</t>
        </is>
      </c>
      <c r="E1615" t="inlineStr">
        <is>
          <t>SKELLEFTEÅ</t>
        </is>
      </c>
      <c r="F1615" t="inlineStr">
        <is>
          <t>Holmen skog AB</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60488-2022</t>
        </is>
      </c>
      <c r="B1616" s="1" t="n">
        <v>44911</v>
      </c>
      <c r="C1616" s="1" t="n">
        <v>45472</v>
      </c>
      <c r="D1616" t="inlineStr">
        <is>
          <t>VÄSTERBOTTENS LÄN</t>
        </is>
      </c>
      <c r="E1616" t="inlineStr">
        <is>
          <t>SKELLEFTEÅ</t>
        </is>
      </c>
      <c r="F1616" t="inlineStr">
        <is>
          <t>Sveaskog</t>
        </is>
      </c>
      <c r="G1616" t="n">
        <v>11.6</v>
      </c>
      <c r="H1616" t="n">
        <v>0</v>
      </c>
      <c r="I1616" t="n">
        <v>0</v>
      </c>
      <c r="J1616" t="n">
        <v>0</v>
      </c>
      <c r="K1616" t="n">
        <v>0</v>
      </c>
      <c r="L1616" t="n">
        <v>0</v>
      </c>
      <c r="M1616" t="n">
        <v>0</v>
      </c>
      <c r="N1616" t="n">
        <v>0</v>
      </c>
      <c r="O1616" t="n">
        <v>0</v>
      </c>
      <c r="P1616" t="n">
        <v>0</v>
      </c>
      <c r="Q1616" t="n">
        <v>0</v>
      </c>
      <c r="R1616" s="2" t="inlineStr"/>
      <c r="U1616">
        <f>HYPERLINK("https://klasma.github.io/Logging_2482/knärot/A 60488-2022 karta knärot.png", "A 60488-2022")</f>
        <v/>
      </c>
      <c r="V1616">
        <f>HYPERLINK("https://klasma.github.io/Logging_2482/klagomål/A 60488-2022 FSC-klagomål.docx", "A 60488-2022")</f>
        <v/>
      </c>
      <c r="W1616">
        <f>HYPERLINK("https://klasma.github.io/Logging_2482/klagomålsmail/A 60488-2022 FSC-klagomål mail.docx", "A 60488-2022")</f>
        <v/>
      </c>
      <c r="X1616">
        <f>HYPERLINK("https://klasma.github.io/Logging_2482/tillsyn/A 60488-2022 tillsynsbegäran.docx", "A 60488-2022")</f>
        <v/>
      </c>
      <c r="Y1616">
        <f>HYPERLINK("https://klasma.github.io/Logging_2482/tillsynsmail/A 60488-2022 tillsynsbegäran mail.docx", "A 60488-2022")</f>
        <v/>
      </c>
    </row>
    <row r="1617" ht="15" customHeight="1">
      <c r="A1617" t="inlineStr">
        <is>
          <t>A 60498-2022</t>
        </is>
      </c>
      <c r="B1617" s="1" t="n">
        <v>44911</v>
      </c>
      <c r="C1617" s="1" t="n">
        <v>45472</v>
      </c>
      <c r="D1617" t="inlineStr">
        <is>
          <t>VÄSTERBOTTENS LÄN</t>
        </is>
      </c>
      <c r="E1617" t="inlineStr">
        <is>
          <t>SKELLEFTEÅ</t>
        </is>
      </c>
      <c r="F1617" t="inlineStr">
        <is>
          <t>Sveaskog</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60582-2022</t>
        </is>
      </c>
      <c r="B1618" s="1" t="n">
        <v>44911</v>
      </c>
      <c r="C1618" s="1" t="n">
        <v>45472</v>
      </c>
      <c r="D1618" t="inlineStr">
        <is>
          <t>VÄSTERBOTTENS LÄN</t>
        </is>
      </c>
      <c r="E1618" t="inlineStr">
        <is>
          <t>SKELLEFTEÅ</t>
        </is>
      </c>
      <c r="F1618" t="inlineStr">
        <is>
          <t>Sveaskog</t>
        </is>
      </c>
      <c r="G1618" t="n">
        <v>27.3</v>
      </c>
      <c r="H1618" t="n">
        <v>0</v>
      </c>
      <c r="I1618" t="n">
        <v>0</v>
      </c>
      <c r="J1618" t="n">
        <v>0</v>
      </c>
      <c r="K1618" t="n">
        <v>0</v>
      </c>
      <c r="L1618" t="n">
        <v>0</v>
      </c>
      <c r="M1618" t="n">
        <v>0</v>
      </c>
      <c r="N1618" t="n">
        <v>0</v>
      </c>
      <c r="O1618" t="n">
        <v>0</v>
      </c>
      <c r="P1618" t="n">
        <v>0</v>
      </c>
      <c r="Q1618" t="n">
        <v>0</v>
      </c>
      <c r="R1618" s="2" t="inlineStr"/>
    </row>
    <row r="1619" ht="15" customHeight="1">
      <c r="A1619" t="inlineStr">
        <is>
          <t>A 60656-2022</t>
        </is>
      </c>
      <c r="B1619" s="1" t="n">
        <v>44911</v>
      </c>
      <c r="C1619" s="1" t="n">
        <v>45472</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60452-2022</t>
        </is>
      </c>
      <c r="B1620" s="1" t="n">
        <v>44911</v>
      </c>
      <c r="C1620" s="1" t="n">
        <v>45472</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60502-2022</t>
        </is>
      </c>
      <c r="B1621" s="1" t="n">
        <v>44911</v>
      </c>
      <c r="C1621" s="1" t="n">
        <v>45472</v>
      </c>
      <c r="D1621" t="inlineStr">
        <is>
          <t>VÄSTERBOTTENS LÄN</t>
        </is>
      </c>
      <c r="E1621" t="inlineStr">
        <is>
          <t>SKELLEFTEÅ</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60524-2022</t>
        </is>
      </c>
      <c r="B1622" s="1" t="n">
        <v>44911</v>
      </c>
      <c r="C1622" s="1" t="n">
        <v>45472</v>
      </c>
      <c r="D1622" t="inlineStr">
        <is>
          <t>VÄSTERBOTTENS LÄN</t>
        </is>
      </c>
      <c r="E1622" t="inlineStr">
        <is>
          <t>SKELLEFTEÅ</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60581-2022</t>
        </is>
      </c>
      <c r="B1623" s="1" t="n">
        <v>44911</v>
      </c>
      <c r="C1623" s="1" t="n">
        <v>45472</v>
      </c>
      <c r="D1623" t="inlineStr">
        <is>
          <t>VÄSTERBOTTENS LÄN</t>
        </is>
      </c>
      <c r="E1623" t="inlineStr">
        <is>
          <t>SKELLEFTEÅ</t>
        </is>
      </c>
      <c r="F1623" t="inlineStr">
        <is>
          <t>Sveaskog</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60655-2022</t>
        </is>
      </c>
      <c r="B1624" s="1" t="n">
        <v>44911</v>
      </c>
      <c r="C1624" s="1" t="n">
        <v>45472</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60506-2022</t>
        </is>
      </c>
      <c r="B1625" s="1" t="n">
        <v>44911</v>
      </c>
      <c r="C1625" s="1" t="n">
        <v>45472</v>
      </c>
      <c r="D1625" t="inlineStr">
        <is>
          <t>VÄSTERBOTTENS LÄN</t>
        </is>
      </c>
      <c r="E1625" t="inlineStr">
        <is>
          <t>SKELLEFTEÅ</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60484-2022</t>
        </is>
      </c>
      <c r="B1626" s="1" t="n">
        <v>44911</v>
      </c>
      <c r="C1626" s="1" t="n">
        <v>45472</v>
      </c>
      <c r="D1626" t="inlineStr">
        <is>
          <t>VÄSTERBOTTENS LÄN</t>
        </is>
      </c>
      <c r="E1626" t="inlineStr">
        <is>
          <t>SKELLEFTEÅ</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60585-2022</t>
        </is>
      </c>
      <c r="B1627" s="1" t="n">
        <v>44911</v>
      </c>
      <c r="C1627" s="1" t="n">
        <v>45472</v>
      </c>
      <c r="D1627" t="inlineStr">
        <is>
          <t>VÄSTERBOTTENS LÄN</t>
        </is>
      </c>
      <c r="E1627" t="inlineStr">
        <is>
          <t>SKELLEFTEÅ</t>
        </is>
      </c>
      <c r="F1627" t="inlineStr">
        <is>
          <t>Sveaskog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60590-2022</t>
        </is>
      </c>
      <c r="B1628" s="1" t="n">
        <v>44911</v>
      </c>
      <c r="C1628" s="1" t="n">
        <v>45472</v>
      </c>
      <c r="D1628" t="inlineStr">
        <is>
          <t>VÄSTERBOTTENS LÄN</t>
        </is>
      </c>
      <c r="E1628" t="inlineStr">
        <is>
          <t>SKELLEFTEÅ</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61697-2022</t>
        </is>
      </c>
      <c r="B1629" s="1" t="n">
        <v>44911</v>
      </c>
      <c r="C1629" s="1" t="n">
        <v>45472</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61700-2022</t>
        </is>
      </c>
      <c r="B1630" s="1" t="n">
        <v>44911</v>
      </c>
      <c r="C1630" s="1" t="n">
        <v>45472</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60787-2022</t>
        </is>
      </c>
      <c r="B1631" s="1" t="n">
        <v>44914</v>
      </c>
      <c r="C1631" s="1" t="n">
        <v>45472</v>
      </c>
      <c r="D1631" t="inlineStr">
        <is>
          <t>VÄSTERBOTTENS LÄN</t>
        </is>
      </c>
      <c r="E1631" t="inlineStr">
        <is>
          <t>SKELLEFTEÅ</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60853-2022</t>
        </is>
      </c>
      <c r="B1632" s="1" t="n">
        <v>44914</v>
      </c>
      <c r="C1632" s="1" t="n">
        <v>45472</v>
      </c>
      <c r="D1632" t="inlineStr">
        <is>
          <t>VÄSTERBOTTENS LÄN</t>
        </is>
      </c>
      <c r="E1632" t="inlineStr">
        <is>
          <t>SKELLEFTEÅ</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60858-2022</t>
        </is>
      </c>
      <c r="B1633" s="1" t="n">
        <v>44914</v>
      </c>
      <c r="C1633" s="1" t="n">
        <v>45472</v>
      </c>
      <c r="D1633" t="inlineStr">
        <is>
          <t>VÄSTERBOTTENS LÄN</t>
        </is>
      </c>
      <c r="E1633" t="inlineStr">
        <is>
          <t>SKELLEFTEÅ</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60789-2022</t>
        </is>
      </c>
      <c r="B1634" s="1" t="n">
        <v>44914</v>
      </c>
      <c r="C1634" s="1" t="n">
        <v>45472</v>
      </c>
      <c r="D1634" t="inlineStr">
        <is>
          <t>VÄSTERBOTTENS LÄN</t>
        </is>
      </c>
      <c r="E1634" t="inlineStr">
        <is>
          <t>SKELLEFTEÅ</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62028-2022</t>
        </is>
      </c>
      <c r="B1635" s="1" t="n">
        <v>44914</v>
      </c>
      <c r="C1635" s="1" t="n">
        <v>45472</v>
      </c>
      <c r="D1635" t="inlineStr">
        <is>
          <t>VÄSTERBOTTENS LÄN</t>
        </is>
      </c>
      <c r="E1635" t="inlineStr">
        <is>
          <t>SKELLEFTEÅ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62027-2022</t>
        </is>
      </c>
      <c r="B1636" s="1" t="n">
        <v>44914</v>
      </c>
      <c r="C1636" s="1" t="n">
        <v>45472</v>
      </c>
      <c r="D1636" t="inlineStr">
        <is>
          <t>VÄSTERBOTTENS LÄN</t>
        </is>
      </c>
      <c r="E1636" t="inlineStr">
        <is>
          <t>SKELLEFTEÅ</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62025-2022</t>
        </is>
      </c>
      <c r="B1637" s="1" t="n">
        <v>44914</v>
      </c>
      <c r="C1637" s="1" t="n">
        <v>45472</v>
      </c>
      <c r="D1637" t="inlineStr">
        <is>
          <t>VÄSTERBOTTENS LÄN</t>
        </is>
      </c>
      <c r="E1637" t="inlineStr">
        <is>
          <t>SKELLEFTEÅ</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61105-2022</t>
        </is>
      </c>
      <c r="B1638" s="1" t="n">
        <v>44915</v>
      </c>
      <c r="C1638" s="1" t="n">
        <v>45472</v>
      </c>
      <c r="D1638" t="inlineStr">
        <is>
          <t>VÄSTERBOTTENS LÄN</t>
        </is>
      </c>
      <c r="E1638" t="inlineStr">
        <is>
          <t>SKELLEFTEÅ</t>
        </is>
      </c>
      <c r="F1638" t="inlineStr">
        <is>
          <t>Sveaskog</t>
        </is>
      </c>
      <c r="G1638" t="n">
        <v>19.5</v>
      </c>
      <c r="H1638" t="n">
        <v>0</v>
      </c>
      <c r="I1638" t="n">
        <v>0</v>
      </c>
      <c r="J1638" t="n">
        <v>0</v>
      </c>
      <c r="K1638" t="n">
        <v>0</v>
      </c>
      <c r="L1638" t="n">
        <v>0</v>
      </c>
      <c r="M1638" t="n">
        <v>0</v>
      </c>
      <c r="N1638" t="n">
        <v>0</v>
      </c>
      <c r="O1638" t="n">
        <v>0</v>
      </c>
      <c r="P1638" t="n">
        <v>0</v>
      </c>
      <c r="Q1638" t="n">
        <v>0</v>
      </c>
      <c r="R1638" s="2" t="inlineStr"/>
    </row>
    <row r="1639" ht="15" customHeight="1">
      <c r="A1639" t="inlineStr">
        <is>
          <t>A 61101-2022</t>
        </is>
      </c>
      <c r="B1639" s="1" t="n">
        <v>44915</v>
      </c>
      <c r="C1639" s="1" t="n">
        <v>45472</v>
      </c>
      <c r="D1639" t="inlineStr">
        <is>
          <t>VÄSTERBOTTENS LÄN</t>
        </is>
      </c>
      <c r="E1639" t="inlineStr">
        <is>
          <t>SKELLEFTEÅ</t>
        </is>
      </c>
      <c r="F1639" t="inlineStr">
        <is>
          <t>Sveaskog</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61132-2022</t>
        </is>
      </c>
      <c r="B1640" s="1" t="n">
        <v>44915</v>
      </c>
      <c r="C1640" s="1" t="n">
        <v>45472</v>
      </c>
      <c r="D1640" t="inlineStr">
        <is>
          <t>VÄSTERBOTTENS LÄN</t>
        </is>
      </c>
      <c r="E1640" t="inlineStr">
        <is>
          <t>SKELLEFTEÅ</t>
        </is>
      </c>
      <c r="F1640" t="inlineStr">
        <is>
          <t>Sveaskog</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61348-2022</t>
        </is>
      </c>
      <c r="B1641" s="1" t="n">
        <v>44915</v>
      </c>
      <c r="C1641" s="1" t="n">
        <v>45472</v>
      </c>
      <c r="D1641" t="inlineStr">
        <is>
          <t>VÄSTERBOTTENS LÄN</t>
        </is>
      </c>
      <c r="E1641" t="inlineStr">
        <is>
          <t>SKELLEFTEÅ</t>
        </is>
      </c>
      <c r="F1641" t="inlineStr">
        <is>
          <t>Sveaskog</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61467-2022</t>
        </is>
      </c>
      <c r="B1642" s="1" t="n">
        <v>44916</v>
      </c>
      <c r="C1642" s="1" t="n">
        <v>45472</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61635-2022</t>
        </is>
      </c>
      <c r="B1643" s="1" t="n">
        <v>44916</v>
      </c>
      <c r="C1643" s="1" t="n">
        <v>45472</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61634-2022</t>
        </is>
      </c>
      <c r="B1644" s="1" t="n">
        <v>44916</v>
      </c>
      <c r="C1644" s="1" t="n">
        <v>45472</v>
      </c>
      <c r="D1644" t="inlineStr">
        <is>
          <t>VÄSTERBOTTENS LÄN</t>
        </is>
      </c>
      <c r="E1644" t="inlineStr">
        <is>
          <t>SKELLEFTEÅ</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61569-2022</t>
        </is>
      </c>
      <c r="B1645" s="1" t="n">
        <v>44916</v>
      </c>
      <c r="C1645" s="1" t="n">
        <v>45472</v>
      </c>
      <c r="D1645" t="inlineStr">
        <is>
          <t>VÄSTERBOTTENS LÄN</t>
        </is>
      </c>
      <c r="E1645" t="inlineStr">
        <is>
          <t>SKELLEFTEÅ</t>
        </is>
      </c>
      <c r="F1645" t="inlineStr">
        <is>
          <t>Holmen skog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61631-2022</t>
        </is>
      </c>
      <c r="B1646" s="1" t="n">
        <v>44916</v>
      </c>
      <c r="C1646" s="1" t="n">
        <v>45472</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62325-2022</t>
        </is>
      </c>
      <c r="B1647" s="1" t="n">
        <v>44916</v>
      </c>
      <c r="C1647" s="1" t="n">
        <v>45472</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62323-2022</t>
        </is>
      </c>
      <c r="B1648" s="1" t="n">
        <v>44916</v>
      </c>
      <c r="C1648" s="1" t="n">
        <v>45472</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62536-2022</t>
        </is>
      </c>
      <c r="B1649" s="1" t="n">
        <v>44917</v>
      </c>
      <c r="C1649" s="1" t="n">
        <v>45472</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121-2023</t>
        </is>
      </c>
      <c r="B1650" s="1" t="n">
        <v>44918</v>
      </c>
      <c r="C1650" s="1" t="n">
        <v>45472</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62249-2022</t>
        </is>
      </c>
      <c r="B1651" s="1" t="n">
        <v>44922</v>
      </c>
      <c r="C1651" s="1" t="n">
        <v>45472</v>
      </c>
      <c r="D1651" t="inlineStr">
        <is>
          <t>VÄSTERBOTTENS LÄN</t>
        </is>
      </c>
      <c r="E1651" t="inlineStr">
        <is>
          <t>SKELLEFTEÅ</t>
        </is>
      </c>
      <c r="G1651" t="n">
        <v>18.2</v>
      </c>
      <c r="H1651" t="n">
        <v>0</v>
      </c>
      <c r="I1651" t="n">
        <v>0</v>
      </c>
      <c r="J1651" t="n">
        <v>0</v>
      </c>
      <c r="K1651" t="n">
        <v>0</v>
      </c>
      <c r="L1651" t="n">
        <v>0</v>
      </c>
      <c r="M1651" t="n">
        <v>0</v>
      </c>
      <c r="N1651" t="n">
        <v>0</v>
      </c>
      <c r="O1651" t="n">
        <v>0</v>
      </c>
      <c r="P1651" t="n">
        <v>0</v>
      </c>
      <c r="Q1651" t="n">
        <v>0</v>
      </c>
      <c r="R1651" s="2" t="inlineStr"/>
    </row>
    <row r="1652" ht="15" customHeight="1">
      <c r="A1652" t="inlineStr">
        <is>
          <t>A 62279-2022</t>
        </is>
      </c>
      <c r="B1652" s="1" t="n">
        <v>44923</v>
      </c>
      <c r="C1652" s="1" t="n">
        <v>45472</v>
      </c>
      <c r="D1652" t="inlineStr">
        <is>
          <t>VÄSTERBOTTENS LÄN</t>
        </is>
      </c>
      <c r="E1652" t="inlineStr">
        <is>
          <t>SKELLEFTEÅ</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62284-2022</t>
        </is>
      </c>
      <c r="B1653" s="1" t="n">
        <v>44923</v>
      </c>
      <c r="C1653" s="1" t="n">
        <v>45472</v>
      </c>
      <c r="D1653" t="inlineStr">
        <is>
          <t>VÄSTERBOTTENS LÄN</t>
        </is>
      </c>
      <c r="E1653" t="inlineStr">
        <is>
          <t>SKELLEFTEÅ</t>
        </is>
      </c>
      <c r="F1653" t="inlineStr">
        <is>
          <t>Sveaskog</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62308-2022</t>
        </is>
      </c>
      <c r="B1654" s="1" t="n">
        <v>44923</v>
      </c>
      <c r="C1654" s="1" t="n">
        <v>45472</v>
      </c>
      <c r="D1654" t="inlineStr">
        <is>
          <t>VÄSTERBOTTENS LÄN</t>
        </is>
      </c>
      <c r="E1654" t="inlineStr">
        <is>
          <t>SKELLEFTEÅ</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62319-2022</t>
        </is>
      </c>
      <c r="B1655" s="1" t="n">
        <v>44923</v>
      </c>
      <c r="C1655" s="1" t="n">
        <v>45472</v>
      </c>
      <c r="D1655" t="inlineStr">
        <is>
          <t>VÄSTERBOTTENS LÄN</t>
        </is>
      </c>
      <c r="E1655" t="inlineStr">
        <is>
          <t>SKELLEFTEÅ</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62483-2022</t>
        </is>
      </c>
      <c r="B1656" s="1" t="n">
        <v>44924</v>
      </c>
      <c r="C1656" s="1" t="n">
        <v>45472</v>
      </c>
      <c r="D1656" t="inlineStr">
        <is>
          <t>VÄSTERBOTTENS LÄN</t>
        </is>
      </c>
      <c r="E1656" t="inlineStr">
        <is>
          <t>SKELLEFTEÅ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62577-2022</t>
        </is>
      </c>
      <c r="B1657" s="1" t="n">
        <v>44924</v>
      </c>
      <c r="C1657" s="1" t="n">
        <v>45472</v>
      </c>
      <c r="D1657" t="inlineStr">
        <is>
          <t>VÄSTERBOTTENS LÄN</t>
        </is>
      </c>
      <c r="E1657" t="inlineStr">
        <is>
          <t>SKELLEFTEÅ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62642-2022</t>
        </is>
      </c>
      <c r="B1658" s="1" t="n">
        <v>44925</v>
      </c>
      <c r="C1658" s="1" t="n">
        <v>45472</v>
      </c>
      <c r="D1658" t="inlineStr">
        <is>
          <t>VÄSTERBOTTENS LÄN</t>
        </is>
      </c>
      <c r="E1658" t="inlineStr">
        <is>
          <t>SKELLEFTEÅ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531-2023</t>
        </is>
      </c>
      <c r="B1659" s="1" t="n">
        <v>44925</v>
      </c>
      <c r="C1659" s="1" t="n">
        <v>45472</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639-2023</t>
        </is>
      </c>
      <c r="B1660" s="1" t="n">
        <v>44928</v>
      </c>
      <c r="C1660" s="1" t="n">
        <v>45472</v>
      </c>
      <c r="D1660" t="inlineStr">
        <is>
          <t>VÄSTERBOTTENS LÄN</t>
        </is>
      </c>
      <c r="E1660" t="inlineStr">
        <is>
          <t>SKELLEFTEÅ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640-2023</t>
        </is>
      </c>
      <c r="B1661" s="1" t="n">
        <v>44928</v>
      </c>
      <c r="C1661" s="1" t="n">
        <v>45472</v>
      </c>
      <c r="D1661" t="inlineStr">
        <is>
          <t>VÄSTERBOTTENS LÄN</t>
        </is>
      </c>
      <c r="E1661" t="inlineStr">
        <is>
          <t>SKELLEFTEÅ</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1076-2023</t>
        </is>
      </c>
      <c r="B1662" s="1" t="n">
        <v>44929</v>
      </c>
      <c r="C1662" s="1" t="n">
        <v>45472</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547-2023</t>
        </is>
      </c>
      <c r="B1663" s="1" t="n">
        <v>44930</v>
      </c>
      <c r="C1663" s="1" t="n">
        <v>45472</v>
      </c>
      <c r="D1663" t="inlineStr">
        <is>
          <t>VÄSTERBOTTENS LÄN</t>
        </is>
      </c>
      <c r="E1663" t="inlineStr">
        <is>
          <t>SKELLEFTEÅ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589-2023</t>
        </is>
      </c>
      <c r="B1664" s="1" t="n">
        <v>44930</v>
      </c>
      <c r="C1664" s="1" t="n">
        <v>45472</v>
      </c>
      <c r="D1664" t="inlineStr">
        <is>
          <t>VÄSTERBOTTENS LÄN</t>
        </is>
      </c>
      <c r="E1664" t="inlineStr">
        <is>
          <t>SKELLEFTEÅ</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703-2023</t>
        </is>
      </c>
      <c r="B1665" s="1" t="n">
        <v>44930</v>
      </c>
      <c r="C1665" s="1" t="n">
        <v>45472</v>
      </c>
      <c r="D1665" t="inlineStr">
        <is>
          <t>VÄSTERBOTTENS LÄN</t>
        </is>
      </c>
      <c r="E1665" t="inlineStr">
        <is>
          <t>SKELLEFTEÅ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707-2023</t>
        </is>
      </c>
      <c r="B1666" s="1" t="n">
        <v>44930</v>
      </c>
      <c r="C1666" s="1" t="n">
        <v>45472</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702-2023</t>
        </is>
      </c>
      <c r="B1667" s="1" t="n">
        <v>44930</v>
      </c>
      <c r="C1667" s="1" t="n">
        <v>45472</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706-2023</t>
        </is>
      </c>
      <c r="B1668" s="1" t="n">
        <v>44930</v>
      </c>
      <c r="C1668" s="1" t="n">
        <v>45472</v>
      </c>
      <c r="D1668" t="inlineStr">
        <is>
          <t>VÄSTERBOTTENS LÄN</t>
        </is>
      </c>
      <c r="E1668" t="inlineStr">
        <is>
          <t>SKELLEFTEÅ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1206-2023</t>
        </is>
      </c>
      <c r="B1669" s="1" t="n">
        <v>44930</v>
      </c>
      <c r="C1669" s="1" t="n">
        <v>45472</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911-2023</t>
        </is>
      </c>
      <c r="B1670" s="1" t="n">
        <v>44931</v>
      </c>
      <c r="C1670" s="1" t="n">
        <v>45472</v>
      </c>
      <c r="D1670" t="inlineStr">
        <is>
          <t>VÄSTERBOTTENS LÄN</t>
        </is>
      </c>
      <c r="E1670" t="inlineStr">
        <is>
          <t>SKELLEFTEÅ</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900-2023</t>
        </is>
      </c>
      <c r="B1671" s="1" t="n">
        <v>44931</v>
      </c>
      <c r="C1671" s="1" t="n">
        <v>45472</v>
      </c>
      <c r="D1671" t="inlineStr">
        <is>
          <t>VÄSTERBOTTENS LÄN</t>
        </is>
      </c>
      <c r="E1671" t="inlineStr">
        <is>
          <t>SKELLEFTEÅ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904-2023</t>
        </is>
      </c>
      <c r="B1672" s="1" t="n">
        <v>44931</v>
      </c>
      <c r="C1672" s="1" t="n">
        <v>45472</v>
      </c>
      <c r="D1672" t="inlineStr">
        <is>
          <t>VÄSTERBOTTENS LÄN</t>
        </is>
      </c>
      <c r="E1672" t="inlineStr">
        <is>
          <t>SKELLEFTEÅ</t>
        </is>
      </c>
      <c r="G1672" t="n">
        <v>22.2</v>
      </c>
      <c r="H1672" t="n">
        <v>0</v>
      </c>
      <c r="I1672" t="n">
        <v>0</v>
      </c>
      <c r="J1672" t="n">
        <v>0</v>
      </c>
      <c r="K1672" t="n">
        <v>0</v>
      </c>
      <c r="L1672" t="n">
        <v>0</v>
      </c>
      <c r="M1672" t="n">
        <v>0</v>
      </c>
      <c r="N1672" t="n">
        <v>0</v>
      </c>
      <c r="O1672" t="n">
        <v>0</v>
      </c>
      <c r="P1672" t="n">
        <v>0</v>
      </c>
      <c r="Q1672" t="n">
        <v>0</v>
      </c>
      <c r="R1672" s="2" t="inlineStr"/>
    </row>
    <row r="1673" ht="15" customHeight="1">
      <c r="A1673" t="inlineStr">
        <is>
          <t>A 913-2023</t>
        </is>
      </c>
      <c r="B1673" s="1" t="n">
        <v>44931</v>
      </c>
      <c r="C1673" s="1" t="n">
        <v>45472</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909-2023</t>
        </is>
      </c>
      <c r="B1674" s="1" t="n">
        <v>44931</v>
      </c>
      <c r="C1674" s="1" t="n">
        <v>45472</v>
      </c>
      <c r="D1674" t="inlineStr">
        <is>
          <t>VÄSTERBOTTENS LÄN</t>
        </is>
      </c>
      <c r="E1674" t="inlineStr">
        <is>
          <t>SKELLEFTEÅ</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903-2023</t>
        </is>
      </c>
      <c r="B1675" s="1" t="n">
        <v>44931</v>
      </c>
      <c r="C1675" s="1" t="n">
        <v>45472</v>
      </c>
      <c r="D1675" t="inlineStr">
        <is>
          <t>VÄSTERBOTTENS LÄN</t>
        </is>
      </c>
      <c r="E1675" t="inlineStr">
        <is>
          <t>SKELLEFTEÅ</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1113-2023</t>
        </is>
      </c>
      <c r="B1676" s="1" t="n">
        <v>44935</v>
      </c>
      <c r="C1676" s="1" t="n">
        <v>45472</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1134-2023</t>
        </is>
      </c>
      <c r="B1677" s="1" t="n">
        <v>44935</v>
      </c>
      <c r="C1677" s="1" t="n">
        <v>45472</v>
      </c>
      <c r="D1677" t="inlineStr">
        <is>
          <t>VÄSTERBOTTENS LÄN</t>
        </is>
      </c>
      <c r="E1677" t="inlineStr">
        <is>
          <t>SKELLEFTEÅ</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1111-2023</t>
        </is>
      </c>
      <c r="B1678" s="1" t="n">
        <v>44935</v>
      </c>
      <c r="C1678" s="1" t="n">
        <v>45472</v>
      </c>
      <c r="D1678" t="inlineStr">
        <is>
          <t>VÄSTERBOTTENS LÄN</t>
        </is>
      </c>
      <c r="E1678" t="inlineStr">
        <is>
          <t>SKELLEFTEÅ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1602-2023</t>
        </is>
      </c>
      <c r="B1679" s="1" t="n">
        <v>44935</v>
      </c>
      <c r="C1679" s="1" t="n">
        <v>45472</v>
      </c>
      <c r="D1679" t="inlineStr">
        <is>
          <t>VÄSTERBOTTENS LÄN</t>
        </is>
      </c>
      <c r="E1679" t="inlineStr">
        <is>
          <t>SKELLEFTEÅ</t>
        </is>
      </c>
      <c r="G1679" t="n">
        <v>12.6</v>
      </c>
      <c r="H1679" t="n">
        <v>0</v>
      </c>
      <c r="I1679" t="n">
        <v>0</v>
      </c>
      <c r="J1679" t="n">
        <v>0</v>
      </c>
      <c r="K1679" t="n">
        <v>0</v>
      </c>
      <c r="L1679" t="n">
        <v>0</v>
      </c>
      <c r="M1679" t="n">
        <v>0</v>
      </c>
      <c r="N1679" t="n">
        <v>0</v>
      </c>
      <c r="O1679" t="n">
        <v>0</v>
      </c>
      <c r="P1679" t="n">
        <v>0</v>
      </c>
      <c r="Q1679" t="n">
        <v>0</v>
      </c>
      <c r="R1679" s="2" t="inlineStr"/>
    </row>
    <row r="1680" ht="15" customHeight="1">
      <c r="A1680" t="inlineStr">
        <is>
          <t>A 1612-2023</t>
        </is>
      </c>
      <c r="B1680" s="1" t="n">
        <v>44935</v>
      </c>
      <c r="C1680" s="1" t="n">
        <v>45472</v>
      </c>
      <c r="D1680" t="inlineStr">
        <is>
          <t>VÄSTERBOTTENS LÄN</t>
        </is>
      </c>
      <c r="E1680" t="inlineStr">
        <is>
          <t>SKELLEFTEÅ</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1533-2023</t>
        </is>
      </c>
      <c r="B1681" s="1" t="n">
        <v>44935</v>
      </c>
      <c r="C1681" s="1" t="n">
        <v>45472</v>
      </c>
      <c r="D1681" t="inlineStr">
        <is>
          <t>VÄSTERBOTTENS LÄN</t>
        </is>
      </c>
      <c r="E1681" t="inlineStr">
        <is>
          <t>SKELLEFTEÅ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1528-2023</t>
        </is>
      </c>
      <c r="B1682" s="1" t="n">
        <v>44935</v>
      </c>
      <c r="C1682" s="1" t="n">
        <v>45472</v>
      </c>
      <c r="D1682" t="inlineStr">
        <is>
          <t>VÄSTERBOTTENS LÄN</t>
        </is>
      </c>
      <c r="E1682" t="inlineStr">
        <is>
          <t>SKELLEFTEÅ</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1419-2023</t>
        </is>
      </c>
      <c r="B1683" s="1" t="n">
        <v>44936</v>
      </c>
      <c r="C1683" s="1" t="n">
        <v>45472</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1639-2023</t>
        </is>
      </c>
      <c r="B1684" s="1" t="n">
        <v>44937</v>
      </c>
      <c r="C1684" s="1" t="n">
        <v>45472</v>
      </c>
      <c r="D1684" t="inlineStr">
        <is>
          <t>VÄSTERBOTTENS LÄN</t>
        </is>
      </c>
      <c r="E1684" t="inlineStr">
        <is>
          <t>SKELLEFTEÅ</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1640-2023</t>
        </is>
      </c>
      <c r="B1685" s="1" t="n">
        <v>44937</v>
      </c>
      <c r="C1685" s="1" t="n">
        <v>45472</v>
      </c>
      <c r="D1685" t="inlineStr">
        <is>
          <t>VÄSTERBOTTENS LÄN</t>
        </is>
      </c>
      <c r="E1685" t="inlineStr">
        <is>
          <t>SKELLEFTEÅ</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1978-2023</t>
        </is>
      </c>
      <c r="B1686" s="1" t="n">
        <v>44937</v>
      </c>
      <c r="C1686" s="1" t="n">
        <v>45472</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1988-2023</t>
        </is>
      </c>
      <c r="B1687" s="1" t="n">
        <v>44937</v>
      </c>
      <c r="C1687" s="1" t="n">
        <v>45472</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1666-2023</t>
        </is>
      </c>
      <c r="B1688" s="1" t="n">
        <v>44938</v>
      </c>
      <c r="C1688" s="1" t="n">
        <v>45472</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1858-2023</t>
        </is>
      </c>
      <c r="B1689" s="1" t="n">
        <v>44938</v>
      </c>
      <c r="C1689" s="1" t="n">
        <v>45472</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1933-2023</t>
        </is>
      </c>
      <c r="B1690" s="1" t="n">
        <v>44938</v>
      </c>
      <c r="C1690" s="1" t="n">
        <v>45472</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1853-2023</t>
        </is>
      </c>
      <c r="B1691" s="1" t="n">
        <v>44938</v>
      </c>
      <c r="C1691" s="1" t="n">
        <v>45472</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1859-2023</t>
        </is>
      </c>
      <c r="B1692" s="1" t="n">
        <v>44938</v>
      </c>
      <c r="C1692" s="1" t="n">
        <v>45472</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1854-2023</t>
        </is>
      </c>
      <c r="B1693" s="1" t="n">
        <v>44938</v>
      </c>
      <c r="C1693" s="1" t="n">
        <v>45472</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1860-2023</t>
        </is>
      </c>
      <c r="B1694" s="1" t="n">
        <v>44938</v>
      </c>
      <c r="C1694" s="1" t="n">
        <v>45472</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1942-2023</t>
        </is>
      </c>
      <c r="B1695" s="1" t="n">
        <v>44938</v>
      </c>
      <c r="C1695" s="1" t="n">
        <v>45472</v>
      </c>
      <c r="D1695" t="inlineStr">
        <is>
          <t>VÄSTERBOTTENS LÄN</t>
        </is>
      </c>
      <c r="E1695" t="inlineStr">
        <is>
          <t>SKELLEFTEÅ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2112-2023</t>
        </is>
      </c>
      <c r="B1696" s="1" t="n">
        <v>44939</v>
      </c>
      <c r="C1696" s="1" t="n">
        <v>45472</v>
      </c>
      <c r="D1696" t="inlineStr">
        <is>
          <t>VÄSTERBOTTENS LÄN</t>
        </is>
      </c>
      <c r="E1696" t="inlineStr">
        <is>
          <t>SKELLEFTEÅ</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2177-2023</t>
        </is>
      </c>
      <c r="B1697" s="1" t="n">
        <v>44942</v>
      </c>
      <c r="C1697" s="1" t="n">
        <v>45472</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2336-2023</t>
        </is>
      </c>
      <c r="B1698" s="1" t="n">
        <v>44942</v>
      </c>
      <c r="C1698" s="1" t="n">
        <v>45472</v>
      </c>
      <c r="D1698" t="inlineStr">
        <is>
          <t>VÄSTERBOTTENS LÄN</t>
        </is>
      </c>
      <c r="E1698" t="inlineStr">
        <is>
          <t>SKELLEFTEÅ</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2395-2023</t>
        </is>
      </c>
      <c r="B1699" s="1" t="n">
        <v>44942</v>
      </c>
      <c r="C1699" s="1" t="n">
        <v>45472</v>
      </c>
      <c r="D1699" t="inlineStr">
        <is>
          <t>VÄSTERBOTTENS LÄN</t>
        </is>
      </c>
      <c r="E1699" t="inlineStr">
        <is>
          <t>SKELLEFTEÅ</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2393-2023</t>
        </is>
      </c>
      <c r="B1700" s="1" t="n">
        <v>44942</v>
      </c>
      <c r="C1700" s="1" t="n">
        <v>45472</v>
      </c>
      <c r="D1700" t="inlineStr">
        <is>
          <t>VÄSTERBOTTENS LÄN</t>
        </is>
      </c>
      <c r="E1700" t="inlineStr">
        <is>
          <t>SKELLEFTEÅ</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2439-2023</t>
        </is>
      </c>
      <c r="B1701" s="1" t="n">
        <v>44942</v>
      </c>
      <c r="C1701" s="1" t="n">
        <v>45472</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2718-2023</t>
        </is>
      </c>
      <c r="B1702" s="1" t="n">
        <v>44942</v>
      </c>
      <c r="C1702" s="1" t="n">
        <v>45472</v>
      </c>
      <c r="D1702" t="inlineStr">
        <is>
          <t>VÄSTERBOTTENS LÄN</t>
        </is>
      </c>
      <c r="E1702" t="inlineStr">
        <is>
          <t>SKELLEFTEÅ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2496-2023</t>
        </is>
      </c>
      <c r="B1703" s="1" t="n">
        <v>44943</v>
      </c>
      <c r="C1703" s="1" t="n">
        <v>45472</v>
      </c>
      <c r="D1703" t="inlineStr">
        <is>
          <t>VÄSTERBOTTENS LÄN</t>
        </is>
      </c>
      <c r="E1703" t="inlineStr">
        <is>
          <t>SKELLEFTEÅ</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2444-2023</t>
        </is>
      </c>
      <c r="B1704" s="1" t="n">
        <v>44943</v>
      </c>
      <c r="C1704" s="1" t="n">
        <v>45472</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2720-2023</t>
        </is>
      </c>
      <c r="B1705" s="1" t="n">
        <v>44944</v>
      </c>
      <c r="C1705" s="1" t="n">
        <v>45472</v>
      </c>
      <c r="D1705" t="inlineStr">
        <is>
          <t>VÄSTERBOTTENS LÄN</t>
        </is>
      </c>
      <c r="E1705" t="inlineStr">
        <is>
          <t>SKELLEFTEÅ</t>
        </is>
      </c>
      <c r="G1705" t="n">
        <v>31.7</v>
      </c>
      <c r="H1705" t="n">
        <v>0</v>
      </c>
      <c r="I1705" t="n">
        <v>0</v>
      </c>
      <c r="J1705" t="n">
        <v>0</v>
      </c>
      <c r="K1705" t="n">
        <v>0</v>
      </c>
      <c r="L1705" t="n">
        <v>0</v>
      </c>
      <c r="M1705" t="n">
        <v>0</v>
      </c>
      <c r="N1705" t="n">
        <v>0</v>
      </c>
      <c r="O1705" t="n">
        <v>0</v>
      </c>
      <c r="P1705" t="n">
        <v>0</v>
      </c>
      <c r="Q1705" t="n">
        <v>0</v>
      </c>
      <c r="R1705" s="2" t="inlineStr"/>
    </row>
    <row r="1706" ht="15" customHeight="1">
      <c r="A1706" t="inlineStr">
        <is>
          <t>A 2895-2023</t>
        </is>
      </c>
      <c r="B1706" s="1" t="n">
        <v>44945</v>
      </c>
      <c r="C1706" s="1" t="n">
        <v>45472</v>
      </c>
      <c r="D1706" t="inlineStr">
        <is>
          <t>VÄSTERBOTTENS LÄN</t>
        </is>
      </c>
      <c r="E1706" t="inlineStr">
        <is>
          <t>SKELLEFTEÅ</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3277-2023</t>
        </is>
      </c>
      <c r="B1707" s="1" t="n">
        <v>44945</v>
      </c>
      <c r="C1707" s="1" t="n">
        <v>45472</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3603-2023</t>
        </is>
      </c>
      <c r="B1708" s="1" t="n">
        <v>44946</v>
      </c>
      <c r="C1708" s="1" t="n">
        <v>45472</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3600-2023</t>
        </is>
      </c>
      <c r="B1709" s="1" t="n">
        <v>44946</v>
      </c>
      <c r="C1709" s="1" t="n">
        <v>45472</v>
      </c>
      <c r="D1709" t="inlineStr">
        <is>
          <t>VÄSTERBOTTENS LÄN</t>
        </is>
      </c>
      <c r="E1709" t="inlineStr">
        <is>
          <t>SKELLEFTEÅ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3852-2023</t>
        </is>
      </c>
      <c r="B1710" s="1" t="n">
        <v>44950</v>
      </c>
      <c r="C1710" s="1" t="n">
        <v>45472</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3848-2023</t>
        </is>
      </c>
      <c r="B1711" s="1" t="n">
        <v>44950</v>
      </c>
      <c r="C1711" s="1" t="n">
        <v>45472</v>
      </c>
      <c r="D1711" t="inlineStr">
        <is>
          <t>VÄSTERBOTTENS LÄN</t>
        </is>
      </c>
      <c r="E1711" t="inlineStr">
        <is>
          <t>SKELLEFTEÅ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3744-2023</t>
        </is>
      </c>
      <c r="B1712" s="1" t="n">
        <v>44951</v>
      </c>
      <c r="C1712" s="1" t="n">
        <v>45472</v>
      </c>
      <c r="D1712" t="inlineStr">
        <is>
          <t>VÄSTERBOTTENS LÄN</t>
        </is>
      </c>
      <c r="E1712" t="inlineStr">
        <is>
          <t>SKELLEFTEÅ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4447-2023</t>
        </is>
      </c>
      <c r="B1713" s="1" t="n">
        <v>44951</v>
      </c>
      <c r="C1713" s="1" t="n">
        <v>45472</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4104-2023</t>
        </is>
      </c>
      <c r="B1714" s="1" t="n">
        <v>44952</v>
      </c>
      <c r="C1714" s="1" t="n">
        <v>45472</v>
      </c>
      <c r="D1714" t="inlineStr">
        <is>
          <t>VÄSTERBOTTENS LÄN</t>
        </is>
      </c>
      <c r="E1714" t="inlineStr">
        <is>
          <t>SKELLEFTEÅ</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4031-2023</t>
        </is>
      </c>
      <c r="B1715" s="1" t="n">
        <v>44952</v>
      </c>
      <c r="C1715" s="1" t="n">
        <v>45472</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4102-2023</t>
        </is>
      </c>
      <c r="B1716" s="1" t="n">
        <v>44952</v>
      </c>
      <c r="C1716" s="1" t="n">
        <v>45472</v>
      </c>
      <c r="D1716" t="inlineStr">
        <is>
          <t>VÄSTERBOTTENS LÄN</t>
        </is>
      </c>
      <c r="E1716" t="inlineStr">
        <is>
          <t>SKELLEFTEÅ</t>
        </is>
      </c>
      <c r="F1716" t="inlineStr">
        <is>
          <t>Sveaskog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4458-2023</t>
        </is>
      </c>
      <c r="B1717" s="1" t="n">
        <v>44952</v>
      </c>
      <c r="C1717" s="1" t="n">
        <v>45472</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4453-2023</t>
        </is>
      </c>
      <c r="B1718" s="1" t="n">
        <v>44956</v>
      </c>
      <c r="C1718" s="1" t="n">
        <v>45472</v>
      </c>
      <c r="D1718" t="inlineStr">
        <is>
          <t>VÄSTERBOTTENS LÄN</t>
        </is>
      </c>
      <c r="E1718" t="inlineStr">
        <is>
          <t>SKELLEFTEÅ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4930-2023</t>
        </is>
      </c>
      <c r="B1719" s="1" t="n">
        <v>44956</v>
      </c>
      <c r="C1719" s="1" t="n">
        <v>45472</v>
      </c>
      <c r="D1719" t="inlineStr">
        <is>
          <t>VÄSTERBOTTENS LÄN</t>
        </is>
      </c>
      <c r="E1719" t="inlineStr">
        <is>
          <t>SKELLEFTEÅ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4948-2023</t>
        </is>
      </c>
      <c r="B1720" s="1" t="n">
        <v>44956</v>
      </c>
      <c r="C1720" s="1" t="n">
        <v>45472</v>
      </c>
      <c r="D1720" t="inlineStr">
        <is>
          <t>VÄSTERBOTTENS LÄN</t>
        </is>
      </c>
      <c r="E1720" t="inlineStr">
        <is>
          <t>SKELLEFTEÅ</t>
        </is>
      </c>
      <c r="G1720" t="n">
        <v>21.1</v>
      </c>
      <c r="H1720" t="n">
        <v>0</v>
      </c>
      <c r="I1720" t="n">
        <v>0</v>
      </c>
      <c r="J1720" t="n">
        <v>0</v>
      </c>
      <c r="K1720" t="n">
        <v>0</v>
      </c>
      <c r="L1720" t="n">
        <v>0</v>
      </c>
      <c r="M1720" t="n">
        <v>0</v>
      </c>
      <c r="N1720" t="n">
        <v>0</v>
      </c>
      <c r="O1720" t="n">
        <v>0</v>
      </c>
      <c r="P1720" t="n">
        <v>0</v>
      </c>
      <c r="Q1720" t="n">
        <v>0</v>
      </c>
      <c r="R1720" s="2" t="inlineStr"/>
    </row>
    <row r="1721" ht="15" customHeight="1">
      <c r="A1721" t="inlineStr">
        <is>
          <t>A 4938-2023</t>
        </is>
      </c>
      <c r="B1721" s="1" t="n">
        <v>44956</v>
      </c>
      <c r="C1721" s="1" t="n">
        <v>45472</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4943-2023</t>
        </is>
      </c>
      <c r="B1722" s="1" t="n">
        <v>44956</v>
      </c>
      <c r="C1722" s="1" t="n">
        <v>45472</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4710-2023</t>
        </is>
      </c>
      <c r="B1723" s="1" t="n">
        <v>44957</v>
      </c>
      <c r="C1723" s="1" t="n">
        <v>45472</v>
      </c>
      <c r="D1723" t="inlineStr">
        <is>
          <t>VÄSTERBOTTENS LÄN</t>
        </is>
      </c>
      <c r="E1723" t="inlineStr">
        <is>
          <t>SKELLEFTEÅ</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5416-2023</t>
        </is>
      </c>
      <c r="B1724" s="1" t="n">
        <v>44957</v>
      </c>
      <c r="C1724" s="1" t="n">
        <v>45472</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5481-2023</t>
        </is>
      </c>
      <c r="B1725" s="1" t="n">
        <v>44957</v>
      </c>
      <c r="C1725" s="1" t="n">
        <v>45472</v>
      </c>
      <c r="D1725" t="inlineStr">
        <is>
          <t>VÄSTERBOTTENS LÄN</t>
        </is>
      </c>
      <c r="E1725" t="inlineStr">
        <is>
          <t>SKELLEFTEÅ</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5495-2023</t>
        </is>
      </c>
      <c r="B1726" s="1" t="n">
        <v>44957</v>
      </c>
      <c r="C1726" s="1" t="n">
        <v>45472</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5515-2023</t>
        </is>
      </c>
      <c r="B1727" s="1" t="n">
        <v>44957</v>
      </c>
      <c r="C1727" s="1" t="n">
        <v>45472</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5490-2023</t>
        </is>
      </c>
      <c r="B1728" s="1" t="n">
        <v>44957</v>
      </c>
      <c r="C1728" s="1" t="n">
        <v>45472</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5373-2023</t>
        </is>
      </c>
      <c r="B1729" s="1" t="n">
        <v>44957</v>
      </c>
      <c r="C1729" s="1" t="n">
        <v>45472</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5973-2023</t>
        </is>
      </c>
      <c r="B1730" s="1" t="n">
        <v>44959</v>
      </c>
      <c r="C1730" s="1" t="n">
        <v>45472</v>
      </c>
      <c r="D1730" t="inlineStr">
        <is>
          <t>VÄSTERBOTTENS LÄN</t>
        </is>
      </c>
      <c r="E1730" t="inlineStr">
        <is>
          <t>SKELLEFTEÅ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5996-2023</t>
        </is>
      </c>
      <c r="B1731" s="1" t="n">
        <v>44959</v>
      </c>
      <c r="C1731" s="1" t="n">
        <v>45472</v>
      </c>
      <c r="D1731" t="inlineStr">
        <is>
          <t>VÄSTERBOTTENS LÄN</t>
        </is>
      </c>
      <c r="E1731" t="inlineStr">
        <is>
          <t>SKELLEFTEÅ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6016-2023</t>
        </is>
      </c>
      <c r="B1732" s="1" t="n">
        <v>44959</v>
      </c>
      <c r="C1732" s="1" t="n">
        <v>45472</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5986-2023</t>
        </is>
      </c>
      <c r="B1733" s="1" t="n">
        <v>44959</v>
      </c>
      <c r="C1733" s="1" t="n">
        <v>45472</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5991-2023</t>
        </is>
      </c>
      <c r="B1734" s="1" t="n">
        <v>44959</v>
      </c>
      <c r="C1734" s="1" t="n">
        <v>45472</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6012-2023</t>
        </is>
      </c>
      <c r="B1735" s="1" t="n">
        <v>44959</v>
      </c>
      <c r="C1735" s="1" t="n">
        <v>45472</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5687-2023</t>
        </is>
      </c>
      <c r="B1736" s="1" t="n">
        <v>44960</v>
      </c>
      <c r="C1736" s="1" t="n">
        <v>45472</v>
      </c>
      <c r="D1736" t="inlineStr">
        <is>
          <t>VÄSTERBOTTENS LÄN</t>
        </is>
      </c>
      <c r="E1736" t="inlineStr">
        <is>
          <t>SKELLEFTEÅ</t>
        </is>
      </c>
      <c r="F1736" t="inlineStr">
        <is>
          <t>Sveaskog</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5470-2023</t>
        </is>
      </c>
      <c r="B1737" s="1" t="n">
        <v>44960</v>
      </c>
      <c r="C1737" s="1" t="n">
        <v>45472</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5541-2023</t>
        </is>
      </c>
      <c r="B1738" s="1" t="n">
        <v>44960</v>
      </c>
      <c r="C1738" s="1" t="n">
        <v>45472</v>
      </c>
      <c r="D1738" t="inlineStr">
        <is>
          <t>VÄSTERBOTTENS LÄN</t>
        </is>
      </c>
      <c r="E1738" t="inlineStr">
        <is>
          <t>SKELLEFTEÅ</t>
        </is>
      </c>
      <c r="F1738" t="inlineStr">
        <is>
          <t>Sveaskog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5602-2023</t>
        </is>
      </c>
      <c r="B1739" s="1" t="n">
        <v>44960</v>
      </c>
      <c r="C1739" s="1" t="n">
        <v>45472</v>
      </c>
      <c r="D1739" t="inlineStr">
        <is>
          <t>VÄSTERBOTTENS LÄN</t>
        </is>
      </c>
      <c r="E1739" t="inlineStr">
        <is>
          <t>SKELLEFTEÅ</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5740-2023</t>
        </is>
      </c>
      <c r="B1740" s="1" t="n">
        <v>44962</v>
      </c>
      <c r="C1740" s="1" t="n">
        <v>45472</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5744-2023</t>
        </is>
      </c>
      <c r="B1741" s="1" t="n">
        <v>44962</v>
      </c>
      <c r="C1741" s="1" t="n">
        <v>45472</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5743-2023</t>
        </is>
      </c>
      <c r="B1742" s="1" t="n">
        <v>44962</v>
      </c>
      <c r="C1742" s="1" t="n">
        <v>45472</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5929-2023</t>
        </is>
      </c>
      <c r="B1743" s="1" t="n">
        <v>44963</v>
      </c>
      <c r="C1743" s="1" t="n">
        <v>45472</v>
      </c>
      <c r="D1743" t="inlineStr">
        <is>
          <t>VÄSTERBOTTENS LÄN</t>
        </is>
      </c>
      <c r="E1743" t="inlineStr">
        <is>
          <t>SKELLEFTEÅ</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5959-2023</t>
        </is>
      </c>
      <c r="B1744" s="1" t="n">
        <v>44963</v>
      </c>
      <c r="C1744" s="1" t="n">
        <v>45472</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6596-2023</t>
        </is>
      </c>
      <c r="B1745" s="1" t="n">
        <v>44963</v>
      </c>
      <c r="C1745" s="1" t="n">
        <v>45472</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6656-2023</t>
        </is>
      </c>
      <c r="B1746" s="1" t="n">
        <v>44963</v>
      </c>
      <c r="C1746" s="1" t="n">
        <v>45472</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5965-2023</t>
        </is>
      </c>
      <c r="B1747" s="1" t="n">
        <v>44964</v>
      </c>
      <c r="C1747" s="1" t="n">
        <v>45472</v>
      </c>
      <c r="D1747" t="inlineStr">
        <is>
          <t>VÄSTERBOTTENS LÄN</t>
        </is>
      </c>
      <c r="E1747" t="inlineStr">
        <is>
          <t>SKELLEFTEÅ</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6441-2023</t>
        </is>
      </c>
      <c r="B1748" s="1" t="n">
        <v>44965</v>
      </c>
      <c r="C1748" s="1" t="n">
        <v>45472</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6443-2023</t>
        </is>
      </c>
      <c r="B1749" s="1" t="n">
        <v>44965</v>
      </c>
      <c r="C1749" s="1" t="n">
        <v>45472</v>
      </c>
      <c r="D1749" t="inlineStr">
        <is>
          <t>VÄSTERBOTTENS LÄN</t>
        </is>
      </c>
      <c r="E1749" t="inlineStr">
        <is>
          <t>SKELLEFTEÅ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6442-2023</t>
        </is>
      </c>
      <c r="B1750" s="1" t="n">
        <v>44965</v>
      </c>
      <c r="C1750" s="1" t="n">
        <v>45472</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6450-2023</t>
        </is>
      </c>
      <c r="B1751" s="1" t="n">
        <v>44965</v>
      </c>
      <c r="C1751" s="1" t="n">
        <v>45472</v>
      </c>
      <c r="D1751" t="inlineStr">
        <is>
          <t>VÄSTERBOTTENS LÄN</t>
        </is>
      </c>
      <c r="E1751" t="inlineStr">
        <is>
          <t>SKELLEFTEÅ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6511-2023</t>
        </is>
      </c>
      <c r="B1752" s="1" t="n">
        <v>44966</v>
      </c>
      <c r="C1752" s="1" t="n">
        <v>45472</v>
      </c>
      <c r="D1752" t="inlineStr">
        <is>
          <t>VÄSTERBOTTENS LÄN</t>
        </is>
      </c>
      <c r="E1752" t="inlineStr">
        <is>
          <t>SKELLEFTEÅ</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7023-2023</t>
        </is>
      </c>
      <c r="B1753" s="1" t="n">
        <v>44968</v>
      </c>
      <c r="C1753" s="1" t="n">
        <v>45472</v>
      </c>
      <c r="D1753" t="inlineStr">
        <is>
          <t>VÄSTERBOTTENS LÄN</t>
        </is>
      </c>
      <c r="E1753" t="inlineStr">
        <is>
          <t>SKELLEFTEÅ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7022-2023</t>
        </is>
      </c>
      <c r="B1754" s="1" t="n">
        <v>44968</v>
      </c>
      <c r="C1754" s="1" t="n">
        <v>45472</v>
      </c>
      <c r="D1754" t="inlineStr">
        <is>
          <t>VÄSTERBOTTENS LÄN</t>
        </is>
      </c>
      <c r="E1754" t="inlineStr">
        <is>
          <t>SKELLEFTEÅ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7875-2023</t>
        </is>
      </c>
      <c r="B1755" s="1" t="n">
        <v>44967</v>
      </c>
      <c r="C1755" s="1" t="n">
        <v>45472</v>
      </c>
      <c r="D1755" t="inlineStr">
        <is>
          <t>VÄSTERBOTTENS LÄN</t>
        </is>
      </c>
      <c r="E1755" t="inlineStr">
        <is>
          <t>SKELLEFTEÅ</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7364-2023</t>
        </is>
      </c>
      <c r="B1756" s="1" t="n">
        <v>44971</v>
      </c>
      <c r="C1756" s="1" t="n">
        <v>45472</v>
      </c>
      <c r="D1756" t="inlineStr">
        <is>
          <t>VÄSTERBOTTENS LÄN</t>
        </is>
      </c>
      <c r="E1756" t="inlineStr">
        <is>
          <t>SKELLEFTEÅ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7517-2023</t>
        </is>
      </c>
      <c r="B1757" s="1" t="n">
        <v>44971</v>
      </c>
      <c r="C1757" s="1" t="n">
        <v>45472</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7516-2023</t>
        </is>
      </c>
      <c r="B1758" s="1" t="n">
        <v>44971</v>
      </c>
      <c r="C1758" s="1" t="n">
        <v>45472</v>
      </c>
      <c r="D1758" t="inlineStr">
        <is>
          <t>VÄSTERBOTTENS LÄN</t>
        </is>
      </c>
      <c r="E1758" t="inlineStr">
        <is>
          <t>SKELLEFTEÅ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8206-2023</t>
        </is>
      </c>
      <c r="B1759" s="1" t="n">
        <v>44971</v>
      </c>
      <c r="C1759" s="1" t="n">
        <v>45472</v>
      </c>
      <c r="D1759" t="inlineStr">
        <is>
          <t>VÄSTERBOTTENS LÄN</t>
        </is>
      </c>
      <c r="E1759" t="inlineStr">
        <is>
          <t>SKELLEFTEÅ</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8422-2023</t>
        </is>
      </c>
      <c r="B1760" s="1" t="n">
        <v>44972</v>
      </c>
      <c r="C1760" s="1" t="n">
        <v>45472</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8477-2023</t>
        </is>
      </c>
      <c r="B1761" s="1" t="n">
        <v>44972</v>
      </c>
      <c r="C1761" s="1" t="n">
        <v>45472</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8479-2023</t>
        </is>
      </c>
      <c r="B1762" s="1" t="n">
        <v>44972</v>
      </c>
      <c r="C1762" s="1" t="n">
        <v>45472</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8549-2023</t>
        </is>
      </c>
      <c r="B1763" s="1" t="n">
        <v>44972</v>
      </c>
      <c r="C1763" s="1" t="n">
        <v>45472</v>
      </c>
      <c r="D1763" t="inlineStr">
        <is>
          <t>VÄSTERBOTTENS LÄN</t>
        </is>
      </c>
      <c r="E1763" t="inlineStr">
        <is>
          <t>SKELLEFTEÅ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8480-2023</t>
        </is>
      </c>
      <c r="B1764" s="1" t="n">
        <v>44972</v>
      </c>
      <c r="C1764" s="1" t="n">
        <v>45472</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7712-2023</t>
        </is>
      </c>
      <c r="B1765" s="1" t="n">
        <v>44972</v>
      </c>
      <c r="C1765" s="1" t="n">
        <v>45472</v>
      </c>
      <c r="D1765" t="inlineStr">
        <is>
          <t>VÄSTERBOTTENS LÄN</t>
        </is>
      </c>
      <c r="E1765" t="inlineStr">
        <is>
          <t>SKELLEFTEÅ</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8478-2023</t>
        </is>
      </c>
      <c r="B1766" s="1" t="n">
        <v>44972</v>
      </c>
      <c r="C1766" s="1" t="n">
        <v>45472</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8563-2023</t>
        </is>
      </c>
      <c r="B1767" s="1" t="n">
        <v>44972</v>
      </c>
      <c r="C1767" s="1" t="n">
        <v>45472</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8028-2023</t>
        </is>
      </c>
      <c r="B1768" s="1" t="n">
        <v>44973</v>
      </c>
      <c r="C1768" s="1" t="n">
        <v>45472</v>
      </c>
      <c r="D1768" t="inlineStr">
        <is>
          <t>VÄSTERBOTTENS LÄN</t>
        </is>
      </c>
      <c r="E1768" t="inlineStr">
        <is>
          <t>SKELLEFTEÅ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8029-2023</t>
        </is>
      </c>
      <c r="B1769" s="1" t="n">
        <v>44973</v>
      </c>
      <c r="C1769" s="1" t="n">
        <v>45472</v>
      </c>
      <c r="D1769" t="inlineStr">
        <is>
          <t>VÄSTERBOTTENS LÄN</t>
        </is>
      </c>
      <c r="E1769" t="inlineStr">
        <is>
          <t>SKELLEFTEÅ</t>
        </is>
      </c>
      <c r="F1769" t="inlineStr">
        <is>
          <t>SCA</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8328-2023</t>
        </is>
      </c>
      <c r="B1770" s="1" t="n">
        <v>44974</v>
      </c>
      <c r="C1770" s="1" t="n">
        <v>45472</v>
      </c>
      <c r="D1770" t="inlineStr">
        <is>
          <t>VÄSTERBOTTENS LÄN</t>
        </is>
      </c>
      <c r="E1770" t="inlineStr">
        <is>
          <t>SKELLEFTEÅ</t>
        </is>
      </c>
      <c r="G1770" t="n">
        <v>18.5</v>
      </c>
      <c r="H1770" t="n">
        <v>0</v>
      </c>
      <c r="I1770" t="n">
        <v>0</v>
      </c>
      <c r="J1770" t="n">
        <v>0</v>
      </c>
      <c r="K1770" t="n">
        <v>0</v>
      </c>
      <c r="L1770" t="n">
        <v>0</v>
      </c>
      <c r="M1770" t="n">
        <v>0</v>
      </c>
      <c r="N1770" t="n">
        <v>0</v>
      </c>
      <c r="O1770" t="n">
        <v>0</v>
      </c>
      <c r="P1770" t="n">
        <v>0</v>
      </c>
      <c r="Q1770" t="n">
        <v>0</v>
      </c>
      <c r="R1770" s="2" t="inlineStr"/>
    </row>
    <row r="1771" ht="15" customHeight="1">
      <c r="A1771" t="inlineStr">
        <is>
          <t>A 8930-2023</t>
        </is>
      </c>
      <c r="B1771" s="1" t="n">
        <v>44974</v>
      </c>
      <c r="C1771" s="1" t="n">
        <v>45472</v>
      </c>
      <c r="D1771" t="inlineStr">
        <is>
          <t>VÄSTERBOTTENS LÄN</t>
        </is>
      </c>
      <c r="E1771" t="inlineStr">
        <is>
          <t>SKELLEFTEÅ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8952-2023</t>
        </is>
      </c>
      <c r="B1772" s="1" t="n">
        <v>44974</v>
      </c>
      <c r="C1772" s="1" t="n">
        <v>45472</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8648-2023</t>
        </is>
      </c>
      <c r="B1773" s="1" t="n">
        <v>44978</v>
      </c>
      <c r="C1773" s="1" t="n">
        <v>45472</v>
      </c>
      <c r="D1773" t="inlineStr">
        <is>
          <t>VÄSTERBOTTENS LÄN</t>
        </is>
      </c>
      <c r="E1773" t="inlineStr">
        <is>
          <t>SKELLEFTEÅ</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9624-2023</t>
        </is>
      </c>
      <c r="B1774" s="1" t="n">
        <v>44978</v>
      </c>
      <c r="C1774" s="1" t="n">
        <v>45472</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8801-2023</t>
        </is>
      </c>
      <c r="B1775" s="1" t="n">
        <v>44978</v>
      </c>
      <c r="C1775" s="1" t="n">
        <v>45472</v>
      </c>
      <c r="D1775" t="inlineStr">
        <is>
          <t>VÄSTERBOTTENS LÄN</t>
        </is>
      </c>
      <c r="E1775" t="inlineStr">
        <is>
          <t>SKELLEFTEÅ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9619-2023</t>
        </is>
      </c>
      <c r="B1776" s="1" t="n">
        <v>44978</v>
      </c>
      <c r="C1776" s="1" t="n">
        <v>45472</v>
      </c>
      <c r="D1776" t="inlineStr">
        <is>
          <t>VÄSTERBOTTENS LÄN</t>
        </is>
      </c>
      <c r="E1776" t="inlineStr">
        <is>
          <t>SKELLEFTEÅ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9740-2023</t>
        </is>
      </c>
      <c r="B1777" s="1" t="n">
        <v>44978</v>
      </c>
      <c r="C1777" s="1" t="n">
        <v>45472</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9027-2023</t>
        </is>
      </c>
      <c r="B1778" s="1" t="n">
        <v>44979</v>
      </c>
      <c r="C1778" s="1" t="n">
        <v>45472</v>
      </c>
      <c r="D1778" t="inlineStr">
        <is>
          <t>VÄSTERBOTTENS LÄN</t>
        </is>
      </c>
      <c r="E1778" t="inlineStr">
        <is>
          <t>SKELLEFTEÅ</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9078-2023</t>
        </is>
      </c>
      <c r="B1779" s="1" t="n">
        <v>44979</v>
      </c>
      <c r="C1779" s="1" t="n">
        <v>45472</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9080-2023</t>
        </is>
      </c>
      <c r="B1780" s="1" t="n">
        <v>44979</v>
      </c>
      <c r="C1780" s="1" t="n">
        <v>45472</v>
      </c>
      <c r="D1780" t="inlineStr">
        <is>
          <t>VÄSTERBOTTENS LÄN</t>
        </is>
      </c>
      <c r="E1780" t="inlineStr">
        <is>
          <t>SKELLEFTEÅ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9980-2023</t>
        </is>
      </c>
      <c r="B1781" s="1" t="n">
        <v>44979</v>
      </c>
      <c r="C1781" s="1" t="n">
        <v>45472</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9079-2023</t>
        </is>
      </c>
      <c r="B1782" s="1" t="n">
        <v>44979</v>
      </c>
      <c r="C1782" s="1" t="n">
        <v>45472</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9982-2023</t>
        </is>
      </c>
      <c r="B1783" s="1" t="n">
        <v>44979</v>
      </c>
      <c r="C1783" s="1" t="n">
        <v>45472</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10172-2023</t>
        </is>
      </c>
      <c r="B1784" s="1" t="n">
        <v>44979</v>
      </c>
      <c r="C1784" s="1" t="n">
        <v>45472</v>
      </c>
      <c r="D1784" t="inlineStr">
        <is>
          <t>VÄSTERBOTTENS LÄN</t>
        </is>
      </c>
      <c r="E1784" t="inlineStr">
        <is>
          <t>SKELLEFTEÅ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9209-2023</t>
        </is>
      </c>
      <c r="B1785" s="1" t="n">
        <v>44980</v>
      </c>
      <c r="C1785" s="1" t="n">
        <v>45472</v>
      </c>
      <c r="D1785" t="inlineStr">
        <is>
          <t>VÄSTERBOTTENS LÄN</t>
        </is>
      </c>
      <c r="E1785" t="inlineStr">
        <is>
          <t>SKELLEFTEÅ</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9343-2023</t>
        </is>
      </c>
      <c r="B1786" s="1" t="n">
        <v>44980</v>
      </c>
      <c r="C1786" s="1" t="n">
        <v>45472</v>
      </c>
      <c r="D1786" t="inlineStr">
        <is>
          <t>VÄSTERBOTTENS LÄN</t>
        </is>
      </c>
      <c r="E1786" t="inlineStr">
        <is>
          <t>SKELLEFTEÅ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9342-2023</t>
        </is>
      </c>
      <c r="B1787" s="1" t="n">
        <v>44980</v>
      </c>
      <c r="C1787" s="1" t="n">
        <v>45472</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9345-2023</t>
        </is>
      </c>
      <c r="B1788" s="1" t="n">
        <v>44980</v>
      </c>
      <c r="C1788" s="1" t="n">
        <v>45472</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9402-2023</t>
        </is>
      </c>
      <c r="B1789" s="1" t="n">
        <v>44981</v>
      </c>
      <c r="C1789" s="1" t="n">
        <v>45472</v>
      </c>
      <c r="D1789" t="inlineStr">
        <is>
          <t>VÄSTERBOTTENS LÄN</t>
        </is>
      </c>
      <c r="E1789" t="inlineStr">
        <is>
          <t>SKELLEFTEÅ</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9463-2023</t>
        </is>
      </c>
      <c r="B1790" s="1" t="n">
        <v>44981</v>
      </c>
      <c r="C1790" s="1" t="n">
        <v>45472</v>
      </c>
      <c r="D1790" t="inlineStr">
        <is>
          <t>VÄSTERBOTTENS LÄN</t>
        </is>
      </c>
      <c r="E1790" t="inlineStr">
        <is>
          <t>SKELLEFTEÅ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10568-2023</t>
        </is>
      </c>
      <c r="B1791" s="1" t="n">
        <v>44981</v>
      </c>
      <c r="C1791" s="1" t="n">
        <v>45472</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10567-2023</t>
        </is>
      </c>
      <c r="B1792" s="1" t="n">
        <v>44981</v>
      </c>
      <c r="C1792" s="1" t="n">
        <v>45472</v>
      </c>
      <c r="D1792" t="inlineStr">
        <is>
          <t>VÄSTERBOTTENS LÄN</t>
        </is>
      </c>
      <c r="E1792" t="inlineStr">
        <is>
          <t>SKELLEFTEÅ</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10570-2023</t>
        </is>
      </c>
      <c r="B1793" s="1" t="n">
        <v>44981</v>
      </c>
      <c r="C1793" s="1" t="n">
        <v>45472</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10696-2023</t>
        </is>
      </c>
      <c r="B1794" s="1" t="n">
        <v>44984</v>
      </c>
      <c r="C1794" s="1" t="n">
        <v>45472</v>
      </c>
      <c r="D1794" t="inlineStr">
        <is>
          <t>VÄSTERBOTTENS LÄN</t>
        </is>
      </c>
      <c r="E1794" t="inlineStr">
        <is>
          <t>SKELLEFTEÅ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10647-2023</t>
        </is>
      </c>
      <c r="B1795" s="1" t="n">
        <v>44984</v>
      </c>
      <c r="C1795" s="1" t="n">
        <v>45472</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10072-2023</t>
        </is>
      </c>
      <c r="B1796" s="1" t="n">
        <v>44985</v>
      </c>
      <c r="C1796" s="1" t="n">
        <v>45472</v>
      </c>
      <c r="D1796" t="inlineStr">
        <is>
          <t>VÄSTERBOTTENS LÄN</t>
        </is>
      </c>
      <c r="E1796" t="inlineStr">
        <is>
          <t>SKELLEFTEÅ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10073-2023</t>
        </is>
      </c>
      <c r="B1797" s="1" t="n">
        <v>44985</v>
      </c>
      <c r="C1797" s="1" t="n">
        <v>45472</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10840-2023</t>
        </is>
      </c>
      <c r="B1798" s="1" t="n">
        <v>44985</v>
      </c>
      <c r="C1798" s="1" t="n">
        <v>45472</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10846-2023</t>
        </is>
      </c>
      <c r="B1799" s="1" t="n">
        <v>44985</v>
      </c>
      <c r="C1799" s="1" t="n">
        <v>45472</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10852-2023</t>
        </is>
      </c>
      <c r="B1800" s="1" t="n">
        <v>44985</v>
      </c>
      <c r="C1800" s="1" t="n">
        <v>45472</v>
      </c>
      <c r="D1800" t="inlineStr">
        <is>
          <t>VÄSTERBOTTENS LÄN</t>
        </is>
      </c>
      <c r="E1800" t="inlineStr">
        <is>
          <t>SKELLEFTEÅ</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10291-2023</t>
        </is>
      </c>
      <c r="B1801" s="1" t="n">
        <v>44986</v>
      </c>
      <c r="C1801" s="1" t="n">
        <v>45472</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11030-2023</t>
        </is>
      </c>
      <c r="B1802" s="1" t="n">
        <v>44991</v>
      </c>
      <c r="C1802" s="1" t="n">
        <v>45472</v>
      </c>
      <c r="D1802" t="inlineStr">
        <is>
          <t>VÄSTERBOTTENS LÄN</t>
        </is>
      </c>
      <c r="E1802" t="inlineStr">
        <is>
          <t>SKELLEFTEÅ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11028-2023</t>
        </is>
      </c>
      <c r="B1803" s="1" t="n">
        <v>44991</v>
      </c>
      <c r="C1803" s="1" t="n">
        <v>45472</v>
      </c>
      <c r="D1803" t="inlineStr">
        <is>
          <t>VÄSTERBOTTENS LÄN</t>
        </is>
      </c>
      <c r="E1803" t="inlineStr">
        <is>
          <t>SKELLEFTEÅ</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11031-2023</t>
        </is>
      </c>
      <c r="B1804" s="1" t="n">
        <v>44991</v>
      </c>
      <c r="C1804" s="1" t="n">
        <v>45472</v>
      </c>
      <c r="D1804" t="inlineStr">
        <is>
          <t>VÄSTERBOTTENS LÄN</t>
        </is>
      </c>
      <c r="E1804" t="inlineStr">
        <is>
          <t>SKELLEFTEÅ</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11029-2023</t>
        </is>
      </c>
      <c r="B1805" s="1" t="n">
        <v>44991</v>
      </c>
      <c r="C1805" s="1" t="n">
        <v>45472</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11707-2023</t>
        </is>
      </c>
      <c r="B1806" s="1" t="n">
        <v>44992</v>
      </c>
      <c r="C1806" s="1" t="n">
        <v>45472</v>
      </c>
      <c r="D1806" t="inlineStr">
        <is>
          <t>VÄSTERBOTTENS LÄN</t>
        </is>
      </c>
      <c r="E1806" t="inlineStr">
        <is>
          <t>SKELLEFTEÅ</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11377-2023</t>
        </is>
      </c>
      <c r="B1807" s="1" t="n">
        <v>44993</v>
      </c>
      <c r="C1807" s="1" t="n">
        <v>45472</v>
      </c>
      <c r="D1807" t="inlineStr">
        <is>
          <t>VÄSTERBOTTENS LÄN</t>
        </is>
      </c>
      <c r="E1807" t="inlineStr">
        <is>
          <t>SKELLEFTEÅ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11339-2023</t>
        </is>
      </c>
      <c r="B1808" s="1" t="n">
        <v>44993</v>
      </c>
      <c r="C1808" s="1" t="n">
        <v>45472</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11624-2023</t>
        </is>
      </c>
      <c r="B1809" s="1" t="n">
        <v>44994</v>
      </c>
      <c r="C1809" s="1" t="n">
        <v>45472</v>
      </c>
      <c r="D1809" t="inlineStr">
        <is>
          <t>VÄSTERBOTTENS LÄN</t>
        </is>
      </c>
      <c r="E1809" t="inlineStr">
        <is>
          <t>SKELLEFTEÅ</t>
        </is>
      </c>
      <c r="G1809" t="n">
        <v>47.6</v>
      </c>
      <c r="H1809" t="n">
        <v>0</v>
      </c>
      <c r="I1809" t="n">
        <v>0</v>
      </c>
      <c r="J1809" t="n">
        <v>0</v>
      </c>
      <c r="K1809" t="n">
        <v>0</v>
      </c>
      <c r="L1809" t="n">
        <v>0</v>
      </c>
      <c r="M1809" t="n">
        <v>0</v>
      </c>
      <c r="N1809" t="n">
        <v>0</v>
      </c>
      <c r="O1809" t="n">
        <v>0</v>
      </c>
      <c r="P1809" t="n">
        <v>0</v>
      </c>
      <c r="Q1809" t="n">
        <v>0</v>
      </c>
      <c r="R1809" s="2" t="inlineStr"/>
    </row>
    <row r="1810" ht="15" customHeight="1">
      <c r="A1810" t="inlineStr">
        <is>
          <t>A 11629-2023</t>
        </is>
      </c>
      <c r="B1810" s="1" t="n">
        <v>44994</v>
      </c>
      <c r="C1810" s="1" t="n">
        <v>45472</v>
      </c>
      <c r="D1810" t="inlineStr">
        <is>
          <t>VÄSTERBOTTENS LÄN</t>
        </is>
      </c>
      <c r="E1810" t="inlineStr">
        <is>
          <t>SKELLEFTEÅ</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11638-2023</t>
        </is>
      </c>
      <c r="B1811" s="1" t="n">
        <v>44994</v>
      </c>
      <c r="C1811" s="1" t="n">
        <v>45472</v>
      </c>
      <c r="D1811" t="inlineStr">
        <is>
          <t>VÄSTERBOTTENS LÄN</t>
        </is>
      </c>
      <c r="E1811" t="inlineStr">
        <is>
          <t>SKELLEFTEÅ</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11642-2023</t>
        </is>
      </c>
      <c r="B1812" s="1" t="n">
        <v>44994</v>
      </c>
      <c r="C1812" s="1" t="n">
        <v>45472</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11771-2023</t>
        </is>
      </c>
      <c r="B1813" s="1" t="n">
        <v>44994</v>
      </c>
      <c r="C1813" s="1" t="n">
        <v>45472</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11973-2023</t>
        </is>
      </c>
      <c r="B1814" s="1" t="n">
        <v>44994</v>
      </c>
      <c r="C1814" s="1" t="n">
        <v>45472</v>
      </c>
      <c r="D1814" t="inlineStr">
        <is>
          <t>VÄSTERBOTTENS LÄN</t>
        </is>
      </c>
      <c r="E1814" t="inlineStr">
        <is>
          <t>SKELLEFTEÅ</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11963-2023</t>
        </is>
      </c>
      <c r="B1815" s="1" t="n">
        <v>44994</v>
      </c>
      <c r="C1815" s="1" t="n">
        <v>45472</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11989-2023</t>
        </is>
      </c>
      <c r="B1816" s="1" t="n">
        <v>44994</v>
      </c>
      <c r="C1816" s="1" t="n">
        <v>45472</v>
      </c>
      <c r="D1816" t="inlineStr">
        <is>
          <t>VÄSTERBOTTENS LÄN</t>
        </is>
      </c>
      <c r="E1816" t="inlineStr">
        <is>
          <t>SKELLEFTEÅ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11995-2023</t>
        </is>
      </c>
      <c r="B1817" s="1" t="n">
        <v>44994</v>
      </c>
      <c r="C1817" s="1" t="n">
        <v>45472</v>
      </c>
      <c r="D1817" t="inlineStr">
        <is>
          <t>VÄSTERBOTTENS LÄN</t>
        </is>
      </c>
      <c r="E1817" t="inlineStr">
        <is>
          <t>SKELLEFTEÅ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11942-2023</t>
        </is>
      </c>
      <c r="B1818" s="1" t="n">
        <v>44995</v>
      </c>
      <c r="C1818" s="1" t="n">
        <v>45472</v>
      </c>
      <c r="D1818" t="inlineStr">
        <is>
          <t>VÄSTERBOTTENS LÄN</t>
        </is>
      </c>
      <c r="E1818" t="inlineStr">
        <is>
          <t>SKELLEFTEÅ</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12017-2023</t>
        </is>
      </c>
      <c r="B1819" s="1" t="n">
        <v>44995</v>
      </c>
      <c r="C1819" s="1" t="n">
        <v>45472</v>
      </c>
      <c r="D1819" t="inlineStr">
        <is>
          <t>VÄSTERBOTTENS LÄN</t>
        </is>
      </c>
      <c r="E1819" t="inlineStr">
        <is>
          <t>SKELLEFTEÅ</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11945-2023</t>
        </is>
      </c>
      <c r="B1820" s="1" t="n">
        <v>44995</v>
      </c>
      <c r="C1820" s="1" t="n">
        <v>45472</v>
      </c>
      <c r="D1820" t="inlineStr">
        <is>
          <t>VÄSTERBOTTENS LÄN</t>
        </is>
      </c>
      <c r="E1820" t="inlineStr">
        <is>
          <t>SKELLEFTEÅ</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12137-2023</t>
        </is>
      </c>
      <c r="B1821" s="1" t="n">
        <v>44995</v>
      </c>
      <c r="C1821" s="1" t="n">
        <v>45472</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12019-2023</t>
        </is>
      </c>
      <c r="B1822" s="1" t="n">
        <v>44995</v>
      </c>
      <c r="C1822" s="1" t="n">
        <v>45472</v>
      </c>
      <c r="D1822" t="inlineStr">
        <is>
          <t>VÄSTERBOTTENS LÄN</t>
        </is>
      </c>
      <c r="E1822" t="inlineStr">
        <is>
          <t>SKELLEFTEÅ</t>
        </is>
      </c>
      <c r="F1822" t="inlineStr">
        <is>
          <t>Sveaskog</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12033-2023</t>
        </is>
      </c>
      <c r="B1823" s="1" t="n">
        <v>44995</v>
      </c>
      <c r="C1823" s="1" t="n">
        <v>45472</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12032-2023</t>
        </is>
      </c>
      <c r="B1824" s="1" t="n">
        <v>44995</v>
      </c>
      <c r="C1824" s="1" t="n">
        <v>45472</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12366-2023</t>
        </is>
      </c>
      <c r="B1825" s="1" t="n">
        <v>44998</v>
      </c>
      <c r="C1825" s="1" t="n">
        <v>45472</v>
      </c>
      <c r="D1825" t="inlineStr">
        <is>
          <t>VÄSTERBOTTENS LÄN</t>
        </is>
      </c>
      <c r="E1825" t="inlineStr">
        <is>
          <t>SKELLEFTEÅ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12392-2023</t>
        </is>
      </c>
      <c r="B1826" s="1" t="n">
        <v>44998</v>
      </c>
      <c r="C1826" s="1" t="n">
        <v>45472</v>
      </c>
      <c r="D1826" t="inlineStr">
        <is>
          <t>VÄSTERBOTTENS LÄN</t>
        </is>
      </c>
      <c r="E1826" t="inlineStr">
        <is>
          <t>SKELLEFTEÅ</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12728-2023</t>
        </is>
      </c>
      <c r="B1827" s="1" t="n">
        <v>45000</v>
      </c>
      <c r="C1827" s="1" t="n">
        <v>45472</v>
      </c>
      <c r="D1827" t="inlineStr">
        <is>
          <t>VÄSTERBOTTENS LÄN</t>
        </is>
      </c>
      <c r="E1827" t="inlineStr">
        <is>
          <t>SKELLEFTEÅ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12601-2023</t>
        </is>
      </c>
      <c r="B1828" s="1" t="n">
        <v>45000</v>
      </c>
      <c r="C1828" s="1" t="n">
        <v>45472</v>
      </c>
      <c r="D1828" t="inlineStr">
        <is>
          <t>VÄSTERBOTTENS LÄN</t>
        </is>
      </c>
      <c r="E1828" t="inlineStr">
        <is>
          <t>SKELLEFTEÅ</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12648-2023</t>
        </is>
      </c>
      <c r="B1829" s="1" t="n">
        <v>45000</v>
      </c>
      <c r="C1829" s="1" t="n">
        <v>45472</v>
      </c>
      <c r="D1829" t="inlineStr">
        <is>
          <t>VÄSTERBOTTENS LÄN</t>
        </is>
      </c>
      <c r="E1829" t="inlineStr">
        <is>
          <t>SKELLEFTEÅ</t>
        </is>
      </c>
      <c r="F1829" t="inlineStr">
        <is>
          <t>Holmen skog AB</t>
        </is>
      </c>
      <c r="G1829" t="n">
        <v>14.6</v>
      </c>
      <c r="H1829" t="n">
        <v>0</v>
      </c>
      <c r="I1829" t="n">
        <v>0</v>
      </c>
      <c r="J1829" t="n">
        <v>0</v>
      </c>
      <c r="K1829" t="n">
        <v>0</v>
      </c>
      <c r="L1829" t="n">
        <v>0</v>
      </c>
      <c r="M1829" t="n">
        <v>0</v>
      </c>
      <c r="N1829" t="n">
        <v>0</v>
      </c>
      <c r="O1829" t="n">
        <v>0</v>
      </c>
      <c r="P1829" t="n">
        <v>0</v>
      </c>
      <c r="Q1829" t="n">
        <v>0</v>
      </c>
      <c r="R1829" s="2" t="inlineStr"/>
    </row>
    <row r="1830" ht="15" customHeight="1">
      <c r="A1830" t="inlineStr">
        <is>
          <t>A 12803-2023</t>
        </is>
      </c>
      <c r="B1830" s="1" t="n">
        <v>45000</v>
      </c>
      <c r="C1830" s="1" t="n">
        <v>45472</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13149-2023</t>
        </is>
      </c>
      <c r="B1831" s="1" t="n">
        <v>45002</v>
      </c>
      <c r="C1831" s="1" t="n">
        <v>45472</v>
      </c>
      <c r="D1831" t="inlineStr">
        <is>
          <t>VÄSTERBOTTENS LÄN</t>
        </is>
      </c>
      <c r="E1831" t="inlineStr">
        <is>
          <t>SKELLEFTEÅ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13312-2023</t>
        </is>
      </c>
      <c r="B1832" s="1" t="n">
        <v>45005</v>
      </c>
      <c r="C1832" s="1" t="n">
        <v>45472</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13470-2023</t>
        </is>
      </c>
      <c r="B1833" s="1" t="n">
        <v>45005</v>
      </c>
      <c r="C1833" s="1" t="n">
        <v>45472</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13375-2023</t>
        </is>
      </c>
      <c r="B1834" s="1" t="n">
        <v>45005</v>
      </c>
      <c r="C1834" s="1" t="n">
        <v>45472</v>
      </c>
      <c r="D1834" t="inlineStr">
        <is>
          <t>VÄSTERBOTTENS LÄN</t>
        </is>
      </c>
      <c r="E1834" t="inlineStr">
        <is>
          <t>SKELLEFTEÅ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13641-2023</t>
        </is>
      </c>
      <c r="B1835" s="1" t="n">
        <v>45006</v>
      </c>
      <c r="C1835" s="1" t="n">
        <v>45472</v>
      </c>
      <c r="D1835" t="inlineStr">
        <is>
          <t>VÄSTERBOTTENS LÄN</t>
        </is>
      </c>
      <c r="E1835" t="inlineStr">
        <is>
          <t>SKELLEFTEÅ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14066-2023</t>
        </is>
      </c>
      <c r="B1836" s="1" t="n">
        <v>45008</v>
      </c>
      <c r="C1836" s="1" t="n">
        <v>45472</v>
      </c>
      <c r="D1836" t="inlineStr">
        <is>
          <t>VÄSTERBOTTENS LÄN</t>
        </is>
      </c>
      <c r="E1836" t="inlineStr">
        <is>
          <t>SKELLEFTEÅ</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14197-2023</t>
        </is>
      </c>
      <c r="B1837" s="1" t="n">
        <v>45009</v>
      </c>
      <c r="C1837" s="1" t="n">
        <v>45472</v>
      </c>
      <c r="D1837" t="inlineStr">
        <is>
          <t>VÄSTERBOTTENS LÄN</t>
        </is>
      </c>
      <c r="E1837" t="inlineStr">
        <is>
          <t>SKELLEFTEÅ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14089-2023</t>
        </is>
      </c>
      <c r="B1838" s="1" t="n">
        <v>45009</v>
      </c>
      <c r="C1838" s="1" t="n">
        <v>45472</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14332-2023</t>
        </is>
      </c>
      <c r="B1839" s="1" t="n">
        <v>45009</v>
      </c>
      <c r="C1839" s="1" t="n">
        <v>45472</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14341-2023</t>
        </is>
      </c>
      <c r="B1840" s="1" t="n">
        <v>45009</v>
      </c>
      <c r="C1840" s="1" t="n">
        <v>45472</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14351-2023</t>
        </is>
      </c>
      <c r="B1841" s="1" t="n">
        <v>45009</v>
      </c>
      <c r="C1841" s="1" t="n">
        <v>45472</v>
      </c>
      <c r="D1841" t="inlineStr">
        <is>
          <t>VÄSTERBOTTENS LÄN</t>
        </is>
      </c>
      <c r="E1841" t="inlineStr">
        <is>
          <t>SKELLEFTEÅ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14458-2023</t>
        </is>
      </c>
      <c r="B1842" s="1" t="n">
        <v>45012</v>
      </c>
      <c r="C1842" s="1" t="n">
        <v>45472</v>
      </c>
      <c r="D1842" t="inlineStr">
        <is>
          <t>VÄSTERBOTTENS LÄN</t>
        </is>
      </c>
      <c r="E1842" t="inlineStr">
        <is>
          <t>SKELLEFTEÅ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14697-2023</t>
        </is>
      </c>
      <c r="B1843" s="1" t="n">
        <v>45012</v>
      </c>
      <c r="C1843" s="1" t="n">
        <v>45472</v>
      </c>
      <c r="D1843" t="inlineStr">
        <is>
          <t>VÄSTERBOTTENS LÄN</t>
        </is>
      </c>
      <c r="E1843" t="inlineStr">
        <is>
          <t>SKELLEFTEÅ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14705-2023</t>
        </is>
      </c>
      <c r="B1844" s="1" t="n">
        <v>45012</v>
      </c>
      <c r="C1844" s="1" t="n">
        <v>45472</v>
      </c>
      <c r="D1844" t="inlineStr">
        <is>
          <t>VÄSTERBOTTENS LÄN</t>
        </is>
      </c>
      <c r="E1844" t="inlineStr">
        <is>
          <t>SKELLEFTEÅ</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14902-2023</t>
        </is>
      </c>
      <c r="B1845" s="1" t="n">
        <v>45014</v>
      </c>
      <c r="C1845" s="1" t="n">
        <v>45472</v>
      </c>
      <c r="D1845" t="inlineStr">
        <is>
          <t>VÄSTERBOTTENS LÄN</t>
        </is>
      </c>
      <c r="E1845" t="inlineStr">
        <is>
          <t>SKELLEFTEÅ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14992-2023</t>
        </is>
      </c>
      <c r="B1846" s="1" t="n">
        <v>45014</v>
      </c>
      <c r="C1846" s="1" t="n">
        <v>45472</v>
      </c>
      <c r="D1846" t="inlineStr">
        <is>
          <t>VÄSTERBOTTENS LÄN</t>
        </is>
      </c>
      <c r="E1846" t="inlineStr">
        <is>
          <t>SKELLEFTEÅ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14983-2023</t>
        </is>
      </c>
      <c r="B1847" s="1" t="n">
        <v>45014</v>
      </c>
      <c r="C1847" s="1" t="n">
        <v>45472</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14998-2023</t>
        </is>
      </c>
      <c r="B1848" s="1" t="n">
        <v>45015</v>
      </c>
      <c r="C1848" s="1" t="n">
        <v>45472</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15155-2023</t>
        </is>
      </c>
      <c r="B1849" s="1" t="n">
        <v>45016</v>
      </c>
      <c r="C1849" s="1" t="n">
        <v>45472</v>
      </c>
      <c r="D1849" t="inlineStr">
        <is>
          <t>VÄSTERBOTTENS LÄN</t>
        </is>
      </c>
      <c r="E1849" t="inlineStr">
        <is>
          <t>SKELLEFTEÅ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15327-2023</t>
        </is>
      </c>
      <c r="B1850" s="1" t="n">
        <v>45016</v>
      </c>
      <c r="C1850" s="1" t="n">
        <v>45472</v>
      </c>
      <c r="D1850" t="inlineStr">
        <is>
          <t>VÄSTERBOTTENS LÄN</t>
        </is>
      </c>
      <c r="E1850" t="inlineStr">
        <is>
          <t>SKELLEFTEÅ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15332-2023</t>
        </is>
      </c>
      <c r="B1851" s="1" t="n">
        <v>45016</v>
      </c>
      <c r="C1851" s="1" t="n">
        <v>45472</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15405-2023</t>
        </is>
      </c>
      <c r="B1852" s="1" t="n">
        <v>45019</v>
      </c>
      <c r="C1852" s="1" t="n">
        <v>45472</v>
      </c>
      <c r="D1852" t="inlineStr">
        <is>
          <t>VÄSTERBOTTENS LÄN</t>
        </is>
      </c>
      <c r="E1852" t="inlineStr">
        <is>
          <t>SKELLEFTEÅ</t>
        </is>
      </c>
      <c r="F1852" t="inlineStr">
        <is>
          <t>Holmen skog AB</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15593-2023</t>
        </is>
      </c>
      <c r="B1853" s="1" t="n">
        <v>45019</v>
      </c>
      <c r="C1853" s="1" t="n">
        <v>45472</v>
      </c>
      <c r="D1853" t="inlineStr">
        <is>
          <t>VÄSTERBOTTENS LÄN</t>
        </is>
      </c>
      <c r="E1853" t="inlineStr">
        <is>
          <t>SKELLEFTEÅ</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15536-2023</t>
        </is>
      </c>
      <c r="B1854" s="1" t="n">
        <v>45020</v>
      </c>
      <c r="C1854" s="1" t="n">
        <v>45472</v>
      </c>
      <c r="D1854" t="inlineStr">
        <is>
          <t>VÄSTERBOTTENS LÄN</t>
        </is>
      </c>
      <c r="E1854" t="inlineStr">
        <is>
          <t>SKELLEFTEÅ</t>
        </is>
      </c>
      <c r="F1854" t="inlineStr">
        <is>
          <t>Sveaskog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15479-2023</t>
        </is>
      </c>
      <c r="B1855" s="1" t="n">
        <v>45020</v>
      </c>
      <c r="C1855" s="1" t="n">
        <v>45472</v>
      </c>
      <c r="D1855" t="inlineStr">
        <is>
          <t>VÄSTERBOTTENS LÄN</t>
        </is>
      </c>
      <c r="E1855" t="inlineStr">
        <is>
          <t>SKELLEFTEÅ</t>
        </is>
      </c>
      <c r="F1855" t="inlineStr">
        <is>
          <t>Sveaskog</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15709-2023</t>
        </is>
      </c>
      <c r="B1856" s="1" t="n">
        <v>45020</v>
      </c>
      <c r="C1856" s="1" t="n">
        <v>45472</v>
      </c>
      <c r="D1856" t="inlineStr">
        <is>
          <t>VÄSTERBOTTENS LÄN</t>
        </is>
      </c>
      <c r="E1856" t="inlineStr">
        <is>
          <t>SKELLEFTEÅ</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15732-2023</t>
        </is>
      </c>
      <c r="B1857" s="1" t="n">
        <v>45020</v>
      </c>
      <c r="C1857" s="1" t="n">
        <v>45472</v>
      </c>
      <c r="D1857" t="inlineStr">
        <is>
          <t>VÄSTERBOTTENS LÄN</t>
        </is>
      </c>
      <c r="E1857" t="inlineStr">
        <is>
          <t>SKELLEFTEÅ</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15570-2023</t>
        </is>
      </c>
      <c r="B1858" s="1" t="n">
        <v>45020</v>
      </c>
      <c r="C1858" s="1" t="n">
        <v>45472</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15717-2023</t>
        </is>
      </c>
      <c r="B1859" s="1" t="n">
        <v>45020</v>
      </c>
      <c r="C1859" s="1" t="n">
        <v>45472</v>
      </c>
      <c r="D1859" t="inlineStr">
        <is>
          <t>VÄSTERBOTTENS LÄN</t>
        </is>
      </c>
      <c r="E1859" t="inlineStr">
        <is>
          <t>SKELLEFTEÅ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15706-2023</t>
        </is>
      </c>
      <c r="B1860" s="1" t="n">
        <v>45020</v>
      </c>
      <c r="C1860" s="1" t="n">
        <v>45472</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15806-2023</t>
        </is>
      </c>
      <c r="B1861" s="1" t="n">
        <v>45021</v>
      </c>
      <c r="C1861" s="1" t="n">
        <v>45472</v>
      </c>
      <c r="D1861" t="inlineStr">
        <is>
          <t>VÄSTERBOTTENS LÄN</t>
        </is>
      </c>
      <c r="E1861" t="inlineStr">
        <is>
          <t>SKELLEFTEÅ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15825-2023</t>
        </is>
      </c>
      <c r="B1862" s="1" t="n">
        <v>45022</v>
      </c>
      <c r="C1862" s="1" t="n">
        <v>45472</v>
      </c>
      <c r="D1862" t="inlineStr">
        <is>
          <t>VÄSTERBOTTENS LÄN</t>
        </is>
      </c>
      <c r="E1862" t="inlineStr">
        <is>
          <t>SKELLEFTEÅ</t>
        </is>
      </c>
      <c r="F1862" t="inlineStr">
        <is>
          <t>SCA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15899-2023</t>
        </is>
      </c>
      <c r="B1863" s="1" t="n">
        <v>45021</v>
      </c>
      <c r="C1863" s="1" t="n">
        <v>45472</v>
      </c>
      <c r="D1863" t="inlineStr">
        <is>
          <t>VÄSTERBOTTENS LÄN</t>
        </is>
      </c>
      <c r="E1863" t="inlineStr">
        <is>
          <t>SKELLEFTEÅ</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15903-2023</t>
        </is>
      </c>
      <c r="B1864" s="1" t="n">
        <v>45021</v>
      </c>
      <c r="C1864" s="1" t="n">
        <v>45472</v>
      </c>
      <c r="D1864" t="inlineStr">
        <is>
          <t>VÄSTERBOTTENS LÄN</t>
        </is>
      </c>
      <c r="E1864" t="inlineStr">
        <is>
          <t>SKELLEFTEÅ</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15906-2023</t>
        </is>
      </c>
      <c r="B1865" s="1" t="n">
        <v>45021</v>
      </c>
      <c r="C1865" s="1" t="n">
        <v>45472</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16027-2023</t>
        </is>
      </c>
      <c r="B1866" s="1" t="n">
        <v>45027</v>
      </c>
      <c r="C1866" s="1" t="n">
        <v>45472</v>
      </c>
      <c r="D1866" t="inlineStr">
        <is>
          <t>VÄSTERBOTTENS LÄN</t>
        </is>
      </c>
      <c r="E1866" t="inlineStr">
        <is>
          <t>SKELLEFTEÅ</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16183-2023</t>
        </is>
      </c>
      <c r="B1867" s="1" t="n">
        <v>45027</v>
      </c>
      <c r="C1867" s="1" t="n">
        <v>45472</v>
      </c>
      <c r="D1867" t="inlineStr">
        <is>
          <t>VÄSTERBOTTENS LÄN</t>
        </is>
      </c>
      <c r="E1867" t="inlineStr">
        <is>
          <t>SKELLEFTEÅ</t>
        </is>
      </c>
      <c r="G1867" t="n">
        <v>24.7</v>
      </c>
      <c r="H1867" t="n">
        <v>0</v>
      </c>
      <c r="I1867" t="n">
        <v>0</v>
      </c>
      <c r="J1867" t="n">
        <v>0</v>
      </c>
      <c r="K1867" t="n">
        <v>0</v>
      </c>
      <c r="L1867" t="n">
        <v>0</v>
      </c>
      <c r="M1867" t="n">
        <v>0</v>
      </c>
      <c r="N1867" t="n">
        <v>0</v>
      </c>
      <c r="O1867" t="n">
        <v>0</v>
      </c>
      <c r="P1867" t="n">
        <v>0</v>
      </c>
      <c r="Q1867" t="n">
        <v>0</v>
      </c>
      <c r="R1867" s="2" t="inlineStr"/>
    </row>
    <row r="1868" ht="15" customHeight="1">
      <c r="A1868" t="inlineStr">
        <is>
          <t>A 16186-2023</t>
        </is>
      </c>
      <c r="B1868" s="1" t="n">
        <v>45028</v>
      </c>
      <c r="C1868" s="1" t="n">
        <v>45472</v>
      </c>
      <c r="D1868" t="inlineStr">
        <is>
          <t>VÄSTERBOTTENS LÄN</t>
        </is>
      </c>
      <c r="E1868" t="inlineStr">
        <is>
          <t>SKELLEFTEÅ</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16239-2023</t>
        </is>
      </c>
      <c r="B1869" s="1" t="n">
        <v>45028</v>
      </c>
      <c r="C1869" s="1" t="n">
        <v>45472</v>
      </c>
      <c r="D1869" t="inlineStr">
        <is>
          <t>VÄSTERBOTTENS LÄN</t>
        </is>
      </c>
      <c r="E1869" t="inlineStr">
        <is>
          <t>SKELLEFTEÅ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16237-2023</t>
        </is>
      </c>
      <c r="B1870" s="1" t="n">
        <v>45028</v>
      </c>
      <c r="C1870" s="1" t="n">
        <v>45472</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16494-2023</t>
        </is>
      </c>
      <c r="B1871" s="1" t="n">
        <v>45029</v>
      </c>
      <c r="C1871" s="1" t="n">
        <v>45472</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16753-2023</t>
        </is>
      </c>
      <c r="B1872" s="1" t="n">
        <v>45031</v>
      </c>
      <c r="C1872" s="1" t="n">
        <v>45472</v>
      </c>
      <c r="D1872" t="inlineStr">
        <is>
          <t>VÄSTERBOTTENS LÄN</t>
        </is>
      </c>
      <c r="E1872" t="inlineStr">
        <is>
          <t>SKELLEFTEÅ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17026-2023</t>
        </is>
      </c>
      <c r="B1873" s="1" t="n">
        <v>45030</v>
      </c>
      <c r="C1873" s="1" t="n">
        <v>45472</v>
      </c>
      <c r="D1873" t="inlineStr">
        <is>
          <t>VÄSTERBOTTENS LÄN</t>
        </is>
      </c>
      <c r="E1873" t="inlineStr">
        <is>
          <t>SKELLEFTEÅ</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17086-2023</t>
        </is>
      </c>
      <c r="B1874" s="1" t="n">
        <v>45030</v>
      </c>
      <c r="C1874" s="1" t="n">
        <v>45472</v>
      </c>
      <c r="D1874" t="inlineStr">
        <is>
          <t>VÄSTERBOTTENS LÄN</t>
        </is>
      </c>
      <c r="E1874" t="inlineStr">
        <is>
          <t>SKELLEFTEÅ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17071-2023</t>
        </is>
      </c>
      <c r="B1875" s="1" t="n">
        <v>45030</v>
      </c>
      <c r="C1875" s="1" t="n">
        <v>45472</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16858-2023</t>
        </is>
      </c>
      <c r="B1876" s="1" t="n">
        <v>45033</v>
      </c>
      <c r="C1876" s="1" t="n">
        <v>45472</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16998-2023</t>
        </is>
      </c>
      <c r="B1877" s="1" t="n">
        <v>45033</v>
      </c>
      <c r="C1877" s="1" t="n">
        <v>45472</v>
      </c>
      <c r="D1877" t="inlineStr">
        <is>
          <t>VÄSTERBOTTENS LÄN</t>
        </is>
      </c>
      <c r="E1877" t="inlineStr">
        <is>
          <t>SKELLEFTEÅ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17208-2023</t>
        </is>
      </c>
      <c r="B1878" s="1" t="n">
        <v>45035</v>
      </c>
      <c r="C1878" s="1" t="n">
        <v>45472</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17205-2023</t>
        </is>
      </c>
      <c r="B1879" s="1" t="n">
        <v>45035</v>
      </c>
      <c r="C1879" s="1" t="n">
        <v>45472</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17365-2023</t>
        </is>
      </c>
      <c r="B1880" s="1" t="n">
        <v>45034</v>
      </c>
      <c r="C1880" s="1" t="n">
        <v>45472</v>
      </c>
      <c r="D1880" t="inlineStr">
        <is>
          <t>VÄSTERBOTTENS LÄN</t>
        </is>
      </c>
      <c r="E1880" t="inlineStr">
        <is>
          <t>SKELLEFTEÅ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17482-2023</t>
        </is>
      </c>
      <c r="B1881" s="1" t="n">
        <v>45034</v>
      </c>
      <c r="C1881" s="1" t="n">
        <v>45472</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17478-2023</t>
        </is>
      </c>
      <c r="B1882" s="1" t="n">
        <v>45034</v>
      </c>
      <c r="C1882" s="1" t="n">
        <v>45472</v>
      </c>
      <c r="D1882" t="inlineStr">
        <is>
          <t>VÄSTERBOTTENS LÄN</t>
        </is>
      </c>
      <c r="E1882" t="inlineStr">
        <is>
          <t>SKELLEFTEÅ</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17487-2023</t>
        </is>
      </c>
      <c r="B1883" s="1" t="n">
        <v>45034</v>
      </c>
      <c r="C1883" s="1" t="n">
        <v>45472</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17483-2023</t>
        </is>
      </c>
      <c r="B1884" s="1" t="n">
        <v>45034</v>
      </c>
      <c r="C1884" s="1" t="n">
        <v>45472</v>
      </c>
      <c r="D1884" t="inlineStr">
        <is>
          <t>VÄSTERBOTTENS LÄN</t>
        </is>
      </c>
      <c r="E1884" t="inlineStr">
        <is>
          <t>SKELLEFTEÅ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17485-2023</t>
        </is>
      </c>
      <c r="B1885" s="1" t="n">
        <v>45034</v>
      </c>
      <c r="C1885" s="1" t="n">
        <v>45472</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17444-2023</t>
        </is>
      </c>
      <c r="B1886" s="1" t="n">
        <v>45036</v>
      </c>
      <c r="C1886" s="1" t="n">
        <v>45472</v>
      </c>
      <c r="D1886" t="inlineStr">
        <is>
          <t>VÄSTERBOTTENS LÄN</t>
        </is>
      </c>
      <c r="E1886" t="inlineStr">
        <is>
          <t>SKELLEFTEÅ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17446-2023</t>
        </is>
      </c>
      <c r="B1887" s="1" t="n">
        <v>45036</v>
      </c>
      <c r="C1887" s="1" t="n">
        <v>45472</v>
      </c>
      <c r="D1887" t="inlineStr">
        <is>
          <t>VÄSTERBOTTENS LÄN</t>
        </is>
      </c>
      <c r="E1887" t="inlineStr">
        <is>
          <t>SKELLEFTEÅ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17659-2023</t>
        </is>
      </c>
      <c r="B1888" s="1" t="n">
        <v>45037</v>
      </c>
      <c r="C1888" s="1" t="n">
        <v>45472</v>
      </c>
      <c r="D1888" t="inlineStr">
        <is>
          <t>VÄSTERBOTTENS LÄN</t>
        </is>
      </c>
      <c r="E1888" t="inlineStr">
        <is>
          <t>SKELLEFTEÅ</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17755-2023</t>
        </is>
      </c>
      <c r="B1889" s="1" t="n">
        <v>45036</v>
      </c>
      <c r="C1889" s="1" t="n">
        <v>45472</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17842-2023</t>
        </is>
      </c>
      <c r="B1890" s="1" t="n">
        <v>45037</v>
      </c>
      <c r="C1890" s="1" t="n">
        <v>45472</v>
      </c>
      <c r="D1890" t="inlineStr">
        <is>
          <t>VÄSTERBOTTENS LÄN</t>
        </is>
      </c>
      <c r="E1890" t="inlineStr">
        <is>
          <t>SKELLEFTEÅ</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18035-2023</t>
        </is>
      </c>
      <c r="B1891" s="1" t="n">
        <v>45037</v>
      </c>
      <c r="C1891" s="1" t="n">
        <v>45472</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18016-2023</t>
        </is>
      </c>
      <c r="B1892" s="1" t="n">
        <v>45040</v>
      </c>
      <c r="C1892" s="1" t="n">
        <v>45472</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18357-2023</t>
        </is>
      </c>
      <c r="B1893" s="1" t="n">
        <v>45041</v>
      </c>
      <c r="C1893" s="1" t="n">
        <v>45472</v>
      </c>
      <c r="D1893" t="inlineStr">
        <is>
          <t>VÄSTERBOTTENS LÄN</t>
        </is>
      </c>
      <c r="E1893" t="inlineStr">
        <is>
          <t>SKELLEFTEÅ</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18455-2023</t>
        </is>
      </c>
      <c r="B1894" s="1" t="n">
        <v>45041</v>
      </c>
      <c r="C1894" s="1" t="n">
        <v>45472</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18607-2023</t>
        </is>
      </c>
      <c r="B1895" s="1" t="n">
        <v>45041</v>
      </c>
      <c r="C1895" s="1" t="n">
        <v>45472</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18479-2023</t>
        </is>
      </c>
      <c r="B1896" s="1" t="n">
        <v>45042</v>
      </c>
      <c r="C1896" s="1" t="n">
        <v>45472</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18501-2023</t>
        </is>
      </c>
      <c r="B1897" s="1" t="n">
        <v>45042</v>
      </c>
      <c r="C1897" s="1" t="n">
        <v>45472</v>
      </c>
      <c r="D1897" t="inlineStr">
        <is>
          <t>VÄSTERBOTTENS LÄN</t>
        </is>
      </c>
      <c r="E1897" t="inlineStr">
        <is>
          <t>SKELLEFTEÅ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18478-2023</t>
        </is>
      </c>
      <c r="B1898" s="1" t="n">
        <v>45042</v>
      </c>
      <c r="C1898" s="1" t="n">
        <v>45472</v>
      </c>
      <c r="D1898" t="inlineStr">
        <is>
          <t>VÄSTERBOTTENS LÄN</t>
        </is>
      </c>
      <c r="E1898" t="inlineStr">
        <is>
          <t>SKELLEFTEÅ</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18701-2023</t>
        </is>
      </c>
      <c r="B1899" s="1" t="n">
        <v>45042</v>
      </c>
      <c r="C1899" s="1" t="n">
        <v>45472</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18709-2023</t>
        </is>
      </c>
      <c r="B1900" s="1" t="n">
        <v>45043</v>
      </c>
      <c r="C1900" s="1" t="n">
        <v>45472</v>
      </c>
      <c r="D1900" t="inlineStr">
        <is>
          <t>VÄSTERBOTTENS LÄN</t>
        </is>
      </c>
      <c r="E1900" t="inlineStr">
        <is>
          <t>SKELLEFTEÅ</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19066-2023</t>
        </is>
      </c>
      <c r="B1901" s="1" t="n">
        <v>45043</v>
      </c>
      <c r="C1901" s="1" t="n">
        <v>45472</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18975-2023</t>
        </is>
      </c>
      <c r="B1902" s="1" t="n">
        <v>45044</v>
      </c>
      <c r="C1902" s="1" t="n">
        <v>45472</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18819-2023</t>
        </is>
      </c>
      <c r="B1903" s="1" t="n">
        <v>45044</v>
      </c>
      <c r="C1903" s="1" t="n">
        <v>45472</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19073-2023</t>
        </is>
      </c>
      <c r="B1904" s="1" t="n">
        <v>45048</v>
      </c>
      <c r="C1904" s="1" t="n">
        <v>45472</v>
      </c>
      <c r="D1904" t="inlineStr">
        <is>
          <t>VÄSTERBOTTENS LÄN</t>
        </is>
      </c>
      <c r="E1904" t="inlineStr">
        <is>
          <t>SKELLEFTEÅ</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19349-2023</t>
        </is>
      </c>
      <c r="B1905" s="1" t="n">
        <v>45049</v>
      </c>
      <c r="C1905" s="1" t="n">
        <v>45472</v>
      </c>
      <c r="D1905" t="inlineStr">
        <is>
          <t>VÄSTERBOTTENS LÄN</t>
        </is>
      </c>
      <c r="E1905" t="inlineStr">
        <is>
          <t>SKELLEFTEÅ</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19424-2023</t>
        </is>
      </c>
      <c r="B1906" s="1" t="n">
        <v>45050</v>
      </c>
      <c r="C1906" s="1" t="n">
        <v>45472</v>
      </c>
      <c r="D1906" t="inlineStr">
        <is>
          <t>VÄSTERBOTTENS LÄN</t>
        </is>
      </c>
      <c r="E1906" t="inlineStr">
        <is>
          <t>SKELLEFTEÅ</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19422-2023</t>
        </is>
      </c>
      <c r="B1907" s="1" t="n">
        <v>45049</v>
      </c>
      <c r="C1907" s="1" t="n">
        <v>45472</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19428-2023</t>
        </is>
      </c>
      <c r="B1908" s="1" t="n">
        <v>45050</v>
      </c>
      <c r="C1908" s="1" t="n">
        <v>45472</v>
      </c>
      <c r="D1908" t="inlineStr">
        <is>
          <t>VÄSTERBOTTENS LÄN</t>
        </is>
      </c>
      <c r="E1908" t="inlineStr">
        <is>
          <t>SKELLEFTEÅ</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19491-2023</t>
        </is>
      </c>
      <c r="B1909" s="1" t="n">
        <v>45049</v>
      </c>
      <c r="C1909" s="1" t="n">
        <v>45472</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19498-2023</t>
        </is>
      </c>
      <c r="B1910" s="1" t="n">
        <v>45049</v>
      </c>
      <c r="C1910" s="1" t="n">
        <v>45472</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20080-2023</t>
        </is>
      </c>
      <c r="B1911" s="1" t="n">
        <v>45055</v>
      </c>
      <c r="C1911" s="1" t="n">
        <v>45472</v>
      </c>
      <c r="D1911" t="inlineStr">
        <is>
          <t>VÄSTERBOTTENS LÄN</t>
        </is>
      </c>
      <c r="E1911" t="inlineStr">
        <is>
          <t>SKELLEFTEÅ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20301-2023</t>
        </is>
      </c>
      <c r="B1912" s="1" t="n">
        <v>45056</v>
      </c>
      <c r="C1912" s="1" t="n">
        <v>45472</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20290-2023</t>
        </is>
      </c>
      <c r="B1913" s="1" t="n">
        <v>45056</v>
      </c>
      <c r="C1913" s="1" t="n">
        <v>45472</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20499-2023</t>
        </is>
      </c>
      <c r="B1914" s="1" t="n">
        <v>45057</v>
      </c>
      <c r="C1914" s="1" t="n">
        <v>45472</v>
      </c>
      <c r="D1914" t="inlineStr">
        <is>
          <t>VÄSTERBOTTENS LÄN</t>
        </is>
      </c>
      <c r="E1914" t="inlineStr">
        <is>
          <t>SKELLEFTEÅ</t>
        </is>
      </c>
      <c r="F1914" t="inlineStr">
        <is>
          <t>Sveaskog</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21238-2023</t>
        </is>
      </c>
      <c r="B1915" s="1" t="n">
        <v>45058</v>
      </c>
      <c r="C1915" s="1" t="n">
        <v>45472</v>
      </c>
      <c r="D1915" t="inlineStr">
        <is>
          <t>VÄSTERBOTTENS LÄN</t>
        </is>
      </c>
      <c r="E1915" t="inlineStr">
        <is>
          <t>SKELLEFTEÅ</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21336-2023</t>
        </is>
      </c>
      <c r="B1916" s="1" t="n">
        <v>45062</v>
      </c>
      <c r="C1916" s="1" t="n">
        <v>45472</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21565-2023</t>
        </is>
      </c>
      <c r="B1917" s="1" t="n">
        <v>45062</v>
      </c>
      <c r="C1917" s="1" t="n">
        <v>45472</v>
      </c>
      <c r="D1917" t="inlineStr">
        <is>
          <t>VÄSTERBOTTENS LÄN</t>
        </is>
      </c>
      <c r="E1917" t="inlineStr">
        <is>
          <t>SKELLEFTEÅ</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21463-2023</t>
        </is>
      </c>
      <c r="B1918" s="1" t="n">
        <v>45063</v>
      </c>
      <c r="C1918" s="1" t="n">
        <v>45472</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22341-2023</t>
        </is>
      </c>
      <c r="B1919" s="1" t="n">
        <v>45068</v>
      </c>
      <c r="C1919" s="1" t="n">
        <v>45472</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22351-2023</t>
        </is>
      </c>
      <c r="B1920" s="1" t="n">
        <v>45068</v>
      </c>
      <c r="C1920" s="1" t="n">
        <v>45472</v>
      </c>
      <c r="D1920" t="inlineStr">
        <is>
          <t>VÄSTERBOTTENS LÄN</t>
        </is>
      </c>
      <c r="E1920" t="inlineStr">
        <is>
          <t>SKELLEFTEÅ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22334-2023</t>
        </is>
      </c>
      <c r="B1921" s="1" t="n">
        <v>45068</v>
      </c>
      <c r="C1921" s="1" t="n">
        <v>45472</v>
      </c>
      <c r="D1921" t="inlineStr">
        <is>
          <t>VÄSTERBOTTENS LÄN</t>
        </is>
      </c>
      <c r="E1921" t="inlineStr">
        <is>
          <t>SKELLEFTEÅ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22062-2023</t>
        </is>
      </c>
      <c r="B1922" s="1" t="n">
        <v>45069</v>
      </c>
      <c r="C1922" s="1" t="n">
        <v>45472</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22121-2023</t>
        </is>
      </c>
      <c r="B1923" s="1" t="n">
        <v>45069</v>
      </c>
      <c r="C1923" s="1" t="n">
        <v>45472</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22060-2023</t>
        </is>
      </c>
      <c r="B1924" s="1" t="n">
        <v>45069</v>
      </c>
      <c r="C1924" s="1" t="n">
        <v>45472</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22064-2023</t>
        </is>
      </c>
      <c r="B1925" s="1" t="n">
        <v>45069</v>
      </c>
      <c r="C1925" s="1" t="n">
        <v>45472</v>
      </c>
      <c r="D1925" t="inlineStr">
        <is>
          <t>VÄSTERBOTTENS LÄN</t>
        </is>
      </c>
      <c r="E1925" t="inlineStr">
        <is>
          <t>SKELLEFTEÅ</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22025-2023</t>
        </is>
      </c>
      <c r="B1926" s="1" t="n">
        <v>45069</v>
      </c>
      <c r="C1926" s="1" t="n">
        <v>45472</v>
      </c>
      <c r="D1926" t="inlineStr">
        <is>
          <t>VÄSTERBOTTENS LÄN</t>
        </is>
      </c>
      <c r="E1926" t="inlineStr">
        <is>
          <t>SKELLEFTEÅ</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22045-2023</t>
        </is>
      </c>
      <c r="B1927" s="1" t="n">
        <v>45069</v>
      </c>
      <c r="C1927" s="1" t="n">
        <v>45472</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22516-2023</t>
        </is>
      </c>
      <c r="B1928" s="1" t="n">
        <v>45069</v>
      </c>
      <c r="C1928" s="1" t="n">
        <v>45472</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22548-2023</t>
        </is>
      </c>
      <c r="B1929" s="1" t="n">
        <v>45069</v>
      </c>
      <c r="C1929" s="1" t="n">
        <v>45472</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22020-2023</t>
        </is>
      </c>
      <c r="B1930" s="1" t="n">
        <v>45069</v>
      </c>
      <c r="C1930" s="1" t="n">
        <v>45472</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22344-2023</t>
        </is>
      </c>
      <c r="B1931" s="1" t="n">
        <v>45070</v>
      </c>
      <c r="C1931" s="1" t="n">
        <v>45472</v>
      </c>
      <c r="D1931" t="inlineStr">
        <is>
          <t>VÄSTERBOTTENS LÄN</t>
        </is>
      </c>
      <c r="E1931" t="inlineStr">
        <is>
          <t>SKELLEFTEÅ</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22461-2023</t>
        </is>
      </c>
      <c r="B1932" s="1" t="n">
        <v>45071</v>
      </c>
      <c r="C1932" s="1" t="n">
        <v>45472</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22579-2023</t>
        </is>
      </c>
      <c r="B1933" s="1" t="n">
        <v>45071</v>
      </c>
      <c r="C1933" s="1" t="n">
        <v>45472</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22735-2023</t>
        </is>
      </c>
      <c r="B1934" s="1" t="n">
        <v>45071</v>
      </c>
      <c r="C1934" s="1" t="n">
        <v>45472</v>
      </c>
      <c r="D1934" t="inlineStr">
        <is>
          <t>VÄSTERBOTTENS LÄN</t>
        </is>
      </c>
      <c r="E1934" t="inlineStr">
        <is>
          <t>SKELLEFTEÅ</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23704-2023</t>
        </is>
      </c>
      <c r="B1935" s="1" t="n">
        <v>45075</v>
      </c>
      <c r="C1935" s="1" t="n">
        <v>45472</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23710-2023</t>
        </is>
      </c>
      <c r="B1936" s="1" t="n">
        <v>45075</v>
      </c>
      <c r="C1936" s="1" t="n">
        <v>45472</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23709-2023</t>
        </is>
      </c>
      <c r="B1937" s="1" t="n">
        <v>45075</v>
      </c>
      <c r="C1937" s="1" t="n">
        <v>45472</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23458-2023</t>
        </is>
      </c>
      <c r="B1938" s="1" t="n">
        <v>45076</v>
      </c>
      <c r="C1938" s="1" t="n">
        <v>45472</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23420-2023</t>
        </is>
      </c>
      <c r="B1939" s="1" t="n">
        <v>45076</v>
      </c>
      <c r="C1939" s="1" t="n">
        <v>45472</v>
      </c>
      <c r="D1939" t="inlineStr">
        <is>
          <t>VÄSTERBOTTENS LÄN</t>
        </is>
      </c>
      <c r="E1939" t="inlineStr">
        <is>
          <t>SKELLEFTEÅ</t>
        </is>
      </c>
      <c r="F1939" t="inlineStr">
        <is>
          <t>Holmen skog AB</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23430-2023</t>
        </is>
      </c>
      <c r="B1940" s="1" t="n">
        <v>45076</v>
      </c>
      <c r="C1940" s="1" t="n">
        <v>45472</v>
      </c>
      <c r="D1940" t="inlineStr">
        <is>
          <t>VÄSTERBOTTENS LÄN</t>
        </is>
      </c>
      <c r="E1940" t="inlineStr">
        <is>
          <t>SKELLEFTEÅ</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24430-2023</t>
        </is>
      </c>
      <c r="B1941" s="1" t="n">
        <v>45076</v>
      </c>
      <c r="C1941" s="1" t="n">
        <v>45472</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23714-2023</t>
        </is>
      </c>
      <c r="B1942" s="1" t="n">
        <v>45077</v>
      </c>
      <c r="C1942" s="1" t="n">
        <v>45472</v>
      </c>
      <c r="D1942" t="inlineStr">
        <is>
          <t>VÄSTERBOTTENS LÄN</t>
        </is>
      </c>
      <c r="E1942" t="inlineStr">
        <is>
          <t>SKELLEFTEÅ</t>
        </is>
      </c>
      <c r="F1942" t="inlineStr">
        <is>
          <t>Holmen skog AB</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23757-2023</t>
        </is>
      </c>
      <c r="B1943" s="1" t="n">
        <v>45077</v>
      </c>
      <c r="C1943" s="1" t="n">
        <v>45472</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23761-2023</t>
        </is>
      </c>
      <c r="B1944" s="1" t="n">
        <v>45077</v>
      </c>
      <c r="C1944" s="1" t="n">
        <v>45472</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23760-2023</t>
        </is>
      </c>
      <c r="B1945" s="1" t="n">
        <v>45077</v>
      </c>
      <c r="C1945" s="1" t="n">
        <v>45472</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23750-2023</t>
        </is>
      </c>
      <c r="B1946" s="1" t="n">
        <v>45077</v>
      </c>
      <c r="C1946" s="1" t="n">
        <v>45472</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23759-2023</t>
        </is>
      </c>
      <c r="B1947" s="1" t="n">
        <v>45077</v>
      </c>
      <c r="C1947" s="1" t="n">
        <v>45472</v>
      </c>
      <c r="D1947" t="inlineStr">
        <is>
          <t>VÄSTERBOTTENS LÄN</t>
        </is>
      </c>
      <c r="E1947" t="inlineStr">
        <is>
          <t>SKELLEFTEÅ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25256-2023</t>
        </is>
      </c>
      <c r="B1948" s="1" t="n">
        <v>45079</v>
      </c>
      <c r="C1948" s="1" t="n">
        <v>45472</v>
      </c>
      <c r="D1948" t="inlineStr">
        <is>
          <t>VÄSTERBOTTENS LÄN</t>
        </is>
      </c>
      <c r="E1948" t="inlineStr">
        <is>
          <t>SKELLEFTEÅ</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25237-2023</t>
        </is>
      </c>
      <c r="B1949" s="1" t="n">
        <v>45079</v>
      </c>
      <c r="C1949" s="1" t="n">
        <v>45472</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24327-2023</t>
        </is>
      </c>
      <c r="B1950" s="1" t="n">
        <v>45080</v>
      </c>
      <c r="C1950" s="1" t="n">
        <v>45472</v>
      </c>
      <c r="D1950" t="inlineStr">
        <is>
          <t>VÄSTERBOTTENS LÄN</t>
        </is>
      </c>
      <c r="E1950" t="inlineStr">
        <is>
          <t>SKELLEFTEÅ</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24320-2023</t>
        </is>
      </c>
      <c r="B1951" s="1" t="n">
        <v>45080</v>
      </c>
      <c r="C1951" s="1" t="n">
        <v>45472</v>
      </c>
      <c r="D1951" t="inlineStr">
        <is>
          <t>VÄSTERBOTTENS LÄN</t>
        </is>
      </c>
      <c r="E1951" t="inlineStr">
        <is>
          <t>SKELLEFTEÅ</t>
        </is>
      </c>
      <c r="F1951" t="inlineStr">
        <is>
          <t>Sveaskog</t>
        </is>
      </c>
      <c r="G1951" t="n">
        <v>27.5</v>
      </c>
      <c r="H1951" t="n">
        <v>0</v>
      </c>
      <c r="I1951" t="n">
        <v>0</v>
      </c>
      <c r="J1951" t="n">
        <v>0</v>
      </c>
      <c r="K1951" t="n">
        <v>0</v>
      </c>
      <c r="L1951" t="n">
        <v>0</v>
      </c>
      <c r="M1951" t="n">
        <v>0</v>
      </c>
      <c r="N1951" t="n">
        <v>0</v>
      </c>
      <c r="O1951" t="n">
        <v>0</v>
      </c>
      <c r="P1951" t="n">
        <v>0</v>
      </c>
      <c r="Q1951" t="n">
        <v>0</v>
      </c>
      <c r="R1951" s="2" t="inlineStr"/>
    </row>
    <row r="1952" ht="15" customHeight="1">
      <c r="A1952" t="inlineStr">
        <is>
          <t>A 24805-2023</t>
        </is>
      </c>
      <c r="B1952" s="1" t="n">
        <v>45084</v>
      </c>
      <c r="C1952" s="1" t="n">
        <v>45472</v>
      </c>
      <c r="D1952" t="inlineStr">
        <is>
          <t>VÄSTERBOTTENS LÄN</t>
        </is>
      </c>
      <c r="E1952" t="inlineStr">
        <is>
          <t>SKELLEFTEÅ</t>
        </is>
      </c>
      <c r="F1952" t="inlineStr">
        <is>
          <t>Sveaskog</t>
        </is>
      </c>
      <c r="G1952" t="n">
        <v>16.7</v>
      </c>
      <c r="H1952" t="n">
        <v>0</v>
      </c>
      <c r="I1952" t="n">
        <v>0</v>
      </c>
      <c r="J1952" t="n">
        <v>0</v>
      </c>
      <c r="K1952" t="n">
        <v>0</v>
      </c>
      <c r="L1952" t="n">
        <v>0</v>
      </c>
      <c r="M1952" t="n">
        <v>0</v>
      </c>
      <c r="N1952" t="n">
        <v>0</v>
      </c>
      <c r="O1952" t="n">
        <v>0</v>
      </c>
      <c r="P1952" t="n">
        <v>0</v>
      </c>
      <c r="Q1952" t="n">
        <v>0</v>
      </c>
      <c r="R1952" s="2" t="inlineStr"/>
    </row>
    <row r="1953" ht="15" customHeight="1">
      <c r="A1953" t="inlineStr">
        <is>
          <t>A 25632-2023</t>
        </is>
      </c>
      <c r="B1953" s="1" t="n">
        <v>45084</v>
      </c>
      <c r="C1953" s="1" t="n">
        <v>45472</v>
      </c>
      <c r="D1953" t="inlineStr">
        <is>
          <t>VÄSTERBOTTENS LÄN</t>
        </is>
      </c>
      <c r="E1953" t="inlineStr">
        <is>
          <t>SKELLEFTEÅ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25634-2023</t>
        </is>
      </c>
      <c r="B1954" s="1" t="n">
        <v>45084</v>
      </c>
      <c r="C1954" s="1" t="n">
        <v>45472</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25626-2023</t>
        </is>
      </c>
      <c r="B1955" s="1" t="n">
        <v>45084</v>
      </c>
      <c r="C1955" s="1" t="n">
        <v>45472</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25638-2023</t>
        </is>
      </c>
      <c r="B1956" s="1" t="n">
        <v>45084</v>
      </c>
      <c r="C1956" s="1" t="n">
        <v>45472</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24963-2023</t>
        </is>
      </c>
      <c r="B1957" s="1" t="n">
        <v>45085</v>
      </c>
      <c r="C1957" s="1" t="n">
        <v>45472</v>
      </c>
      <c r="D1957" t="inlineStr">
        <is>
          <t>VÄSTERBOTTENS LÄN</t>
        </is>
      </c>
      <c r="E1957" t="inlineStr">
        <is>
          <t>SKELLEFTEÅ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25019-2023</t>
        </is>
      </c>
      <c r="B1958" s="1" t="n">
        <v>45085</v>
      </c>
      <c r="C1958" s="1" t="n">
        <v>45472</v>
      </c>
      <c r="D1958" t="inlineStr">
        <is>
          <t>VÄSTERBOTTENS LÄN</t>
        </is>
      </c>
      <c r="E1958" t="inlineStr">
        <is>
          <t>SKELLEFTEÅ</t>
        </is>
      </c>
      <c r="F1958" t="inlineStr">
        <is>
          <t>Sveaskog</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25401-2023</t>
        </is>
      </c>
      <c r="B1959" s="1" t="n">
        <v>45089</v>
      </c>
      <c r="C1959" s="1" t="n">
        <v>45472</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25787-2023</t>
        </is>
      </c>
      <c r="B1960" s="1" t="n">
        <v>45090</v>
      </c>
      <c r="C1960" s="1" t="n">
        <v>45472</v>
      </c>
      <c r="D1960" t="inlineStr">
        <is>
          <t>VÄSTERBOTTENS LÄN</t>
        </is>
      </c>
      <c r="E1960" t="inlineStr">
        <is>
          <t>SKELLEFTEÅ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26783-2023</t>
        </is>
      </c>
      <c r="B1961" s="1" t="n">
        <v>45090</v>
      </c>
      <c r="C1961" s="1" t="n">
        <v>45472</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26767-2023</t>
        </is>
      </c>
      <c r="B1962" s="1" t="n">
        <v>45090</v>
      </c>
      <c r="C1962" s="1" t="n">
        <v>45472</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26160-2023</t>
        </is>
      </c>
      <c r="B1963" s="1" t="n">
        <v>45091</v>
      </c>
      <c r="C1963" s="1" t="n">
        <v>45472</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26217-2023</t>
        </is>
      </c>
      <c r="B1964" s="1" t="n">
        <v>45091</v>
      </c>
      <c r="C1964" s="1" t="n">
        <v>45472</v>
      </c>
      <c r="D1964" t="inlineStr">
        <is>
          <t>VÄSTERBOTTENS LÄN</t>
        </is>
      </c>
      <c r="E1964" t="inlineStr">
        <is>
          <t>SKELLEFTEÅ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26334-2023</t>
        </is>
      </c>
      <c r="B1965" s="1" t="n">
        <v>45091</v>
      </c>
      <c r="C1965" s="1" t="n">
        <v>45472</v>
      </c>
      <c r="D1965" t="inlineStr">
        <is>
          <t>VÄSTERBOTTENS LÄN</t>
        </is>
      </c>
      <c r="E1965" t="inlineStr">
        <is>
          <t>SKELLEFTEÅ</t>
        </is>
      </c>
      <c r="F1965" t="inlineStr">
        <is>
          <t>Sveaskog</t>
        </is>
      </c>
      <c r="G1965" t="n">
        <v>20.4</v>
      </c>
      <c r="H1965" t="n">
        <v>0</v>
      </c>
      <c r="I1965" t="n">
        <v>0</v>
      </c>
      <c r="J1965" t="n">
        <v>0</v>
      </c>
      <c r="K1965" t="n">
        <v>0</v>
      </c>
      <c r="L1965" t="n">
        <v>0</v>
      </c>
      <c r="M1965" t="n">
        <v>0</v>
      </c>
      <c r="N1965" t="n">
        <v>0</v>
      </c>
      <c r="O1965" t="n">
        <v>0</v>
      </c>
      <c r="P1965" t="n">
        <v>0</v>
      </c>
      <c r="Q1965" t="n">
        <v>0</v>
      </c>
      <c r="R1965" s="2" t="inlineStr"/>
    </row>
    <row r="1966" ht="15" customHeight="1">
      <c r="A1966" t="inlineStr">
        <is>
          <t>A 26019-2023</t>
        </is>
      </c>
      <c r="B1966" s="1" t="n">
        <v>45091</v>
      </c>
      <c r="C1966" s="1" t="n">
        <v>45472</v>
      </c>
      <c r="D1966" t="inlineStr">
        <is>
          <t>VÄSTERBOTTENS LÄN</t>
        </is>
      </c>
      <c r="E1966" t="inlineStr">
        <is>
          <t>SKELLEFTEÅ</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26062-2023</t>
        </is>
      </c>
      <c r="B1967" s="1" t="n">
        <v>45091</v>
      </c>
      <c r="C1967" s="1" t="n">
        <v>45472</v>
      </c>
      <c r="D1967" t="inlineStr">
        <is>
          <t>VÄSTERBOTTENS LÄN</t>
        </is>
      </c>
      <c r="E1967" t="inlineStr">
        <is>
          <t>SKELLEFTEÅ</t>
        </is>
      </c>
      <c r="F1967" t="inlineStr">
        <is>
          <t>Holmen skog AB</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26095-2023</t>
        </is>
      </c>
      <c r="B1968" s="1" t="n">
        <v>45091</v>
      </c>
      <c r="C1968" s="1" t="n">
        <v>45472</v>
      </c>
      <c r="D1968" t="inlineStr">
        <is>
          <t>VÄSTERBOTTENS LÄN</t>
        </is>
      </c>
      <c r="E1968" t="inlineStr">
        <is>
          <t>SKELLEFTEÅ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26154-2023</t>
        </is>
      </c>
      <c r="B1969" s="1" t="n">
        <v>45091</v>
      </c>
      <c r="C1969" s="1" t="n">
        <v>45472</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26955-2023</t>
        </is>
      </c>
      <c r="B1970" s="1" t="n">
        <v>45091</v>
      </c>
      <c r="C1970" s="1" t="n">
        <v>45472</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26978-2023</t>
        </is>
      </c>
      <c r="B1971" s="1" t="n">
        <v>45091</v>
      </c>
      <c r="C1971" s="1" t="n">
        <v>45472</v>
      </c>
      <c r="D1971" t="inlineStr">
        <is>
          <t>VÄSTERBOTTENS LÄN</t>
        </is>
      </c>
      <c r="E1971" t="inlineStr">
        <is>
          <t>SKELLEFTEÅ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26462-2023</t>
        </is>
      </c>
      <c r="B1972" s="1" t="n">
        <v>45092</v>
      </c>
      <c r="C1972" s="1" t="n">
        <v>45472</v>
      </c>
      <c r="D1972" t="inlineStr">
        <is>
          <t>VÄSTERBOTTENS LÄN</t>
        </is>
      </c>
      <c r="E1972" t="inlineStr">
        <is>
          <t>SKELLEFTEÅ</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26632-2023</t>
        </is>
      </c>
      <c r="B1973" s="1" t="n">
        <v>45092</v>
      </c>
      <c r="C1973" s="1" t="n">
        <v>45472</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26648-2023</t>
        </is>
      </c>
      <c r="B1974" s="1" t="n">
        <v>45093</v>
      </c>
      <c r="C1974" s="1" t="n">
        <v>45472</v>
      </c>
      <c r="D1974" t="inlineStr">
        <is>
          <t>VÄSTERBOTTENS LÄN</t>
        </is>
      </c>
      <c r="E1974" t="inlineStr">
        <is>
          <t>SKELLEFTEÅ</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26649-2023</t>
        </is>
      </c>
      <c r="B1975" s="1" t="n">
        <v>45093</v>
      </c>
      <c r="C1975" s="1" t="n">
        <v>45472</v>
      </c>
      <c r="D1975" t="inlineStr">
        <is>
          <t>VÄSTERBOTTENS LÄN</t>
        </is>
      </c>
      <c r="E1975" t="inlineStr">
        <is>
          <t>SKELLEFTEÅ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26645-2023</t>
        </is>
      </c>
      <c r="B1976" s="1" t="n">
        <v>45093</v>
      </c>
      <c r="C1976" s="1" t="n">
        <v>45472</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26631-2023</t>
        </is>
      </c>
      <c r="B1977" s="1" t="n">
        <v>45092</v>
      </c>
      <c r="C1977" s="1" t="n">
        <v>45472</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26686-2023</t>
        </is>
      </c>
      <c r="B1978" s="1" t="n">
        <v>45093</v>
      </c>
      <c r="C1978" s="1" t="n">
        <v>45472</v>
      </c>
      <c r="D1978" t="inlineStr">
        <is>
          <t>VÄSTERBOTTENS LÄN</t>
        </is>
      </c>
      <c r="E1978" t="inlineStr">
        <is>
          <t>SKELLEFTEÅ</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26690-2023</t>
        </is>
      </c>
      <c r="B1979" s="1" t="n">
        <v>45093</v>
      </c>
      <c r="C1979" s="1" t="n">
        <v>45472</v>
      </c>
      <c r="D1979" t="inlineStr">
        <is>
          <t>VÄSTERBOTTENS LÄN</t>
        </is>
      </c>
      <c r="E1979" t="inlineStr">
        <is>
          <t>SKELLEFTEÅ</t>
        </is>
      </c>
      <c r="F1979" t="inlineStr">
        <is>
          <t>Kyrkan</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26869-2023</t>
        </is>
      </c>
      <c r="B1980" s="1" t="n">
        <v>45093</v>
      </c>
      <c r="C1980" s="1" t="n">
        <v>45472</v>
      </c>
      <c r="D1980" t="inlineStr">
        <is>
          <t>VÄSTERBOTTENS LÄN</t>
        </is>
      </c>
      <c r="E1980" t="inlineStr">
        <is>
          <t>SKELLEFTEÅ</t>
        </is>
      </c>
      <c r="F1980" t="inlineStr">
        <is>
          <t>Holmen skog AB</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26720-2023</t>
        </is>
      </c>
      <c r="B1981" s="1" t="n">
        <v>45093</v>
      </c>
      <c r="C1981" s="1" t="n">
        <v>45472</v>
      </c>
      <c r="D1981" t="inlineStr">
        <is>
          <t>VÄSTERBOTTENS LÄN</t>
        </is>
      </c>
      <c r="E1981" t="inlineStr">
        <is>
          <t>SKELLEFTEÅ</t>
        </is>
      </c>
      <c r="F1981" t="inlineStr">
        <is>
          <t>Kyrkan</t>
        </is>
      </c>
      <c r="G1981" t="n">
        <v>25.4</v>
      </c>
      <c r="H1981" t="n">
        <v>0</v>
      </c>
      <c r="I1981" t="n">
        <v>0</v>
      </c>
      <c r="J1981" t="n">
        <v>0</v>
      </c>
      <c r="K1981" t="n">
        <v>0</v>
      </c>
      <c r="L1981" t="n">
        <v>0</v>
      </c>
      <c r="M1981" t="n">
        <v>0</v>
      </c>
      <c r="N1981" t="n">
        <v>0</v>
      </c>
      <c r="O1981" t="n">
        <v>0</v>
      </c>
      <c r="P1981" t="n">
        <v>0</v>
      </c>
      <c r="Q1981" t="n">
        <v>0</v>
      </c>
      <c r="R1981" s="2" t="inlineStr"/>
    </row>
    <row r="1982" ht="15" customHeight="1">
      <c r="A1982" t="inlineStr">
        <is>
          <t>A 26900-2023</t>
        </is>
      </c>
      <c r="B1982" s="1" t="n">
        <v>45093</v>
      </c>
      <c r="C1982" s="1" t="n">
        <v>45472</v>
      </c>
      <c r="D1982" t="inlineStr">
        <is>
          <t>VÄSTERBOTTENS LÄN</t>
        </is>
      </c>
      <c r="E1982" t="inlineStr">
        <is>
          <t>SKELLEFTEÅ</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26784-2023</t>
        </is>
      </c>
      <c r="B1983" s="1" t="n">
        <v>45093</v>
      </c>
      <c r="C1983" s="1" t="n">
        <v>45472</v>
      </c>
      <c r="D1983" t="inlineStr">
        <is>
          <t>VÄSTERBOTTENS LÄN</t>
        </is>
      </c>
      <c r="E1983" t="inlineStr">
        <is>
          <t>SKELLEFTEÅ</t>
        </is>
      </c>
      <c r="G1983" t="n">
        <v>19.5</v>
      </c>
      <c r="H1983" t="n">
        <v>0</v>
      </c>
      <c r="I1983" t="n">
        <v>0</v>
      </c>
      <c r="J1983" t="n">
        <v>0</v>
      </c>
      <c r="K1983" t="n">
        <v>0</v>
      </c>
      <c r="L1983" t="n">
        <v>0</v>
      </c>
      <c r="M1983" t="n">
        <v>0</v>
      </c>
      <c r="N1983" t="n">
        <v>0</v>
      </c>
      <c r="O1983" t="n">
        <v>0</v>
      </c>
      <c r="P1983" t="n">
        <v>0</v>
      </c>
      <c r="Q1983" t="n">
        <v>0</v>
      </c>
      <c r="R1983" s="2" t="inlineStr"/>
    </row>
    <row r="1984" ht="15" customHeight="1">
      <c r="A1984" t="inlineStr">
        <is>
          <t>A 27785-2023</t>
        </is>
      </c>
      <c r="B1984" s="1" t="n">
        <v>45093</v>
      </c>
      <c r="C1984" s="1" t="n">
        <v>45472</v>
      </c>
      <c r="D1984" t="inlineStr">
        <is>
          <t>VÄSTERBOTTENS LÄN</t>
        </is>
      </c>
      <c r="E1984" t="inlineStr">
        <is>
          <t>SKELLEFTEÅ</t>
        </is>
      </c>
      <c r="G1984" t="n">
        <v>18.5</v>
      </c>
      <c r="H1984" t="n">
        <v>0</v>
      </c>
      <c r="I1984" t="n">
        <v>0</v>
      </c>
      <c r="J1984" t="n">
        <v>0</v>
      </c>
      <c r="K1984" t="n">
        <v>0</v>
      </c>
      <c r="L1984" t="n">
        <v>0</v>
      </c>
      <c r="M1984" t="n">
        <v>0</v>
      </c>
      <c r="N1984" t="n">
        <v>0</v>
      </c>
      <c r="O1984" t="n">
        <v>0</v>
      </c>
      <c r="P1984" t="n">
        <v>0</v>
      </c>
      <c r="Q1984" t="n">
        <v>0</v>
      </c>
      <c r="R1984" s="2" t="inlineStr"/>
    </row>
    <row r="1985" ht="15" customHeight="1">
      <c r="A1985" t="inlineStr">
        <is>
          <t>A 27097-2023</t>
        </is>
      </c>
      <c r="B1985" s="1" t="n">
        <v>45096</v>
      </c>
      <c r="C1985" s="1" t="n">
        <v>45472</v>
      </c>
      <c r="D1985" t="inlineStr">
        <is>
          <t>VÄSTERBOTTENS LÄN</t>
        </is>
      </c>
      <c r="E1985" t="inlineStr">
        <is>
          <t>SKELLEFTEÅ</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27134-2023</t>
        </is>
      </c>
      <c r="B1986" s="1" t="n">
        <v>45096</v>
      </c>
      <c r="C1986" s="1" t="n">
        <v>45472</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27210-2023</t>
        </is>
      </c>
      <c r="B1987" s="1" t="n">
        <v>45096</v>
      </c>
      <c r="C1987" s="1" t="n">
        <v>45472</v>
      </c>
      <c r="D1987" t="inlineStr">
        <is>
          <t>VÄSTERBOTTENS LÄN</t>
        </is>
      </c>
      <c r="E1987" t="inlineStr">
        <is>
          <t>SKELLEFTEÅ</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27200-2023</t>
        </is>
      </c>
      <c r="B1988" s="1" t="n">
        <v>45096</v>
      </c>
      <c r="C1988" s="1" t="n">
        <v>45472</v>
      </c>
      <c r="D1988" t="inlineStr">
        <is>
          <t>VÄSTERBOTTENS LÄN</t>
        </is>
      </c>
      <c r="E1988" t="inlineStr">
        <is>
          <t>SKELLEFTEÅ</t>
        </is>
      </c>
      <c r="F1988" t="inlineStr">
        <is>
          <t>Holmen skog AB</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27333-2023</t>
        </is>
      </c>
      <c r="B1989" s="1" t="n">
        <v>45096</v>
      </c>
      <c r="C1989" s="1" t="n">
        <v>45472</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27323-2023</t>
        </is>
      </c>
      <c r="B1990" s="1" t="n">
        <v>45096</v>
      </c>
      <c r="C1990" s="1" t="n">
        <v>45472</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28153-2023</t>
        </is>
      </c>
      <c r="B1991" s="1" t="n">
        <v>45096</v>
      </c>
      <c r="C1991" s="1" t="n">
        <v>45472</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28166-2023</t>
        </is>
      </c>
      <c r="B1992" s="1" t="n">
        <v>45096</v>
      </c>
      <c r="C1992" s="1" t="n">
        <v>45472</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28113-2023</t>
        </is>
      </c>
      <c r="B1993" s="1" t="n">
        <v>45096</v>
      </c>
      <c r="C1993" s="1" t="n">
        <v>45472</v>
      </c>
      <c r="D1993" t="inlineStr">
        <is>
          <t>VÄSTERBOTTENS LÄN</t>
        </is>
      </c>
      <c r="E1993" t="inlineStr">
        <is>
          <t>SKELLEFTEÅ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28158-2023</t>
        </is>
      </c>
      <c r="B1994" s="1" t="n">
        <v>45096</v>
      </c>
      <c r="C1994" s="1" t="n">
        <v>45472</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28171-2023</t>
        </is>
      </c>
      <c r="B1995" s="1" t="n">
        <v>45096</v>
      </c>
      <c r="C1995" s="1" t="n">
        <v>45472</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28203-2023</t>
        </is>
      </c>
      <c r="B1996" s="1" t="n">
        <v>45096</v>
      </c>
      <c r="C1996" s="1" t="n">
        <v>45472</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27322-2023</t>
        </is>
      </c>
      <c r="B1997" s="1" t="n">
        <v>45096</v>
      </c>
      <c r="C1997" s="1" t="n">
        <v>45472</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28191-2023</t>
        </is>
      </c>
      <c r="B1998" s="1" t="n">
        <v>45096</v>
      </c>
      <c r="C1998" s="1" t="n">
        <v>45472</v>
      </c>
      <c r="D1998" t="inlineStr">
        <is>
          <t>VÄSTERBOTTENS LÄN</t>
        </is>
      </c>
      <c r="E1998" t="inlineStr">
        <is>
          <t>SKELLEFTEÅ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28192-2023</t>
        </is>
      </c>
      <c r="B1999" s="1" t="n">
        <v>45096</v>
      </c>
      <c r="C1999" s="1" t="n">
        <v>45472</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28175-2023</t>
        </is>
      </c>
      <c r="B2000" s="1" t="n">
        <v>45096</v>
      </c>
      <c r="C2000" s="1" t="n">
        <v>45472</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27433-2023</t>
        </is>
      </c>
      <c r="B2001" s="1" t="n">
        <v>45097</v>
      </c>
      <c r="C2001" s="1" t="n">
        <v>45472</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27504-2023</t>
        </is>
      </c>
      <c r="B2002" s="1" t="n">
        <v>45097</v>
      </c>
      <c r="C2002" s="1" t="n">
        <v>45472</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27508-2023</t>
        </is>
      </c>
      <c r="B2003" s="1" t="n">
        <v>45097</v>
      </c>
      <c r="C2003" s="1" t="n">
        <v>45472</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27614-2023</t>
        </is>
      </c>
      <c r="B2004" s="1" t="n">
        <v>45097</v>
      </c>
      <c r="C2004" s="1" t="n">
        <v>45472</v>
      </c>
      <c r="D2004" t="inlineStr">
        <is>
          <t>VÄSTERBOTTENS LÄN</t>
        </is>
      </c>
      <c r="E2004" t="inlineStr">
        <is>
          <t>SKELLEFTEÅ</t>
        </is>
      </c>
      <c r="F2004" t="inlineStr">
        <is>
          <t>Holmen skog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27670-2023</t>
        </is>
      </c>
      <c r="B2005" s="1" t="n">
        <v>45097</v>
      </c>
      <c r="C2005" s="1" t="n">
        <v>45472</v>
      </c>
      <c r="D2005" t="inlineStr">
        <is>
          <t>VÄSTERBOTTENS LÄN</t>
        </is>
      </c>
      <c r="E2005" t="inlineStr">
        <is>
          <t>SKELLEFTEÅ</t>
        </is>
      </c>
      <c r="F2005" t="inlineStr">
        <is>
          <t>Sveaskog</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27766-2023</t>
        </is>
      </c>
      <c r="B2006" s="1" t="n">
        <v>45098</v>
      </c>
      <c r="C2006" s="1" t="n">
        <v>45472</v>
      </c>
      <c r="D2006" t="inlineStr">
        <is>
          <t>VÄSTERBOTTENS LÄN</t>
        </is>
      </c>
      <c r="E2006" t="inlineStr">
        <is>
          <t>SKELLEFTEÅ</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27829-2023</t>
        </is>
      </c>
      <c r="B2007" s="1" t="n">
        <v>45098</v>
      </c>
      <c r="C2007" s="1" t="n">
        <v>45472</v>
      </c>
      <c r="D2007" t="inlineStr">
        <is>
          <t>VÄSTERBOTTENS LÄN</t>
        </is>
      </c>
      <c r="E2007" t="inlineStr">
        <is>
          <t>SKELLEFTEÅ</t>
        </is>
      </c>
      <c r="F2007" t="inlineStr">
        <is>
          <t>Holmen skog AB</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27807-2023</t>
        </is>
      </c>
      <c r="B2008" s="1" t="n">
        <v>45098</v>
      </c>
      <c r="C2008" s="1" t="n">
        <v>45472</v>
      </c>
      <c r="D2008" t="inlineStr">
        <is>
          <t>VÄSTERBOTTENS LÄN</t>
        </is>
      </c>
      <c r="E2008" t="inlineStr">
        <is>
          <t>SKELLEFTEÅ</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27900-2023</t>
        </is>
      </c>
      <c r="B2009" s="1" t="n">
        <v>45098</v>
      </c>
      <c r="C2009" s="1" t="n">
        <v>45472</v>
      </c>
      <c r="D2009" t="inlineStr">
        <is>
          <t>VÄSTERBOTTENS LÄN</t>
        </is>
      </c>
      <c r="E2009" t="inlineStr">
        <is>
          <t>SKELLEFTEÅ</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27925-2023</t>
        </is>
      </c>
      <c r="B2010" s="1" t="n">
        <v>45098</v>
      </c>
      <c r="C2010" s="1" t="n">
        <v>45472</v>
      </c>
      <c r="D2010" t="inlineStr">
        <is>
          <t>VÄSTERBOTTENS LÄN</t>
        </is>
      </c>
      <c r="E2010" t="inlineStr">
        <is>
          <t>SKELLEFTEÅ</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27794-2023</t>
        </is>
      </c>
      <c r="B2011" s="1" t="n">
        <v>45098</v>
      </c>
      <c r="C2011" s="1" t="n">
        <v>45472</v>
      </c>
      <c r="D2011" t="inlineStr">
        <is>
          <t>VÄSTERBOTTENS LÄN</t>
        </is>
      </c>
      <c r="E2011" t="inlineStr">
        <is>
          <t>SKELLEFTEÅ</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29601-2023</t>
        </is>
      </c>
      <c r="B2012" s="1" t="n">
        <v>45098</v>
      </c>
      <c r="C2012" s="1" t="n">
        <v>45472</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28148-2023</t>
        </is>
      </c>
      <c r="B2013" s="1" t="n">
        <v>45099</v>
      </c>
      <c r="C2013" s="1" t="n">
        <v>45472</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28142-2023</t>
        </is>
      </c>
      <c r="B2014" s="1" t="n">
        <v>45099</v>
      </c>
      <c r="C2014" s="1" t="n">
        <v>45472</v>
      </c>
      <c r="D2014" t="inlineStr">
        <is>
          <t>VÄSTERBOTTENS LÄN</t>
        </is>
      </c>
      <c r="E2014" t="inlineStr">
        <is>
          <t>SKELLEFTEÅ</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28185-2023</t>
        </is>
      </c>
      <c r="B2015" s="1" t="n">
        <v>45099</v>
      </c>
      <c r="C2015" s="1" t="n">
        <v>45472</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28242-2023</t>
        </is>
      </c>
      <c r="B2016" s="1" t="n">
        <v>45099</v>
      </c>
      <c r="C2016" s="1" t="n">
        <v>45472</v>
      </c>
      <c r="D2016" t="inlineStr">
        <is>
          <t>VÄSTERBOTTENS LÄN</t>
        </is>
      </c>
      <c r="E2016" t="inlineStr">
        <is>
          <t>SKELLEFTEÅ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28160-2023</t>
        </is>
      </c>
      <c r="B2017" s="1" t="n">
        <v>45099</v>
      </c>
      <c r="C2017" s="1" t="n">
        <v>45472</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28199-2023</t>
        </is>
      </c>
      <c r="B2018" s="1" t="n">
        <v>45099</v>
      </c>
      <c r="C2018" s="1" t="n">
        <v>45472</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28360-2023</t>
        </is>
      </c>
      <c r="B2019" s="1" t="n">
        <v>45100</v>
      </c>
      <c r="C2019" s="1" t="n">
        <v>45472</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28358-2023</t>
        </is>
      </c>
      <c r="B2020" s="1" t="n">
        <v>45100</v>
      </c>
      <c r="C2020" s="1" t="n">
        <v>45472</v>
      </c>
      <c r="D2020" t="inlineStr">
        <is>
          <t>VÄSTERBOTTENS LÄN</t>
        </is>
      </c>
      <c r="E2020" t="inlineStr">
        <is>
          <t>SKELLEFTEÅ</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29921-2023</t>
        </is>
      </c>
      <c r="B2021" s="1" t="n">
        <v>45099</v>
      </c>
      <c r="C2021" s="1" t="n">
        <v>45472</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30097-2023</t>
        </is>
      </c>
      <c r="B2022" s="1" t="n">
        <v>45099</v>
      </c>
      <c r="C2022" s="1" t="n">
        <v>45472</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30103-2023</t>
        </is>
      </c>
      <c r="B2023" s="1" t="n">
        <v>45099</v>
      </c>
      <c r="C2023" s="1" t="n">
        <v>45472</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30437-2023</t>
        </is>
      </c>
      <c r="B2024" s="1" t="n">
        <v>45099</v>
      </c>
      <c r="C2024" s="1" t="n">
        <v>45472</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30378-2023</t>
        </is>
      </c>
      <c r="B2025" s="1" t="n">
        <v>45099</v>
      </c>
      <c r="C2025" s="1" t="n">
        <v>45472</v>
      </c>
      <c r="D2025" t="inlineStr">
        <is>
          <t>VÄSTERBOTTENS LÄN</t>
        </is>
      </c>
      <c r="E2025" t="inlineStr">
        <is>
          <t>SKELLEFTEÅ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28431-2023</t>
        </is>
      </c>
      <c r="B2026" s="1" t="n">
        <v>45102</v>
      </c>
      <c r="C2026" s="1" t="n">
        <v>45472</v>
      </c>
      <c r="D2026" t="inlineStr">
        <is>
          <t>VÄSTERBOTTENS LÄN</t>
        </is>
      </c>
      <c r="E2026" t="inlineStr">
        <is>
          <t>SKELLEFTEÅ</t>
        </is>
      </c>
      <c r="G2026" t="n">
        <v>8.9</v>
      </c>
      <c r="H2026" t="n">
        <v>0</v>
      </c>
      <c r="I2026" t="n">
        <v>0</v>
      </c>
      <c r="J2026" t="n">
        <v>0</v>
      </c>
      <c r="K2026" t="n">
        <v>0</v>
      </c>
      <c r="L2026" t="n">
        <v>0</v>
      </c>
      <c r="M2026" t="n">
        <v>0</v>
      </c>
      <c r="N2026" t="n">
        <v>0</v>
      </c>
      <c r="O2026" t="n">
        <v>0</v>
      </c>
      <c r="P2026" t="n">
        <v>0</v>
      </c>
      <c r="Q2026" t="n">
        <v>0</v>
      </c>
      <c r="R2026" s="2" t="inlineStr"/>
      <c r="U2026">
        <f>HYPERLINK("https://klasma.github.io/Logging_2482/knärot/A 28431-2023 karta knärot.png", "A 28431-2023")</f>
        <v/>
      </c>
      <c r="V2026">
        <f>HYPERLINK("https://klasma.github.io/Logging_2482/klagomål/A 28431-2023 FSC-klagomål.docx", "A 28431-2023")</f>
        <v/>
      </c>
      <c r="W2026">
        <f>HYPERLINK("https://klasma.github.io/Logging_2482/klagomålsmail/A 28431-2023 FSC-klagomål mail.docx", "A 28431-2023")</f>
        <v/>
      </c>
      <c r="X2026">
        <f>HYPERLINK("https://klasma.github.io/Logging_2482/tillsyn/A 28431-2023 tillsynsbegäran.docx", "A 28431-2023")</f>
        <v/>
      </c>
      <c r="Y2026">
        <f>HYPERLINK("https://klasma.github.io/Logging_2482/tillsynsmail/A 28431-2023 tillsynsbegäran mail.docx", "A 28431-2023")</f>
        <v/>
      </c>
    </row>
    <row r="2027" ht="15" customHeight="1">
      <c r="A2027" t="inlineStr">
        <is>
          <t>A 28433-2023</t>
        </is>
      </c>
      <c r="B2027" s="1" t="n">
        <v>45102</v>
      </c>
      <c r="C2027" s="1" t="n">
        <v>45472</v>
      </c>
      <c r="D2027" t="inlineStr">
        <is>
          <t>VÄSTERBOTTENS LÄN</t>
        </is>
      </c>
      <c r="E2027" t="inlineStr">
        <is>
          <t>SKELLEFTEÅ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28509-2023</t>
        </is>
      </c>
      <c r="B2028" s="1" t="n">
        <v>45103</v>
      </c>
      <c r="C2028" s="1" t="n">
        <v>45472</v>
      </c>
      <c r="D2028" t="inlineStr">
        <is>
          <t>VÄSTERBOTTENS LÄN</t>
        </is>
      </c>
      <c r="E2028" t="inlineStr">
        <is>
          <t>SKELLEFTEÅ</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28641-2023</t>
        </is>
      </c>
      <c r="B2029" s="1" t="n">
        <v>45103</v>
      </c>
      <c r="C2029" s="1" t="n">
        <v>45472</v>
      </c>
      <c r="D2029" t="inlineStr">
        <is>
          <t>VÄSTERBOTTENS LÄN</t>
        </is>
      </c>
      <c r="E2029" t="inlineStr">
        <is>
          <t>SKELLEFTEÅ</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28710-2023</t>
        </is>
      </c>
      <c r="B2030" s="1" t="n">
        <v>45103</v>
      </c>
      <c r="C2030" s="1" t="n">
        <v>45472</v>
      </c>
      <c r="D2030" t="inlineStr">
        <is>
          <t>VÄSTERBOTTENS LÄN</t>
        </is>
      </c>
      <c r="E2030" t="inlineStr">
        <is>
          <t>SKELLEFTEÅ</t>
        </is>
      </c>
      <c r="F2030" t="inlineStr">
        <is>
          <t>Sveaskog</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31006-2023</t>
        </is>
      </c>
      <c r="B2031" s="1" t="n">
        <v>45103</v>
      </c>
      <c r="C2031" s="1" t="n">
        <v>45472</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31555-2023</t>
        </is>
      </c>
      <c r="B2032" s="1" t="n">
        <v>45104</v>
      </c>
      <c r="C2032" s="1" t="n">
        <v>45472</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31558-2023</t>
        </is>
      </c>
      <c r="B2033" s="1" t="n">
        <v>45104</v>
      </c>
      <c r="C2033" s="1" t="n">
        <v>45472</v>
      </c>
      <c r="D2033" t="inlineStr">
        <is>
          <t>VÄSTERBOTTENS LÄN</t>
        </is>
      </c>
      <c r="E2033" t="inlineStr">
        <is>
          <t>SKELLEFTEÅ</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29152-2023</t>
        </is>
      </c>
      <c r="B2034" s="1" t="n">
        <v>45105</v>
      </c>
      <c r="C2034" s="1" t="n">
        <v>45472</v>
      </c>
      <c r="D2034" t="inlineStr">
        <is>
          <t>VÄSTERBOTTENS LÄN</t>
        </is>
      </c>
      <c r="E2034" t="inlineStr">
        <is>
          <t>SKELLEFTEÅ</t>
        </is>
      </c>
      <c r="F2034" t="inlineStr">
        <is>
          <t>Holmen skog AB</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29313-2023</t>
        </is>
      </c>
      <c r="B2035" s="1" t="n">
        <v>45106</v>
      </c>
      <c r="C2035" s="1" t="n">
        <v>45472</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29355-2023</t>
        </is>
      </c>
      <c r="B2036" s="1" t="n">
        <v>45106</v>
      </c>
      <c r="C2036" s="1" t="n">
        <v>45472</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29520-2023</t>
        </is>
      </c>
      <c r="B2037" s="1" t="n">
        <v>45106</v>
      </c>
      <c r="C2037" s="1" t="n">
        <v>45472</v>
      </c>
      <c r="D2037" t="inlineStr">
        <is>
          <t>VÄSTERBOTTENS LÄN</t>
        </is>
      </c>
      <c r="E2037" t="inlineStr">
        <is>
          <t>SKELLEFTEÅ</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29596-2023</t>
        </is>
      </c>
      <c r="B2038" s="1" t="n">
        <v>45107</v>
      </c>
      <c r="C2038" s="1" t="n">
        <v>45472</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29595-2023</t>
        </is>
      </c>
      <c r="B2039" s="1" t="n">
        <v>45107</v>
      </c>
      <c r="C2039" s="1" t="n">
        <v>45472</v>
      </c>
      <c r="D2039" t="inlineStr">
        <is>
          <t>VÄSTERBOTTENS LÄN</t>
        </is>
      </c>
      <c r="E2039" t="inlineStr">
        <is>
          <t>SKELLEFTEÅ</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31760-2023</t>
        </is>
      </c>
      <c r="B2040" s="1" t="n">
        <v>45106</v>
      </c>
      <c r="C2040" s="1" t="n">
        <v>45472</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29887-2023</t>
        </is>
      </c>
      <c r="B2041" s="1" t="n">
        <v>45107</v>
      </c>
      <c r="C2041" s="1" t="n">
        <v>45472</v>
      </c>
      <c r="D2041" t="inlineStr">
        <is>
          <t>VÄSTERBOTTENS LÄN</t>
        </is>
      </c>
      <c r="E2041" t="inlineStr">
        <is>
          <t>SKELLEFTEÅ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29891-2023</t>
        </is>
      </c>
      <c r="B2042" s="1" t="n">
        <v>45107</v>
      </c>
      <c r="C2042" s="1" t="n">
        <v>45472</v>
      </c>
      <c r="D2042" t="inlineStr">
        <is>
          <t>VÄSTERBOTTENS LÄN</t>
        </is>
      </c>
      <c r="E2042" t="inlineStr">
        <is>
          <t>SKELLEFTEÅ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29890-2023</t>
        </is>
      </c>
      <c r="B2043" s="1" t="n">
        <v>45107</v>
      </c>
      <c r="C2043" s="1" t="n">
        <v>45472</v>
      </c>
      <c r="D2043" t="inlineStr">
        <is>
          <t>VÄSTERBOTTENS LÄN</t>
        </is>
      </c>
      <c r="E2043" t="inlineStr">
        <is>
          <t>SKELLEFTEÅ</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29932-2023</t>
        </is>
      </c>
      <c r="B2044" s="1" t="n">
        <v>45107</v>
      </c>
      <c r="C2044" s="1" t="n">
        <v>45472</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29967-2023</t>
        </is>
      </c>
      <c r="B2045" s="1" t="n">
        <v>45108</v>
      </c>
      <c r="C2045" s="1" t="n">
        <v>45472</v>
      </c>
      <c r="D2045" t="inlineStr">
        <is>
          <t>VÄSTERBOTTENS LÄN</t>
        </is>
      </c>
      <c r="E2045" t="inlineStr">
        <is>
          <t>SKELLEFTEÅ</t>
        </is>
      </c>
      <c r="F2045" t="inlineStr">
        <is>
          <t>Holmen skog AB</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29968-2023</t>
        </is>
      </c>
      <c r="B2046" s="1" t="n">
        <v>45108</v>
      </c>
      <c r="C2046" s="1" t="n">
        <v>45472</v>
      </c>
      <c r="D2046" t="inlineStr">
        <is>
          <t>VÄSTERBOTTENS LÄN</t>
        </is>
      </c>
      <c r="E2046" t="inlineStr">
        <is>
          <t>SKELLEFTEÅ</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29976-2023</t>
        </is>
      </c>
      <c r="B2047" s="1" t="n">
        <v>45108</v>
      </c>
      <c r="C2047" s="1" t="n">
        <v>45472</v>
      </c>
      <c r="D2047" t="inlineStr">
        <is>
          <t>VÄSTERBOTTENS LÄN</t>
        </is>
      </c>
      <c r="E2047" t="inlineStr">
        <is>
          <t>SKELLEFTEÅ</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29970-2023</t>
        </is>
      </c>
      <c r="B2048" s="1" t="n">
        <v>45108</v>
      </c>
      <c r="C2048" s="1" t="n">
        <v>45472</v>
      </c>
      <c r="D2048" t="inlineStr">
        <is>
          <t>VÄSTERBOTTENS LÄN</t>
        </is>
      </c>
      <c r="E2048" t="inlineStr">
        <is>
          <t>SKELLEFTEÅ</t>
        </is>
      </c>
      <c r="F2048" t="inlineStr">
        <is>
          <t>Holmen skog AB</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29974-2023</t>
        </is>
      </c>
      <c r="B2049" s="1" t="n">
        <v>45108</v>
      </c>
      <c r="C2049" s="1" t="n">
        <v>45472</v>
      </c>
      <c r="D2049" t="inlineStr">
        <is>
          <t>VÄSTERBOTTENS LÄN</t>
        </is>
      </c>
      <c r="E2049" t="inlineStr">
        <is>
          <t>SKELLEFTEÅ</t>
        </is>
      </c>
      <c r="F2049" t="inlineStr">
        <is>
          <t>Holmen skog AB</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30010-2023</t>
        </is>
      </c>
      <c r="B2050" s="1" t="n">
        <v>45109</v>
      </c>
      <c r="C2050" s="1" t="n">
        <v>45472</v>
      </c>
      <c r="D2050" t="inlineStr">
        <is>
          <t>VÄSTERBOTTENS LÄN</t>
        </is>
      </c>
      <c r="E2050" t="inlineStr">
        <is>
          <t>SKELLEFTEÅ</t>
        </is>
      </c>
      <c r="F2050" t="inlineStr">
        <is>
          <t>Sveaskog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30212-2023</t>
        </is>
      </c>
      <c r="B2051" s="1" t="n">
        <v>45110</v>
      </c>
      <c r="C2051" s="1" t="n">
        <v>45472</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30485-2023</t>
        </is>
      </c>
      <c r="B2052" s="1" t="n">
        <v>45111</v>
      </c>
      <c r="C2052" s="1" t="n">
        <v>45472</v>
      </c>
      <c r="D2052" t="inlineStr">
        <is>
          <t>VÄSTERBOTTENS LÄN</t>
        </is>
      </c>
      <c r="E2052" t="inlineStr">
        <is>
          <t>SKELLEFTEÅ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30329-2023</t>
        </is>
      </c>
      <c r="B2053" s="1" t="n">
        <v>45111</v>
      </c>
      <c r="C2053" s="1" t="n">
        <v>45472</v>
      </c>
      <c r="D2053" t="inlineStr">
        <is>
          <t>VÄSTERBOTTENS LÄN</t>
        </is>
      </c>
      <c r="E2053" t="inlineStr">
        <is>
          <t>SKELLEFTEÅ</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30540-2023</t>
        </is>
      </c>
      <c r="B2054" s="1" t="n">
        <v>45111</v>
      </c>
      <c r="C2054" s="1" t="n">
        <v>45472</v>
      </c>
      <c r="D2054" t="inlineStr">
        <is>
          <t>VÄSTERBOTTENS LÄN</t>
        </is>
      </c>
      <c r="E2054" t="inlineStr">
        <is>
          <t>SKELLEFTEÅ</t>
        </is>
      </c>
      <c r="F2054" t="inlineStr">
        <is>
          <t>Holmen skog AB</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30369-2023</t>
        </is>
      </c>
      <c r="B2055" s="1" t="n">
        <v>45111</v>
      </c>
      <c r="C2055" s="1" t="n">
        <v>45472</v>
      </c>
      <c r="D2055" t="inlineStr">
        <is>
          <t>VÄSTERBOTTENS LÄN</t>
        </is>
      </c>
      <c r="E2055" t="inlineStr">
        <is>
          <t>SKELLEFTEÅ</t>
        </is>
      </c>
      <c r="F2055" t="inlineStr">
        <is>
          <t>Holmen skog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30686-2023</t>
        </is>
      </c>
      <c r="B2056" s="1" t="n">
        <v>45112</v>
      </c>
      <c r="C2056" s="1" t="n">
        <v>45472</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30698-2023</t>
        </is>
      </c>
      <c r="B2057" s="1" t="n">
        <v>45112</v>
      </c>
      <c r="C2057" s="1" t="n">
        <v>45472</v>
      </c>
      <c r="D2057" t="inlineStr">
        <is>
          <t>VÄSTERBOTTENS LÄN</t>
        </is>
      </c>
      <c r="E2057" t="inlineStr">
        <is>
          <t>SKELLEFTEÅ</t>
        </is>
      </c>
      <c r="F2057" t="inlineStr">
        <is>
          <t>Sveaskog</t>
        </is>
      </c>
      <c r="G2057" t="n">
        <v>20.9</v>
      </c>
      <c r="H2057" t="n">
        <v>0</v>
      </c>
      <c r="I2057" t="n">
        <v>0</v>
      </c>
      <c r="J2057" t="n">
        <v>0</v>
      </c>
      <c r="K2057" t="n">
        <v>0</v>
      </c>
      <c r="L2057" t="n">
        <v>0</v>
      </c>
      <c r="M2057" t="n">
        <v>0</v>
      </c>
      <c r="N2057" t="n">
        <v>0</v>
      </c>
      <c r="O2057" t="n">
        <v>0</v>
      </c>
      <c r="P2057" t="n">
        <v>0</v>
      </c>
      <c r="Q2057" t="n">
        <v>0</v>
      </c>
      <c r="R2057" s="2" t="inlineStr"/>
    </row>
    <row r="2058" ht="15" customHeight="1">
      <c r="A2058" t="inlineStr">
        <is>
          <t>A 30743-2023</t>
        </is>
      </c>
      <c r="B2058" s="1" t="n">
        <v>45112</v>
      </c>
      <c r="C2058" s="1" t="n">
        <v>45472</v>
      </c>
      <c r="D2058" t="inlineStr">
        <is>
          <t>VÄSTERBOTTENS LÄN</t>
        </is>
      </c>
      <c r="E2058" t="inlineStr">
        <is>
          <t>SKELLEFTEÅ</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30786-2023</t>
        </is>
      </c>
      <c r="B2059" s="1" t="n">
        <v>45112</v>
      </c>
      <c r="C2059" s="1" t="n">
        <v>45472</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32817-2023</t>
        </is>
      </c>
      <c r="B2060" s="1" t="n">
        <v>45112</v>
      </c>
      <c r="C2060" s="1" t="n">
        <v>45472</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32820-2023</t>
        </is>
      </c>
      <c r="B2061" s="1" t="n">
        <v>45112</v>
      </c>
      <c r="C2061" s="1" t="n">
        <v>45472</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30953-2023</t>
        </is>
      </c>
      <c r="B2062" s="1" t="n">
        <v>45113</v>
      </c>
      <c r="C2062" s="1" t="n">
        <v>45472</v>
      </c>
      <c r="D2062" t="inlineStr">
        <is>
          <t>VÄSTERBOTTENS LÄN</t>
        </is>
      </c>
      <c r="E2062" t="inlineStr">
        <is>
          <t>SKELLEFTEÅ</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31027-2023</t>
        </is>
      </c>
      <c r="B2063" s="1" t="n">
        <v>45113</v>
      </c>
      <c r="C2063" s="1" t="n">
        <v>45472</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31035-2023</t>
        </is>
      </c>
      <c r="B2064" s="1" t="n">
        <v>45113</v>
      </c>
      <c r="C2064" s="1" t="n">
        <v>45472</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31033-2023</t>
        </is>
      </c>
      <c r="B2065" s="1" t="n">
        <v>45113</v>
      </c>
      <c r="C2065" s="1" t="n">
        <v>45472</v>
      </c>
      <c r="D2065" t="inlineStr">
        <is>
          <t>VÄSTERBOTTENS LÄN</t>
        </is>
      </c>
      <c r="E2065" t="inlineStr">
        <is>
          <t>SKELLEFTEÅ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31028-2023</t>
        </is>
      </c>
      <c r="B2066" s="1" t="n">
        <v>45113</v>
      </c>
      <c r="C2066" s="1" t="n">
        <v>45472</v>
      </c>
      <c r="D2066" t="inlineStr">
        <is>
          <t>VÄSTERBOTTENS LÄN</t>
        </is>
      </c>
      <c r="E2066" t="inlineStr">
        <is>
          <t>SKELLEFTEÅ</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31155-2023</t>
        </is>
      </c>
      <c r="B2067" s="1" t="n">
        <v>45113</v>
      </c>
      <c r="C2067" s="1" t="n">
        <v>45472</v>
      </c>
      <c r="D2067" t="inlineStr">
        <is>
          <t>VÄSTERBOTTENS LÄN</t>
        </is>
      </c>
      <c r="E2067" t="inlineStr">
        <is>
          <t>SKELLEFTEÅ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32969-2023</t>
        </is>
      </c>
      <c r="B2068" s="1" t="n">
        <v>45113</v>
      </c>
      <c r="C2068" s="1" t="n">
        <v>45472</v>
      </c>
      <c r="D2068" t="inlineStr">
        <is>
          <t>VÄSTERBOTTENS LÄN</t>
        </is>
      </c>
      <c r="E2068" t="inlineStr">
        <is>
          <t>SKELLEFTEÅ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31257-2023</t>
        </is>
      </c>
      <c r="B2069" s="1" t="n">
        <v>45114</v>
      </c>
      <c r="C2069" s="1" t="n">
        <v>45472</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33184-2023</t>
        </is>
      </c>
      <c r="B2070" s="1" t="n">
        <v>45114</v>
      </c>
      <c r="C2070" s="1" t="n">
        <v>45472</v>
      </c>
      <c r="D2070" t="inlineStr">
        <is>
          <t>VÄSTERBOTTENS LÄN</t>
        </is>
      </c>
      <c r="E2070" t="inlineStr">
        <is>
          <t>SKELLEFTEÅ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33289-2023</t>
        </is>
      </c>
      <c r="B2071" s="1" t="n">
        <v>45116</v>
      </c>
      <c r="C2071" s="1" t="n">
        <v>45472</v>
      </c>
      <c r="D2071" t="inlineStr">
        <is>
          <t>VÄSTERBOTTENS LÄN</t>
        </is>
      </c>
      <c r="E2071" t="inlineStr">
        <is>
          <t>SKELLEFTEÅ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31672-2023</t>
        </is>
      </c>
      <c r="B2072" s="1" t="n">
        <v>45117</v>
      </c>
      <c r="C2072" s="1" t="n">
        <v>45472</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32206-2023</t>
        </is>
      </c>
      <c r="B2073" s="1" t="n">
        <v>45119</v>
      </c>
      <c r="C2073" s="1" t="n">
        <v>45472</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32205-2023</t>
        </is>
      </c>
      <c r="B2074" s="1" t="n">
        <v>45119</v>
      </c>
      <c r="C2074" s="1" t="n">
        <v>45472</v>
      </c>
      <c r="D2074" t="inlineStr">
        <is>
          <t>VÄSTERBOTTENS LÄN</t>
        </is>
      </c>
      <c r="E2074" t="inlineStr">
        <is>
          <t>SKELLEFTEÅ</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33778-2023</t>
        </is>
      </c>
      <c r="B2075" s="1" t="n">
        <v>45120</v>
      </c>
      <c r="C2075" s="1" t="n">
        <v>45472</v>
      </c>
      <c r="D2075" t="inlineStr">
        <is>
          <t>VÄSTERBOTTENS LÄN</t>
        </is>
      </c>
      <c r="E2075" t="inlineStr">
        <is>
          <t>SKELLEFTEÅ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32535-2023</t>
        </is>
      </c>
      <c r="B2076" s="1" t="n">
        <v>45121</v>
      </c>
      <c r="C2076" s="1" t="n">
        <v>45472</v>
      </c>
      <c r="D2076" t="inlineStr">
        <is>
          <t>VÄSTERBOTTENS LÄN</t>
        </is>
      </c>
      <c r="E2076" t="inlineStr">
        <is>
          <t>SKELLEFTEÅ</t>
        </is>
      </c>
      <c r="F2076" t="inlineStr">
        <is>
          <t>Holmen skog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32556-2023</t>
        </is>
      </c>
      <c r="B2077" s="1" t="n">
        <v>45121</v>
      </c>
      <c r="C2077" s="1" t="n">
        <v>45472</v>
      </c>
      <c r="D2077" t="inlineStr">
        <is>
          <t>VÄSTERBOTTENS LÄN</t>
        </is>
      </c>
      <c r="E2077" t="inlineStr">
        <is>
          <t>SKELLEFTEÅ</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32589-2023</t>
        </is>
      </c>
      <c r="B2078" s="1" t="n">
        <v>45121</v>
      </c>
      <c r="C2078" s="1" t="n">
        <v>45472</v>
      </c>
      <c r="D2078" t="inlineStr">
        <is>
          <t>VÄSTERBOTTENS LÄN</t>
        </is>
      </c>
      <c r="E2078" t="inlineStr">
        <is>
          <t>SKELLEFTEÅ</t>
        </is>
      </c>
      <c r="F2078" t="inlineStr">
        <is>
          <t>Holmen skog AB</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32575-2023</t>
        </is>
      </c>
      <c r="B2079" s="1" t="n">
        <v>45121</v>
      </c>
      <c r="C2079" s="1" t="n">
        <v>45472</v>
      </c>
      <c r="D2079" t="inlineStr">
        <is>
          <t>VÄSTERBOTTENS LÄN</t>
        </is>
      </c>
      <c r="E2079" t="inlineStr">
        <is>
          <t>SKELLEFTEÅ</t>
        </is>
      </c>
      <c r="F2079" t="inlineStr">
        <is>
          <t>Holmen skog AB</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32590-2023</t>
        </is>
      </c>
      <c r="B2080" s="1" t="n">
        <v>45121</v>
      </c>
      <c r="C2080" s="1" t="n">
        <v>45472</v>
      </c>
      <c r="D2080" t="inlineStr">
        <is>
          <t>VÄSTERBOTTENS LÄN</t>
        </is>
      </c>
      <c r="E2080" t="inlineStr">
        <is>
          <t>SKELLEFTEÅ</t>
        </is>
      </c>
      <c r="F2080" t="inlineStr">
        <is>
          <t>Holmen skog AB</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32746-2023</t>
        </is>
      </c>
      <c r="B2081" s="1" t="n">
        <v>45122</v>
      </c>
      <c r="C2081" s="1" t="n">
        <v>45472</v>
      </c>
      <c r="D2081" t="inlineStr">
        <is>
          <t>VÄSTERBOTTENS LÄN</t>
        </is>
      </c>
      <c r="E2081" t="inlineStr">
        <is>
          <t>SKELLEFTEÅ</t>
        </is>
      </c>
      <c r="F2081" t="inlineStr">
        <is>
          <t>Holmen skog AB</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32743-2023</t>
        </is>
      </c>
      <c r="B2082" s="1" t="n">
        <v>45122</v>
      </c>
      <c r="C2082" s="1" t="n">
        <v>45472</v>
      </c>
      <c r="D2082" t="inlineStr">
        <is>
          <t>VÄSTERBOTTENS LÄN</t>
        </is>
      </c>
      <c r="E2082" t="inlineStr">
        <is>
          <t>SKELLEFTEÅ</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32747-2023</t>
        </is>
      </c>
      <c r="B2083" s="1" t="n">
        <v>45122</v>
      </c>
      <c r="C2083" s="1" t="n">
        <v>45472</v>
      </c>
      <c r="D2083" t="inlineStr">
        <is>
          <t>VÄSTERBOTTENS LÄN</t>
        </is>
      </c>
      <c r="E2083" t="inlineStr">
        <is>
          <t>SKELLEFTEÅ</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32745-2023</t>
        </is>
      </c>
      <c r="B2084" s="1" t="n">
        <v>45122</v>
      </c>
      <c r="C2084" s="1" t="n">
        <v>45472</v>
      </c>
      <c r="D2084" t="inlineStr">
        <is>
          <t>VÄSTERBOTTENS LÄN</t>
        </is>
      </c>
      <c r="E2084" t="inlineStr">
        <is>
          <t>SKELLEFTEÅ</t>
        </is>
      </c>
      <c r="F2084" t="inlineStr">
        <is>
          <t>Holmen skog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33911-2023</t>
        </is>
      </c>
      <c r="B2085" s="1" t="n">
        <v>45123</v>
      </c>
      <c r="C2085" s="1" t="n">
        <v>45472</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33027-2023</t>
        </is>
      </c>
      <c r="B2086" s="1" t="n">
        <v>45126</v>
      </c>
      <c r="C2086" s="1" t="n">
        <v>45472</v>
      </c>
      <c r="D2086" t="inlineStr">
        <is>
          <t>VÄSTERBOTTENS LÄN</t>
        </is>
      </c>
      <c r="E2086" t="inlineStr">
        <is>
          <t>SKELLEFTEÅ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33078-2023</t>
        </is>
      </c>
      <c r="B2087" s="1" t="n">
        <v>45126</v>
      </c>
      <c r="C2087" s="1" t="n">
        <v>45472</v>
      </c>
      <c r="D2087" t="inlineStr">
        <is>
          <t>VÄSTERBOTTENS LÄN</t>
        </is>
      </c>
      <c r="E2087" t="inlineStr">
        <is>
          <t>SKELLEFTEÅ</t>
        </is>
      </c>
      <c r="F2087" t="inlineStr">
        <is>
          <t>Holmen skog AB</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33129-2023</t>
        </is>
      </c>
      <c r="B2088" s="1" t="n">
        <v>45126</v>
      </c>
      <c r="C2088" s="1" t="n">
        <v>45472</v>
      </c>
      <c r="D2088" t="inlineStr">
        <is>
          <t>VÄSTERBOTTENS LÄN</t>
        </is>
      </c>
      <c r="E2088" t="inlineStr">
        <is>
          <t>SKELLEFTEÅ</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33274-2023</t>
        </is>
      </c>
      <c r="B2089" s="1" t="n">
        <v>45127</v>
      </c>
      <c r="C2089" s="1" t="n">
        <v>45472</v>
      </c>
      <c r="D2089" t="inlineStr">
        <is>
          <t>VÄSTERBOTTENS LÄN</t>
        </is>
      </c>
      <c r="E2089" t="inlineStr">
        <is>
          <t>SKELLEFTEÅ</t>
        </is>
      </c>
      <c r="F2089" t="inlineStr">
        <is>
          <t>Holmen skog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33710-2023</t>
        </is>
      </c>
      <c r="B2090" s="1" t="n">
        <v>45133</v>
      </c>
      <c r="C2090" s="1" t="n">
        <v>45472</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33708-2023</t>
        </is>
      </c>
      <c r="B2091" s="1" t="n">
        <v>45133</v>
      </c>
      <c r="C2091" s="1" t="n">
        <v>45472</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33791-2023</t>
        </is>
      </c>
      <c r="B2092" s="1" t="n">
        <v>45133</v>
      </c>
      <c r="C2092" s="1" t="n">
        <v>45472</v>
      </c>
      <c r="D2092" t="inlineStr">
        <is>
          <t>VÄSTERBOTTENS LÄN</t>
        </is>
      </c>
      <c r="E2092" t="inlineStr">
        <is>
          <t>SKELLEFTEÅ</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33739-2023</t>
        </is>
      </c>
      <c r="B2093" s="1" t="n">
        <v>45133</v>
      </c>
      <c r="C2093" s="1" t="n">
        <v>45472</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33768-2023</t>
        </is>
      </c>
      <c r="B2094" s="1" t="n">
        <v>45133</v>
      </c>
      <c r="C2094" s="1" t="n">
        <v>45472</v>
      </c>
      <c r="D2094" t="inlineStr">
        <is>
          <t>VÄSTERBOTTENS LÄN</t>
        </is>
      </c>
      <c r="E2094" t="inlineStr">
        <is>
          <t>SKELLEFTEÅ</t>
        </is>
      </c>
      <c r="F2094" t="inlineStr">
        <is>
          <t>Holmen skog AB</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33838-2023</t>
        </is>
      </c>
      <c r="B2095" s="1" t="n">
        <v>45133</v>
      </c>
      <c r="C2095" s="1" t="n">
        <v>45472</v>
      </c>
      <c r="D2095" t="inlineStr">
        <is>
          <t>VÄSTERBOTTENS LÄN</t>
        </is>
      </c>
      <c r="E2095" t="inlineStr">
        <is>
          <t>SKELLEFTEÅ</t>
        </is>
      </c>
      <c r="F2095" t="inlineStr">
        <is>
          <t>Holmen skog AB</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33843-2023</t>
        </is>
      </c>
      <c r="B2096" s="1" t="n">
        <v>45133</v>
      </c>
      <c r="C2096" s="1" t="n">
        <v>45472</v>
      </c>
      <c r="D2096" t="inlineStr">
        <is>
          <t>VÄSTERBOTTENS LÄN</t>
        </is>
      </c>
      <c r="E2096" t="inlineStr">
        <is>
          <t>SKELLEFTEÅ</t>
        </is>
      </c>
      <c r="F2096" t="inlineStr">
        <is>
          <t>Holmen skog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33728-2023</t>
        </is>
      </c>
      <c r="B2097" s="1" t="n">
        <v>45133</v>
      </c>
      <c r="C2097" s="1" t="n">
        <v>45472</v>
      </c>
      <c r="D2097" t="inlineStr">
        <is>
          <t>VÄSTERBOTTENS LÄN</t>
        </is>
      </c>
      <c r="E2097" t="inlineStr">
        <is>
          <t>SKELLEFTEÅ</t>
        </is>
      </c>
      <c r="F2097" t="inlineStr">
        <is>
          <t>Holmen skog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34508-2023</t>
        </is>
      </c>
      <c r="B2098" s="1" t="n">
        <v>45133</v>
      </c>
      <c r="C2098" s="1" t="n">
        <v>45472</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33771-2023</t>
        </is>
      </c>
      <c r="B2099" s="1" t="n">
        <v>45133</v>
      </c>
      <c r="C2099" s="1" t="n">
        <v>45472</v>
      </c>
      <c r="D2099" t="inlineStr">
        <is>
          <t>VÄSTERBOTTENS LÄN</t>
        </is>
      </c>
      <c r="E2099" t="inlineStr">
        <is>
          <t>SKELLEFTEÅ</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33820-2023</t>
        </is>
      </c>
      <c r="B2100" s="1" t="n">
        <v>45133</v>
      </c>
      <c r="C2100" s="1" t="n">
        <v>45472</v>
      </c>
      <c r="D2100" t="inlineStr">
        <is>
          <t>VÄSTERBOTTENS LÄN</t>
        </is>
      </c>
      <c r="E2100" t="inlineStr">
        <is>
          <t>SKELLEFTEÅ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34507-2023</t>
        </is>
      </c>
      <c r="B2101" s="1" t="n">
        <v>45133</v>
      </c>
      <c r="C2101" s="1" t="n">
        <v>45472</v>
      </c>
      <c r="D2101" t="inlineStr">
        <is>
          <t>VÄSTERBOTTENS LÄN</t>
        </is>
      </c>
      <c r="E2101" t="inlineStr">
        <is>
          <t>SKELLEFTEÅ</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33956-2023</t>
        </is>
      </c>
      <c r="B2102" s="1" t="n">
        <v>45134</v>
      </c>
      <c r="C2102" s="1" t="n">
        <v>45472</v>
      </c>
      <c r="D2102" t="inlineStr">
        <is>
          <t>VÄSTERBOTTENS LÄN</t>
        </is>
      </c>
      <c r="E2102" t="inlineStr">
        <is>
          <t>SKELLEFTEÅ</t>
        </is>
      </c>
      <c r="F2102" t="inlineStr">
        <is>
          <t>Holmen skog AB</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34036-2023</t>
        </is>
      </c>
      <c r="B2103" s="1" t="n">
        <v>45135</v>
      </c>
      <c r="C2103" s="1" t="n">
        <v>45472</v>
      </c>
      <c r="D2103" t="inlineStr">
        <is>
          <t>VÄSTERBOTTENS LÄN</t>
        </is>
      </c>
      <c r="E2103" t="inlineStr">
        <is>
          <t>SKELLEFTEÅ</t>
        </is>
      </c>
      <c r="F2103" t="inlineStr">
        <is>
          <t>Holmen skog AB</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34051-2023</t>
        </is>
      </c>
      <c r="B2104" s="1" t="n">
        <v>45135</v>
      </c>
      <c r="C2104" s="1" t="n">
        <v>45472</v>
      </c>
      <c r="D2104" t="inlineStr">
        <is>
          <t>VÄSTERBOTTENS LÄN</t>
        </is>
      </c>
      <c r="E2104" t="inlineStr">
        <is>
          <t>SKELLEFTEÅ</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34025-2023</t>
        </is>
      </c>
      <c r="B2105" s="1" t="n">
        <v>45135</v>
      </c>
      <c r="C2105" s="1" t="n">
        <v>45472</v>
      </c>
      <c r="D2105" t="inlineStr">
        <is>
          <t>VÄSTERBOTTENS LÄN</t>
        </is>
      </c>
      <c r="E2105" t="inlineStr">
        <is>
          <t>SKELLEFTEÅ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34063-2023</t>
        </is>
      </c>
      <c r="B2106" s="1" t="n">
        <v>45135</v>
      </c>
      <c r="C2106" s="1" t="n">
        <v>45472</v>
      </c>
      <c r="D2106" t="inlineStr">
        <is>
          <t>VÄSTERBOTTENS LÄN</t>
        </is>
      </c>
      <c r="E2106" t="inlineStr">
        <is>
          <t>SKELLEFTEÅ</t>
        </is>
      </c>
      <c r="F2106" t="inlineStr">
        <is>
          <t>Holmen skog AB</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34035-2023</t>
        </is>
      </c>
      <c r="B2107" s="1" t="n">
        <v>45135</v>
      </c>
      <c r="C2107" s="1" t="n">
        <v>45472</v>
      </c>
      <c r="D2107" t="inlineStr">
        <is>
          <t>VÄSTERBOTTENS LÄN</t>
        </is>
      </c>
      <c r="E2107" t="inlineStr">
        <is>
          <t>SKELLEFTEÅ</t>
        </is>
      </c>
      <c r="F2107" t="inlineStr">
        <is>
          <t>Holmen skog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34572-2023</t>
        </is>
      </c>
      <c r="B2108" s="1" t="n">
        <v>45135</v>
      </c>
      <c r="C2108" s="1" t="n">
        <v>45472</v>
      </c>
      <c r="D2108" t="inlineStr">
        <is>
          <t>VÄSTERBOTTENS LÄN</t>
        </is>
      </c>
      <c r="E2108" t="inlineStr">
        <is>
          <t>SKELLEFTEÅ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34195-2023</t>
        </is>
      </c>
      <c r="B2109" s="1" t="n">
        <v>45135</v>
      </c>
      <c r="C2109" s="1" t="n">
        <v>45472</v>
      </c>
      <c r="D2109" t="inlineStr">
        <is>
          <t>VÄSTERBOTTENS LÄN</t>
        </is>
      </c>
      <c r="E2109" t="inlineStr">
        <is>
          <t>SKELLEFTEÅ</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34455-2023</t>
        </is>
      </c>
      <c r="B2110" s="1" t="n">
        <v>45139</v>
      </c>
      <c r="C2110" s="1" t="n">
        <v>45472</v>
      </c>
      <c r="D2110" t="inlineStr">
        <is>
          <t>VÄSTERBOTTENS LÄN</t>
        </is>
      </c>
      <c r="E2110" t="inlineStr">
        <is>
          <t>SKELLEFTEÅ</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34583-2023</t>
        </is>
      </c>
      <c r="B2111" s="1" t="n">
        <v>45140</v>
      </c>
      <c r="C2111" s="1" t="n">
        <v>45472</v>
      </c>
      <c r="D2111" t="inlineStr">
        <is>
          <t>VÄSTERBOTTENS LÄN</t>
        </is>
      </c>
      <c r="E2111" t="inlineStr">
        <is>
          <t>SKELLEFTEÅ</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34597-2023</t>
        </is>
      </c>
      <c r="B2112" s="1" t="n">
        <v>45140</v>
      </c>
      <c r="C2112" s="1" t="n">
        <v>45472</v>
      </c>
      <c r="D2112" t="inlineStr">
        <is>
          <t>VÄSTERBOTTENS LÄN</t>
        </is>
      </c>
      <c r="E2112" t="inlineStr">
        <is>
          <t>SKELLEFTEÅ</t>
        </is>
      </c>
      <c r="F2112" t="inlineStr">
        <is>
          <t>Holmen skog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34616-2023</t>
        </is>
      </c>
      <c r="B2113" s="1" t="n">
        <v>45140</v>
      </c>
      <c r="C2113" s="1" t="n">
        <v>45472</v>
      </c>
      <c r="D2113" t="inlineStr">
        <is>
          <t>VÄSTERBOTTENS LÄN</t>
        </is>
      </c>
      <c r="E2113" t="inlineStr">
        <is>
          <t>SKELLEFTEÅ</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34669-2023</t>
        </is>
      </c>
      <c r="B2114" s="1" t="n">
        <v>45140</v>
      </c>
      <c r="C2114" s="1" t="n">
        <v>45472</v>
      </c>
      <c r="D2114" t="inlineStr">
        <is>
          <t>VÄSTERBOTTENS LÄN</t>
        </is>
      </c>
      <c r="E2114" t="inlineStr">
        <is>
          <t>SKELLEFTEÅ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34670-2023</t>
        </is>
      </c>
      <c r="B2115" s="1" t="n">
        <v>45140</v>
      </c>
      <c r="C2115" s="1" t="n">
        <v>45472</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34638-2023</t>
        </is>
      </c>
      <c r="B2116" s="1" t="n">
        <v>45140</v>
      </c>
      <c r="C2116" s="1" t="n">
        <v>45472</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34672-2023</t>
        </is>
      </c>
      <c r="B2117" s="1" t="n">
        <v>45140</v>
      </c>
      <c r="C2117" s="1" t="n">
        <v>45472</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34986-2023</t>
        </is>
      </c>
      <c r="B2118" s="1" t="n">
        <v>45142</v>
      </c>
      <c r="C2118" s="1" t="n">
        <v>45472</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35068-2023</t>
        </is>
      </c>
      <c r="B2119" s="1" t="n">
        <v>45142</v>
      </c>
      <c r="C2119" s="1" t="n">
        <v>45472</v>
      </c>
      <c r="D2119" t="inlineStr">
        <is>
          <t>VÄSTERBOTTENS LÄN</t>
        </is>
      </c>
      <c r="E2119" t="inlineStr">
        <is>
          <t>SKELLEFTEÅ</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35070-2023</t>
        </is>
      </c>
      <c r="B2120" s="1" t="n">
        <v>45142</v>
      </c>
      <c r="C2120" s="1" t="n">
        <v>45472</v>
      </c>
      <c r="D2120" t="inlineStr">
        <is>
          <t>VÄSTERBOTTENS LÄN</t>
        </is>
      </c>
      <c r="E2120" t="inlineStr">
        <is>
          <t>SKELLEFTEÅ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35031-2023</t>
        </is>
      </c>
      <c r="B2121" s="1" t="n">
        <v>45145</v>
      </c>
      <c r="C2121" s="1" t="n">
        <v>45472</v>
      </c>
      <c r="D2121" t="inlineStr">
        <is>
          <t>VÄSTERBOTTENS LÄN</t>
        </is>
      </c>
      <c r="E2121" t="inlineStr">
        <is>
          <t>SKELLEFTEÅ</t>
        </is>
      </c>
      <c r="F2121" t="inlineStr">
        <is>
          <t>Holmen skog AB</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35102-2023</t>
        </is>
      </c>
      <c r="B2122" s="1" t="n">
        <v>45145</v>
      </c>
      <c r="C2122" s="1" t="n">
        <v>45472</v>
      </c>
      <c r="D2122" t="inlineStr">
        <is>
          <t>VÄSTERBOTTENS LÄN</t>
        </is>
      </c>
      <c r="E2122" t="inlineStr">
        <is>
          <t>SKELLEFTEÅ</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35032-2023</t>
        </is>
      </c>
      <c r="B2123" s="1" t="n">
        <v>45145</v>
      </c>
      <c r="C2123" s="1" t="n">
        <v>45472</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35331-2023</t>
        </is>
      </c>
      <c r="B2124" s="1" t="n">
        <v>45145</v>
      </c>
      <c r="C2124" s="1" t="n">
        <v>45472</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35206-2023</t>
        </is>
      </c>
      <c r="B2125" s="1" t="n">
        <v>45145</v>
      </c>
      <c r="C2125" s="1" t="n">
        <v>45472</v>
      </c>
      <c r="D2125" t="inlineStr">
        <is>
          <t>VÄSTERBOTTENS LÄN</t>
        </is>
      </c>
      <c r="E2125" t="inlineStr">
        <is>
          <t>SKELLEFTEÅ</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35338-2023</t>
        </is>
      </c>
      <c r="B2126" s="1" t="n">
        <v>45145</v>
      </c>
      <c r="C2126" s="1" t="n">
        <v>45472</v>
      </c>
      <c r="D2126" t="inlineStr">
        <is>
          <t>VÄSTERBOTTENS LÄN</t>
        </is>
      </c>
      <c r="E2126" t="inlineStr">
        <is>
          <t>SKELLEFTEÅ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35439-2023</t>
        </is>
      </c>
      <c r="B2127" s="1" t="n">
        <v>45146</v>
      </c>
      <c r="C2127" s="1" t="n">
        <v>45472</v>
      </c>
      <c r="D2127" t="inlineStr">
        <is>
          <t>VÄSTERBOTTENS LÄN</t>
        </is>
      </c>
      <c r="E2127" t="inlineStr">
        <is>
          <t>SKELLEFTEÅ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35301-2023</t>
        </is>
      </c>
      <c r="B2128" s="1" t="n">
        <v>45146</v>
      </c>
      <c r="C2128" s="1" t="n">
        <v>45472</v>
      </c>
      <c r="D2128" t="inlineStr">
        <is>
          <t>VÄSTERBOTTENS LÄN</t>
        </is>
      </c>
      <c r="E2128" t="inlineStr">
        <is>
          <t>SKELLEFTEÅ</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35401-2023</t>
        </is>
      </c>
      <c r="B2129" s="1" t="n">
        <v>45146</v>
      </c>
      <c r="C2129" s="1" t="n">
        <v>45472</v>
      </c>
      <c r="D2129" t="inlineStr">
        <is>
          <t>VÄSTERBOTTENS LÄN</t>
        </is>
      </c>
      <c r="E2129" t="inlineStr">
        <is>
          <t>SKELLEFTEÅ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35437-2023</t>
        </is>
      </c>
      <c r="B2130" s="1" t="n">
        <v>45146</v>
      </c>
      <c r="C2130" s="1" t="n">
        <v>45472</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35430-2023</t>
        </is>
      </c>
      <c r="B2131" s="1" t="n">
        <v>45146</v>
      </c>
      <c r="C2131" s="1" t="n">
        <v>45472</v>
      </c>
      <c r="D2131" t="inlineStr">
        <is>
          <t>VÄSTERBOTTENS LÄN</t>
        </is>
      </c>
      <c r="E2131" t="inlineStr">
        <is>
          <t>SKELLEFTEÅ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35731-2023</t>
        </is>
      </c>
      <c r="B2132" s="1" t="n">
        <v>45147</v>
      </c>
      <c r="C2132" s="1" t="n">
        <v>45472</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35732-2023</t>
        </is>
      </c>
      <c r="B2133" s="1" t="n">
        <v>45147</v>
      </c>
      <c r="C2133" s="1" t="n">
        <v>45472</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35736-2023</t>
        </is>
      </c>
      <c r="B2134" s="1" t="n">
        <v>45147</v>
      </c>
      <c r="C2134" s="1" t="n">
        <v>45472</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35733-2023</t>
        </is>
      </c>
      <c r="B2135" s="1" t="n">
        <v>45147</v>
      </c>
      <c r="C2135" s="1" t="n">
        <v>45472</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35952-2023</t>
        </is>
      </c>
      <c r="B2136" s="1" t="n">
        <v>45148</v>
      </c>
      <c r="C2136" s="1" t="n">
        <v>45472</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36078-2023</t>
        </is>
      </c>
      <c r="B2137" s="1" t="n">
        <v>45149</v>
      </c>
      <c r="C2137" s="1" t="n">
        <v>45472</v>
      </c>
      <c r="D2137" t="inlineStr">
        <is>
          <t>VÄSTERBOTTENS LÄN</t>
        </is>
      </c>
      <c r="E2137" t="inlineStr">
        <is>
          <t>SKELLEFTEÅ</t>
        </is>
      </c>
      <c r="F2137" t="inlineStr">
        <is>
          <t>Holmen skog AB</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36113-2023</t>
        </is>
      </c>
      <c r="B2138" s="1" t="n">
        <v>45149</v>
      </c>
      <c r="C2138" s="1" t="n">
        <v>45472</v>
      </c>
      <c r="D2138" t="inlineStr">
        <is>
          <t>VÄSTERBOTTENS LÄN</t>
        </is>
      </c>
      <c r="E2138" t="inlineStr">
        <is>
          <t>SKELLEFTEÅ</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36091-2023</t>
        </is>
      </c>
      <c r="B2139" s="1" t="n">
        <v>45149</v>
      </c>
      <c r="C2139" s="1" t="n">
        <v>45472</v>
      </c>
      <c r="D2139" t="inlineStr">
        <is>
          <t>VÄSTERBOTTENS LÄN</t>
        </is>
      </c>
      <c r="E2139" t="inlineStr">
        <is>
          <t>SKELLEFTEÅ</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36099-2023</t>
        </is>
      </c>
      <c r="B2140" s="1" t="n">
        <v>45149</v>
      </c>
      <c r="C2140" s="1" t="n">
        <v>45472</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36286-2023</t>
        </is>
      </c>
      <c r="B2141" s="1" t="n">
        <v>45152</v>
      </c>
      <c r="C2141" s="1" t="n">
        <v>45472</v>
      </c>
      <c r="D2141" t="inlineStr">
        <is>
          <t>VÄSTERBOTTENS LÄN</t>
        </is>
      </c>
      <c r="E2141" t="inlineStr">
        <is>
          <t>SKELLEFTEÅ</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36327-2023</t>
        </is>
      </c>
      <c r="B2142" s="1" t="n">
        <v>45152</v>
      </c>
      <c r="C2142" s="1" t="n">
        <v>45472</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36275-2023</t>
        </is>
      </c>
      <c r="B2143" s="1" t="n">
        <v>45152</v>
      </c>
      <c r="C2143" s="1" t="n">
        <v>45472</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36495-2023</t>
        </is>
      </c>
      <c r="B2144" s="1" t="n">
        <v>45153</v>
      </c>
      <c r="C2144" s="1" t="n">
        <v>45472</v>
      </c>
      <c r="D2144" t="inlineStr">
        <is>
          <t>VÄSTERBOTTENS LÄN</t>
        </is>
      </c>
      <c r="E2144" t="inlineStr">
        <is>
          <t>SKELLEFTEÅ</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36404-2023</t>
        </is>
      </c>
      <c r="B2145" s="1" t="n">
        <v>45152</v>
      </c>
      <c r="C2145" s="1" t="n">
        <v>45472</v>
      </c>
      <c r="D2145" t="inlineStr">
        <is>
          <t>VÄSTERBOTTENS LÄN</t>
        </is>
      </c>
      <c r="E2145" t="inlineStr">
        <is>
          <t>SKELLEFTEÅ</t>
        </is>
      </c>
      <c r="F2145" t="inlineStr">
        <is>
          <t>Holmen skog AB</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36493-2023</t>
        </is>
      </c>
      <c r="B2146" s="1" t="n">
        <v>45153</v>
      </c>
      <c r="C2146" s="1" t="n">
        <v>45472</v>
      </c>
      <c r="D2146" t="inlineStr">
        <is>
          <t>VÄSTERBOTTENS LÄN</t>
        </is>
      </c>
      <c r="E2146" t="inlineStr">
        <is>
          <t>SKELLEFTEÅ</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36556-2023</t>
        </is>
      </c>
      <c r="B2147" s="1" t="n">
        <v>45153</v>
      </c>
      <c r="C2147" s="1" t="n">
        <v>45472</v>
      </c>
      <c r="D2147" t="inlineStr">
        <is>
          <t>VÄSTERBOTTENS LÄN</t>
        </is>
      </c>
      <c r="E2147" t="inlineStr">
        <is>
          <t>SKELLEFTEÅ</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36804-2023</t>
        </is>
      </c>
      <c r="B2148" s="1" t="n">
        <v>45154</v>
      </c>
      <c r="C2148" s="1" t="n">
        <v>45472</v>
      </c>
      <c r="D2148" t="inlineStr">
        <is>
          <t>VÄSTERBOTTENS LÄN</t>
        </is>
      </c>
      <c r="E2148" t="inlineStr">
        <is>
          <t>SKELLEFTEÅ</t>
        </is>
      </c>
      <c r="F2148" t="inlineStr">
        <is>
          <t>Holmen skog AB</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37134-2023</t>
        </is>
      </c>
      <c r="B2149" s="1" t="n">
        <v>45155</v>
      </c>
      <c r="C2149" s="1" t="n">
        <v>45472</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37229-2023</t>
        </is>
      </c>
      <c r="B2150" s="1" t="n">
        <v>45155</v>
      </c>
      <c r="C2150" s="1" t="n">
        <v>45472</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37774-2023</t>
        </is>
      </c>
      <c r="B2151" s="1" t="n">
        <v>45156</v>
      </c>
      <c r="C2151" s="1" t="n">
        <v>45472</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37474-2023</t>
        </is>
      </c>
      <c r="B2152" s="1" t="n">
        <v>45157</v>
      </c>
      <c r="C2152" s="1" t="n">
        <v>45472</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37796-2023</t>
        </is>
      </c>
      <c r="B2153" s="1" t="n">
        <v>45160</v>
      </c>
      <c r="C2153" s="1" t="n">
        <v>45472</v>
      </c>
      <c r="D2153" t="inlineStr">
        <is>
          <t>VÄSTERBOTTENS LÄN</t>
        </is>
      </c>
      <c r="E2153" t="inlineStr">
        <is>
          <t>SKELLEFTEÅ</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38140-2023</t>
        </is>
      </c>
      <c r="B2154" s="1" t="n">
        <v>45159</v>
      </c>
      <c r="C2154" s="1" t="n">
        <v>45472</v>
      </c>
      <c r="D2154" t="inlineStr">
        <is>
          <t>VÄSTERBOTTENS LÄN</t>
        </is>
      </c>
      <c r="E2154" t="inlineStr">
        <is>
          <t>SKELLEFTEÅ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38134-2023</t>
        </is>
      </c>
      <c r="B2155" s="1" t="n">
        <v>45159</v>
      </c>
      <c r="C2155" s="1" t="n">
        <v>45472</v>
      </c>
      <c r="D2155" t="inlineStr">
        <is>
          <t>VÄSTERBOTTENS LÄN</t>
        </is>
      </c>
      <c r="E2155" t="inlineStr">
        <is>
          <t>SKELLEFTEÅ</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37883-2023</t>
        </is>
      </c>
      <c r="B2156" s="1" t="n">
        <v>45160</v>
      </c>
      <c r="C2156" s="1" t="n">
        <v>45472</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37838-2023</t>
        </is>
      </c>
      <c r="B2157" s="1" t="n">
        <v>45160</v>
      </c>
      <c r="C2157" s="1" t="n">
        <v>45472</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37914-2023</t>
        </is>
      </c>
      <c r="B2158" s="1" t="n">
        <v>45160</v>
      </c>
      <c r="C2158" s="1" t="n">
        <v>45472</v>
      </c>
      <c r="D2158" t="inlineStr">
        <is>
          <t>VÄSTERBOTTENS LÄN</t>
        </is>
      </c>
      <c r="E2158" t="inlineStr">
        <is>
          <t>SKELLEFTEÅ</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37855-2023</t>
        </is>
      </c>
      <c r="B2159" s="1" t="n">
        <v>45160</v>
      </c>
      <c r="C2159" s="1" t="n">
        <v>45472</v>
      </c>
      <c r="D2159" t="inlineStr">
        <is>
          <t>VÄSTERBOTTENS LÄN</t>
        </is>
      </c>
      <c r="E2159" t="inlineStr">
        <is>
          <t>SKELLEFTEÅ</t>
        </is>
      </c>
      <c r="F2159" t="inlineStr">
        <is>
          <t>Holmen skog AB</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38009-2023</t>
        </is>
      </c>
      <c r="B2160" s="1" t="n">
        <v>45160</v>
      </c>
      <c r="C2160" s="1" t="n">
        <v>45472</v>
      </c>
      <c r="D2160" t="inlineStr">
        <is>
          <t>VÄSTERBOTTENS LÄN</t>
        </is>
      </c>
      <c r="E2160" t="inlineStr">
        <is>
          <t>SKELLEFTEÅ</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38013-2023</t>
        </is>
      </c>
      <c r="B2161" s="1" t="n">
        <v>45160</v>
      </c>
      <c r="C2161" s="1" t="n">
        <v>45472</v>
      </c>
      <c r="D2161" t="inlineStr">
        <is>
          <t>VÄSTERBOTTENS LÄN</t>
        </is>
      </c>
      <c r="E2161" t="inlineStr">
        <is>
          <t>SKELLEFTEÅ</t>
        </is>
      </c>
      <c r="F2161" t="inlineStr">
        <is>
          <t>Holmen skog AB</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38301-2023</t>
        </is>
      </c>
      <c r="B2162" s="1" t="n">
        <v>45160</v>
      </c>
      <c r="C2162" s="1" t="n">
        <v>45472</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38314-2023</t>
        </is>
      </c>
      <c r="B2163" s="1" t="n">
        <v>45160</v>
      </c>
      <c r="C2163" s="1" t="n">
        <v>45472</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38309-2023</t>
        </is>
      </c>
      <c r="B2164" s="1" t="n">
        <v>45160</v>
      </c>
      <c r="C2164" s="1" t="n">
        <v>45472</v>
      </c>
      <c r="D2164" t="inlineStr">
        <is>
          <t>VÄSTERBOTTENS LÄN</t>
        </is>
      </c>
      <c r="E2164" t="inlineStr">
        <is>
          <t>SKELLEFTEÅ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38031-2023</t>
        </is>
      </c>
      <c r="B2165" s="1" t="n">
        <v>45160</v>
      </c>
      <c r="C2165" s="1" t="n">
        <v>45472</v>
      </c>
      <c r="D2165" t="inlineStr">
        <is>
          <t>VÄSTERBOTTENS LÄN</t>
        </is>
      </c>
      <c r="E2165" t="inlineStr">
        <is>
          <t>SKELLEFTEÅ</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38258-2023</t>
        </is>
      </c>
      <c r="B2166" s="1" t="n">
        <v>45160</v>
      </c>
      <c r="C2166" s="1" t="n">
        <v>45472</v>
      </c>
      <c r="D2166" t="inlineStr">
        <is>
          <t>VÄSTERBOTTENS LÄN</t>
        </is>
      </c>
      <c r="E2166" t="inlineStr">
        <is>
          <t>SKELLEFTEÅ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38311-2023</t>
        </is>
      </c>
      <c r="B2167" s="1" t="n">
        <v>45160</v>
      </c>
      <c r="C2167" s="1" t="n">
        <v>45472</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38253-2023</t>
        </is>
      </c>
      <c r="B2168" s="1" t="n">
        <v>45160</v>
      </c>
      <c r="C2168" s="1" t="n">
        <v>45472</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38305-2023</t>
        </is>
      </c>
      <c r="B2169" s="1" t="n">
        <v>45160</v>
      </c>
      <c r="C2169" s="1" t="n">
        <v>45472</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38717-2023</t>
        </is>
      </c>
      <c r="B2170" s="1" t="n">
        <v>45160</v>
      </c>
      <c r="C2170" s="1" t="n">
        <v>45472</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38826-2023</t>
        </is>
      </c>
      <c r="B2171" s="1" t="n">
        <v>45161</v>
      </c>
      <c r="C2171" s="1" t="n">
        <v>45472</v>
      </c>
      <c r="D2171" t="inlineStr">
        <is>
          <t>VÄSTERBOTTENS LÄN</t>
        </is>
      </c>
      <c r="E2171" t="inlineStr">
        <is>
          <t>SKELLEFTEÅ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38304-2023</t>
        </is>
      </c>
      <c r="B2172" s="1" t="n">
        <v>45161</v>
      </c>
      <c r="C2172" s="1" t="n">
        <v>45472</v>
      </c>
      <c r="D2172" t="inlineStr">
        <is>
          <t>VÄSTERBOTTENS LÄN</t>
        </is>
      </c>
      <c r="E2172" t="inlineStr">
        <is>
          <t>SKELLEFTEÅ</t>
        </is>
      </c>
      <c r="F2172" t="inlineStr">
        <is>
          <t>Holmen skog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38356-2023</t>
        </is>
      </c>
      <c r="B2173" s="1" t="n">
        <v>45161</v>
      </c>
      <c r="C2173" s="1" t="n">
        <v>45472</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38574-2023</t>
        </is>
      </c>
      <c r="B2174" s="1" t="n">
        <v>45161</v>
      </c>
      <c r="C2174" s="1" t="n">
        <v>45472</v>
      </c>
      <c r="D2174" t="inlineStr">
        <is>
          <t>VÄSTERBOTTENS LÄN</t>
        </is>
      </c>
      <c r="E2174" t="inlineStr">
        <is>
          <t>SKELLEFTEÅ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38811-2023</t>
        </is>
      </c>
      <c r="B2175" s="1" t="n">
        <v>45161</v>
      </c>
      <c r="C2175" s="1" t="n">
        <v>45472</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38577-2023</t>
        </is>
      </c>
      <c r="B2176" s="1" t="n">
        <v>45161</v>
      </c>
      <c r="C2176" s="1" t="n">
        <v>45472</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38809-2023</t>
        </is>
      </c>
      <c r="B2177" s="1" t="n">
        <v>45161</v>
      </c>
      <c r="C2177" s="1" t="n">
        <v>45472</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38805-2023</t>
        </is>
      </c>
      <c r="B2178" s="1" t="n">
        <v>45161</v>
      </c>
      <c r="C2178" s="1" t="n">
        <v>45472</v>
      </c>
      <c r="D2178" t="inlineStr">
        <is>
          <t>VÄSTERBOTTENS LÄN</t>
        </is>
      </c>
      <c r="E2178" t="inlineStr">
        <is>
          <t>SKELLEFTEÅ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38818-2023</t>
        </is>
      </c>
      <c r="B2179" s="1" t="n">
        <v>45161</v>
      </c>
      <c r="C2179" s="1" t="n">
        <v>45472</v>
      </c>
      <c r="D2179" t="inlineStr">
        <is>
          <t>VÄSTERBOTTENS LÄN</t>
        </is>
      </c>
      <c r="E2179" t="inlineStr">
        <is>
          <t>SKELLEFTEÅ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38396-2023</t>
        </is>
      </c>
      <c r="B2180" s="1" t="n">
        <v>45162</v>
      </c>
      <c r="C2180" s="1" t="n">
        <v>45472</v>
      </c>
      <c r="D2180" t="inlineStr">
        <is>
          <t>VÄSTERBOTTENS LÄN</t>
        </is>
      </c>
      <c r="E2180" t="inlineStr">
        <is>
          <t>SKELLEFTEÅ</t>
        </is>
      </c>
      <c r="F2180" t="inlineStr">
        <is>
          <t>Sveaskog</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38421-2023</t>
        </is>
      </c>
      <c r="B2181" s="1" t="n">
        <v>45162</v>
      </c>
      <c r="C2181" s="1" t="n">
        <v>45472</v>
      </c>
      <c r="D2181" t="inlineStr">
        <is>
          <t>VÄSTERBOTTENS LÄN</t>
        </is>
      </c>
      <c r="E2181" t="inlineStr">
        <is>
          <t>SKELLEFTEÅ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v>
      </c>
      <c r="C2182" s="1" t="n">
        <v>45472</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38450-2023</t>
        </is>
      </c>
      <c r="B2183" s="1" t="n">
        <v>45162</v>
      </c>
      <c r="C2183" s="1" t="n">
        <v>45472</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38393-2023</t>
        </is>
      </c>
      <c r="B2184" s="1" t="n">
        <v>45162</v>
      </c>
      <c r="C2184" s="1" t="n">
        <v>45472</v>
      </c>
      <c r="D2184" t="inlineStr">
        <is>
          <t>VÄSTERBOTTENS LÄN</t>
        </is>
      </c>
      <c r="E2184" t="inlineStr">
        <is>
          <t>SKELLEFTEÅ</t>
        </is>
      </c>
      <c r="F2184" t="inlineStr">
        <is>
          <t>Holmen skog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38397-2023</t>
        </is>
      </c>
      <c r="B2185" s="1" t="n">
        <v>45162</v>
      </c>
      <c r="C2185" s="1" t="n">
        <v>45472</v>
      </c>
      <c r="D2185" t="inlineStr">
        <is>
          <t>VÄSTERBOTTENS LÄN</t>
        </is>
      </c>
      <c r="E2185" t="inlineStr">
        <is>
          <t>SKELLEFTEÅ</t>
        </is>
      </c>
      <c r="F2185" t="inlineStr">
        <is>
          <t>Sveaskog</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38445-2023</t>
        </is>
      </c>
      <c r="B2186" s="1" t="n">
        <v>45162</v>
      </c>
      <c r="C2186" s="1" t="n">
        <v>45472</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38473-2023</t>
        </is>
      </c>
      <c r="B2187" s="1" t="n">
        <v>45162</v>
      </c>
      <c r="C2187" s="1" t="n">
        <v>45472</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38952-2023</t>
        </is>
      </c>
      <c r="B2188" s="1" t="n">
        <v>45163</v>
      </c>
      <c r="C2188" s="1" t="n">
        <v>45472</v>
      </c>
      <c r="D2188" t="inlineStr">
        <is>
          <t>VÄSTERBOTTENS LÄN</t>
        </is>
      </c>
      <c r="E2188" t="inlineStr">
        <is>
          <t>SKELLEFTEÅ</t>
        </is>
      </c>
      <c r="F2188" t="inlineStr">
        <is>
          <t>Sveaskog</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38830-2023</t>
        </is>
      </c>
      <c r="B2189" s="1" t="n">
        <v>45163</v>
      </c>
      <c r="C2189" s="1" t="n">
        <v>45472</v>
      </c>
      <c r="D2189" t="inlineStr">
        <is>
          <t>VÄSTERBOTTENS LÄN</t>
        </is>
      </c>
      <c r="E2189" t="inlineStr">
        <is>
          <t>SKELLEFTEÅ</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38833-2023</t>
        </is>
      </c>
      <c r="B2190" s="1" t="n">
        <v>45163</v>
      </c>
      <c r="C2190" s="1" t="n">
        <v>45472</v>
      </c>
      <c r="D2190" t="inlineStr">
        <is>
          <t>VÄSTERBOTTENS LÄN</t>
        </is>
      </c>
      <c r="E2190" t="inlineStr">
        <is>
          <t>SKELLEFTEÅ</t>
        </is>
      </c>
      <c r="F2190" t="inlineStr">
        <is>
          <t>Sveaskog</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38837-2023</t>
        </is>
      </c>
      <c r="B2191" s="1" t="n">
        <v>45163</v>
      </c>
      <c r="C2191" s="1" t="n">
        <v>45472</v>
      </c>
      <c r="D2191" t="inlineStr">
        <is>
          <t>VÄSTERBOTTENS LÄN</t>
        </is>
      </c>
      <c r="E2191" t="inlineStr">
        <is>
          <t>SKELLEFTEÅ</t>
        </is>
      </c>
      <c r="F2191" t="inlineStr">
        <is>
          <t>Sveaskog</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38949-2023</t>
        </is>
      </c>
      <c r="B2192" s="1" t="n">
        <v>45163</v>
      </c>
      <c r="C2192" s="1" t="n">
        <v>45472</v>
      </c>
      <c r="D2192" t="inlineStr">
        <is>
          <t>VÄSTERBOTTENS LÄN</t>
        </is>
      </c>
      <c r="E2192" t="inlineStr">
        <is>
          <t>SKELLEFTEÅ</t>
        </is>
      </c>
      <c r="F2192" t="inlineStr">
        <is>
          <t>Sveaskog</t>
        </is>
      </c>
      <c r="G2192" t="n">
        <v>19.1</v>
      </c>
      <c r="H2192" t="n">
        <v>0</v>
      </c>
      <c r="I2192" t="n">
        <v>0</v>
      </c>
      <c r="J2192" t="n">
        <v>0</v>
      </c>
      <c r="K2192" t="n">
        <v>0</v>
      </c>
      <c r="L2192" t="n">
        <v>0</v>
      </c>
      <c r="M2192" t="n">
        <v>0</v>
      </c>
      <c r="N2192" t="n">
        <v>0</v>
      </c>
      <c r="O2192" t="n">
        <v>0</v>
      </c>
      <c r="P2192" t="n">
        <v>0</v>
      </c>
      <c r="Q2192" t="n">
        <v>0</v>
      </c>
      <c r="R2192" s="2" t="inlineStr"/>
    </row>
    <row r="2193" ht="15" customHeight="1">
      <c r="A2193" t="inlineStr">
        <is>
          <t>A 39018-2023</t>
        </is>
      </c>
      <c r="B2193" s="1" t="n">
        <v>45163</v>
      </c>
      <c r="C2193" s="1" t="n">
        <v>45472</v>
      </c>
      <c r="D2193" t="inlineStr">
        <is>
          <t>VÄSTERBOTTENS LÄN</t>
        </is>
      </c>
      <c r="E2193" t="inlineStr">
        <is>
          <t>SKELLEFTEÅ</t>
        </is>
      </c>
      <c r="F2193" t="inlineStr">
        <is>
          <t>Sveaskog</t>
        </is>
      </c>
      <c r="G2193" t="n">
        <v>20</v>
      </c>
      <c r="H2193" t="n">
        <v>0</v>
      </c>
      <c r="I2193" t="n">
        <v>0</v>
      </c>
      <c r="J2193" t="n">
        <v>0</v>
      </c>
      <c r="K2193" t="n">
        <v>0</v>
      </c>
      <c r="L2193" t="n">
        <v>0</v>
      </c>
      <c r="M2193" t="n">
        <v>0</v>
      </c>
      <c r="N2193" t="n">
        <v>0</v>
      </c>
      <c r="O2193" t="n">
        <v>0</v>
      </c>
      <c r="P2193" t="n">
        <v>0</v>
      </c>
      <c r="Q2193" t="n">
        <v>0</v>
      </c>
      <c r="R2193" s="2" t="inlineStr"/>
    </row>
    <row r="2194" ht="15" customHeight="1">
      <c r="A2194" t="inlineStr">
        <is>
          <t>A 39026-2023</t>
        </is>
      </c>
      <c r="B2194" s="1" t="n">
        <v>45163</v>
      </c>
      <c r="C2194" s="1" t="n">
        <v>45472</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39034-2023</t>
        </is>
      </c>
      <c r="B2195" s="1" t="n">
        <v>45163</v>
      </c>
      <c r="C2195" s="1" t="n">
        <v>45472</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39412-2023</t>
        </is>
      </c>
      <c r="B2196" s="1" t="n">
        <v>45163</v>
      </c>
      <c r="C2196" s="1" t="n">
        <v>45472</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39420-2023</t>
        </is>
      </c>
      <c r="B2197" s="1" t="n">
        <v>45163</v>
      </c>
      <c r="C2197" s="1" t="n">
        <v>45472</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38790-2023</t>
        </is>
      </c>
      <c r="B2198" s="1" t="n">
        <v>45163</v>
      </c>
      <c r="C2198" s="1" t="n">
        <v>45472</v>
      </c>
      <c r="D2198" t="inlineStr">
        <is>
          <t>VÄSTERBOTTENS LÄN</t>
        </is>
      </c>
      <c r="E2198" t="inlineStr">
        <is>
          <t>SKELLEFTEÅ</t>
        </is>
      </c>
      <c r="F2198" t="inlineStr">
        <is>
          <t>Holmen skog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39132-2023</t>
        </is>
      </c>
      <c r="B2199" s="1" t="n">
        <v>45165</v>
      </c>
      <c r="C2199" s="1" t="n">
        <v>45472</v>
      </c>
      <c r="D2199" t="inlineStr">
        <is>
          <t>VÄSTERBOTTENS LÄN</t>
        </is>
      </c>
      <c r="E2199" t="inlineStr">
        <is>
          <t>SKELLEFTEÅ</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39135-2023</t>
        </is>
      </c>
      <c r="B2200" s="1" t="n">
        <v>45165</v>
      </c>
      <c r="C2200" s="1" t="n">
        <v>45472</v>
      </c>
      <c r="D2200" t="inlineStr">
        <is>
          <t>VÄSTERBOTTENS LÄN</t>
        </is>
      </c>
      <c r="E2200" t="inlineStr">
        <is>
          <t>SKELLEFTEÅ</t>
        </is>
      </c>
      <c r="F2200" t="inlineStr">
        <is>
          <t>Holmen skog AB</t>
        </is>
      </c>
      <c r="G2200" t="n">
        <v>20.5</v>
      </c>
      <c r="H2200" t="n">
        <v>0</v>
      </c>
      <c r="I2200" t="n">
        <v>0</v>
      </c>
      <c r="J2200" t="n">
        <v>0</v>
      </c>
      <c r="K2200" t="n">
        <v>0</v>
      </c>
      <c r="L2200" t="n">
        <v>0</v>
      </c>
      <c r="M2200" t="n">
        <v>0</v>
      </c>
      <c r="N2200" t="n">
        <v>0</v>
      </c>
      <c r="O2200" t="n">
        <v>0</v>
      </c>
      <c r="P2200" t="n">
        <v>0</v>
      </c>
      <c r="Q2200" t="n">
        <v>0</v>
      </c>
      <c r="R2200" s="2" t="inlineStr"/>
    </row>
    <row r="2201" ht="15" customHeight="1">
      <c r="A2201" t="inlineStr">
        <is>
          <t>A 39147-2023</t>
        </is>
      </c>
      <c r="B2201" s="1" t="n">
        <v>45166</v>
      </c>
      <c r="C2201" s="1" t="n">
        <v>45472</v>
      </c>
      <c r="D2201" t="inlineStr">
        <is>
          <t>VÄSTERBOTTENS LÄN</t>
        </is>
      </c>
      <c r="E2201" t="inlineStr">
        <is>
          <t>SKELLEFTEÅ</t>
        </is>
      </c>
      <c r="F2201" t="inlineStr">
        <is>
          <t>Holmen skog AB</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39156-2023</t>
        </is>
      </c>
      <c r="B2202" s="1" t="n">
        <v>45166</v>
      </c>
      <c r="C2202" s="1" t="n">
        <v>45472</v>
      </c>
      <c r="D2202" t="inlineStr">
        <is>
          <t>VÄSTERBOTTENS LÄN</t>
        </is>
      </c>
      <c r="E2202" t="inlineStr">
        <is>
          <t>SKELLEFTEÅ</t>
        </is>
      </c>
      <c r="F2202" t="inlineStr">
        <is>
          <t>Sveaskog</t>
        </is>
      </c>
      <c r="G2202" t="n">
        <v>43.7</v>
      </c>
      <c r="H2202" t="n">
        <v>0</v>
      </c>
      <c r="I2202" t="n">
        <v>0</v>
      </c>
      <c r="J2202" t="n">
        <v>0</v>
      </c>
      <c r="K2202" t="n">
        <v>0</v>
      </c>
      <c r="L2202" t="n">
        <v>0</v>
      </c>
      <c r="M2202" t="n">
        <v>0</v>
      </c>
      <c r="N2202" t="n">
        <v>0</v>
      </c>
      <c r="O2202" t="n">
        <v>0</v>
      </c>
      <c r="P2202" t="n">
        <v>0</v>
      </c>
      <c r="Q2202" t="n">
        <v>0</v>
      </c>
      <c r="R2202" s="2" t="inlineStr"/>
    </row>
    <row r="2203" ht="15" customHeight="1">
      <c r="A2203" t="inlineStr">
        <is>
          <t>A 39695-2023</t>
        </is>
      </c>
      <c r="B2203" s="1" t="n">
        <v>45166</v>
      </c>
      <c r="C2203" s="1" t="n">
        <v>45472</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39513-2023</t>
        </is>
      </c>
      <c r="B2204" s="1" t="n">
        <v>45167</v>
      </c>
      <c r="C2204" s="1" t="n">
        <v>45472</v>
      </c>
      <c r="D2204" t="inlineStr">
        <is>
          <t>VÄSTERBOTTENS LÄN</t>
        </is>
      </c>
      <c r="E2204" t="inlineStr">
        <is>
          <t>SKELLEFTEÅ</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39553-2023</t>
        </is>
      </c>
      <c r="B2205" s="1" t="n">
        <v>45167</v>
      </c>
      <c r="C2205" s="1" t="n">
        <v>45472</v>
      </c>
      <c r="D2205" t="inlineStr">
        <is>
          <t>VÄSTERBOTTENS LÄN</t>
        </is>
      </c>
      <c r="E2205" t="inlineStr">
        <is>
          <t>SKELLEFTEÅ</t>
        </is>
      </c>
      <c r="F2205" t="inlineStr">
        <is>
          <t>Holmen skog AB</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39589-2023</t>
        </is>
      </c>
      <c r="B2206" s="1" t="n">
        <v>45167</v>
      </c>
      <c r="C2206" s="1" t="n">
        <v>45472</v>
      </c>
      <c r="D2206" t="inlineStr">
        <is>
          <t>VÄSTERBOTTENS LÄN</t>
        </is>
      </c>
      <c r="E2206" t="inlineStr">
        <is>
          <t>SKELLEFTEÅ</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39544-2023</t>
        </is>
      </c>
      <c r="B2207" s="1" t="n">
        <v>45167</v>
      </c>
      <c r="C2207" s="1" t="n">
        <v>45472</v>
      </c>
      <c r="D2207" t="inlineStr">
        <is>
          <t>VÄSTERBOTTENS LÄN</t>
        </is>
      </c>
      <c r="E2207" t="inlineStr">
        <is>
          <t>SKELLEFTEÅ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39846-2023</t>
        </is>
      </c>
      <c r="B2208" s="1" t="n">
        <v>45168</v>
      </c>
      <c r="C2208" s="1" t="n">
        <v>45472</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40189-2023</t>
        </is>
      </c>
      <c r="B2209" s="1" t="n">
        <v>45169</v>
      </c>
      <c r="C2209" s="1" t="n">
        <v>45472</v>
      </c>
      <c r="D2209" t="inlineStr">
        <is>
          <t>VÄSTERBOTTENS LÄN</t>
        </is>
      </c>
      <c r="E2209" t="inlineStr">
        <is>
          <t>SKELLEFTEÅ</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40373-2023</t>
        </is>
      </c>
      <c r="B2210" s="1" t="n">
        <v>45169</v>
      </c>
      <c r="C2210" s="1" t="n">
        <v>45472</v>
      </c>
      <c r="D2210" t="inlineStr">
        <is>
          <t>VÄSTERBOTTENS LÄN</t>
        </is>
      </c>
      <c r="E2210" t="inlineStr">
        <is>
          <t>SKELLEFTEÅ</t>
        </is>
      </c>
      <c r="F2210" t="inlineStr">
        <is>
          <t>Sveaskog</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40132-2023</t>
        </is>
      </c>
      <c r="B2211" s="1" t="n">
        <v>45169</v>
      </c>
      <c r="C2211" s="1" t="n">
        <v>45472</v>
      </c>
      <c r="D2211" t="inlineStr">
        <is>
          <t>VÄSTERBOTTENS LÄN</t>
        </is>
      </c>
      <c r="E2211" t="inlineStr">
        <is>
          <t>SKELLEFTEÅ</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40274-2023</t>
        </is>
      </c>
      <c r="B2212" s="1" t="n">
        <v>45169</v>
      </c>
      <c r="C2212" s="1" t="n">
        <v>45472</v>
      </c>
      <c r="D2212" t="inlineStr">
        <is>
          <t>VÄSTERBOTTENS LÄN</t>
        </is>
      </c>
      <c r="E2212" t="inlineStr">
        <is>
          <t>SKELLEFTEÅ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40393-2023</t>
        </is>
      </c>
      <c r="B2213" s="1" t="n">
        <v>45169</v>
      </c>
      <c r="C2213" s="1" t="n">
        <v>45472</v>
      </c>
      <c r="D2213" t="inlineStr">
        <is>
          <t>VÄSTERBOTTENS LÄN</t>
        </is>
      </c>
      <c r="E2213" t="inlineStr">
        <is>
          <t>SKELLEFTEÅ</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40442-2023</t>
        </is>
      </c>
      <c r="B2214" s="1" t="n">
        <v>45170</v>
      </c>
      <c r="C2214" s="1" t="n">
        <v>45472</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41109-2023</t>
        </is>
      </c>
      <c r="B2215" s="1" t="n">
        <v>45170</v>
      </c>
      <c r="C2215" s="1" t="n">
        <v>45472</v>
      </c>
      <c r="D2215" t="inlineStr">
        <is>
          <t>VÄSTERBOTTENS LÄN</t>
        </is>
      </c>
      <c r="E2215" t="inlineStr">
        <is>
          <t>SKELLEFTEÅ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41006-2023</t>
        </is>
      </c>
      <c r="B2216" s="1" t="n">
        <v>45173</v>
      </c>
      <c r="C2216" s="1" t="n">
        <v>45472</v>
      </c>
      <c r="D2216" t="inlineStr">
        <is>
          <t>VÄSTERBOTTENS LÄN</t>
        </is>
      </c>
      <c r="E2216" t="inlineStr">
        <is>
          <t>SKELLEFTEÅ</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41092-2023</t>
        </is>
      </c>
      <c r="B2217" s="1" t="n">
        <v>45173</v>
      </c>
      <c r="C2217" s="1" t="n">
        <v>45472</v>
      </c>
      <c r="D2217" t="inlineStr">
        <is>
          <t>VÄSTERBOTTENS LÄN</t>
        </is>
      </c>
      <c r="E2217" t="inlineStr">
        <is>
          <t>SKELLEFTEÅ</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41397-2023</t>
        </is>
      </c>
      <c r="B2218" s="1" t="n">
        <v>45174</v>
      </c>
      <c r="C2218" s="1" t="n">
        <v>45472</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41645-2023</t>
        </is>
      </c>
      <c r="B2219" s="1" t="n">
        <v>45175</v>
      </c>
      <c r="C2219" s="1" t="n">
        <v>45472</v>
      </c>
      <c r="D2219" t="inlineStr">
        <is>
          <t>VÄSTERBOTTENS LÄN</t>
        </is>
      </c>
      <c r="E2219" t="inlineStr">
        <is>
          <t>SKELLEFTEÅ</t>
        </is>
      </c>
      <c r="G2219" t="n">
        <v>26.4</v>
      </c>
      <c r="H2219" t="n">
        <v>0</v>
      </c>
      <c r="I2219" t="n">
        <v>0</v>
      </c>
      <c r="J2219" t="n">
        <v>0</v>
      </c>
      <c r="K2219" t="n">
        <v>0</v>
      </c>
      <c r="L2219" t="n">
        <v>0</v>
      </c>
      <c r="M2219" t="n">
        <v>0</v>
      </c>
      <c r="N2219" t="n">
        <v>0</v>
      </c>
      <c r="O2219" t="n">
        <v>0</v>
      </c>
      <c r="P2219" t="n">
        <v>0</v>
      </c>
      <c r="Q2219" t="n">
        <v>0</v>
      </c>
      <c r="R2219" s="2" t="inlineStr"/>
    </row>
    <row r="2220" ht="15" customHeight="1">
      <c r="A2220" t="inlineStr">
        <is>
          <t>A 41617-2023</t>
        </is>
      </c>
      <c r="B2220" s="1" t="n">
        <v>45175</v>
      </c>
      <c r="C2220" s="1" t="n">
        <v>45472</v>
      </c>
      <c r="D2220" t="inlineStr">
        <is>
          <t>VÄSTERBOTTENS LÄN</t>
        </is>
      </c>
      <c r="E2220" t="inlineStr">
        <is>
          <t>SKELLEFTEÅ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42329-2023</t>
        </is>
      </c>
      <c r="B2221" s="1" t="n">
        <v>45175</v>
      </c>
      <c r="C2221" s="1" t="n">
        <v>45472</v>
      </c>
      <c r="D2221" t="inlineStr">
        <is>
          <t>VÄSTERBOTTENS LÄN</t>
        </is>
      </c>
      <c r="E2221" t="inlineStr">
        <is>
          <t>SKELLEFTEÅ</t>
        </is>
      </c>
      <c r="F2221" t="inlineStr">
        <is>
          <t>Kyrkan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42433-2023</t>
        </is>
      </c>
      <c r="B2222" s="1" t="n">
        <v>45175</v>
      </c>
      <c r="C2222" s="1" t="n">
        <v>45472</v>
      </c>
      <c r="D2222" t="inlineStr">
        <is>
          <t>VÄSTERBOTTENS LÄN</t>
        </is>
      </c>
      <c r="E2222" t="inlineStr">
        <is>
          <t>SKELLEFTEÅ</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41904-2023</t>
        </is>
      </c>
      <c r="B2223" s="1" t="n">
        <v>45177</v>
      </c>
      <c r="C2223" s="1" t="n">
        <v>45472</v>
      </c>
      <c r="D2223" t="inlineStr">
        <is>
          <t>VÄSTERBOTTENS LÄN</t>
        </is>
      </c>
      <c r="E2223" t="inlineStr">
        <is>
          <t>SKELLEFTEÅ</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42587-2023</t>
        </is>
      </c>
      <c r="B2224" s="1" t="n">
        <v>45176</v>
      </c>
      <c r="C2224" s="1" t="n">
        <v>45472</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42595-2023</t>
        </is>
      </c>
      <c r="B2225" s="1" t="n">
        <v>45176</v>
      </c>
      <c r="C2225" s="1" t="n">
        <v>45472</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42138-2023</t>
        </is>
      </c>
      <c r="B2226" s="1" t="n">
        <v>45177</v>
      </c>
      <c r="C2226" s="1" t="n">
        <v>45472</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42822-2023</t>
        </is>
      </c>
      <c r="B2227" s="1" t="n">
        <v>45177</v>
      </c>
      <c r="C2227" s="1" t="n">
        <v>45472</v>
      </c>
      <c r="D2227" t="inlineStr">
        <is>
          <t>VÄSTERBOTTENS LÄN</t>
        </is>
      </c>
      <c r="E2227" t="inlineStr">
        <is>
          <t>SKELLEFTEÅ</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42136-2023</t>
        </is>
      </c>
      <c r="B2228" s="1" t="n">
        <v>45177</v>
      </c>
      <c r="C2228" s="1" t="n">
        <v>45472</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42144-2023</t>
        </is>
      </c>
      <c r="B2229" s="1" t="n">
        <v>45177</v>
      </c>
      <c r="C2229" s="1" t="n">
        <v>45472</v>
      </c>
      <c r="D2229" t="inlineStr">
        <is>
          <t>VÄSTERBOTTENS LÄN</t>
        </is>
      </c>
      <c r="E2229" t="inlineStr">
        <is>
          <t>SKELLEFTEÅ</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42137-2023</t>
        </is>
      </c>
      <c r="B2230" s="1" t="n">
        <v>45177</v>
      </c>
      <c r="C2230" s="1" t="n">
        <v>45472</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42842-2023</t>
        </is>
      </c>
      <c r="B2231" s="1" t="n">
        <v>45177</v>
      </c>
      <c r="C2231" s="1" t="n">
        <v>45472</v>
      </c>
      <c r="D2231" t="inlineStr">
        <is>
          <t>VÄSTERBOTTENS LÄN</t>
        </is>
      </c>
      <c r="E2231" t="inlineStr">
        <is>
          <t>SKELLEFTEÅ</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42421-2023</t>
        </is>
      </c>
      <c r="B2232" s="1" t="n">
        <v>45180</v>
      </c>
      <c r="C2232" s="1" t="n">
        <v>45472</v>
      </c>
      <c r="D2232" t="inlineStr">
        <is>
          <t>VÄSTERBOTTENS LÄN</t>
        </is>
      </c>
      <c r="E2232" t="inlineStr">
        <is>
          <t>SKELLEFTEÅ</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42982-2023</t>
        </is>
      </c>
      <c r="B2233" s="1" t="n">
        <v>45180</v>
      </c>
      <c r="C2233" s="1" t="n">
        <v>45472</v>
      </c>
      <c r="D2233" t="inlineStr">
        <is>
          <t>VÄSTERBOTTENS LÄN</t>
        </is>
      </c>
      <c r="E2233" t="inlineStr">
        <is>
          <t>SKELLEFTEÅ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43060-2023</t>
        </is>
      </c>
      <c r="B2234" s="1" t="n">
        <v>45180</v>
      </c>
      <c r="C2234" s="1" t="n">
        <v>45472</v>
      </c>
      <c r="D2234" t="inlineStr">
        <is>
          <t>VÄSTERBOTTENS LÄN</t>
        </is>
      </c>
      <c r="E2234" t="inlineStr">
        <is>
          <t>SKELLEFTEÅ</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43568-2023</t>
        </is>
      </c>
      <c r="B2235" s="1" t="n">
        <v>45181</v>
      </c>
      <c r="C2235" s="1" t="n">
        <v>45472</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43563-2023</t>
        </is>
      </c>
      <c r="B2236" s="1" t="n">
        <v>45181</v>
      </c>
      <c r="C2236" s="1" t="n">
        <v>45472</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43598-2023</t>
        </is>
      </c>
      <c r="B2237" s="1" t="n">
        <v>45181</v>
      </c>
      <c r="C2237" s="1" t="n">
        <v>45472</v>
      </c>
      <c r="D2237" t="inlineStr">
        <is>
          <t>VÄSTERBOTTENS LÄN</t>
        </is>
      </c>
      <c r="E2237" t="inlineStr">
        <is>
          <t>SKELLEFTEÅ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43603-2023</t>
        </is>
      </c>
      <c r="B2238" s="1" t="n">
        <v>45181</v>
      </c>
      <c r="C2238" s="1" t="n">
        <v>45472</v>
      </c>
      <c r="D2238" t="inlineStr">
        <is>
          <t>VÄSTERBOTTENS LÄN</t>
        </is>
      </c>
      <c r="E2238" t="inlineStr">
        <is>
          <t>SKELLEFTEÅ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42640-2023</t>
        </is>
      </c>
      <c r="B2239" s="1" t="n">
        <v>45181</v>
      </c>
      <c r="C2239" s="1" t="n">
        <v>45472</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42650-2023</t>
        </is>
      </c>
      <c r="B2240" s="1" t="n">
        <v>45181</v>
      </c>
      <c r="C2240" s="1" t="n">
        <v>45472</v>
      </c>
      <c r="D2240" t="inlineStr">
        <is>
          <t>VÄSTERBOTTENS LÄN</t>
        </is>
      </c>
      <c r="E2240" t="inlineStr">
        <is>
          <t>SKELLEFTEÅ</t>
        </is>
      </c>
      <c r="F2240" t="inlineStr">
        <is>
          <t>Holmen skog AB</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42787-2023</t>
        </is>
      </c>
      <c r="B2241" s="1" t="n">
        <v>45181</v>
      </c>
      <c r="C2241" s="1" t="n">
        <v>45472</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42789-2023</t>
        </is>
      </c>
      <c r="B2242" s="1" t="n">
        <v>45181</v>
      </c>
      <c r="C2242" s="1" t="n">
        <v>45472</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43057-2023</t>
        </is>
      </c>
      <c r="B2243" s="1" t="n">
        <v>45182</v>
      </c>
      <c r="C2243" s="1" t="n">
        <v>45472</v>
      </c>
      <c r="D2243" t="inlineStr">
        <is>
          <t>VÄSTERBOTTENS LÄN</t>
        </is>
      </c>
      <c r="E2243" t="inlineStr">
        <is>
          <t>SKELLEFTEÅ</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43059-2023</t>
        </is>
      </c>
      <c r="B2244" s="1" t="n">
        <v>45182</v>
      </c>
      <c r="C2244" s="1" t="n">
        <v>45472</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44025-2023</t>
        </is>
      </c>
      <c r="B2245" s="1" t="n">
        <v>45182</v>
      </c>
      <c r="C2245" s="1" t="n">
        <v>45472</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43435-2023</t>
        </is>
      </c>
      <c r="B2246" s="1" t="n">
        <v>45184</v>
      </c>
      <c r="C2246" s="1" t="n">
        <v>45472</v>
      </c>
      <c r="D2246" t="inlineStr">
        <is>
          <t>VÄSTERBOTTENS LÄN</t>
        </is>
      </c>
      <c r="E2246" t="inlineStr">
        <is>
          <t>SKELLEFTEÅ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43439-2023</t>
        </is>
      </c>
      <c r="B2247" s="1" t="n">
        <v>45184</v>
      </c>
      <c r="C2247" s="1" t="n">
        <v>45472</v>
      </c>
      <c r="D2247" t="inlineStr">
        <is>
          <t>VÄSTERBOTTENS LÄN</t>
        </is>
      </c>
      <c r="E2247" t="inlineStr">
        <is>
          <t>SKELLEFTEÅ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43438-2023</t>
        </is>
      </c>
      <c r="B2248" s="1" t="n">
        <v>45184</v>
      </c>
      <c r="C2248" s="1" t="n">
        <v>45472</v>
      </c>
      <c r="D2248" t="inlineStr">
        <is>
          <t>VÄSTERBOTTENS LÄN</t>
        </is>
      </c>
      <c r="E2248" t="inlineStr">
        <is>
          <t>SKELLEFTEÅ</t>
        </is>
      </c>
      <c r="F2248" t="inlineStr">
        <is>
          <t>Holmen skog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43474-2023</t>
        </is>
      </c>
      <c r="B2249" s="1" t="n">
        <v>45184</v>
      </c>
      <c r="C2249" s="1" t="n">
        <v>45472</v>
      </c>
      <c r="D2249" t="inlineStr">
        <is>
          <t>VÄSTERBOTTENS LÄN</t>
        </is>
      </c>
      <c r="E2249" t="inlineStr">
        <is>
          <t>SKELLEFTEÅ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43578-2023</t>
        </is>
      </c>
      <c r="B2250" s="1" t="n">
        <v>45184</v>
      </c>
      <c r="C2250" s="1" t="n">
        <v>45472</v>
      </c>
      <c r="D2250" t="inlineStr">
        <is>
          <t>VÄSTERBOTTENS LÄN</t>
        </is>
      </c>
      <c r="E2250" t="inlineStr">
        <is>
          <t>SKELLEFTEÅ</t>
        </is>
      </c>
      <c r="F2250" t="inlineStr">
        <is>
          <t>Holmen skog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43631-2023</t>
        </is>
      </c>
      <c r="B2251" s="1" t="n">
        <v>45185</v>
      </c>
      <c r="C2251" s="1" t="n">
        <v>45472</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43751-2023</t>
        </is>
      </c>
      <c r="B2252" s="1" t="n">
        <v>45187</v>
      </c>
      <c r="C2252" s="1" t="n">
        <v>45472</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43686-2023</t>
        </is>
      </c>
      <c r="B2253" s="1" t="n">
        <v>45187</v>
      </c>
      <c r="C2253" s="1" t="n">
        <v>45472</v>
      </c>
      <c r="D2253" t="inlineStr">
        <is>
          <t>VÄSTERBOTTENS LÄN</t>
        </is>
      </c>
      <c r="E2253" t="inlineStr">
        <is>
          <t>SKELLEFTEÅ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45079-2023</t>
        </is>
      </c>
      <c r="B2254" s="1" t="n">
        <v>45187</v>
      </c>
      <c r="C2254" s="1" t="n">
        <v>45472</v>
      </c>
      <c r="D2254" t="inlineStr">
        <is>
          <t>VÄSTERBOTTENS LÄN</t>
        </is>
      </c>
      <c r="E2254" t="inlineStr">
        <is>
          <t>SKELLEFTEÅ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44145-2023</t>
        </is>
      </c>
      <c r="B2255" s="1" t="n">
        <v>45188</v>
      </c>
      <c r="C2255" s="1" t="n">
        <v>45472</v>
      </c>
      <c r="D2255" t="inlineStr">
        <is>
          <t>VÄSTERBOTTENS LÄN</t>
        </is>
      </c>
      <c r="E2255" t="inlineStr">
        <is>
          <t>SKELLEFTEÅ</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44225-2023</t>
        </is>
      </c>
      <c r="B2256" s="1" t="n">
        <v>45188</v>
      </c>
      <c r="C2256" s="1" t="n">
        <v>45472</v>
      </c>
      <c r="D2256" t="inlineStr">
        <is>
          <t>VÄSTERBOTTENS LÄN</t>
        </is>
      </c>
      <c r="E2256" t="inlineStr">
        <is>
          <t>SKELLEFTEÅ</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44078-2023</t>
        </is>
      </c>
      <c r="B2257" s="1" t="n">
        <v>45188</v>
      </c>
      <c r="C2257" s="1" t="n">
        <v>45472</v>
      </c>
      <c r="D2257" t="inlineStr">
        <is>
          <t>VÄSTERBOTTENS LÄN</t>
        </is>
      </c>
      <c r="E2257" t="inlineStr">
        <is>
          <t>SKELLEFTEÅ</t>
        </is>
      </c>
      <c r="F2257" t="inlineStr">
        <is>
          <t>Holmen skog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44250-2023</t>
        </is>
      </c>
      <c r="B2258" s="1" t="n">
        <v>45188</v>
      </c>
      <c r="C2258" s="1" t="n">
        <v>45472</v>
      </c>
      <c r="D2258" t="inlineStr">
        <is>
          <t>VÄSTERBOTTENS LÄN</t>
        </is>
      </c>
      <c r="E2258" t="inlineStr">
        <is>
          <t>SKELLEFTEÅ</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44263-2023</t>
        </is>
      </c>
      <c r="B2259" s="1" t="n">
        <v>45188</v>
      </c>
      <c r="C2259" s="1" t="n">
        <v>45472</v>
      </c>
      <c r="D2259" t="inlineStr">
        <is>
          <t>VÄSTERBOTTENS LÄN</t>
        </is>
      </c>
      <c r="E2259" t="inlineStr">
        <is>
          <t>SKELLEFTEÅ</t>
        </is>
      </c>
      <c r="F2259" t="inlineStr">
        <is>
          <t>Holmen skog AB</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44296-2023</t>
        </is>
      </c>
      <c r="B2260" s="1" t="n">
        <v>45188</v>
      </c>
      <c r="C2260" s="1" t="n">
        <v>45472</v>
      </c>
      <c r="D2260" t="inlineStr">
        <is>
          <t>VÄSTERBOTTENS LÄN</t>
        </is>
      </c>
      <c r="E2260" t="inlineStr">
        <is>
          <t>SKELLEFTEÅ</t>
        </is>
      </c>
      <c r="F2260" t="inlineStr">
        <is>
          <t>Holmen skog AB</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44301-2023</t>
        </is>
      </c>
      <c r="B2261" s="1" t="n">
        <v>45188</v>
      </c>
      <c r="C2261" s="1" t="n">
        <v>45472</v>
      </c>
      <c r="D2261" t="inlineStr">
        <is>
          <t>VÄSTERBOTTENS LÄN</t>
        </is>
      </c>
      <c r="E2261" t="inlineStr">
        <is>
          <t>SKELLEFTEÅ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44335-2023</t>
        </is>
      </c>
      <c r="B2262" s="1" t="n">
        <v>45188</v>
      </c>
      <c r="C2262" s="1" t="n">
        <v>45472</v>
      </c>
      <c r="D2262" t="inlineStr">
        <is>
          <t>VÄSTERBOTTENS LÄN</t>
        </is>
      </c>
      <c r="E2262" t="inlineStr">
        <is>
          <t>SKELLEFTEÅ</t>
        </is>
      </c>
      <c r="F2262" t="inlineStr">
        <is>
          <t>Holmen skog AB</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45581-2023</t>
        </is>
      </c>
      <c r="B2263" s="1" t="n">
        <v>45188</v>
      </c>
      <c r="C2263" s="1" t="n">
        <v>45472</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45576-2023</t>
        </is>
      </c>
      <c r="B2264" s="1" t="n">
        <v>45188</v>
      </c>
      <c r="C2264" s="1" t="n">
        <v>45472</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44483-2023</t>
        </is>
      </c>
      <c r="B2265" s="1" t="n">
        <v>45189</v>
      </c>
      <c r="C2265" s="1" t="n">
        <v>45472</v>
      </c>
      <c r="D2265" t="inlineStr">
        <is>
          <t>VÄSTERBOTTENS LÄN</t>
        </is>
      </c>
      <c r="E2265" t="inlineStr">
        <is>
          <t>SKELLEFTEÅ</t>
        </is>
      </c>
      <c r="F2265" t="inlineStr">
        <is>
          <t>Holmen skog AB</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44545-2023</t>
        </is>
      </c>
      <c r="B2266" s="1" t="n">
        <v>45189</v>
      </c>
      <c r="C2266" s="1" t="n">
        <v>45472</v>
      </c>
      <c r="D2266" t="inlineStr">
        <is>
          <t>VÄSTERBOTTENS LÄN</t>
        </is>
      </c>
      <c r="E2266" t="inlineStr">
        <is>
          <t>SKELLEFTEÅ</t>
        </is>
      </c>
      <c r="F2266" t="inlineStr">
        <is>
          <t>Holmen skog AB</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44561-2023</t>
        </is>
      </c>
      <c r="B2267" s="1" t="n">
        <v>45189</v>
      </c>
      <c r="C2267" s="1" t="n">
        <v>45472</v>
      </c>
      <c r="D2267" t="inlineStr">
        <is>
          <t>VÄSTERBOTTENS LÄN</t>
        </is>
      </c>
      <c r="E2267" t="inlineStr">
        <is>
          <t>SKELLEFTEÅ</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45727-2023</t>
        </is>
      </c>
      <c r="B2268" s="1" t="n">
        <v>45189</v>
      </c>
      <c r="C2268" s="1" t="n">
        <v>45472</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44567-2023</t>
        </is>
      </c>
      <c r="B2269" s="1" t="n">
        <v>45189</v>
      </c>
      <c r="C2269" s="1" t="n">
        <v>45472</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44745-2023</t>
        </is>
      </c>
      <c r="B2270" s="1" t="n">
        <v>45190</v>
      </c>
      <c r="C2270" s="1" t="n">
        <v>45472</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44912-2023</t>
        </is>
      </c>
      <c r="B2271" s="1" t="n">
        <v>45190</v>
      </c>
      <c r="C2271" s="1" t="n">
        <v>45472</v>
      </c>
      <c r="D2271" t="inlineStr">
        <is>
          <t>VÄSTERBOTTENS LÄN</t>
        </is>
      </c>
      <c r="E2271" t="inlineStr">
        <is>
          <t>SKELLEFTEÅ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44959-2023</t>
        </is>
      </c>
      <c r="B2272" s="1" t="n">
        <v>45190</v>
      </c>
      <c r="C2272" s="1" t="n">
        <v>45472</v>
      </c>
      <c r="D2272" t="inlineStr">
        <is>
          <t>VÄSTERBOTTENS LÄN</t>
        </is>
      </c>
      <c r="E2272" t="inlineStr">
        <is>
          <t>SKELLEFTEÅ</t>
        </is>
      </c>
      <c r="F2272" t="inlineStr">
        <is>
          <t>Sveaskog</t>
        </is>
      </c>
      <c r="G2272" t="n">
        <v>15.3</v>
      </c>
      <c r="H2272" t="n">
        <v>0</v>
      </c>
      <c r="I2272" t="n">
        <v>0</v>
      </c>
      <c r="J2272" t="n">
        <v>0</v>
      </c>
      <c r="K2272" t="n">
        <v>0</v>
      </c>
      <c r="L2272" t="n">
        <v>0</v>
      </c>
      <c r="M2272" t="n">
        <v>0</v>
      </c>
      <c r="N2272" t="n">
        <v>0</v>
      </c>
      <c r="O2272" t="n">
        <v>0</v>
      </c>
      <c r="P2272" t="n">
        <v>0</v>
      </c>
      <c r="Q2272" t="n">
        <v>0</v>
      </c>
      <c r="R2272" s="2" t="inlineStr"/>
    </row>
    <row r="2273" ht="15" customHeight="1">
      <c r="A2273" t="inlineStr">
        <is>
          <t>A 44856-2023</t>
        </is>
      </c>
      <c r="B2273" s="1" t="n">
        <v>45190</v>
      </c>
      <c r="C2273" s="1" t="n">
        <v>45472</v>
      </c>
      <c r="D2273" t="inlineStr">
        <is>
          <t>VÄSTERBOTTENS LÄN</t>
        </is>
      </c>
      <c r="E2273" t="inlineStr">
        <is>
          <t>SKELLEFTEÅ</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44872-2023</t>
        </is>
      </c>
      <c r="B2274" s="1" t="n">
        <v>45190</v>
      </c>
      <c r="C2274" s="1" t="n">
        <v>45472</v>
      </c>
      <c r="D2274" t="inlineStr">
        <is>
          <t>VÄSTERBOTTENS LÄN</t>
        </is>
      </c>
      <c r="E2274" t="inlineStr">
        <is>
          <t>SKELLEFTEÅ</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44877-2023</t>
        </is>
      </c>
      <c r="B2275" s="1" t="n">
        <v>45190</v>
      </c>
      <c r="C2275" s="1" t="n">
        <v>45472</v>
      </c>
      <c r="D2275" t="inlineStr">
        <is>
          <t>VÄSTERBOTTENS LÄN</t>
        </is>
      </c>
      <c r="E2275" t="inlineStr">
        <is>
          <t>SKELLEFTEÅ</t>
        </is>
      </c>
      <c r="F2275" t="inlineStr">
        <is>
          <t>Holmen skog AB</t>
        </is>
      </c>
      <c r="G2275" t="n">
        <v>11.8</v>
      </c>
      <c r="H2275" t="n">
        <v>0</v>
      </c>
      <c r="I2275" t="n">
        <v>0</v>
      </c>
      <c r="J2275" t="n">
        <v>0</v>
      </c>
      <c r="K2275" t="n">
        <v>0</v>
      </c>
      <c r="L2275" t="n">
        <v>0</v>
      </c>
      <c r="M2275" t="n">
        <v>0</v>
      </c>
      <c r="N2275" t="n">
        <v>0</v>
      </c>
      <c r="O2275" t="n">
        <v>0</v>
      </c>
      <c r="P2275" t="n">
        <v>0</v>
      </c>
      <c r="Q2275" t="n">
        <v>0</v>
      </c>
      <c r="R2275" s="2" t="inlineStr"/>
    </row>
    <row r="2276" ht="15" customHeight="1">
      <c r="A2276" t="inlineStr">
        <is>
          <t>A 44775-2023</t>
        </is>
      </c>
      <c r="B2276" s="1" t="n">
        <v>45190</v>
      </c>
      <c r="C2276" s="1" t="n">
        <v>45472</v>
      </c>
      <c r="D2276" t="inlineStr">
        <is>
          <t>VÄSTERBOTTENS LÄN</t>
        </is>
      </c>
      <c r="E2276" t="inlineStr">
        <is>
          <t>SKELLEFTEÅ</t>
        </is>
      </c>
      <c r="F2276" t="inlineStr">
        <is>
          <t>Sveaskog</t>
        </is>
      </c>
      <c r="G2276" t="n">
        <v>20.4</v>
      </c>
      <c r="H2276" t="n">
        <v>0</v>
      </c>
      <c r="I2276" t="n">
        <v>0</v>
      </c>
      <c r="J2276" t="n">
        <v>0</v>
      </c>
      <c r="K2276" t="n">
        <v>0</v>
      </c>
      <c r="L2276" t="n">
        <v>0</v>
      </c>
      <c r="M2276" t="n">
        <v>0</v>
      </c>
      <c r="N2276" t="n">
        <v>0</v>
      </c>
      <c r="O2276" t="n">
        <v>0</v>
      </c>
      <c r="P2276" t="n">
        <v>0</v>
      </c>
      <c r="Q2276" t="n">
        <v>0</v>
      </c>
      <c r="R2276" s="2" t="inlineStr"/>
    </row>
    <row r="2277" ht="15" customHeight="1">
      <c r="A2277" t="inlineStr">
        <is>
          <t>A 44825-2023</t>
        </is>
      </c>
      <c r="B2277" s="1" t="n">
        <v>45190</v>
      </c>
      <c r="C2277" s="1" t="n">
        <v>45472</v>
      </c>
      <c r="D2277" t="inlineStr">
        <is>
          <t>VÄSTERBOTTENS LÄN</t>
        </is>
      </c>
      <c r="E2277" t="inlineStr">
        <is>
          <t>SKELLEFTEÅ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46191-2023</t>
        </is>
      </c>
      <c r="B2278" s="1" t="n">
        <v>45190</v>
      </c>
      <c r="C2278" s="1" t="n">
        <v>45472</v>
      </c>
      <c r="D2278" t="inlineStr">
        <is>
          <t>VÄSTERBOTTENS LÄN</t>
        </is>
      </c>
      <c r="E2278" t="inlineStr">
        <is>
          <t>SKELLEFTEÅ</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46084-2023</t>
        </is>
      </c>
      <c r="B2279" s="1" t="n">
        <v>45190</v>
      </c>
      <c r="C2279" s="1" t="n">
        <v>45472</v>
      </c>
      <c r="D2279" t="inlineStr">
        <is>
          <t>VÄSTERBOTTENS LÄN</t>
        </is>
      </c>
      <c r="E2279" t="inlineStr">
        <is>
          <t>SKELLEFTEÅ</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46107-2023</t>
        </is>
      </c>
      <c r="B2280" s="1" t="n">
        <v>45190</v>
      </c>
      <c r="C2280" s="1" t="n">
        <v>45472</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45039-2023</t>
        </is>
      </c>
      <c r="B2281" s="1" t="n">
        <v>45191</v>
      </c>
      <c r="C2281" s="1" t="n">
        <v>45472</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46302-2023</t>
        </is>
      </c>
      <c r="B2282" s="1" t="n">
        <v>45191</v>
      </c>
      <c r="C2282" s="1" t="n">
        <v>45472</v>
      </c>
      <c r="D2282" t="inlineStr">
        <is>
          <t>VÄSTERBOTTENS LÄN</t>
        </is>
      </c>
      <c r="E2282" t="inlineStr">
        <is>
          <t>SKELLEFTEÅ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45552-2023</t>
        </is>
      </c>
      <c r="B2283" s="1" t="n">
        <v>45194</v>
      </c>
      <c r="C2283" s="1" t="n">
        <v>45472</v>
      </c>
      <c r="D2283" t="inlineStr">
        <is>
          <t>VÄSTERBOTTENS LÄN</t>
        </is>
      </c>
      <c r="E2283" t="inlineStr">
        <is>
          <t>SKELLEFTEÅ</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46504-2023</t>
        </is>
      </c>
      <c r="B2284" s="1" t="n">
        <v>45194</v>
      </c>
      <c r="C2284" s="1" t="n">
        <v>45472</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45498-2023</t>
        </is>
      </c>
      <c r="B2285" s="1" t="n">
        <v>45194</v>
      </c>
      <c r="C2285" s="1" t="n">
        <v>45472</v>
      </c>
      <c r="D2285" t="inlineStr">
        <is>
          <t>VÄSTERBOTTENS LÄN</t>
        </is>
      </c>
      <c r="E2285" t="inlineStr">
        <is>
          <t>SKELLEFTEÅ</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46492-2023</t>
        </is>
      </c>
      <c r="B2286" s="1" t="n">
        <v>45194</v>
      </c>
      <c r="C2286" s="1" t="n">
        <v>45472</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46440-2023</t>
        </is>
      </c>
      <c r="B2287" s="1" t="n">
        <v>45197</v>
      </c>
      <c r="C2287" s="1" t="n">
        <v>45472</v>
      </c>
      <c r="D2287" t="inlineStr">
        <is>
          <t>VÄSTERBOTTENS LÄN</t>
        </is>
      </c>
      <c r="E2287" t="inlineStr">
        <is>
          <t>SKELLEFTEÅ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46540-2023</t>
        </is>
      </c>
      <c r="B2288" s="1" t="n">
        <v>45198</v>
      </c>
      <c r="C2288" s="1" t="n">
        <v>45472</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46539-2023</t>
        </is>
      </c>
      <c r="B2289" s="1" t="n">
        <v>45198</v>
      </c>
      <c r="C2289" s="1" t="n">
        <v>45472</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46541-2023</t>
        </is>
      </c>
      <c r="B2290" s="1" t="n">
        <v>45198</v>
      </c>
      <c r="C2290" s="1" t="n">
        <v>45472</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46448-2023</t>
        </is>
      </c>
      <c r="B2291" s="1" t="n">
        <v>45197</v>
      </c>
      <c r="C2291" s="1" t="n">
        <v>45472</v>
      </c>
      <c r="D2291" t="inlineStr">
        <is>
          <t>VÄSTERBOTTENS LÄN</t>
        </is>
      </c>
      <c r="E2291" t="inlineStr">
        <is>
          <t>SKELLEFTEÅ</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46538-2023</t>
        </is>
      </c>
      <c r="B2292" s="1" t="n">
        <v>45198</v>
      </c>
      <c r="C2292" s="1" t="n">
        <v>45472</v>
      </c>
      <c r="D2292" t="inlineStr">
        <is>
          <t>VÄSTERBOTTENS LÄN</t>
        </is>
      </c>
      <c r="E2292" t="inlineStr">
        <is>
          <t>SKELLEFTEÅ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47447-2023</t>
        </is>
      </c>
      <c r="B2293" s="1" t="n">
        <v>45197</v>
      </c>
      <c r="C2293" s="1" t="n">
        <v>45472</v>
      </c>
      <c r="D2293" t="inlineStr">
        <is>
          <t>VÄSTERBOTTENS LÄN</t>
        </is>
      </c>
      <c r="E2293" t="inlineStr">
        <is>
          <t>SKELLEFTEÅ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46584-2023</t>
        </is>
      </c>
      <c r="B2294" s="1" t="n">
        <v>45198</v>
      </c>
      <c r="C2294" s="1" t="n">
        <v>45472</v>
      </c>
      <c r="D2294" t="inlineStr">
        <is>
          <t>VÄSTERBOTTENS LÄN</t>
        </is>
      </c>
      <c r="E2294" t="inlineStr">
        <is>
          <t>SKELLEFTEÅ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46590-2023</t>
        </is>
      </c>
      <c r="B2295" s="1" t="n">
        <v>45198</v>
      </c>
      <c r="C2295" s="1" t="n">
        <v>45472</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47924-2023</t>
        </is>
      </c>
      <c r="B2296" s="1" t="n">
        <v>45198</v>
      </c>
      <c r="C2296" s="1" t="n">
        <v>45472</v>
      </c>
      <c r="D2296" t="inlineStr">
        <is>
          <t>VÄSTERBOTTENS LÄN</t>
        </is>
      </c>
      <c r="E2296" t="inlineStr">
        <is>
          <t>SKELLEFTEÅ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47923-2023</t>
        </is>
      </c>
      <c r="B2297" s="1" t="n">
        <v>45198</v>
      </c>
      <c r="C2297" s="1" t="n">
        <v>45472</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47925-2023</t>
        </is>
      </c>
      <c r="B2298" s="1" t="n">
        <v>45198</v>
      </c>
      <c r="C2298" s="1" t="n">
        <v>45472</v>
      </c>
      <c r="D2298" t="inlineStr">
        <is>
          <t>VÄSTERBOTTENS LÄN</t>
        </is>
      </c>
      <c r="E2298" t="inlineStr">
        <is>
          <t>SKELLEFTEÅ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47155-2023</t>
        </is>
      </c>
      <c r="B2299" s="1" t="n">
        <v>45202</v>
      </c>
      <c r="C2299" s="1" t="n">
        <v>45472</v>
      </c>
      <c r="D2299" t="inlineStr">
        <is>
          <t>VÄSTERBOTTENS LÄN</t>
        </is>
      </c>
      <c r="E2299" t="inlineStr">
        <is>
          <t>SKELLEFTEÅ</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47154-2023</t>
        </is>
      </c>
      <c r="B2300" s="1" t="n">
        <v>45202</v>
      </c>
      <c r="C2300" s="1" t="n">
        <v>45472</v>
      </c>
      <c r="D2300" t="inlineStr">
        <is>
          <t>VÄSTERBOTTENS LÄN</t>
        </is>
      </c>
      <c r="E2300" t="inlineStr">
        <is>
          <t>SKELLEFTEÅ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47139-2023</t>
        </is>
      </c>
      <c r="B2301" s="1" t="n">
        <v>45201</v>
      </c>
      <c r="C2301" s="1" t="n">
        <v>45472</v>
      </c>
      <c r="D2301" t="inlineStr">
        <is>
          <t>VÄSTERBOTTENS LÄN</t>
        </is>
      </c>
      <c r="E2301" t="inlineStr">
        <is>
          <t>SKELLEFTEÅ</t>
        </is>
      </c>
      <c r="F2301" t="inlineStr">
        <is>
          <t>Sveaskog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46965-2023</t>
        </is>
      </c>
      <c r="B2302" s="1" t="n">
        <v>45201</v>
      </c>
      <c r="C2302" s="1" t="n">
        <v>45472</v>
      </c>
      <c r="D2302" t="inlineStr">
        <is>
          <t>VÄSTERBOTTENS LÄN</t>
        </is>
      </c>
      <c r="E2302" t="inlineStr">
        <is>
          <t>SKELLEFTEÅ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48392-2023</t>
        </is>
      </c>
      <c r="B2303" s="1" t="n">
        <v>45201</v>
      </c>
      <c r="C2303" s="1" t="n">
        <v>45472</v>
      </c>
      <c r="D2303" t="inlineStr">
        <is>
          <t>VÄSTERBOTTENS LÄN</t>
        </is>
      </c>
      <c r="E2303" t="inlineStr">
        <is>
          <t>SKELLEFTEÅ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48394-2023</t>
        </is>
      </c>
      <c r="B2304" s="1" t="n">
        <v>45201</v>
      </c>
      <c r="C2304" s="1" t="n">
        <v>45472</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47312-2023</t>
        </is>
      </c>
      <c r="B2305" s="1" t="n">
        <v>45202</v>
      </c>
      <c r="C2305" s="1" t="n">
        <v>45472</v>
      </c>
      <c r="D2305" t="inlineStr">
        <is>
          <t>VÄSTERBOTTENS LÄN</t>
        </is>
      </c>
      <c r="E2305" t="inlineStr">
        <is>
          <t>SKELLEFTEÅ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47406-2023</t>
        </is>
      </c>
      <c r="B2306" s="1" t="n">
        <v>45202</v>
      </c>
      <c r="C2306" s="1" t="n">
        <v>45472</v>
      </c>
      <c r="D2306" t="inlineStr">
        <is>
          <t>VÄSTERBOTTENS LÄN</t>
        </is>
      </c>
      <c r="E2306" t="inlineStr">
        <is>
          <t>SKELLEFTEÅ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47468-2023</t>
        </is>
      </c>
      <c r="B2307" s="1" t="n">
        <v>45202</v>
      </c>
      <c r="C2307" s="1" t="n">
        <v>45472</v>
      </c>
      <c r="D2307" t="inlineStr">
        <is>
          <t>VÄSTERBOTTENS LÄN</t>
        </is>
      </c>
      <c r="E2307" t="inlineStr">
        <is>
          <t>SKELLEFTEÅ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47716-2023</t>
        </is>
      </c>
      <c r="B2308" s="1" t="n">
        <v>45203</v>
      </c>
      <c r="C2308" s="1" t="n">
        <v>45472</v>
      </c>
      <c r="D2308" t="inlineStr">
        <is>
          <t>VÄSTERBOTTENS LÄN</t>
        </is>
      </c>
      <c r="E2308" t="inlineStr">
        <is>
          <t>SKELLEFTEÅ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47531-2023</t>
        </is>
      </c>
      <c r="B2309" s="1" t="n">
        <v>45203</v>
      </c>
      <c r="C2309" s="1" t="n">
        <v>45472</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47534-2023</t>
        </is>
      </c>
      <c r="B2310" s="1" t="n">
        <v>45203</v>
      </c>
      <c r="C2310" s="1" t="n">
        <v>45472</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47910-2023</t>
        </is>
      </c>
      <c r="B2311" s="1" t="n">
        <v>45204</v>
      </c>
      <c r="C2311" s="1" t="n">
        <v>45472</v>
      </c>
      <c r="D2311" t="inlineStr">
        <is>
          <t>VÄSTERBOTTENS LÄN</t>
        </is>
      </c>
      <c r="E2311" t="inlineStr">
        <is>
          <t>SKELLEFTEÅ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48062-2023</t>
        </is>
      </c>
      <c r="B2312" s="1" t="n">
        <v>45205</v>
      </c>
      <c r="C2312" s="1" t="n">
        <v>45472</v>
      </c>
      <c r="D2312" t="inlineStr">
        <is>
          <t>VÄSTERBOTTENS LÄN</t>
        </is>
      </c>
      <c r="E2312" t="inlineStr">
        <is>
          <t>SKELLEFTEÅ</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48160-2023</t>
        </is>
      </c>
      <c r="B2313" s="1" t="n">
        <v>45205</v>
      </c>
      <c r="C2313" s="1" t="n">
        <v>45472</v>
      </c>
      <c r="D2313" t="inlineStr">
        <is>
          <t>VÄSTERBOTTENS LÄN</t>
        </is>
      </c>
      <c r="E2313" t="inlineStr">
        <is>
          <t>SKELLEFTEÅ</t>
        </is>
      </c>
      <c r="G2313" t="n">
        <v>18.8</v>
      </c>
      <c r="H2313" t="n">
        <v>0</v>
      </c>
      <c r="I2313" t="n">
        <v>0</v>
      </c>
      <c r="J2313" t="n">
        <v>0</v>
      </c>
      <c r="K2313" t="n">
        <v>0</v>
      </c>
      <c r="L2313" t="n">
        <v>0</v>
      </c>
      <c r="M2313" t="n">
        <v>0</v>
      </c>
      <c r="N2313" t="n">
        <v>0</v>
      </c>
      <c r="O2313" t="n">
        <v>0</v>
      </c>
      <c r="P2313" t="n">
        <v>0</v>
      </c>
      <c r="Q2313" t="n">
        <v>0</v>
      </c>
      <c r="R2313" s="2" t="inlineStr"/>
    </row>
    <row r="2314" ht="15" customHeight="1">
      <c r="A2314" t="inlineStr">
        <is>
          <t>A 48316-2023</t>
        </is>
      </c>
      <c r="B2314" s="1" t="n">
        <v>45205</v>
      </c>
      <c r="C2314" s="1" t="n">
        <v>45472</v>
      </c>
      <c r="D2314" t="inlineStr">
        <is>
          <t>VÄSTERBOTTENS LÄN</t>
        </is>
      </c>
      <c r="E2314" t="inlineStr">
        <is>
          <t>SKELLEFTEÅ</t>
        </is>
      </c>
      <c r="F2314" t="inlineStr">
        <is>
          <t>Holmen skog AB</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48264-2023</t>
        </is>
      </c>
      <c r="B2315" s="1" t="n">
        <v>45205</v>
      </c>
      <c r="C2315" s="1" t="n">
        <v>45472</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48361-2023</t>
        </is>
      </c>
      <c r="B2316" s="1" t="n">
        <v>45205</v>
      </c>
      <c r="C2316" s="1" t="n">
        <v>45472</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49573-2023</t>
        </is>
      </c>
      <c r="B2317" s="1" t="n">
        <v>45205</v>
      </c>
      <c r="C2317" s="1" t="n">
        <v>45472</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49587-2023</t>
        </is>
      </c>
      <c r="B2318" s="1" t="n">
        <v>45206</v>
      </c>
      <c r="C2318" s="1" t="n">
        <v>45472</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49594-2023</t>
        </is>
      </c>
      <c r="B2319" s="1" t="n">
        <v>45206</v>
      </c>
      <c r="C2319" s="1" t="n">
        <v>45472</v>
      </c>
      <c r="D2319" t="inlineStr">
        <is>
          <t>VÄSTERBOTTENS LÄN</t>
        </is>
      </c>
      <c r="E2319" t="inlineStr">
        <is>
          <t>SKELLEFTEÅ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48454-2023</t>
        </is>
      </c>
      <c r="B2320" s="1" t="n">
        <v>45206</v>
      </c>
      <c r="C2320" s="1" t="n">
        <v>45472</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48501-2023</t>
        </is>
      </c>
      <c r="B2321" s="1" t="n">
        <v>45207</v>
      </c>
      <c r="C2321" s="1" t="n">
        <v>45472</v>
      </c>
      <c r="D2321" t="inlineStr">
        <is>
          <t>VÄSTERBOTTENS LÄN</t>
        </is>
      </c>
      <c r="E2321" t="inlineStr">
        <is>
          <t>SKELLEFTEÅ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48517-2023</t>
        </is>
      </c>
      <c r="B2322" s="1" t="n">
        <v>45208</v>
      </c>
      <c r="C2322" s="1" t="n">
        <v>45472</v>
      </c>
      <c r="D2322" t="inlineStr">
        <is>
          <t>VÄSTERBOTTENS LÄN</t>
        </is>
      </c>
      <c r="E2322" t="inlineStr">
        <is>
          <t>SKELLEFTEÅ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48518-2023</t>
        </is>
      </c>
      <c r="B2323" s="1" t="n">
        <v>45208</v>
      </c>
      <c r="C2323" s="1" t="n">
        <v>45472</v>
      </c>
      <c r="D2323" t="inlineStr">
        <is>
          <t>VÄSTERBOTTENS LÄN</t>
        </is>
      </c>
      <c r="E2323" t="inlineStr">
        <is>
          <t>SKELLEFTEÅ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48573-2023</t>
        </is>
      </c>
      <c r="B2324" s="1" t="n">
        <v>45208</v>
      </c>
      <c r="C2324" s="1" t="n">
        <v>45472</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48516-2023</t>
        </is>
      </c>
      <c r="B2325" s="1" t="n">
        <v>45208</v>
      </c>
      <c r="C2325" s="1" t="n">
        <v>45472</v>
      </c>
      <c r="D2325" t="inlineStr">
        <is>
          <t>VÄSTERBOTTENS LÄN</t>
        </is>
      </c>
      <c r="E2325" t="inlineStr">
        <is>
          <t>SKELLEFTEÅ</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48802-2023</t>
        </is>
      </c>
      <c r="B2326" s="1" t="n">
        <v>45209</v>
      </c>
      <c r="C2326" s="1" t="n">
        <v>45472</v>
      </c>
      <c r="D2326" t="inlineStr">
        <is>
          <t>VÄSTERBOTTENS LÄN</t>
        </is>
      </c>
      <c r="E2326" t="inlineStr">
        <is>
          <t>SKELLEFTEÅ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50185-2023</t>
        </is>
      </c>
      <c r="B2327" s="1" t="n">
        <v>45209</v>
      </c>
      <c r="C2327" s="1" t="n">
        <v>45472</v>
      </c>
      <c r="D2327" t="inlineStr">
        <is>
          <t>VÄSTERBOTTENS LÄN</t>
        </is>
      </c>
      <c r="E2327" t="inlineStr">
        <is>
          <t>SKELLEFTEÅ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49161-2023</t>
        </is>
      </c>
      <c r="B2328" s="1" t="n">
        <v>45210</v>
      </c>
      <c r="C2328" s="1" t="n">
        <v>45472</v>
      </c>
      <c r="D2328" t="inlineStr">
        <is>
          <t>VÄSTERBOTTENS LÄN</t>
        </is>
      </c>
      <c r="E2328" t="inlineStr">
        <is>
          <t>SKELLEFTEÅ</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49130-2023</t>
        </is>
      </c>
      <c r="B2329" s="1" t="n">
        <v>45210</v>
      </c>
      <c r="C2329" s="1" t="n">
        <v>45472</v>
      </c>
      <c r="D2329" t="inlineStr">
        <is>
          <t>VÄSTERBOTTENS LÄN</t>
        </is>
      </c>
      <c r="E2329" t="inlineStr">
        <is>
          <t>SKELLEFTEÅ</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49055-2023</t>
        </is>
      </c>
      <c r="B2330" s="1" t="n">
        <v>45210</v>
      </c>
      <c r="C2330" s="1" t="n">
        <v>45472</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49241-2023</t>
        </is>
      </c>
      <c r="B2331" s="1" t="n">
        <v>45210</v>
      </c>
      <c r="C2331" s="1" t="n">
        <v>45472</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49243-2023</t>
        </is>
      </c>
      <c r="B2332" s="1" t="n">
        <v>45210</v>
      </c>
      <c r="C2332" s="1" t="n">
        <v>45472</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50378-2023</t>
        </is>
      </c>
      <c r="B2333" s="1" t="n">
        <v>45210</v>
      </c>
      <c r="C2333" s="1" t="n">
        <v>45472</v>
      </c>
      <c r="D2333" t="inlineStr">
        <is>
          <t>VÄSTERBOTTENS LÄN</t>
        </is>
      </c>
      <c r="E2333" t="inlineStr">
        <is>
          <t>SKELLEFTEÅ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49283-2023</t>
        </is>
      </c>
      <c r="B2334" s="1" t="n">
        <v>45210</v>
      </c>
      <c r="C2334" s="1" t="n">
        <v>45472</v>
      </c>
      <c r="D2334" t="inlineStr">
        <is>
          <t>VÄSTERBOTTENS LÄN</t>
        </is>
      </c>
      <c r="E2334" t="inlineStr">
        <is>
          <t>SKELLEFTEÅ</t>
        </is>
      </c>
      <c r="F2334" t="inlineStr">
        <is>
          <t>Holmen skog AB</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49688-2023</t>
        </is>
      </c>
      <c r="B2335" s="1" t="n">
        <v>45212</v>
      </c>
      <c r="C2335" s="1" t="n">
        <v>45472</v>
      </c>
      <c r="D2335" t="inlineStr">
        <is>
          <t>VÄSTERBOTTENS LÄN</t>
        </is>
      </c>
      <c r="E2335" t="inlineStr">
        <is>
          <t>SKELLEFTEÅ</t>
        </is>
      </c>
      <c r="F2335" t="inlineStr">
        <is>
          <t>Holmen skog AB</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49730-2023</t>
        </is>
      </c>
      <c r="B2336" s="1" t="n">
        <v>45212</v>
      </c>
      <c r="C2336" s="1" t="n">
        <v>45472</v>
      </c>
      <c r="D2336" t="inlineStr">
        <is>
          <t>VÄSTERBOTTENS LÄN</t>
        </is>
      </c>
      <c r="E2336" t="inlineStr">
        <is>
          <t>SKELLEFTEÅ</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49728-2023</t>
        </is>
      </c>
      <c r="B2337" s="1" t="n">
        <v>45212</v>
      </c>
      <c r="C2337" s="1" t="n">
        <v>45472</v>
      </c>
      <c r="D2337" t="inlineStr">
        <is>
          <t>VÄSTERBOTTENS LÄN</t>
        </is>
      </c>
      <c r="E2337" t="inlineStr">
        <is>
          <t>SKELLEFTEÅ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51342-2023</t>
        </is>
      </c>
      <c r="B2338" s="1" t="n">
        <v>45212</v>
      </c>
      <c r="C2338" s="1" t="n">
        <v>45472</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49901-2023</t>
        </is>
      </c>
      <c r="B2339" s="1" t="n">
        <v>45213</v>
      </c>
      <c r="C2339" s="1" t="n">
        <v>45472</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v>
      </c>
      <c r="C2340" s="1" t="n">
        <v>45472</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49949-2023</t>
        </is>
      </c>
      <c r="B2341" s="1" t="n">
        <v>45215</v>
      </c>
      <c r="C2341" s="1" t="n">
        <v>45472</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50081-2023</t>
        </is>
      </c>
      <c r="B2342" s="1" t="n">
        <v>45215</v>
      </c>
      <c r="C2342" s="1" t="n">
        <v>45472</v>
      </c>
      <c r="D2342" t="inlineStr">
        <is>
          <t>VÄSTERBOTTENS LÄN</t>
        </is>
      </c>
      <c r="E2342" t="inlineStr">
        <is>
          <t>SKELLEFTEÅ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50108-2023</t>
        </is>
      </c>
      <c r="B2343" s="1" t="n">
        <v>45215</v>
      </c>
      <c r="C2343" s="1" t="n">
        <v>45472</v>
      </c>
      <c r="D2343" t="inlineStr">
        <is>
          <t>VÄSTERBOTTENS LÄN</t>
        </is>
      </c>
      <c r="E2343" t="inlineStr">
        <is>
          <t>SKELLEFTEÅ</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51590-2023</t>
        </is>
      </c>
      <c r="B2344" s="1" t="n">
        <v>45215</v>
      </c>
      <c r="C2344" s="1" t="n">
        <v>45472</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51611-2023</t>
        </is>
      </c>
      <c r="B2345" s="1" t="n">
        <v>45215</v>
      </c>
      <c r="C2345" s="1" t="n">
        <v>45472</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51683-2023</t>
        </is>
      </c>
      <c r="B2346" s="1" t="n">
        <v>45215</v>
      </c>
      <c r="C2346" s="1" t="n">
        <v>45472</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51664-2023</t>
        </is>
      </c>
      <c r="B2347" s="1" t="n">
        <v>45215</v>
      </c>
      <c r="C2347" s="1" t="n">
        <v>45472</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50474-2023</t>
        </is>
      </c>
      <c r="B2348" s="1" t="n">
        <v>45217</v>
      </c>
      <c r="C2348" s="1" t="n">
        <v>45472</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50462-2023</t>
        </is>
      </c>
      <c r="B2349" s="1" t="n">
        <v>45216</v>
      </c>
      <c r="C2349" s="1" t="n">
        <v>45472</v>
      </c>
      <c r="D2349" t="inlineStr">
        <is>
          <t>VÄSTERBOTTENS LÄN</t>
        </is>
      </c>
      <c r="E2349" t="inlineStr">
        <is>
          <t>SKELLEFTEÅ</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50477-2023</t>
        </is>
      </c>
      <c r="B2350" s="1" t="n">
        <v>45217</v>
      </c>
      <c r="C2350" s="1" t="n">
        <v>45472</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50338-2023</t>
        </is>
      </c>
      <c r="B2351" s="1" t="n">
        <v>45216</v>
      </c>
      <c r="C2351" s="1" t="n">
        <v>45472</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52062-2023</t>
        </is>
      </c>
      <c r="B2352" s="1" t="n">
        <v>45216</v>
      </c>
      <c r="C2352" s="1" t="n">
        <v>45472</v>
      </c>
      <c r="D2352" t="inlineStr">
        <is>
          <t>VÄSTERBOTTENS LÄN</t>
        </is>
      </c>
      <c r="E2352" t="inlineStr">
        <is>
          <t>SKELLEFTEÅ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52037-2023</t>
        </is>
      </c>
      <c r="B2353" s="1" t="n">
        <v>45216</v>
      </c>
      <c r="C2353" s="1" t="n">
        <v>45472</v>
      </c>
      <c r="D2353" t="inlineStr">
        <is>
          <t>VÄSTERBOTTENS LÄN</t>
        </is>
      </c>
      <c r="E2353" t="inlineStr">
        <is>
          <t>SKELLEFTEÅ</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51926-2023</t>
        </is>
      </c>
      <c r="B2354" s="1" t="n">
        <v>45216</v>
      </c>
      <c r="C2354" s="1" t="n">
        <v>45472</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50475-2023</t>
        </is>
      </c>
      <c r="B2355" s="1" t="n">
        <v>45217</v>
      </c>
      <c r="C2355" s="1" t="n">
        <v>45472</v>
      </c>
      <c r="D2355" t="inlineStr">
        <is>
          <t>VÄSTERBOTTENS LÄN</t>
        </is>
      </c>
      <c r="E2355" t="inlineStr">
        <is>
          <t>SKELLEFTEÅ</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51970-2023</t>
        </is>
      </c>
      <c r="B2356" s="1" t="n">
        <v>45216</v>
      </c>
      <c r="C2356" s="1" t="n">
        <v>45472</v>
      </c>
      <c r="D2356" t="inlineStr">
        <is>
          <t>VÄSTERBOTTENS LÄN</t>
        </is>
      </c>
      <c r="E2356" t="inlineStr">
        <is>
          <t>SKELLEFTEÅ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51928-2023</t>
        </is>
      </c>
      <c r="B2357" s="1" t="n">
        <v>45216</v>
      </c>
      <c r="C2357" s="1" t="n">
        <v>45472</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51960-2023</t>
        </is>
      </c>
      <c r="B2358" s="1" t="n">
        <v>45216</v>
      </c>
      <c r="C2358" s="1" t="n">
        <v>45472</v>
      </c>
      <c r="D2358" t="inlineStr">
        <is>
          <t>VÄSTERBOTTENS LÄN</t>
        </is>
      </c>
      <c r="E2358" t="inlineStr">
        <is>
          <t>SKELLEFTEÅ</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51963-2023</t>
        </is>
      </c>
      <c r="B2359" s="1" t="n">
        <v>45216</v>
      </c>
      <c r="C2359" s="1" t="n">
        <v>45472</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50488-2023</t>
        </is>
      </c>
      <c r="B2360" s="1" t="n">
        <v>45217</v>
      </c>
      <c r="C2360" s="1" t="n">
        <v>45472</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50476-2023</t>
        </is>
      </c>
      <c r="B2361" s="1" t="n">
        <v>45217</v>
      </c>
      <c r="C2361" s="1" t="n">
        <v>45472</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50464-2023</t>
        </is>
      </c>
      <c r="B2362" s="1" t="n">
        <v>45216</v>
      </c>
      <c r="C2362" s="1" t="n">
        <v>45472</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50549-2023</t>
        </is>
      </c>
      <c r="B2363" s="1" t="n">
        <v>45217</v>
      </c>
      <c r="C2363" s="1" t="n">
        <v>45472</v>
      </c>
      <c r="D2363" t="inlineStr">
        <is>
          <t>VÄSTERBOTTENS LÄN</t>
        </is>
      </c>
      <c r="E2363" t="inlineStr">
        <is>
          <t>SKELLEFTEÅ</t>
        </is>
      </c>
      <c r="F2363" t="inlineStr">
        <is>
          <t>Holmen skog AB</t>
        </is>
      </c>
      <c r="G2363" t="n">
        <v>28.5</v>
      </c>
      <c r="H2363" t="n">
        <v>0</v>
      </c>
      <c r="I2363" t="n">
        <v>0</v>
      </c>
      <c r="J2363" t="n">
        <v>0</v>
      </c>
      <c r="K2363" t="n">
        <v>0</v>
      </c>
      <c r="L2363" t="n">
        <v>0</v>
      </c>
      <c r="M2363" t="n">
        <v>0</v>
      </c>
      <c r="N2363" t="n">
        <v>0</v>
      </c>
      <c r="O2363" t="n">
        <v>0</v>
      </c>
      <c r="P2363" t="n">
        <v>0</v>
      </c>
      <c r="Q2363" t="n">
        <v>0</v>
      </c>
      <c r="R2363" s="2" t="inlineStr"/>
    </row>
    <row r="2364" ht="15" customHeight="1">
      <c r="A2364" t="inlineStr">
        <is>
          <t>A 50821-2023</t>
        </is>
      </c>
      <c r="B2364" s="1" t="n">
        <v>45218</v>
      </c>
      <c r="C2364" s="1" t="n">
        <v>45472</v>
      </c>
      <c r="D2364" t="inlineStr">
        <is>
          <t>VÄSTERBOTTENS LÄN</t>
        </is>
      </c>
      <c r="E2364" t="inlineStr">
        <is>
          <t>SKELLEFTEÅ</t>
        </is>
      </c>
      <c r="G2364" t="n">
        <v>19.3</v>
      </c>
      <c r="H2364" t="n">
        <v>0</v>
      </c>
      <c r="I2364" t="n">
        <v>0</v>
      </c>
      <c r="J2364" t="n">
        <v>0</v>
      </c>
      <c r="K2364" t="n">
        <v>0</v>
      </c>
      <c r="L2364" t="n">
        <v>0</v>
      </c>
      <c r="M2364" t="n">
        <v>0</v>
      </c>
      <c r="N2364" t="n">
        <v>0</v>
      </c>
      <c r="O2364" t="n">
        <v>0</v>
      </c>
      <c r="P2364" t="n">
        <v>0</v>
      </c>
      <c r="Q2364" t="n">
        <v>0</v>
      </c>
      <c r="R2364" s="2" t="inlineStr"/>
    </row>
    <row r="2365" ht="15" customHeight="1">
      <c r="A2365" t="inlineStr">
        <is>
          <t>A 52228-2023</t>
        </is>
      </c>
      <c r="B2365" s="1" t="n">
        <v>45217</v>
      </c>
      <c r="C2365" s="1" t="n">
        <v>45472</v>
      </c>
      <c r="D2365" t="inlineStr">
        <is>
          <t>VÄSTERBOTTENS LÄN</t>
        </is>
      </c>
      <c r="E2365" t="inlineStr">
        <is>
          <t>SKELLEFTEÅ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52305-2023</t>
        </is>
      </c>
      <c r="B2366" s="1" t="n">
        <v>45217</v>
      </c>
      <c r="C2366" s="1" t="n">
        <v>45472</v>
      </c>
      <c r="D2366" t="inlineStr">
        <is>
          <t>VÄSTERBOTTENS LÄN</t>
        </is>
      </c>
      <c r="E2366" t="inlineStr">
        <is>
          <t>SKELLEFTEÅ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52300-2023</t>
        </is>
      </c>
      <c r="B2367" s="1" t="n">
        <v>45217</v>
      </c>
      <c r="C2367" s="1" t="n">
        <v>45472</v>
      </c>
      <c r="D2367" t="inlineStr">
        <is>
          <t>VÄSTERBOTTENS LÄN</t>
        </is>
      </c>
      <c r="E2367" t="inlineStr">
        <is>
          <t>SKELLEFTEÅ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52287-2023</t>
        </is>
      </c>
      <c r="B2368" s="1" t="n">
        <v>45217</v>
      </c>
      <c r="C2368" s="1" t="n">
        <v>45472</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52239-2023</t>
        </is>
      </c>
      <c r="B2369" s="1" t="n">
        <v>45217</v>
      </c>
      <c r="C2369" s="1" t="n">
        <v>45472</v>
      </c>
      <c r="D2369" t="inlineStr">
        <is>
          <t>VÄSTERBOTTENS LÄN</t>
        </is>
      </c>
      <c r="E2369" t="inlineStr">
        <is>
          <t>SKELLEFTEÅ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52792-2023</t>
        </is>
      </c>
      <c r="B2370" s="1" t="n">
        <v>45219</v>
      </c>
      <c r="C2370" s="1" t="n">
        <v>45472</v>
      </c>
      <c r="D2370" t="inlineStr">
        <is>
          <t>VÄSTERBOTTENS LÄN</t>
        </is>
      </c>
      <c r="E2370" t="inlineStr">
        <is>
          <t>SKELLEFTEÅ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52809-2023</t>
        </is>
      </c>
      <c r="B2371" s="1" t="n">
        <v>45219</v>
      </c>
      <c r="C2371" s="1" t="n">
        <v>45472</v>
      </c>
      <c r="D2371" t="inlineStr">
        <is>
          <t>VÄSTERBOTTENS LÄN</t>
        </is>
      </c>
      <c r="E2371" t="inlineStr">
        <is>
          <t>SKELLEFTEÅ</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51339-2023</t>
        </is>
      </c>
      <c r="B2372" s="1" t="n">
        <v>45219</v>
      </c>
      <c r="C2372" s="1" t="n">
        <v>45472</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51396-2023</t>
        </is>
      </c>
      <c r="B2373" s="1" t="n">
        <v>45219</v>
      </c>
      <c r="C2373" s="1" t="n">
        <v>45472</v>
      </c>
      <c r="D2373" t="inlineStr">
        <is>
          <t>VÄSTERBOTTENS LÄN</t>
        </is>
      </c>
      <c r="E2373" t="inlineStr">
        <is>
          <t>SKELLEFTEÅ</t>
        </is>
      </c>
      <c r="F2373" t="inlineStr">
        <is>
          <t>Holmen skog AB</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51418-2023</t>
        </is>
      </c>
      <c r="B2374" s="1" t="n">
        <v>45219</v>
      </c>
      <c r="C2374" s="1" t="n">
        <v>45472</v>
      </c>
      <c r="D2374" t="inlineStr">
        <is>
          <t>VÄSTERBOTTENS LÄN</t>
        </is>
      </c>
      <c r="E2374" t="inlineStr">
        <is>
          <t>SKELLEFTEÅ</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51455-2023</t>
        </is>
      </c>
      <c r="B2375" s="1" t="n">
        <v>45221</v>
      </c>
      <c r="C2375" s="1" t="n">
        <v>45472</v>
      </c>
      <c r="D2375" t="inlineStr">
        <is>
          <t>VÄSTERBOTTENS LÄN</t>
        </is>
      </c>
      <c r="E2375" t="inlineStr">
        <is>
          <t>SKELLEFTEÅ</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51470-2023</t>
        </is>
      </c>
      <c r="B2376" s="1" t="n">
        <v>45221</v>
      </c>
      <c r="C2376" s="1" t="n">
        <v>45472</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51478-2023</t>
        </is>
      </c>
      <c r="B2377" s="1" t="n">
        <v>45221</v>
      </c>
      <c r="C2377" s="1" t="n">
        <v>45472</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51526-2023</t>
        </is>
      </c>
      <c r="B2378" s="1" t="n">
        <v>45222</v>
      </c>
      <c r="C2378" s="1" t="n">
        <v>45472</v>
      </c>
      <c r="D2378" t="inlineStr">
        <is>
          <t>VÄSTERBOTTENS LÄN</t>
        </is>
      </c>
      <c r="E2378" t="inlineStr">
        <is>
          <t>SKELLEFTEÅ</t>
        </is>
      </c>
      <c r="F2378" t="inlineStr">
        <is>
          <t>Holmen skog AB</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51644-2023</t>
        </is>
      </c>
      <c r="B2379" s="1" t="n">
        <v>45222</v>
      </c>
      <c r="C2379" s="1" t="n">
        <v>45472</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51703-2023</t>
        </is>
      </c>
      <c r="B2380" s="1" t="n">
        <v>45222</v>
      </c>
      <c r="C2380" s="1" t="n">
        <v>45472</v>
      </c>
      <c r="D2380" t="inlineStr">
        <is>
          <t>VÄSTERBOTTENS LÄN</t>
        </is>
      </c>
      <c r="E2380" t="inlineStr">
        <is>
          <t>SKELLEFTEÅ</t>
        </is>
      </c>
      <c r="F2380" t="inlineStr">
        <is>
          <t>Kommuner</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51667-2023</t>
        </is>
      </c>
      <c r="B2381" s="1" t="n">
        <v>45222</v>
      </c>
      <c r="C2381" s="1" t="n">
        <v>45472</v>
      </c>
      <c r="D2381" t="inlineStr">
        <is>
          <t>VÄSTERBOTTENS LÄN</t>
        </is>
      </c>
      <c r="E2381" t="inlineStr">
        <is>
          <t>SKELLEFTEÅ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53215-2023</t>
        </is>
      </c>
      <c r="B2382" s="1" t="n">
        <v>45222</v>
      </c>
      <c r="C2382" s="1" t="n">
        <v>45472</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51502-2023</t>
        </is>
      </c>
      <c r="B2383" s="1" t="n">
        <v>45222</v>
      </c>
      <c r="C2383" s="1" t="n">
        <v>45472</v>
      </c>
      <c r="D2383" t="inlineStr">
        <is>
          <t>VÄSTERBOTTENS LÄN</t>
        </is>
      </c>
      <c r="E2383" t="inlineStr">
        <is>
          <t>SKELLEFTEÅ</t>
        </is>
      </c>
      <c r="F2383" t="inlineStr">
        <is>
          <t>Kommuner</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51507-2023</t>
        </is>
      </c>
      <c r="B2384" s="1" t="n">
        <v>45222</v>
      </c>
      <c r="C2384" s="1" t="n">
        <v>45472</v>
      </c>
      <c r="D2384" t="inlineStr">
        <is>
          <t>VÄSTERBOTTENS LÄN</t>
        </is>
      </c>
      <c r="E2384" t="inlineStr">
        <is>
          <t>SKELLEFTEÅ</t>
        </is>
      </c>
      <c r="F2384" t="inlineStr">
        <is>
          <t>Kommuner</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52107-2023</t>
        </is>
      </c>
      <c r="B2385" s="1" t="n">
        <v>45224</v>
      </c>
      <c r="C2385" s="1" t="n">
        <v>45472</v>
      </c>
      <c r="D2385" t="inlineStr">
        <is>
          <t>VÄSTERBOTTENS LÄN</t>
        </is>
      </c>
      <c r="E2385" t="inlineStr">
        <is>
          <t>SKELLEFTEÅ</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52007-2023</t>
        </is>
      </c>
      <c r="B2386" s="1" t="n">
        <v>45223</v>
      </c>
      <c r="C2386" s="1" t="n">
        <v>45472</v>
      </c>
      <c r="D2386" t="inlineStr">
        <is>
          <t>VÄSTERBOTTENS LÄN</t>
        </is>
      </c>
      <c r="E2386" t="inlineStr">
        <is>
          <t>SKELLEFTEÅ</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52082-2023</t>
        </is>
      </c>
      <c r="B2387" s="1" t="n">
        <v>45223</v>
      </c>
      <c r="C2387" s="1" t="n">
        <v>45472</v>
      </c>
      <c r="D2387" t="inlineStr">
        <is>
          <t>VÄSTERBOTTENS LÄN</t>
        </is>
      </c>
      <c r="E2387" t="inlineStr">
        <is>
          <t>SKELLEFTEÅ</t>
        </is>
      </c>
      <c r="F2387" t="inlineStr">
        <is>
          <t>Sveaskog</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52106-2023</t>
        </is>
      </c>
      <c r="B2388" s="1" t="n">
        <v>45224</v>
      </c>
      <c r="C2388" s="1" t="n">
        <v>45472</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51958-2023</t>
        </is>
      </c>
      <c r="B2389" s="1" t="n">
        <v>45223</v>
      </c>
      <c r="C2389" s="1" t="n">
        <v>45472</v>
      </c>
      <c r="D2389" t="inlineStr">
        <is>
          <t>VÄSTERBOTTENS LÄN</t>
        </is>
      </c>
      <c r="E2389" t="inlineStr">
        <is>
          <t>SKELLEFTEÅ</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51969-2023</t>
        </is>
      </c>
      <c r="B2390" s="1" t="n">
        <v>45223</v>
      </c>
      <c r="C2390" s="1" t="n">
        <v>45472</v>
      </c>
      <c r="D2390" t="inlineStr">
        <is>
          <t>VÄSTERBOTTENS LÄN</t>
        </is>
      </c>
      <c r="E2390" t="inlineStr">
        <is>
          <t>SKELLEFTEÅ</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52105-2023</t>
        </is>
      </c>
      <c r="B2391" s="1" t="n">
        <v>45224</v>
      </c>
      <c r="C2391" s="1" t="n">
        <v>45472</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53500-2023</t>
        </is>
      </c>
      <c r="B2392" s="1" t="n">
        <v>45223</v>
      </c>
      <c r="C2392" s="1" t="n">
        <v>45472</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52364-2023</t>
        </is>
      </c>
      <c r="B2393" s="1" t="n">
        <v>45224</v>
      </c>
      <c r="C2393" s="1" t="n">
        <v>45472</v>
      </c>
      <c r="D2393" t="inlineStr">
        <is>
          <t>VÄSTERBOTTENS LÄN</t>
        </is>
      </c>
      <c r="E2393" t="inlineStr">
        <is>
          <t>SKELLEFTEÅ</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52185-2023</t>
        </is>
      </c>
      <c r="B2394" s="1" t="n">
        <v>45224</v>
      </c>
      <c r="C2394" s="1" t="n">
        <v>45472</v>
      </c>
      <c r="D2394" t="inlineStr">
        <is>
          <t>VÄSTERBOTTENS LÄN</t>
        </is>
      </c>
      <c r="E2394" t="inlineStr">
        <is>
          <t>SKELLEFTEÅ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52203-2023</t>
        </is>
      </c>
      <c r="B2395" s="1" t="n">
        <v>45224</v>
      </c>
      <c r="C2395" s="1" t="n">
        <v>45472</v>
      </c>
      <c r="D2395" t="inlineStr">
        <is>
          <t>VÄSTERBOTTENS LÄN</t>
        </is>
      </c>
      <c r="E2395" t="inlineStr">
        <is>
          <t>SKELLEFTEÅ</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53656-2023</t>
        </is>
      </c>
      <c r="B2396" s="1" t="n">
        <v>45224</v>
      </c>
      <c r="C2396" s="1" t="n">
        <v>45472</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53680-2023</t>
        </is>
      </c>
      <c r="B2397" s="1" t="n">
        <v>45224</v>
      </c>
      <c r="C2397" s="1" t="n">
        <v>45472</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52384-2023</t>
        </is>
      </c>
      <c r="B2398" s="1" t="n">
        <v>45224</v>
      </c>
      <c r="C2398" s="1" t="n">
        <v>45472</v>
      </c>
      <c r="D2398" t="inlineStr">
        <is>
          <t>VÄSTERBOTTENS LÄN</t>
        </is>
      </c>
      <c r="E2398" t="inlineStr">
        <is>
          <t>SKELLEFTEÅ</t>
        </is>
      </c>
      <c r="F2398" t="inlineStr">
        <is>
          <t>Sveaskog</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52419-2023</t>
        </is>
      </c>
      <c r="B2399" s="1" t="n">
        <v>45225</v>
      </c>
      <c r="C2399" s="1" t="n">
        <v>45472</v>
      </c>
      <c r="D2399" t="inlineStr">
        <is>
          <t>VÄSTERBOTTENS LÄN</t>
        </is>
      </c>
      <c r="E2399" t="inlineStr">
        <is>
          <t>SKELLEFTEÅ</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52425-2023</t>
        </is>
      </c>
      <c r="B2400" s="1" t="n">
        <v>45225</v>
      </c>
      <c r="C2400" s="1" t="n">
        <v>45472</v>
      </c>
      <c r="D2400" t="inlineStr">
        <is>
          <t>VÄSTERBOTTENS LÄN</t>
        </is>
      </c>
      <c r="E2400" t="inlineStr">
        <is>
          <t>SKELLEFTEÅ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52444-2023</t>
        </is>
      </c>
      <c r="B2401" s="1" t="n">
        <v>45225</v>
      </c>
      <c r="C2401" s="1" t="n">
        <v>45472</v>
      </c>
      <c r="D2401" t="inlineStr">
        <is>
          <t>VÄSTERBOTTENS LÄN</t>
        </is>
      </c>
      <c r="E2401" t="inlineStr">
        <is>
          <t>SKELLEFTEÅ</t>
        </is>
      </c>
      <c r="F2401" t="inlineStr">
        <is>
          <t>Sveaskog</t>
        </is>
      </c>
      <c r="G2401" t="n">
        <v>28.5</v>
      </c>
      <c r="H2401" t="n">
        <v>0</v>
      </c>
      <c r="I2401" t="n">
        <v>0</v>
      </c>
      <c r="J2401" t="n">
        <v>0</v>
      </c>
      <c r="K2401" t="n">
        <v>0</v>
      </c>
      <c r="L2401" t="n">
        <v>0</v>
      </c>
      <c r="M2401" t="n">
        <v>0</v>
      </c>
      <c r="N2401" t="n">
        <v>0</v>
      </c>
      <c r="O2401" t="n">
        <v>0</v>
      </c>
      <c r="P2401" t="n">
        <v>0</v>
      </c>
      <c r="Q2401" t="n">
        <v>0</v>
      </c>
      <c r="R2401" s="2" t="inlineStr"/>
    </row>
    <row r="2402" ht="15" customHeight="1">
      <c r="A2402" t="inlineStr">
        <is>
          <t>A 52441-2023</t>
        </is>
      </c>
      <c r="B2402" s="1" t="n">
        <v>45225</v>
      </c>
      <c r="C2402" s="1" t="n">
        <v>45472</v>
      </c>
      <c r="D2402" t="inlineStr">
        <is>
          <t>VÄSTERBOTTENS LÄN</t>
        </is>
      </c>
      <c r="E2402" t="inlineStr">
        <is>
          <t>SKELLEFTEÅ</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52489-2023</t>
        </is>
      </c>
      <c r="B2403" s="1" t="n">
        <v>45225</v>
      </c>
      <c r="C2403" s="1" t="n">
        <v>45472</v>
      </c>
      <c r="D2403" t="inlineStr">
        <is>
          <t>VÄSTERBOTTENS LÄN</t>
        </is>
      </c>
      <c r="E2403" t="inlineStr">
        <is>
          <t>SKELLEFTEÅ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52493-2023</t>
        </is>
      </c>
      <c r="B2404" s="1" t="n">
        <v>45225</v>
      </c>
      <c r="C2404" s="1" t="n">
        <v>45472</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52442-2023</t>
        </is>
      </c>
      <c r="B2405" s="1" t="n">
        <v>45225</v>
      </c>
      <c r="C2405" s="1" t="n">
        <v>45472</v>
      </c>
      <c r="D2405" t="inlineStr">
        <is>
          <t>VÄSTERBOTTENS LÄN</t>
        </is>
      </c>
      <c r="E2405" t="inlineStr">
        <is>
          <t>SKELLEFTEÅ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52447-2023</t>
        </is>
      </c>
      <c r="B2406" s="1" t="n">
        <v>45225</v>
      </c>
      <c r="C2406" s="1" t="n">
        <v>45472</v>
      </c>
      <c r="D2406" t="inlineStr">
        <is>
          <t>VÄSTERBOTTENS LÄN</t>
        </is>
      </c>
      <c r="E2406" t="inlineStr">
        <is>
          <t>SKELLEFTEÅ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52686-2023</t>
        </is>
      </c>
      <c r="B2407" s="1" t="n">
        <v>45225</v>
      </c>
      <c r="C2407" s="1" t="n">
        <v>45472</v>
      </c>
      <c r="D2407" t="inlineStr">
        <is>
          <t>VÄSTERBOTTENS LÄN</t>
        </is>
      </c>
      <c r="E2407" t="inlineStr">
        <is>
          <t>SKELLEFTEÅ</t>
        </is>
      </c>
      <c r="F2407" t="inlineStr">
        <is>
          <t>Sveaskog</t>
        </is>
      </c>
      <c r="G2407" t="n">
        <v>18.1</v>
      </c>
      <c r="H2407" t="n">
        <v>0</v>
      </c>
      <c r="I2407" t="n">
        <v>0</v>
      </c>
      <c r="J2407" t="n">
        <v>0</v>
      </c>
      <c r="K2407" t="n">
        <v>0</v>
      </c>
      <c r="L2407" t="n">
        <v>0</v>
      </c>
      <c r="M2407" t="n">
        <v>0</v>
      </c>
      <c r="N2407" t="n">
        <v>0</v>
      </c>
      <c r="O2407" t="n">
        <v>0</v>
      </c>
      <c r="P2407" t="n">
        <v>0</v>
      </c>
      <c r="Q2407" t="n">
        <v>0</v>
      </c>
      <c r="R2407" s="2" t="inlineStr"/>
    </row>
    <row r="2408" ht="15" customHeight="1">
      <c r="A2408" t="inlineStr">
        <is>
          <t>A 54399-2023</t>
        </is>
      </c>
      <c r="B2408" s="1" t="n">
        <v>45226</v>
      </c>
      <c r="C2408" s="1" t="n">
        <v>45472</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54394-2023</t>
        </is>
      </c>
      <c r="B2409" s="1" t="n">
        <v>45226</v>
      </c>
      <c r="C2409" s="1" t="n">
        <v>45472</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54411-2023</t>
        </is>
      </c>
      <c r="B2410" s="1" t="n">
        <v>45226</v>
      </c>
      <c r="C2410" s="1" t="n">
        <v>45472</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54449-2023</t>
        </is>
      </c>
      <c r="B2411" s="1" t="n">
        <v>45226</v>
      </c>
      <c r="C2411" s="1" t="n">
        <v>45472</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54469-2023</t>
        </is>
      </c>
      <c r="B2412" s="1" t="n">
        <v>45226</v>
      </c>
      <c r="C2412" s="1" t="n">
        <v>45472</v>
      </c>
      <c r="D2412" t="inlineStr">
        <is>
          <t>VÄSTERBOTTENS LÄN</t>
        </is>
      </c>
      <c r="E2412" t="inlineStr">
        <is>
          <t>SKELLEFTEÅ</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54497-2023</t>
        </is>
      </c>
      <c r="B2413" s="1" t="n">
        <v>45226</v>
      </c>
      <c r="C2413" s="1" t="n">
        <v>45472</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54499-2023</t>
        </is>
      </c>
      <c r="B2414" s="1" t="n">
        <v>45226</v>
      </c>
      <c r="C2414" s="1" t="n">
        <v>45472</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54401-2023</t>
        </is>
      </c>
      <c r="B2415" s="1" t="n">
        <v>45226</v>
      </c>
      <c r="C2415" s="1" t="n">
        <v>45472</v>
      </c>
      <c r="D2415" t="inlineStr">
        <is>
          <t>VÄSTERBOTTENS LÄN</t>
        </is>
      </c>
      <c r="E2415" t="inlineStr">
        <is>
          <t>SKELLEFTEÅ</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52993-2023</t>
        </is>
      </c>
      <c r="B2416" s="1" t="n">
        <v>45226</v>
      </c>
      <c r="C2416" s="1" t="n">
        <v>45472</v>
      </c>
      <c r="D2416" t="inlineStr">
        <is>
          <t>VÄSTERBOTTENS LÄN</t>
        </is>
      </c>
      <c r="E2416" t="inlineStr">
        <is>
          <t>SKELLEFTEÅ</t>
        </is>
      </c>
      <c r="F2416" t="inlineStr">
        <is>
          <t>Holmen skog AB</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52829-2023</t>
        </is>
      </c>
      <c r="B2417" s="1" t="n">
        <v>45226</v>
      </c>
      <c r="C2417" s="1" t="n">
        <v>45472</v>
      </c>
      <c r="D2417" t="inlineStr">
        <is>
          <t>VÄSTERBOTTENS LÄN</t>
        </is>
      </c>
      <c r="E2417" t="inlineStr">
        <is>
          <t>SKELLEFTEÅ</t>
        </is>
      </c>
      <c r="F2417" t="inlineStr">
        <is>
          <t>Sveaskog</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53028-2023</t>
        </is>
      </c>
      <c r="B2418" s="1" t="n">
        <v>45226</v>
      </c>
      <c r="C2418" s="1" t="n">
        <v>45472</v>
      </c>
      <c r="D2418" t="inlineStr">
        <is>
          <t>VÄSTERBOTTENS LÄN</t>
        </is>
      </c>
      <c r="E2418" t="inlineStr">
        <is>
          <t>SKELLEFTEÅ</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53020-2023</t>
        </is>
      </c>
      <c r="B2419" s="1" t="n">
        <v>45226</v>
      </c>
      <c r="C2419" s="1" t="n">
        <v>45472</v>
      </c>
      <c r="D2419" t="inlineStr">
        <is>
          <t>VÄSTERBOTTENS LÄN</t>
        </is>
      </c>
      <c r="E2419" t="inlineStr">
        <is>
          <t>SKELLEFTEÅ</t>
        </is>
      </c>
      <c r="F2419" t="inlineStr">
        <is>
          <t>Sveaskog</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53183-2023</t>
        </is>
      </c>
      <c r="B2420" s="1" t="n">
        <v>45229</v>
      </c>
      <c r="C2420" s="1" t="n">
        <v>45472</v>
      </c>
      <c r="D2420" t="inlineStr">
        <is>
          <t>VÄSTERBOTTENS LÄN</t>
        </is>
      </c>
      <c r="E2420" t="inlineStr">
        <is>
          <t>SKELLEFTEÅ</t>
        </is>
      </c>
      <c r="F2420" t="inlineStr">
        <is>
          <t>Sveaskog</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53311-2023</t>
        </is>
      </c>
      <c r="B2421" s="1" t="n">
        <v>45229</v>
      </c>
      <c r="C2421" s="1" t="n">
        <v>45472</v>
      </c>
      <c r="D2421" t="inlineStr">
        <is>
          <t>VÄSTERBOTTENS LÄN</t>
        </is>
      </c>
      <c r="E2421" t="inlineStr">
        <is>
          <t>SKELLEFTEÅ</t>
        </is>
      </c>
      <c r="F2421" t="inlineStr">
        <is>
          <t>Holmen skog AB</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53255-2023</t>
        </is>
      </c>
      <c r="B2422" s="1" t="n">
        <v>45229</v>
      </c>
      <c r="C2422" s="1" t="n">
        <v>45472</v>
      </c>
      <c r="D2422" t="inlineStr">
        <is>
          <t>VÄSTERBOTTENS LÄN</t>
        </is>
      </c>
      <c r="E2422" t="inlineStr">
        <is>
          <t>SKELLEFTEÅ</t>
        </is>
      </c>
      <c r="F2422" t="inlineStr">
        <is>
          <t>Sveaskog</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53426-2023</t>
        </is>
      </c>
      <c r="B2423" s="1" t="n">
        <v>45229</v>
      </c>
      <c r="C2423" s="1" t="n">
        <v>45472</v>
      </c>
      <c r="D2423" t="inlineStr">
        <is>
          <t>VÄSTERBOTTENS LÄN</t>
        </is>
      </c>
      <c r="E2423" t="inlineStr">
        <is>
          <t>SKELLEFTEÅ</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55077-2023</t>
        </is>
      </c>
      <c r="B2424" s="1" t="n">
        <v>45230</v>
      </c>
      <c r="C2424" s="1" t="n">
        <v>45472</v>
      </c>
      <c r="D2424" t="inlineStr">
        <is>
          <t>VÄSTERBOTTENS LÄN</t>
        </is>
      </c>
      <c r="E2424" t="inlineStr">
        <is>
          <t>SKELLEFTEÅ</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55081-2023</t>
        </is>
      </c>
      <c r="B2425" s="1" t="n">
        <v>45230</v>
      </c>
      <c r="C2425" s="1" t="n">
        <v>45472</v>
      </c>
      <c r="D2425" t="inlineStr">
        <is>
          <t>VÄSTERBOTTENS LÄN</t>
        </is>
      </c>
      <c r="E2425" t="inlineStr">
        <is>
          <t>SKELLEFTEÅ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55409-2023</t>
        </is>
      </c>
      <c r="B2426" s="1" t="n">
        <v>45231</v>
      </c>
      <c r="C2426" s="1" t="n">
        <v>45472</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55414-2023</t>
        </is>
      </c>
      <c r="B2427" s="1" t="n">
        <v>45231</v>
      </c>
      <c r="C2427" s="1" t="n">
        <v>45472</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55420-2023</t>
        </is>
      </c>
      <c r="B2428" s="1" t="n">
        <v>45231</v>
      </c>
      <c r="C2428" s="1" t="n">
        <v>45472</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54024-2023</t>
        </is>
      </c>
      <c r="B2429" s="1" t="n">
        <v>45231</v>
      </c>
      <c r="C2429" s="1" t="n">
        <v>45472</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55413-2023</t>
        </is>
      </c>
      <c r="B2430" s="1" t="n">
        <v>45231</v>
      </c>
      <c r="C2430" s="1" t="n">
        <v>45472</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54087-2023</t>
        </is>
      </c>
      <c r="B2431" s="1" t="n">
        <v>45232</v>
      </c>
      <c r="C2431" s="1" t="n">
        <v>45472</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54111-2023</t>
        </is>
      </c>
      <c r="B2432" s="1" t="n">
        <v>45232</v>
      </c>
      <c r="C2432" s="1" t="n">
        <v>45472</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54113-2023</t>
        </is>
      </c>
      <c r="B2433" s="1" t="n">
        <v>45232</v>
      </c>
      <c r="C2433" s="1" t="n">
        <v>45472</v>
      </c>
      <c r="D2433" t="inlineStr">
        <is>
          <t>VÄSTERBOTTENS LÄN</t>
        </is>
      </c>
      <c r="E2433" t="inlineStr">
        <is>
          <t>SKELLEFTEÅ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55783-2023</t>
        </is>
      </c>
      <c r="B2434" s="1" t="n">
        <v>45232</v>
      </c>
      <c r="C2434" s="1" t="n">
        <v>45472</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54596-2023</t>
        </is>
      </c>
      <c r="B2435" s="1" t="n">
        <v>45233</v>
      </c>
      <c r="C2435" s="1" t="n">
        <v>45472</v>
      </c>
      <c r="D2435" t="inlineStr">
        <is>
          <t>VÄSTERBOTTENS LÄN</t>
        </is>
      </c>
      <c r="E2435" t="inlineStr">
        <is>
          <t>SKELLEFTEÅ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54476-2023</t>
        </is>
      </c>
      <c r="B2436" s="1" t="n">
        <v>45233</v>
      </c>
      <c r="C2436" s="1" t="n">
        <v>45472</v>
      </c>
      <c r="D2436" t="inlineStr">
        <is>
          <t>VÄSTERBOTTENS LÄN</t>
        </is>
      </c>
      <c r="E2436" t="inlineStr">
        <is>
          <t>SKELLEFTEÅ</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54361-2023</t>
        </is>
      </c>
      <c r="B2437" s="1" t="n">
        <v>45233</v>
      </c>
      <c r="C2437" s="1" t="n">
        <v>45472</v>
      </c>
      <c r="D2437" t="inlineStr">
        <is>
          <t>VÄSTERBOTTENS LÄN</t>
        </is>
      </c>
      <c r="E2437" t="inlineStr">
        <is>
          <t>SKELLEFTEÅ</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56114-2023</t>
        </is>
      </c>
      <c r="B2438" s="1" t="n">
        <v>45235</v>
      </c>
      <c r="C2438" s="1" t="n">
        <v>45472</v>
      </c>
      <c r="D2438" t="inlineStr">
        <is>
          <t>VÄSTERBOTTENS LÄN</t>
        </is>
      </c>
      <c r="E2438" t="inlineStr">
        <is>
          <t>SKELLEFTEÅ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56111-2023</t>
        </is>
      </c>
      <c r="B2439" s="1" t="n">
        <v>45235</v>
      </c>
      <c r="C2439" s="1" t="n">
        <v>45472</v>
      </c>
      <c r="D2439" t="inlineStr">
        <is>
          <t>VÄSTERBOTTENS LÄN</t>
        </is>
      </c>
      <c r="E2439" t="inlineStr">
        <is>
          <t>SKELLEFTEÅ</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56108-2023</t>
        </is>
      </c>
      <c r="B2440" s="1" t="n">
        <v>45235</v>
      </c>
      <c r="C2440" s="1" t="n">
        <v>45472</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56104-2023</t>
        </is>
      </c>
      <c r="B2441" s="1" t="n">
        <v>45235</v>
      </c>
      <c r="C2441" s="1" t="n">
        <v>45472</v>
      </c>
      <c r="D2441" t="inlineStr">
        <is>
          <t>VÄSTERBOTTENS LÄN</t>
        </is>
      </c>
      <c r="E2441" t="inlineStr">
        <is>
          <t>SKELLEFTEÅ</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54813-2023</t>
        </is>
      </c>
      <c r="B2442" s="1" t="n">
        <v>45236</v>
      </c>
      <c r="C2442" s="1" t="n">
        <v>45472</v>
      </c>
      <c r="D2442" t="inlineStr">
        <is>
          <t>VÄSTERBOTTENS LÄN</t>
        </is>
      </c>
      <c r="E2442" t="inlineStr">
        <is>
          <t>SKELLEFTEÅ</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54821-2023</t>
        </is>
      </c>
      <c r="B2443" s="1" t="n">
        <v>45236</v>
      </c>
      <c r="C2443" s="1" t="n">
        <v>45472</v>
      </c>
      <c r="D2443" t="inlineStr">
        <is>
          <t>VÄSTERBOTTENS LÄN</t>
        </is>
      </c>
      <c r="E2443" t="inlineStr">
        <is>
          <t>SKELLEFTEÅ</t>
        </is>
      </c>
      <c r="F2443" t="inlineStr">
        <is>
          <t>Kommuner</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56185-2023</t>
        </is>
      </c>
      <c r="B2444" s="1" t="n">
        <v>45236</v>
      </c>
      <c r="C2444" s="1" t="n">
        <v>45472</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54700-2023</t>
        </is>
      </c>
      <c r="B2445" s="1" t="n">
        <v>45236</v>
      </c>
      <c r="C2445" s="1" t="n">
        <v>45472</v>
      </c>
      <c r="D2445" t="inlineStr">
        <is>
          <t>VÄSTERBOTTENS LÄN</t>
        </is>
      </c>
      <c r="E2445" t="inlineStr">
        <is>
          <t>SKELLEFTEÅ</t>
        </is>
      </c>
      <c r="F2445" t="inlineStr">
        <is>
          <t>Holmen skog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56323-2023</t>
        </is>
      </c>
      <c r="B2446" s="1" t="n">
        <v>45236</v>
      </c>
      <c r="C2446" s="1" t="n">
        <v>45472</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54811-2023</t>
        </is>
      </c>
      <c r="B2447" s="1" t="n">
        <v>45236</v>
      </c>
      <c r="C2447" s="1" t="n">
        <v>45472</v>
      </c>
      <c r="D2447" t="inlineStr">
        <is>
          <t>VÄSTERBOTTENS LÄN</t>
        </is>
      </c>
      <c r="E2447" t="inlineStr">
        <is>
          <t>SKELLEFTEÅ</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55095-2023</t>
        </is>
      </c>
      <c r="B2448" s="1" t="n">
        <v>45237</v>
      </c>
      <c r="C2448" s="1" t="n">
        <v>45472</v>
      </c>
      <c r="D2448" t="inlineStr">
        <is>
          <t>VÄSTERBOTTENS LÄN</t>
        </is>
      </c>
      <c r="E2448" t="inlineStr">
        <is>
          <t>SKELLEFTEÅ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56404-2023</t>
        </is>
      </c>
      <c r="B2449" s="1" t="n">
        <v>45237</v>
      </c>
      <c r="C2449" s="1" t="n">
        <v>45472</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55528-2023</t>
        </is>
      </c>
      <c r="B2450" s="1" t="n">
        <v>45238</v>
      </c>
      <c r="C2450" s="1" t="n">
        <v>45472</v>
      </c>
      <c r="D2450" t="inlineStr">
        <is>
          <t>VÄSTERBOTTENS LÄN</t>
        </is>
      </c>
      <c r="E2450" t="inlineStr">
        <is>
          <t>SKELLEFTEÅ</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55613-2023</t>
        </is>
      </c>
      <c r="B2451" s="1" t="n">
        <v>45238</v>
      </c>
      <c r="C2451" s="1" t="n">
        <v>45472</v>
      </c>
      <c r="D2451" t="inlineStr">
        <is>
          <t>VÄSTERBOTTENS LÄN</t>
        </is>
      </c>
      <c r="E2451" t="inlineStr">
        <is>
          <t>SKELLEFTEÅ</t>
        </is>
      </c>
      <c r="F2451" t="inlineStr">
        <is>
          <t>Sveaskog</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55532-2023</t>
        </is>
      </c>
      <c r="B2452" s="1" t="n">
        <v>45238</v>
      </c>
      <c r="C2452" s="1" t="n">
        <v>45472</v>
      </c>
      <c r="D2452" t="inlineStr">
        <is>
          <t>VÄSTERBOTTENS LÄN</t>
        </is>
      </c>
      <c r="E2452" t="inlineStr">
        <is>
          <t>SKELLEFTEÅ</t>
        </is>
      </c>
      <c r="F2452" t="inlineStr">
        <is>
          <t>Sveaskog</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56509-2023</t>
        </is>
      </c>
      <c r="B2453" s="1" t="n">
        <v>45238</v>
      </c>
      <c r="C2453" s="1" t="n">
        <v>45472</v>
      </c>
      <c r="D2453" t="inlineStr">
        <is>
          <t>VÄSTERBOTTENS LÄN</t>
        </is>
      </c>
      <c r="E2453" t="inlineStr">
        <is>
          <t>SKELLEFTEÅ</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56528-2023</t>
        </is>
      </c>
      <c r="B2454" s="1" t="n">
        <v>45238</v>
      </c>
      <c r="C2454" s="1" t="n">
        <v>45472</v>
      </c>
      <c r="D2454" t="inlineStr">
        <is>
          <t>VÄSTERBOTTENS LÄN</t>
        </is>
      </c>
      <c r="E2454" t="inlineStr">
        <is>
          <t>SKELLEFTEÅ</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55739-2023</t>
        </is>
      </c>
      <c r="B2455" s="1" t="n">
        <v>45239</v>
      </c>
      <c r="C2455" s="1" t="n">
        <v>45472</v>
      </c>
      <c r="D2455" t="inlineStr">
        <is>
          <t>VÄSTERBOTTENS LÄN</t>
        </is>
      </c>
      <c r="E2455" t="inlineStr">
        <is>
          <t>SKELLEFTEÅ</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55718-2023</t>
        </is>
      </c>
      <c r="B2456" s="1" t="n">
        <v>45239</v>
      </c>
      <c r="C2456" s="1" t="n">
        <v>45472</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55730-2023</t>
        </is>
      </c>
      <c r="B2457" s="1" t="n">
        <v>45239</v>
      </c>
      <c r="C2457" s="1" t="n">
        <v>45472</v>
      </c>
      <c r="D2457" t="inlineStr">
        <is>
          <t>VÄSTERBOTTENS LÄN</t>
        </is>
      </c>
      <c r="E2457" t="inlineStr">
        <is>
          <t>SKELLEFTEÅ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55744-2023</t>
        </is>
      </c>
      <c r="B2458" s="1" t="n">
        <v>45239</v>
      </c>
      <c r="C2458" s="1" t="n">
        <v>45472</v>
      </c>
      <c r="D2458" t="inlineStr">
        <is>
          <t>VÄSTERBOTTENS LÄN</t>
        </is>
      </c>
      <c r="E2458" t="inlineStr">
        <is>
          <t>SKELLEFTEÅ</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55873-2023</t>
        </is>
      </c>
      <c r="B2459" s="1" t="n">
        <v>45239</v>
      </c>
      <c r="C2459" s="1" t="n">
        <v>45472</v>
      </c>
      <c r="D2459" t="inlineStr">
        <is>
          <t>VÄSTERBOTTENS LÄN</t>
        </is>
      </c>
      <c r="E2459" t="inlineStr">
        <is>
          <t>SKELLEFTEÅ</t>
        </is>
      </c>
      <c r="F2459" t="inlineStr">
        <is>
          <t>Sveaskog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55750-2023</t>
        </is>
      </c>
      <c r="B2460" s="1" t="n">
        <v>45239</v>
      </c>
      <c r="C2460" s="1" t="n">
        <v>45472</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55895-2023</t>
        </is>
      </c>
      <c r="B2461" s="1" t="n">
        <v>45239</v>
      </c>
      <c r="C2461" s="1" t="n">
        <v>45472</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55907-2023</t>
        </is>
      </c>
      <c r="B2462" s="1" t="n">
        <v>45239</v>
      </c>
      <c r="C2462" s="1" t="n">
        <v>45472</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57440-2023</t>
        </is>
      </c>
      <c r="B2463" s="1" t="n">
        <v>45240</v>
      </c>
      <c r="C2463" s="1" t="n">
        <v>45472</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56265-2023</t>
        </is>
      </c>
      <c r="B2464" s="1" t="n">
        <v>45240</v>
      </c>
      <c r="C2464" s="1" t="n">
        <v>45472</v>
      </c>
      <c r="D2464" t="inlineStr">
        <is>
          <t>VÄSTERBOTTENS LÄN</t>
        </is>
      </c>
      <c r="E2464" t="inlineStr">
        <is>
          <t>SKELLEFTEÅ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56153-2023</t>
        </is>
      </c>
      <c r="B2465" s="1" t="n">
        <v>45240</v>
      </c>
      <c r="C2465" s="1" t="n">
        <v>45472</v>
      </c>
      <c r="D2465" t="inlineStr">
        <is>
          <t>VÄSTERBOTTENS LÄN</t>
        </is>
      </c>
      <c r="E2465" t="inlineStr">
        <is>
          <t>SKELLEFTEÅ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56264-2023</t>
        </is>
      </c>
      <c r="B2466" s="1" t="n">
        <v>45240</v>
      </c>
      <c r="C2466" s="1" t="n">
        <v>45472</v>
      </c>
      <c r="D2466" t="inlineStr">
        <is>
          <t>VÄSTERBOTTENS LÄN</t>
        </is>
      </c>
      <c r="E2466" t="inlineStr">
        <is>
          <t>SKELLEFTEÅ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56163-2023</t>
        </is>
      </c>
      <c r="B2467" s="1" t="n">
        <v>45240</v>
      </c>
      <c r="C2467" s="1" t="n">
        <v>45472</v>
      </c>
      <c r="D2467" t="inlineStr">
        <is>
          <t>VÄSTERBOTTENS LÄN</t>
        </is>
      </c>
      <c r="E2467" t="inlineStr">
        <is>
          <t>SKELLEFTEÅ</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57437-2023</t>
        </is>
      </c>
      <c r="B2468" s="1" t="n">
        <v>45240</v>
      </c>
      <c r="C2468" s="1" t="n">
        <v>45472</v>
      </c>
      <c r="D2468" t="inlineStr">
        <is>
          <t>VÄSTERBOTTENS LÄN</t>
        </is>
      </c>
      <c r="E2468" t="inlineStr">
        <is>
          <t>SKELLEFTEÅ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56263-2023</t>
        </is>
      </c>
      <c r="B2469" s="1" t="n">
        <v>45240</v>
      </c>
      <c r="C2469" s="1" t="n">
        <v>45472</v>
      </c>
      <c r="D2469" t="inlineStr">
        <is>
          <t>VÄSTERBOTTENS LÄN</t>
        </is>
      </c>
      <c r="E2469" t="inlineStr">
        <is>
          <t>SKELLEFTEÅ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56203-2023</t>
        </is>
      </c>
      <c r="B2470" s="1" t="n">
        <v>45240</v>
      </c>
      <c r="C2470" s="1" t="n">
        <v>45472</v>
      </c>
      <c r="D2470" t="inlineStr">
        <is>
          <t>VÄSTERBOTTENS LÄN</t>
        </is>
      </c>
      <c r="E2470" t="inlineStr">
        <is>
          <t>SKELLEFTEÅ</t>
        </is>
      </c>
      <c r="F2470" t="inlineStr">
        <is>
          <t>Holmen skog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55986-2023</t>
        </is>
      </c>
      <c r="B2471" s="1" t="n">
        <v>45240</v>
      </c>
      <c r="C2471" s="1" t="n">
        <v>45472</v>
      </c>
      <c r="D2471" t="inlineStr">
        <is>
          <t>VÄSTERBOTTENS LÄN</t>
        </is>
      </c>
      <c r="E2471" t="inlineStr">
        <is>
          <t>SKELLEFTEÅ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56143-2023</t>
        </is>
      </c>
      <c r="B2472" s="1" t="n">
        <v>45240</v>
      </c>
      <c r="C2472" s="1" t="n">
        <v>45472</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56291-2023</t>
        </is>
      </c>
      <c r="B2473" s="1" t="n">
        <v>45242</v>
      </c>
      <c r="C2473" s="1" t="n">
        <v>45472</v>
      </c>
      <c r="D2473" t="inlineStr">
        <is>
          <t>VÄSTERBOTTENS LÄN</t>
        </is>
      </c>
      <c r="E2473" t="inlineStr">
        <is>
          <t>SKELLEFTEÅ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56463-2023</t>
        </is>
      </c>
      <c r="B2474" s="1" t="n">
        <v>45243</v>
      </c>
      <c r="C2474" s="1" t="n">
        <v>45472</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56450-2023</t>
        </is>
      </c>
      <c r="B2475" s="1" t="n">
        <v>45243</v>
      </c>
      <c r="C2475" s="1" t="n">
        <v>45472</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56548-2023</t>
        </is>
      </c>
      <c r="B2476" s="1" t="n">
        <v>45243</v>
      </c>
      <c r="C2476" s="1" t="n">
        <v>45472</v>
      </c>
      <c r="D2476" t="inlineStr">
        <is>
          <t>VÄSTERBOTTENS LÄN</t>
        </is>
      </c>
      <c r="E2476" t="inlineStr">
        <is>
          <t>SKELLEFTEÅ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56653-2023</t>
        </is>
      </c>
      <c r="B2477" s="1" t="n">
        <v>45243</v>
      </c>
      <c r="C2477" s="1" t="n">
        <v>45472</v>
      </c>
      <c r="D2477" t="inlineStr">
        <is>
          <t>VÄSTERBOTTENS LÄN</t>
        </is>
      </c>
      <c r="E2477" t="inlineStr">
        <is>
          <t>SKELLEFTEÅ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57558-2023</t>
        </is>
      </c>
      <c r="B2478" s="1" t="n">
        <v>45243</v>
      </c>
      <c r="C2478" s="1" t="n">
        <v>45472</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56375-2023</t>
        </is>
      </c>
      <c r="B2479" s="1" t="n">
        <v>45243</v>
      </c>
      <c r="C2479" s="1" t="n">
        <v>45472</v>
      </c>
      <c r="D2479" t="inlineStr">
        <is>
          <t>VÄSTERBOTTENS LÄN</t>
        </is>
      </c>
      <c r="E2479" t="inlineStr">
        <is>
          <t>SKELLEFTEÅ</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56471-2023</t>
        </is>
      </c>
      <c r="B2480" s="1" t="n">
        <v>45243</v>
      </c>
      <c r="C2480" s="1" t="n">
        <v>45472</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56839-2023</t>
        </is>
      </c>
      <c r="B2481" s="1" t="n">
        <v>45244</v>
      </c>
      <c r="C2481" s="1" t="n">
        <v>45472</v>
      </c>
      <c r="D2481" t="inlineStr">
        <is>
          <t>VÄSTERBOTTENS LÄN</t>
        </is>
      </c>
      <c r="E2481" t="inlineStr">
        <is>
          <t>SKELLEFTEÅ</t>
        </is>
      </c>
      <c r="F2481" t="inlineStr">
        <is>
          <t>Holmen skog AB</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57985-2023</t>
        </is>
      </c>
      <c r="B2482" s="1" t="n">
        <v>45244</v>
      </c>
      <c r="C2482" s="1" t="n">
        <v>45472</v>
      </c>
      <c r="D2482" t="inlineStr">
        <is>
          <t>VÄSTERBOTTENS LÄN</t>
        </is>
      </c>
      <c r="E2482" t="inlineStr">
        <is>
          <t>SKELLEFTEÅ</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58012-2023</t>
        </is>
      </c>
      <c r="B2483" s="1" t="n">
        <v>45244</v>
      </c>
      <c r="C2483" s="1" t="n">
        <v>45472</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57085-2023</t>
        </is>
      </c>
      <c r="B2484" s="1" t="n">
        <v>45245</v>
      </c>
      <c r="C2484" s="1" t="n">
        <v>45472</v>
      </c>
      <c r="D2484" t="inlineStr">
        <is>
          <t>VÄSTERBOTTENS LÄN</t>
        </is>
      </c>
      <c r="E2484" t="inlineStr">
        <is>
          <t>SKELLEFTEÅ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57191-2023</t>
        </is>
      </c>
      <c r="B2485" s="1" t="n">
        <v>45245</v>
      </c>
      <c r="C2485" s="1" t="n">
        <v>45472</v>
      </c>
      <c r="D2485" t="inlineStr">
        <is>
          <t>VÄSTERBOTTENS LÄN</t>
        </is>
      </c>
      <c r="E2485" t="inlineStr">
        <is>
          <t>SKELLEFTEÅ</t>
        </is>
      </c>
      <c r="F2485" t="inlineStr">
        <is>
          <t>Sveaskog</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57453-2023</t>
        </is>
      </c>
      <c r="B2486" s="1" t="n">
        <v>45246</v>
      </c>
      <c r="C2486" s="1" t="n">
        <v>45472</v>
      </c>
      <c r="D2486" t="inlineStr">
        <is>
          <t>VÄSTERBOTTENS LÄN</t>
        </is>
      </c>
      <c r="E2486" t="inlineStr">
        <is>
          <t>SKELLEFTEÅ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58581-2023</t>
        </is>
      </c>
      <c r="B2487" s="1" t="n">
        <v>45246</v>
      </c>
      <c r="C2487" s="1" t="n">
        <v>45472</v>
      </c>
      <c r="D2487" t="inlineStr">
        <is>
          <t>VÄSTERBOTTENS LÄN</t>
        </is>
      </c>
      <c r="E2487" t="inlineStr">
        <is>
          <t>SKELLEFTEÅ</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57838-2023</t>
        </is>
      </c>
      <c r="B2488" s="1" t="n">
        <v>45247</v>
      </c>
      <c r="C2488" s="1" t="n">
        <v>45472</v>
      </c>
      <c r="D2488" t="inlineStr">
        <is>
          <t>VÄSTERBOTTENS LÄN</t>
        </is>
      </c>
      <c r="E2488" t="inlineStr">
        <is>
          <t>SKELLEFTEÅ</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58043-2023</t>
        </is>
      </c>
      <c r="B2489" s="1" t="n">
        <v>45247</v>
      </c>
      <c r="C2489" s="1" t="n">
        <v>45472</v>
      </c>
      <c r="D2489" t="inlineStr">
        <is>
          <t>VÄSTERBOTTENS LÄN</t>
        </is>
      </c>
      <c r="E2489" t="inlineStr">
        <is>
          <t>SKELLEFTEÅ</t>
        </is>
      </c>
      <c r="F2489" t="inlineStr">
        <is>
          <t>Sveaskog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58058-2023</t>
        </is>
      </c>
      <c r="B2490" s="1" t="n">
        <v>45247</v>
      </c>
      <c r="C2490" s="1" t="n">
        <v>45472</v>
      </c>
      <c r="D2490" t="inlineStr">
        <is>
          <t>VÄSTERBOTTENS LÄN</t>
        </is>
      </c>
      <c r="E2490" t="inlineStr">
        <is>
          <t>SKELLEFTEÅ</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58069-2023</t>
        </is>
      </c>
      <c r="B2491" s="1" t="n">
        <v>45247</v>
      </c>
      <c r="C2491" s="1" t="n">
        <v>45472</v>
      </c>
      <c r="D2491" t="inlineStr">
        <is>
          <t>VÄSTERBOTTENS LÄN</t>
        </is>
      </c>
      <c r="E2491" t="inlineStr">
        <is>
          <t>SKELLEFTEÅ</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58059-2023</t>
        </is>
      </c>
      <c r="B2492" s="1" t="n">
        <v>45247</v>
      </c>
      <c r="C2492" s="1" t="n">
        <v>45472</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58072-2023</t>
        </is>
      </c>
      <c r="B2493" s="1" t="n">
        <v>45247</v>
      </c>
      <c r="C2493" s="1" t="n">
        <v>45472</v>
      </c>
      <c r="D2493" t="inlineStr">
        <is>
          <t>VÄSTERBOTTENS LÄN</t>
        </is>
      </c>
      <c r="E2493" t="inlineStr">
        <is>
          <t>SKELLEFTEÅ</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58680-2023</t>
        </is>
      </c>
      <c r="B2494" s="1" t="n">
        <v>45247</v>
      </c>
      <c r="C2494" s="1" t="n">
        <v>45472</v>
      </c>
      <c r="D2494" t="inlineStr">
        <is>
          <t>VÄSTERBOTTENS LÄN</t>
        </is>
      </c>
      <c r="E2494" t="inlineStr">
        <is>
          <t>SKELLEFTEÅ</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58701-2023</t>
        </is>
      </c>
      <c r="B2495" s="1" t="n">
        <v>45247</v>
      </c>
      <c r="C2495" s="1" t="n">
        <v>45472</v>
      </c>
      <c r="D2495" t="inlineStr">
        <is>
          <t>VÄSTERBOTTENS LÄN</t>
        </is>
      </c>
      <c r="E2495" t="inlineStr">
        <is>
          <t>SKELLEFTEÅ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58821-2023</t>
        </is>
      </c>
      <c r="B2496" s="1" t="n">
        <v>45247</v>
      </c>
      <c r="C2496" s="1" t="n">
        <v>45472</v>
      </c>
      <c r="D2496" t="inlineStr">
        <is>
          <t>VÄSTERBOTTENS LÄN</t>
        </is>
      </c>
      <c r="E2496" t="inlineStr">
        <is>
          <t>SKELLEFTEÅ</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58060-2023</t>
        </is>
      </c>
      <c r="B2497" s="1" t="n">
        <v>45247</v>
      </c>
      <c r="C2497" s="1" t="n">
        <v>45472</v>
      </c>
      <c r="D2497" t="inlineStr">
        <is>
          <t>VÄSTERBOTTENS LÄN</t>
        </is>
      </c>
      <c r="E2497" t="inlineStr">
        <is>
          <t>SKELLEFTEÅ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58008-2023</t>
        </is>
      </c>
      <c r="B2498" s="1" t="n">
        <v>45247</v>
      </c>
      <c r="C2498" s="1" t="n">
        <v>45472</v>
      </c>
      <c r="D2498" t="inlineStr">
        <is>
          <t>VÄSTERBOTTENS LÄN</t>
        </is>
      </c>
      <c r="E2498" t="inlineStr">
        <is>
          <t>SKELLEFTEÅ</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57958-2023</t>
        </is>
      </c>
      <c r="B2499" s="1" t="n">
        <v>45247</v>
      </c>
      <c r="C2499" s="1" t="n">
        <v>45472</v>
      </c>
      <c r="D2499" t="inlineStr">
        <is>
          <t>VÄSTERBOTTENS LÄN</t>
        </is>
      </c>
      <c r="E2499" t="inlineStr">
        <is>
          <t>SKELLEFTEÅ</t>
        </is>
      </c>
      <c r="F2499" t="inlineStr">
        <is>
          <t>Holmen skog AB</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57926-2023</t>
        </is>
      </c>
      <c r="B2500" s="1" t="n">
        <v>45247</v>
      </c>
      <c r="C2500" s="1" t="n">
        <v>45472</v>
      </c>
      <c r="D2500" t="inlineStr">
        <is>
          <t>VÄSTERBOTTENS LÄN</t>
        </is>
      </c>
      <c r="E2500" t="inlineStr">
        <is>
          <t>SKELLEFTEÅ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58117-2023</t>
        </is>
      </c>
      <c r="B2501" s="1" t="n">
        <v>45249</v>
      </c>
      <c r="C2501" s="1" t="n">
        <v>45472</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58194-2023</t>
        </is>
      </c>
      <c r="B2502" s="1" t="n">
        <v>45250</v>
      </c>
      <c r="C2502" s="1" t="n">
        <v>45472</v>
      </c>
      <c r="D2502" t="inlineStr">
        <is>
          <t>VÄSTERBOTTENS LÄN</t>
        </is>
      </c>
      <c r="E2502" t="inlineStr">
        <is>
          <t>SKELLEFTEÅ</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58940-2023</t>
        </is>
      </c>
      <c r="B2503" s="1" t="n">
        <v>45250</v>
      </c>
      <c r="C2503" s="1" t="n">
        <v>45472</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58503-2023</t>
        </is>
      </c>
      <c r="B2504" s="1" t="n">
        <v>45251</v>
      </c>
      <c r="C2504" s="1" t="n">
        <v>45472</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58517-2023</t>
        </is>
      </c>
      <c r="B2505" s="1" t="n">
        <v>45251</v>
      </c>
      <c r="C2505" s="1" t="n">
        <v>45472</v>
      </c>
      <c r="D2505" t="inlineStr">
        <is>
          <t>VÄSTERBOTTENS LÄN</t>
        </is>
      </c>
      <c r="E2505" t="inlineStr">
        <is>
          <t>SKELLEFTEÅ</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58525-2023</t>
        </is>
      </c>
      <c r="B2506" s="1" t="n">
        <v>45251</v>
      </c>
      <c r="C2506" s="1" t="n">
        <v>45472</v>
      </c>
      <c r="D2506" t="inlineStr">
        <is>
          <t>VÄSTERBOTTENS LÄN</t>
        </is>
      </c>
      <c r="E2506" t="inlineStr">
        <is>
          <t>SKELLEFTEÅ</t>
        </is>
      </c>
      <c r="F2506" t="inlineStr">
        <is>
          <t>Holmen skog AB</t>
        </is>
      </c>
      <c r="G2506" t="n">
        <v>19.1</v>
      </c>
      <c r="H2506" t="n">
        <v>0</v>
      </c>
      <c r="I2506" t="n">
        <v>0</v>
      </c>
      <c r="J2506" t="n">
        <v>0</v>
      </c>
      <c r="K2506" t="n">
        <v>0</v>
      </c>
      <c r="L2506" t="n">
        <v>0</v>
      </c>
      <c r="M2506" t="n">
        <v>0</v>
      </c>
      <c r="N2506" t="n">
        <v>0</v>
      </c>
      <c r="O2506" t="n">
        <v>0</v>
      </c>
      <c r="P2506" t="n">
        <v>0</v>
      </c>
      <c r="Q2506" t="n">
        <v>0</v>
      </c>
      <c r="R2506" s="2" t="inlineStr"/>
    </row>
    <row r="2507" ht="15" customHeight="1">
      <c r="A2507" t="inlineStr">
        <is>
          <t>A 58546-2023</t>
        </is>
      </c>
      <c r="B2507" s="1" t="n">
        <v>45251</v>
      </c>
      <c r="C2507" s="1" t="n">
        <v>45472</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58560-2023</t>
        </is>
      </c>
      <c r="B2508" s="1" t="n">
        <v>45251</v>
      </c>
      <c r="C2508" s="1" t="n">
        <v>45472</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58566-2023</t>
        </is>
      </c>
      <c r="B2509" s="1" t="n">
        <v>45251</v>
      </c>
      <c r="C2509" s="1" t="n">
        <v>45472</v>
      </c>
      <c r="D2509" t="inlineStr">
        <is>
          <t>VÄSTERBOTTENS LÄN</t>
        </is>
      </c>
      <c r="E2509" t="inlineStr">
        <is>
          <t>SKELLEFTEÅ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58555-2023</t>
        </is>
      </c>
      <c r="B2510" s="1" t="n">
        <v>45251</v>
      </c>
      <c r="C2510" s="1" t="n">
        <v>45472</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58575-2023</t>
        </is>
      </c>
      <c r="B2511" s="1" t="n">
        <v>45251</v>
      </c>
      <c r="C2511" s="1" t="n">
        <v>45472</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58750-2023</t>
        </is>
      </c>
      <c r="B2512" s="1" t="n">
        <v>45251</v>
      </c>
      <c r="C2512" s="1" t="n">
        <v>45472</v>
      </c>
      <c r="D2512" t="inlineStr">
        <is>
          <t>VÄSTERBOTTENS LÄN</t>
        </is>
      </c>
      <c r="E2512" t="inlineStr">
        <is>
          <t>SKELLEFTEÅ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58754-2023</t>
        </is>
      </c>
      <c r="B2513" s="1" t="n">
        <v>45251</v>
      </c>
      <c r="C2513" s="1" t="n">
        <v>45472</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58752-2023</t>
        </is>
      </c>
      <c r="B2514" s="1" t="n">
        <v>45251</v>
      </c>
      <c r="C2514" s="1" t="n">
        <v>45472</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58672-2023</t>
        </is>
      </c>
      <c r="B2515" s="1" t="n">
        <v>45251</v>
      </c>
      <c r="C2515" s="1" t="n">
        <v>45472</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58751-2023</t>
        </is>
      </c>
      <c r="B2516" s="1" t="n">
        <v>45251</v>
      </c>
      <c r="C2516" s="1" t="n">
        <v>45472</v>
      </c>
      <c r="D2516" t="inlineStr">
        <is>
          <t>VÄSTERBOTTENS LÄN</t>
        </is>
      </c>
      <c r="E2516" t="inlineStr">
        <is>
          <t>SKELLEFTEÅ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58755-2023</t>
        </is>
      </c>
      <c r="B2517" s="1" t="n">
        <v>45251</v>
      </c>
      <c r="C2517" s="1" t="n">
        <v>45472</v>
      </c>
      <c r="D2517" t="inlineStr">
        <is>
          <t>VÄSTERBOTTENS LÄN</t>
        </is>
      </c>
      <c r="E2517" t="inlineStr">
        <is>
          <t>SKELLEFTEÅ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59127-2023</t>
        </is>
      </c>
      <c r="B2518" s="1" t="n">
        <v>45251</v>
      </c>
      <c r="C2518" s="1" t="n">
        <v>45472</v>
      </c>
      <c r="D2518" t="inlineStr">
        <is>
          <t>VÄSTERBOTTENS LÄN</t>
        </is>
      </c>
      <c r="E2518" t="inlineStr">
        <is>
          <t>SKELLEFTEÅ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59165-2023</t>
        </is>
      </c>
      <c r="B2519" s="1" t="n">
        <v>45251</v>
      </c>
      <c r="C2519" s="1" t="n">
        <v>45472</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58838-2023</t>
        </is>
      </c>
      <c r="B2520" s="1" t="n">
        <v>45252</v>
      </c>
      <c r="C2520" s="1" t="n">
        <v>45472</v>
      </c>
      <c r="D2520" t="inlineStr">
        <is>
          <t>VÄSTERBOTTENS LÄN</t>
        </is>
      </c>
      <c r="E2520" t="inlineStr">
        <is>
          <t>SKELLEFTEÅ</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59242-2023</t>
        </is>
      </c>
      <c r="B2521" s="1" t="n">
        <v>45252</v>
      </c>
      <c r="C2521" s="1" t="n">
        <v>45472</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59245-2023</t>
        </is>
      </c>
      <c r="B2522" s="1" t="n">
        <v>45252</v>
      </c>
      <c r="C2522" s="1" t="n">
        <v>45472</v>
      </c>
      <c r="D2522" t="inlineStr">
        <is>
          <t>VÄSTERBOTTENS LÄN</t>
        </is>
      </c>
      <c r="E2522" t="inlineStr">
        <is>
          <t>SKELLEFTEÅ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59404-2023</t>
        </is>
      </c>
      <c r="B2523" s="1" t="n">
        <v>45253</v>
      </c>
      <c r="C2523" s="1" t="n">
        <v>45472</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59648-2023</t>
        </is>
      </c>
      <c r="B2524" s="1" t="n">
        <v>45253</v>
      </c>
      <c r="C2524" s="1" t="n">
        <v>45472</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59406-2023</t>
        </is>
      </c>
      <c r="B2525" s="1" t="n">
        <v>45253</v>
      </c>
      <c r="C2525" s="1" t="n">
        <v>45472</v>
      </c>
      <c r="D2525" t="inlineStr">
        <is>
          <t>VÄSTERBOTTENS LÄN</t>
        </is>
      </c>
      <c r="E2525" t="inlineStr">
        <is>
          <t>SKELLEFTEÅ</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59405-2023</t>
        </is>
      </c>
      <c r="B2526" s="1" t="n">
        <v>45253</v>
      </c>
      <c r="C2526" s="1" t="n">
        <v>45472</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59647-2023</t>
        </is>
      </c>
      <c r="B2527" s="1" t="n">
        <v>45253</v>
      </c>
      <c r="C2527" s="1" t="n">
        <v>45472</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59653-2023</t>
        </is>
      </c>
      <c r="B2528" s="1" t="n">
        <v>45254</v>
      </c>
      <c r="C2528" s="1" t="n">
        <v>45472</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59945-2023</t>
        </is>
      </c>
      <c r="B2529" s="1" t="n">
        <v>45254</v>
      </c>
      <c r="C2529" s="1" t="n">
        <v>45472</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59793-2023</t>
        </is>
      </c>
      <c r="B2530" s="1" t="n">
        <v>45257</v>
      </c>
      <c r="C2530" s="1" t="n">
        <v>45472</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59791-2023</t>
        </is>
      </c>
      <c r="B2531" s="1" t="n">
        <v>45257</v>
      </c>
      <c r="C2531" s="1" t="n">
        <v>45472</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59919-2023</t>
        </is>
      </c>
      <c r="B2532" s="1" t="n">
        <v>45257</v>
      </c>
      <c r="C2532" s="1" t="n">
        <v>45472</v>
      </c>
      <c r="D2532" t="inlineStr">
        <is>
          <t>VÄSTERBOTTENS LÄN</t>
        </is>
      </c>
      <c r="E2532" t="inlineStr">
        <is>
          <t>SKELLEFTEÅ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59907-2023</t>
        </is>
      </c>
      <c r="B2533" s="1" t="n">
        <v>45257</v>
      </c>
      <c r="C2533" s="1" t="n">
        <v>45472</v>
      </c>
      <c r="D2533" t="inlineStr">
        <is>
          <t>VÄSTERBOTTENS LÄN</t>
        </is>
      </c>
      <c r="E2533" t="inlineStr">
        <is>
          <t>SKELLEFTEÅ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59788-2023</t>
        </is>
      </c>
      <c r="B2534" s="1" t="n">
        <v>45257</v>
      </c>
      <c r="C2534" s="1" t="n">
        <v>45472</v>
      </c>
      <c r="D2534" t="inlineStr">
        <is>
          <t>VÄSTERBOTTENS LÄN</t>
        </is>
      </c>
      <c r="E2534" t="inlineStr">
        <is>
          <t>SKELLEFTEÅ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60109-2023</t>
        </is>
      </c>
      <c r="B2535" s="1" t="n">
        <v>45257</v>
      </c>
      <c r="C2535" s="1" t="n">
        <v>45472</v>
      </c>
      <c r="D2535" t="inlineStr">
        <is>
          <t>VÄSTERBOTTENS LÄN</t>
        </is>
      </c>
      <c r="E2535" t="inlineStr">
        <is>
          <t>SKELLEFTEÅ</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59798-2023</t>
        </is>
      </c>
      <c r="B2536" s="1" t="n">
        <v>45257</v>
      </c>
      <c r="C2536" s="1" t="n">
        <v>45472</v>
      </c>
      <c r="D2536" t="inlineStr">
        <is>
          <t>VÄSTERBOTTENS LÄN</t>
        </is>
      </c>
      <c r="E2536" t="inlineStr">
        <is>
          <t>SKELLEFTEÅ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60130-2023</t>
        </is>
      </c>
      <c r="B2537" s="1" t="n">
        <v>45257</v>
      </c>
      <c r="C2537" s="1" t="n">
        <v>45472</v>
      </c>
      <c r="D2537" t="inlineStr">
        <is>
          <t>VÄSTERBOTTENS LÄN</t>
        </is>
      </c>
      <c r="E2537" t="inlineStr">
        <is>
          <t>SKELLEFTEÅ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60305-2023</t>
        </is>
      </c>
      <c r="B2538" s="1" t="n">
        <v>45258</v>
      </c>
      <c r="C2538" s="1" t="n">
        <v>45472</v>
      </c>
      <c r="D2538" t="inlineStr">
        <is>
          <t>VÄSTERBOTTENS LÄN</t>
        </is>
      </c>
      <c r="E2538" t="inlineStr">
        <is>
          <t>SKELLEFTEÅ</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60451-2023</t>
        </is>
      </c>
      <c r="B2539" s="1" t="n">
        <v>45258</v>
      </c>
      <c r="C2539" s="1" t="n">
        <v>45472</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60479-2023</t>
        </is>
      </c>
      <c r="B2540" s="1" t="n">
        <v>45258</v>
      </c>
      <c r="C2540" s="1" t="n">
        <v>45472</v>
      </c>
      <c r="D2540" t="inlineStr">
        <is>
          <t>VÄSTERBOTTENS LÄN</t>
        </is>
      </c>
      <c r="E2540" t="inlineStr">
        <is>
          <t>SKELLEFTEÅ</t>
        </is>
      </c>
      <c r="G2540" t="n">
        <v>21.5</v>
      </c>
      <c r="H2540" t="n">
        <v>0</v>
      </c>
      <c r="I2540" t="n">
        <v>0</v>
      </c>
      <c r="J2540" t="n">
        <v>0</v>
      </c>
      <c r="K2540" t="n">
        <v>0</v>
      </c>
      <c r="L2540" t="n">
        <v>0</v>
      </c>
      <c r="M2540" t="n">
        <v>0</v>
      </c>
      <c r="N2540" t="n">
        <v>0</v>
      </c>
      <c r="O2540" t="n">
        <v>0</v>
      </c>
      <c r="P2540" t="n">
        <v>0</v>
      </c>
      <c r="Q2540" t="n">
        <v>0</v>
      </c>
      <c r="R2540" s="2" t="inlineStr"/>
    </row>
    <row r="2541" ht="15" customHeight="1">
      <c r="A2541" t="inlineStr">
        <is>
          <t>A 60412-2023</t>
        </is>
      </c>
      <c r="B2541" s="1" t="n">
        <v>45258</v>
      </c>
      <c r="C2541" s="1" t="n">
        <v>45472</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60339-2023</t>
        </is>
      </c>
      <c r="B2542" s="1" t="n">
        <v>45259</v>
      </c>
      <c r="C2542" s="1" t="n">
        <v>45472</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60569-2023</t>
        </is>
      </c>
      <c r="B2543" s="1" t="n">
        <v>45259</v>
      </c>
      <c r="C2543" s="1" t="n">
        <v>45472</v>
      </c>
      <c r="D2543" t="inlineStr">
        <is>
          <t>VÄSTERBOTTENS LÄN</t>
        </is>
      </c>
      <c r="E2543" t="inlineStr">
        <is>
          <t>SKELLEFTEÅ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61064-2023</t>
        </is>
      </c>
      <c r="B2544" s="1" t="n">
        <v>45259</v>
      </c>
      <c r="C2544" s="1" t="n">
        <v>45472</v>
      </c>
      <c r="D2544" t="inlineStr">
        <is>
          <t>VÄSTERBOTTENS LÄN</t>
        </is>
      </c>
      <c r="E2544" t="inlineStr">
        <is>
          <t>SKELLEFTEÅ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61069-2023</t>
        </is>
      </c>
      <c r="B2545" s="1" t="n">
        <v>45259</v>
      </c>
      <c r="C2545" s="1" t="n">
        <v>45472</v>
      </c>
      <c r="D2545" t="inlineStr">
        <is>
          <t>VÄSTERBOTTENS LÄN</t>
        </is>
      </c>
      <c r="E2545" t="inlineStr">
        <is>
          <t>SKELLEFTEÅ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61049-2023</t>
        </is>
      </c>
      <c r="B2546" s="1" t="n">
        <v>45259</v>
      </c>
      <c r="C2546" s="1" t="n">
        <v>45472</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60614-2023</t>
        </is>
      </c>
      <c r="B2547" s="1" t="n">
        <v>45260</v>
      </c>
      <c r="C2547" s="1" t="n">
        <v>45472</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60612-2023</t>
        </is>
      </c>
      <c r="B2548" s="1" t="n">
        <v>45260</v>
      </c>
      <c r="C2548" s="1" t="n">
        <v>45472</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60785-2023</t>
        </is>
      </c>
      <c r="B2549" s="1" t="n">
        <v>45260</v>
      </c>
      <c r="C2549" s="1" t="n">
        <v>45472</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60601-2023</t>
        </is>
      </c>
      <c r="B2550" s="1" t="n">
        <v>45260</v>
      </c>
      <c r="C2550" s="1" t="n">
        <v>45472</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61089-2023</t>
        </is>
      </c>
      <c r="B2551" s="1" t="n">
        <v>45260</v>
      </c>
      <c r="C2551" s="1" t="n">
        <v>45472</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61239-2023</t>
        </is>
      </c>
      <c r="B2552" s="1" t="n">
        <v>45260</v>
      </c>
      <c r="C2552" s="1" t="n">
        <v>45472</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61087-2023</t>
        </is>
      </c>
      <c r="B2553" s="1" t="n">
        <v>45260</v>
      </c>
      <c r="C2553" s="1" t="n">
        <v>45472</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60896-2023</t>
        </is>
      </c>
      <c r="B2554" s="1" t="n">
        <v>45261</v>
      </c>
      <c r="C2554" s="1" t="n">
        <v>45472</v>
      </c>
      <c r="D2554" t="inlineStr">
        <is>
          <t>VÄSTERBOTTENS LÄN</t>
        </is>
      </c>
      <c r="E2554" t="inlineStr">
        <is>
          <t>SKELLEFTEÅ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61033-2023</t>
        </is>
      </c>
      <c r="B2555" s="1" t="n">
        <v>45261</v>
      </c>
      <c r="C2555" s="1" t="n">
        <v>45472</v>
      </c>
      <c r="D2555" t="inlineStr">
        <is>
          <t>VÄSTERBOTTENS LÄN</t>
        </is>
      </c>
      <c r="E2555" t="inlineStr">
        <is>
          <t>SKELLEFTEÅ</t>
        </is>
      </c>
      <c r="F2555" t="inlineStr">
        <is>
          <t>Sveaskog</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60898-2023</t>
        </is>
      </c>
      <c r="B2556" s="1" t="n">
        <v>45261</v>
      </c>
      <c r="C2556" s="1" t="n">
        <v>45472</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61130-2023</t>
        </is>
      </c>
      <c r="B2557" s="1" t="n">
        <v>45261</v>
      </c>
      <c r="C2557" s="1" t="n">
        <v>45472</v>
      </c>
      <c r="D2557" t="inlineStr">
        <is>
          <t>VÄSTERBOTTENS LÄN</t>
        </is>
      </c>
      <c r="E2557" t="inlineStr">
        <is>
          <t>SKELLEFTEÅ</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61147-2023</t>
        </is>
      </c>
      <c r="B2558" s="1" t="n">
        <v>45262</v>
      </c>
      <c r="C2558" s="1" t="n">
        <v>45472</v>
      </c>
      <c r="D2558" t="inlineStr">
        <is>
          <t>VÄSTERBOTTENS LÄN</t>
        </is>
      </c>
      <c r="E2558" t="inlineStr">
        <is>
          <t>SKELLEFTEÅ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61145-2023</t>
        </is>
      </c>
      <c r="B2559" s="1" t="n">
        <v>45262</v>
      </c>
      <c r="C2559" s="1" t="n">
        <v>45472</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61146-2023</t>
        </is>
      </c>
      <c r="B2560" s="1" t="n">
        <v>45262</v>
      </c>
      <c r="C2560" s="1" t="n">
        <v>45472</v>
      </c>
      <c r="D2560" t="inlineStr">
        <is>
          <t>VÄSTERBOTTENS LÄN</t>
        </is>
      </c>
      <c r="E2560" t="inlineStr">
        <is>
          <t>SKELLEFTEÅ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61292-2023</t>
        </is>
      </c>
      <c r="B2561" s="1" t="n">
        <v>45264</v>
      </c>
      <c r="C2561" s="1" t="n">
        <v>45472</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61186-2023</t>
        </is>
      </c>
      <c r="B2562" s="1" t="n">
        <v>45264</v>
      </c>
      <c r="C2562" s="1" t="n">
        <v>45472</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61242-2023</t>
        </is>
      </c>
      <c r="B2563" s="1" t="n">
        <v>45264</v>
      </c>
      <c r="C2563" s="1" t="n">
        <v>45472</v>
      </c>
      <c r="D2563" t="inlineStr">
        <is>
          <t>VÄSTERBOTTENS LÄN</t>
        </is>
      </c>
      <c r="E2563" t="inlineStr">
        <is>
          <t>SKELLEFTEÅ</t>
        </is>
      </c>
      <c r="F2563" t="inlineStr">
        <is>
          <t>Holmen skog AB</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61188-2023</t>
        </is>
      </c>
      <c r="B2564" s="1" t="n">
        <v>45264</v>
      </c>
      <c r="C2564" s="1" t="n">
        <v>45472</v>
      </c>
      <c r="D2564" t="inlineStr">
        <is>
          <t>VÄSTERBOTTENS LÄN</t>
        </is>
      </c>
      <c r="E2564" t="inlineStr">
        <is>
          <t>SKELLEFTEÅ</t>
        </is>
      </c>
      <c r="F2564" t="inlineStr">
        <is>
          <t>Sveaskog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61457-2023</t>
        </is>
      </c>
      <c r="B2565" s="1" t="n">
        <v>45264</v>
      </c>
      <c r="C2565" s="1" t="n">
        <v>45472</v>
      </c>
      <c r="D2565" t="inlineStr">
        <is>
          <t>VÄSTERBOTTENS LÄN</t>
        </is>
      </c>
      <c r="E2565" t="inlineStr">
        <is>
          <t>SKELLEFTEÅ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61733-2023</t>
        </is>
      </c>
      <c r="B2566" s="1" t="n">
        <v>45264</v>
      </c>
      <c r="C2566" s="1" t="n">
        <v>45472</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61730-2023</t>
        </is>
      </c>
      <c r="B2567" s="1" t="n">
        <v>45264</v>
      </c>
      <c r="C2567" s="1" t="n">
        <v>45472</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61723-2023</t>
        </is>
      </c>
      <c r="B2568" s="1" t="n">
        <v>45264</v>
      </c>
      <c r="C2568" s="1" t="n">
        <v>45472</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61808-2023</t>
        </is>
      </c>
      <c r="B2569" s="1" t="n">
        <v>45264</v>
      </c>
      <c r="C2569" s="1" t="n">
        <v>45472</v>
      </c>
      <c r="D2569" t="inlineStr">
        <is>
          <t>VÄSTERBOTTENS LÄN</t>
        </is>
      </c>
      <c r="E2569" t="inlineStr">
        <is>
          <t>SKELLEFTEÅ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61928-2023</t>
        </is>
      </c>
      <c r="B2570" s="1" t="n">
        <v>45265</v>
      </c>
      <c r="C2570" s="1" t="n">
        <v>45472</v>
      </c>
      <c r="D2570" t="inlineStr">
        <is>
          <t>VÄSTERBOTTENS LÄN</t>
        </is>
      </c>
      <c r="E2570" t="inlineStr">
        <is>
          <t>SKELLEFTEÅ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61927-2023</t>
        </is>
      </c>
      <c r="B2571" s="1" t="n">
        <v>45265</v>
      </c>
      <c r="C2571" s="1" t="n">
        <v>45472</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62300-2023</t>
        </is>
      </c>
      <c r="B2572" s="1" t="n">
        <v>45266</v>
      </c>
      <c r="C2572" s="1" t="n">
        <v>45472</v>
      </c>
      <c r="D2572" t="inlineStr">
        <is>
          <t>VÄSTERBOTTENS LÄN</t>
        </is>
      </c>
      <c r="E2572" t="inlineStr">
        <is>
          <t>SKELLEFTEÅ</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62141-2023</t>
        </is>
      </c>
      <c r="B2573" s="1" t="n">
        <v>45267</v>
      </c>
      <c r="C2573" s="1" t="n">
        <v>45472</v>
      </c>
      <c r="D2573" t="inlineStr">
        <is>
          <t>VÄSTERBOTTENS LÄN</t>
        </is>
      </c>
      <c r="E2573" t="inlineStr">
        <is>
          <t>SKELLEFTEÅ</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62191-2023</t>
        </is>
      </c>
      <c r="B2574" s="1" t="n">
        <v>45267</v>
      </c>
      <c r="C2574" s="1" t="n">
        <v>45472</v>
      </c>
      <c r="D2574" t="inlineStr">
        <is>
          <t>VÄSTERBOTTENS LÄN</t>
        </is>
      </c>
      <c r="E2574" t="inlineStr">
        <is>
          <t>SKELLEFTEÅ</t>
        </is>
      </c>
      <c r="G2574" t="n">
        <v>14.5</v>
      </c>
      <c r="H2574" t="n">
        <v>0</v>
      </c>
      <c r="I2574" t="n">
        <v>0</v>
      </c>
      <c r="J2574" t="n">
        <v>0</v>
      </c>
      <c r="K2574" t="n">
        <v>0</v>
      </c>
      <c r="L2574" t="n">
        <v>0</v>
      </c>
      <c r="M2574" t="n">
        <v>0</v>
      </c>
      <c r="N2574" t="n">
        <v>0</v>
      </c>
      <c r="O2574" t="n">
        <v>0</v>
      </c>
      <c r="P2574" t="n">
        <v>0</v>
      </c>
      <c r="Q2574" t="n">
        <v>0</v>
      </c>
      <c r="R2574" s="2" t="inlineStr"/>
    </row>
    <row r="2575" ht="15" customHeight="1">
      <c r="A2575" t="inlineStr">
        <is>
          <t>A 62345-2023</t>
        </is>
      </c>
      <c r="B2575" s="1" t="n">
        <v>45267</v>
      </c>
      <c r="C2575" s="1" t="n">
        <v>45472</v>
      </c>
      <c r="D2575" t="inlineStr">
        <is>
          <t>VÄSTERBOTTENS LÄN</t>
        </is>
      </c>
      <c r="E2575" t="inlineStr">
        <is>
          <t>SKELLEFTEÅ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62336-2023</t>
        </is>
      </c>
      <c r="B2576" s="1" t="n">
        <v>45267</v>
      </c>
      <c r="C2576" s="1" t="n">
        <v>45472</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62344-2023</t>
        </is>
      </c>
      <c r="B2577" s="1" t="n">
        <v>45267</v>
      </c>
      <c r="C2577" s="1" t="n">
        <v>45472</v>
      </c>
      <c r="D2577" t="inlineStr">
        <is>
          <t>VÄSTERBOTTENS LÄN</t>
        </is>
      </c>
      <c r="E2577" t="inlineStr">
        <is>
          <t>SKELLEFTEÅ</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62347-2023</t>
        </is>
      </c>
      <c r="B2578" s="1" t="n">
        <v>45267</v>
      </c>
      <c r="C2578" s="1" t="n">
        <v>45472</v>
      </c>
      <c r="D2578" t="inlineStr">
        <is>
          <t>VÄSTERBOTTENS LÄN</t>
        </is>
      </c>
      <c r="E2578" t="inlineStr">
        <is>
          <t>SKELLEFTEÅ</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62599-2023</t>
        </is>
      </c>
      <c r="B2579" s="1" t="n">
        <v>45267</v>
      </c>
      <c r="C2579" s="1" t="n">
        <v>45472</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62601-2023</t>
        </is>
      </c>
      <c r="B2580" s="1" t="n">
        <v>45267</v>
      </c>
      <c r="C2580" s="1" t="n">
        <v>45472</v>
      </c>
      <c r="D2580" t="inlineStr">
        <is>
          <t>VÄSTERBOTTENS LÄN</t>
        </is>
      </c>
      <c r="E2580" t="inlineStr">
        <is>
          <t>SKELLEFTEÅ</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62547-2023</t>
        </is>
      </c>
      <c r="B2581" s="1" t="n">
        <v>45268</v>
      </c>
      <c r="C2581" s="1" t="n">
        <v>45472</v>
      </c>
      <c r="D2581" t="inlineStr">
        <is>
          <t>VÄSTERBOTTENS LÄN</t>
        </is>
      </c>
      <c r="E2581" t="inlineStr">
        <is>
          <t>SKELLEFTEÅ</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62504-2023</t>
        </is>
      </c>
      <c r="B2582" s="1" t="n">
        <v>45268</v>
      </c>
      <c r="C2582" s="1" t="n">
        <v>45472</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62708-2023</t>
        </is>
      </c>
      <c r="B2583" s="1" t="n">
        <v>45271</v>
      </c>
      <c r="C2583" s="1" t="n">
        <v>45472</v>
      </c>
      <c r="D2583" t="inlineStr">
        <is>
          <t>VÄSTERBOTTENS LÄN</t>
        </is>
      </c>
      <c r="E2583" t="inlineStr">
        <is>
          <t>SKELLEFTEÅ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62885-2023</t>
        </is>
      </c>
      <c r="B2584" s="1" t="n">
        <v>45271</v>
      </c>
      <c r="C2584" s="1" t="n">
        <v>45472</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63010-2023</t>
        </is>
      </c>
      <c r="B2585" s="1" t="n">
        <v>45272</v>
      </c>
      <c r="C2585" s="1" t="n">
        <v>45472</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62961-2023</t>
        </is>
      </c>
      <c r="B2586" s="1" t="n">
        <v>45272</v>
      </c>
      <c r="C2586" s="1" t="n">
        <v>45472</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63289-2023</t>
        </is>
      </c>
      <c r="B2587" s="1" t="n">
        <v>45273</v>
      </c>
      <c r="C2587" s="1" t="n">
        <v>45472</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63525-2023</t>
        </is>
      </c>
      <c r="B2588" s="1" t="n">
        <v>45274</v>
      </c>
      <c r="C2588" s="1" t="n">
        <v>45472</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63704-2023</t>
        </is>
      </c>
      <c r="B2589" s="1" t="n">
        <v>45275</v>
      </c>
      <c r="C2589" s="1" t="n">
        <v>45472</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63757-2023</t>
        </is>
      </c>
      <c r="B2590" s="1" t="n">
        <v>45278</v>
      </c>
      <c r="C2590" s="1" t="n">
        <v>45472</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63759-2023</t>
        </is>
      </c>
      <c r="B2591" s="1" t="n">
        <v>45278</v>
      </c>
      <c r="C2591" s="1" t="n">
        <v>45472</v>
      </c>
      <c r="D2591" t="inlineStr">
        <is>
          <t>VÄSTERBOTTENS LÄN</t>
        </is>
      </c>
      <c r="E2591" t="inlineStr">
        <is>
          <t>SKELLEFTEÅ</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63935-2023</t>
        </is>
      </c>
      <c r="B2592" s="1" t="n">
        <v>45278</v>
      </c>
      <c r="C2592" s="1" t="n">
        <v>45472</v>
      </c>
      <c r="D2592" t="inlineStr">
        <is>
          <t>VÄSTERBOTTENS LÄN</t>
        </is>
      </c>
      <c r="E2592" t="inlineStr">
        <is>
          <t>SKELLEFTEÅ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64009-2023</t>
        </is>
      </c>
      <c r="B2593" s="1" t="n">
        <v>45278</v>
      </c>
      <c r="C2593" s="1" t="n">
        <v>45472</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64006-2023</t>
        </is>
      </c>
      <c r="B2594" s="1" t="n">
        <v>45278</v>
      </c>
      <c r="C2594" s="1" t="n">
        <v>45472</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64008-2023</t>
        </is>
      </c>
      <c r="B2595" s="1" t="n">
        <v>45278</v>
      </c>
      <c r="C2595" s="1" t="n">
        <v>45472</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64258-2023</t>
        </is>
      </c>
      <c r="B2596" s="1" t="n">
        <v>45279</v>
      </c>
      <c r="C2596" s="1" t="n">
        <v>45472</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64257-2023</t>
        </is>
      </c>
      <c r="B2597" s="1" t="n">
        <v>45279</v>
      </c>
      <c r="C2597" s="1" t="n">
        <v>45472</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64183-2023</t>
        </is>
      </c>
      <c r="B2598" s="1" t="n">
        <v>45279</v>
      </c>
      <c r="C2598" s="1" t="n">
        <v>45472</v>
      </c>
      <c r="D2598" t="inlineStr">
        <is>
          <t>VÄSTERBOTTENS LÄN</t>
        </is>
      </c>
      <c r="E2598" t="inlineStr">
        <is>
          <t>SKELLEFTEÅ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1815-2024</t>
        </is>
      </c>
      <c r="B2599" s="1" t="n">
        <v>45279</v>
      </c>
      <c r="C2599" s="1" t="n">
        <v>45472</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64323-2023</t>
        </is>
      </c>
      <c r="B2600" s="1" t="n">
        <v>45280</v>
      </c>
      <c r="C2600" s="1" t="n">
        <v>45472</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64340-2023</t>
        </is>
      </c>
      <c r="B2601" s="1" t="n">
        <v>45280</v>
      </c>
      <c r="C2601" s="1" t="n">
        <v>45472</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64370-2023</t>
        </is>
      </c>
      <c r="B2602" s="1" t="n">
        <v>45280</v>
      </c>
      <c r="C2602" s="1" t="n">
        <v>45472</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64598-2023</t>
        </is>
      </c>
      <c r="B2603" s="1" t="n">
        <v>45281</v>
      </c>
      <c r="C2603" s="1" t="n">
        <v>45472</v>
      </c>
      <c r="D2603" t="inlineStr">
        <is>
          <t>VÄSTERBOTTENS LÄN</t>
        </is>
      </c>
      <c r="E2603" t="inlineStr">
        <is>
          <t>SKELLEFTEÅ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64682-2023</t>
        </is>
      </c>
      <c r="B2604" s="1" t="n">
        <v>45281</v>
      </c>
      <c r="C2604" s="1" t="n">
        <v>45472</v>
      </c>
      <c r="D2604" t="inlineStr">
        <is>
          <t>VÄSTERBOTTENS LÄN</t>
        </is>
      </c>
      <c r="E2604" t="inlineStr">
        <is>
          <t>SKELLEFTEÅ</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64720-2023</t>
        </is>
      </c>
      <c r="B2605" s="1" t="n">
        <v>45281</v>
      </c>
      <c r="C2605" s="1" t="n">
        <v>45472</v>
      </c>
      <c r="D2605" t="inlineStr">
        <is>
          <t>VÄSTERBOTTENS LÄN</t>
        </is>
      </c>
      <c r="E2605" t="inlineStr">
        <is>
          <t>SKELLEFTEÅ</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64716-2023</t>
        </is>
      </c>
      <c r="B2606" s="1" t="n">
        <v>45281</v>
      </c>
      <c r="C2606" s="1" t="n">
        <v>45472</v>
      </c>
      <c r="D2606" t="inlineStr">
        <is>
          <t>VÄSTERBOTTENS LÄN</t>
        </is>
      </c>
      <c r="E2606" t="inlineStr">
        <is>
          <t>SKELLEFTEÅ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64723-2023</t>
        </is>
      </c>
      <c r="B2607" s="1" t="n">
        <v>45281</v>
      </c>
      <c r="C2607" s="1" t="n">
        <v>45472</v>
      </c>
      <c r="D2607" t="inlineStr">
        <is>
          <t>VÄSTERBOTTENS LÄN</t>
        </is>
      </c>
      <c r="E2607" t="inlineStr">
        <is>
          <t>SKELLEFTEÅ</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64726-2023</t>
        </is>
      </c>
      <c r="B2608" s="1" t="n">
        <v>45281</v>
      </c>
      <c r="C2608" s="1" t="n">
        <v>45472</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64750-2023</t>
        </is>
      </c>
      <c r="B2609" s="1" t="n">
        <v>45281</v>
      </c>
      <c r="C2609" s="1" t="n">
        <v>45472</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64920-2023</t>
        </is>
      </c>
      <c r="B2610" s="1" t="n">
        <v>45282</v>
      </c>
      <c r="C2610" s="1" t="n">
        <v>45472</v>
      </c>
      <c r="D2610" t="inlineStr">
        <is>
          <t>VÄSTERBOTTENS LÄN</t>
        </is>
      </c>
      <c r="E2610" t="inlineStr">
        <is>
          <t>SKELLEFTEÅ</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64942-2023</t>
        </is>
      </c>
      <c r="B2611" s="1" t="n">
        <v>45282</v>
      </c>
      <c r="C2611" s="1" t="n">
        <v>45472</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65010-2023</t>
        </is>
      </c>
      <c r="B2612" s="1" t="n">
        <v>45282</v>
      </c>
      <c r="C2612" s="1" t="n">
        <v>45472</v>
      </c>
      <c r="D2612" t="inlineStr">
        <is>
          <t>VÄSTERBOTTENS LÄN</t>
        </is>
      </c>
      <c r="E2612" t="inlineStr">
        <is>
          <t>SKELLEFTEÅ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64941-2023</t>
        </is>
      </c>
      <c r="B2613" s="1" t="n">
        <v>45282</v>
      </c>
      <c r="C2613" s="1" t="n">
        <v>45472</v>
      </c>
      <c r="D2613" t="inlineStr">
        <is>
          <t>VÄSTERBOTTENS LÄN</t>
        </is>
      </c>
      <c r="E2613" t="inlineStr">
        <is>
          <t>SKELLEFTEÅ</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65009-2023</t>
        </is>
      </c>
      <c r="B2614" s="1" t="n">
        <v>45287</v>
      </c>
      <c r="C2614" s="1" t="n">
        <v>45472</v>
      </c>
      <c r="D2614" t="inlineStr">
        <is>
          <t>VÄSTERBOTTENS LÄN</t>
        </is>
      </c>
      <c r="E2614" t="inlineStr">
        <is>
          <t>SKELLEFTEÅ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65011-2023</t>
        </is>
      </c>
      <c r="B2615" s="1" t="n">
        <v>45287</v>
      </c>
      <c r="C2615" s="1" t="n">
        <v>45472</v>
      </c>
      <c r="D2615" t="inlineStr">
        <is>
          <t>VÄSTERBOTTENS LÄN</t>
        </is>
      </c>
      <c r="E2615" t="inlineStr">
        <is>
          <t>SKELLEFTEÅ</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65128-2023</t>
        </is>
      </c>
      <c r="B2616" s="1" t="n">
        <v>45288</v>
      </c>
      <c r="C2616" s="1" t="n">
        <v>45472</v>
      </c>
      <c r="D2616" t="inlineStr">
        <is>
          <t>VÄSTERBOTTENS LÄN</t>
        </is>
      </c>
      <c r="E2616" t="inlineStr">
        <is>
          <t>SKELLEFTEÅ</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65165-2023</t>
        </is>
      </c>
      <c r="B2617" s="1" t="n">
        <v>45288</v>
      </c>
      <c r="C2617" s="1" t="n">
        <v>45472</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65178-2023</t>
        </is>
      </c>
      <c r="B2618" s="1" t="n">
        <v>45288</v>
      </c>
      <c r="C2618" s="1" t="n">
        <v>45472</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65191-2023</t>
        </is>
      </c>
      <c r="B2619" s="1" t="n">
        <v>45288</v>
      </c>
      <c r="C2619" s="1" t="n">
        <v>45472</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65206-2023</t>
        </is>
      </c>
      <c r="B2620" s="1" t="n">
        <v>45289</v>
      </c>
      <c r="C2620" s="1" t="n">
        <v>45472</v>
      </c>
      <c r="D2620" t="inlineStr">
        <is>
          <t>VÄSTERBOTTENS LÄN</t>
        </is>
      </c>
      <c r="E2620" t="inlineStr">
        <is>
          <t>SKELLEFTEÅ</t>
        </is>
      </c>
      <c r="G2620" t="n">
        <v>19.2</v>
      </c>
      <c r="H2620" t="n">
        <v>0</v>
      </c>
      <c r="I2620" t="n">
        <v>0</v>
      </c>
      <c r="J2620" t="n">
        <v>0</v>
      </c>
      <c r="K2620" t="n">
        <v>0</v>
      </c>
      <c r="L2620" t="n">
        <v>0</v>
      </c>
      <c r="M2620" t="n">
        <v>0</v>
      </c>
      <c r="N2620" t="n">
        <v>0</v>
      </c>
      <c r="O2620" t="n">
        <v>0</v>
      </c>
      <c r="P2620" t="n">
        <v>0</v>
      </c>
      <c r="Q2620" t="n">
        <v>0</v>
      </c>
      <c r="R2620" s="2" t="inlineStr"/>
    </row>
    <row r="2621" ht="15" customHeight="1">
      <c r="A2621" t="inlineStr">
        <is>
          <t>A 65243-2023</t>
        </is>
      </c>
      <c r="B2621" s="1" t="n">
        <v>45289</v>
      </c>
      <c r="C2621" s="1" t="n">
        <v>45472</v>
      </c>
      <c r="D2621" t="inlineStr">
        <is>
          <t>VÄSTERBOTTENS LÄN</t>
        </is>
      </c>
      <c r="E2621" t="inlineStr">
        <is>
          <t>SKELLEFTEÅ</t>
        </is>
      </c>
      <c r="G2621" t="n">
        <v>22.2</v>
      </c>
      <c r="H2621" t="n">
        <v>0</v>
      </c>
      <c r="I2621" t="n">
        <v>0</v>
      </c>
      <c r="J2621" t="n">
        <v>0</v>
      </c>
      <c r="K2621" t="n">
        <v>0</v>
      </c>
      <c r="L2621" t="n">
        <v>0</v>
      </c>
      <c r="M2621" t="n">
        <v>0</v>
      </c>
      <c r="N2621" t="n">
        <v>0</v>
      </c>
      <c r="O2621" t="n">
        <v>0</v>
      </c>
      <c r="P2621" t="n">
        <v>0</v>
      </c>
      <c r="Q2621" t="n">
        <v>0</v>
      </c>
      <c r="R2621" s="2" t="inlineStr"/>
    </row>
    <row r="2622" ht="15" customHeight="1">
      <c r="A2622" t="inlineStr">
        <is>
          <t>A 27-2024</t>
        </is>
      </c>
      <c r="B2622" s="1" t="n">
        <v>45293</v>
      </c>
      <c r="C2622" s="1" t="n">
        <v>45472</v>
      </c>
      <c r="D2622" t="inlineStr">
        <is>
          <t>VÄSTERBOTTENS LÄN</t>
        </is>
      </c>
      <c r="E2622" t="inlineStr">
        <is>
          <t>SKELLEFTEÅ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207-2024</t>
        </is>
      </c>
      <c r="B2623" s="1" t="n">
        <v>45293</v>
      </c>
      <c r="C2623" s="1" t="n">
        <v>45472</v>
      </c>
      <c r="D2623" t="inlineStr">
        <is>
          <t>VÄSTERBOTTENS LÄN</t>
        </is>
      </c>
      <c r="E2623" t="inlineStr">
        <is>
          <t>SKELLEFTEÅ</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381-2024</t>
        </is>
      </c>
      <c r="B2624" s="1" t="n">
        <v>45296</v>
      </c>
      <c r="C2624" s="1" t="n">
        <v>45472</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418-2024</t>
        </is>
      </c>
      <c r="B2625" s="1" t="n">
        <v>45296</v>
      </c>
      <c r="C2625" s="1" t="n">
        <v>45472</v>
      </c>
      <c r="D2625" t="inlineStr">
        <is>
          <t>VÄSTERBOTTENS LÄN</t>
        </is>
      </c>
      <c r="E2625" t="inlineStr">
        <is>
          <t>SKELLEFTEÅ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671-2024</t>
        </is>
      </c>
      <c r="B2626" s="1" t="n">
        <v>45299</v>
      </c>
      <c r="C2626" s="1" t="n">
        <v>45472</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668-2024</t>
        </is>
      </c>
      <c r="B2627" s="1" t="n">
        <v>45300</v>
      </c>
      <c r="C2627" s="1" t="n">
        <v>45472</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1114-2024</t>
        </is>
      </c>
      <c r="B2628" s="1" t="n">
        <v>45302</v>
      </c>
      <c r="C2628" s="1" t="n">
        <v>45472</v>
      </c>
      <c r="D2628" t="inlineStr">
        <is>
          <t>VÄSTERBOTTENS LÄN</t>
        </is>
      </c>
      <c r="E2628" t="inlineStr">
        <is>
          <t>SKELLEFTEÅ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1255-2024</t>
        </is>
      </c>
      <c r="B2629" s="1" t="n">
        <v>45302</v>
      </c>
      <c r="C2629" s="1" t="n">
        <v>45472</v>
      </c>
      <c r="D2629" t="inlineStr">
        <is>
          <t>VÄSTERBOTTENS LÄN</t>
        </is>
      </c>
      <c r="E2629" t="inlineStr">
        <is>
          <t>SKELLEFTEÅ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1250-2024</t>
        </is>
      </c>
      <c r="B2630" s="1" t="n">
        <v>45302</v>
      </c>
      <c r="C2630" s="1" t="n">
        <v>45472</v>
      </c>
      <c r="D2630" t="inlineStr">
        <is>
          <t>VÄSTERBOTTENS LÄN</t>
        </is>
      </c>
      <c r="E2630" t="inlineStr">
        <is>
          <t>SKELLEFTEÅ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1257-2024</t>
        </is>
      </c>
      <c r="B2631" s="1" t="n">
        <v>45302</v>
      </c>
      <c r="C2631" s="1" t="n">
        <v>45472</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1256-2024</t>
        </is>
      </c>
      <c r="B2632" s="1" t="n">
        <v>45302</v>
      </c>
      <c r="C2632" s="1" t="n">
        <v>45472</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1280-2024</t>
        </is>
      </c>
      <c r="B2633" s="1" t="n">
        <v>45303</v>
      </c>
      <c r="C2633" s="1" t="n">
        <v>45472</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1419-2024</t>
        </is>
      </c>
      <c r="B2634" s="1" t="n">
        <v>45303</v>
      </c>
      <c r="C2634" s="1" t="n">
        <v>45472</v>
      </c>
      <c r="D2634" t="inlineStr">
        <is>
          <t>VÄSTERBOTTENS LÄN</t>
        </is>
      </c>
      <c r="E2634" t="inlineStr">
        <is>
          <t>SKELLEFTEÅ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1507-2024</t>
        </is>
      </c>
      <c r="B2635" s="1" t="n">
        <v>45306</v>
      </c>
      <c r="C2635" s="1" t="n">
        <v>45472</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1498-2024</t>
        </is>
      </c>
      <c r="B2636" s="1" t="n">
        <v>45306</v>
      </c>
      <c r="C2636" s="1" t="n">
        <v>45472</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1564-2024</t>
        </is>
      </c>
      <c r="B2637" s="1" t="n">
        <v>45306</v>
      </c>
      <c r="C2637" s="1" t="n">
        <v>45472</v>
      </c>
      <c r="D2637" t="inlineStr">
        <is>
          <t>VÄSTERBOTTENS LÄN</t>
        </is>
      </c>
      <c r="E2637" t="inlineStr">
        <is>
          <t>SKELLEFTEÅ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1829-2024</t>
        </is>
      </c>
      <c r="B2638" s="1" t="n">
        <v>45307</v>
      </c>
      <c r="C2638" s="1" t="n">
        <v>45472</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1827-2024</t>
        </is>
      </c>
      <c r="B2639" s="1" t="n">
        <v>45307</v>
      </c>
      <c r="C2639" s="1" t="n">
        <v>45472</v>
      </c>
      <c r="D2639" t="inlineStr">
        <is>
          <t>VÄSTERBOTTENS LÄN</t>
        </is>
      </c>
      <c r="E2639" t="inlineStr">
        <is>
          <t>SKELLEFTEÅ</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1809-2024</t>
        </is>
      </c>
      <c r="B2640" s="1" t="n">
        <v>45307</v>
      </c>
      <c r="C2640" s="1" t="n">
        <v>45472</v>
      </c>
      <c r="D2640" t="inlineStr">
        <is>
          <t>VÄSTERBOTTENS LÄN</t>
        </is>
      </c>
      <c r="E2640" t="inlineStr">
        <is>
          <t>SKELLEFTEÅ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1826-2024</t>
        </is>
      </c>
      <c r="B2641" s="1" t="n">
        <v>45307</v>
      </c>
      <c r="C2641" s="1" t="n">
        <v>45472</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2050-2024</t>
        </is>
      </c>
      <c r="B2642" s="1" t="n">
        <v>45308</v>
      </c>
      <c r="C2642" s="1" t="n">
        <v>45472</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2058-2024</t>
        </is>
      </c>
      <c r="B2643" s="1" t="n">
        <v>45308</v>
      </c>
      <c r="C2643" s="1" t="n">
        <v>45472</v>
      </c>
      <c r="D2643" t="inlineStr">
        <is>
          <t>VÄSTERBOTTENS LÄN</t>
        </is>
      </c>
      <c r="E2643" t="inlineStr">
        <is>
          <t>SKELLEFTEÅ</t>
        </is>
      </c>
      <c r="G2643" t="n">
        <v>29.4</v>
      </c>
      <c r="H2643" t="n">
        <v>0</v>
      </c>
      <c r="I2643" t="n">
        <v>0</v>
      </c>
      <c r="J2643" t="n">
        <v>0</v>
      </c>
      <c r="K2643" t="n">
        <v>0</v>
      </c>
      <c r="L2643" t="n">
        <v>0</v>
      </c>
      <c r="M2643" t="n">
        <v>0</v>
      </c>
      <c r="N2643" t="n">
        <v>0</v>
      </c>
      <c r="O2643" t="n">
        <v>0</v>
      </c>
      <c r="P2643" t="n">
        <v>0</v>
      </c>
      <c r="Q2643" t="n">
        <v>0</v>
      </c>
      <c r="R2643" s="2" t="inlineStr"/>
    </row>
    <row r="2644" ht="15" customHeight="1">
      <c r="A2644" t="inlineStr">
        <is>
          <t>A 2043-2024</t>
        </is>
      </c>
      <c r="B2644" s="1" t="n">
        <v>45308</v>
      </c>
      <c r="C2644" s="1" t="n">
        <v>45472</v>
      </c>
      <c r="D2644" t="inlineStr">
        <is>
          <t>VÄSTERBOTTENS LÄN</t>
        </is>
      </c>
      <c r="E2644" t="inlineStr">
        <is>
          <t>SKELLEFTEÅ</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2051-2024</t>
        </is>
      </c>
      <c r="B2645" s="1" t="n">
        <v>45308</v>
      </c>
      <c r="C2645" s="1" t="n">
        <v>45472</v>
      </c>
      <c r="D2645" t="inlineStr">
        <is>
          <t>VÄSTERBOTTENS LÄN</t>
        </is>
      </c>
      <c r="E2645" t="inlineStr">
        <is>
          <t>SKELLEFTEÅ</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2055-2024</t>
        </is>
      </c>
      <c r="B2646" s="1" t="n">
        <v>45308</v>
      </c>
      <c r="C2646" s="1" t="n">
        <v>45472</v>
      </c>
      <c r="D2646" t="inlineStr">
        <is>
          <t>VÄSTERBOTTENS LÄN</t>
        </is>
      </c>
      <c r="E2646" t="inlineStr">
        <is>
          <t>SKELLEFTEÅ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2059-2024</t>
        </is>
      </c>
      <c r="B2647" s="1" t="n">
        <v>45308</v>
      </c>
      <c r="C2647" s="1" t="n">
        <v>45472</v>
      </c>
      <c r="D2647" t="inlineStr">
        <is>
          <t>VÄSTERBOTTENS LÄN</t>
        </is>
      </c>
      <c r="E2647" t="inlineStr">
        <is>
          <t>SKELLEFTEÅ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2045-2024</t>
        </is>
      </c>
      <c r="B2648" s="1" t="n">
        <v>45308</v>
      </c>
      <c r="C2648" s="1" t="n">
        <v>45472</v>
      </c>
      <c r="D2648" t="inlineStr">
        <is>
          <t>VÄSTERBOTTENS LÄN</t>
        </is>
      </c>
      <c r="E2648" t="inlineStr">
        <is>
          <t>SKELLEFTEÅ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2052-2024</t>
        </is>
      </c>
      <c r="B2649" s="1" t="n">
        <v>45308</v>
      </c>
      <c r="C2649" s="1" t="n">
        <v>45472</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2170-2024</t>
        </is>
      </c>
      <c r="B2650" s="1" t="n">
        <v>45309</v>
      </c>
      <c r="C2650" s="1" t="n">
        <v>45472</v>
      </c>
      <c r="D2650" t="inlineStr">
        <is>
          <t>VÄSTERBOTTENS LÄN</t>
        </is>
      </c>
      <c r="E2650" t="inlineStr">
        <is>
          <t>SKELLEFTEÅ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2090-2024</t>
        </is>
      </c>
      <c r="B2651" s="1" t="n">
        <v>45309</v>
      </c>
      <c r="C2651" s="1" t="n">
        <v>45472</v>
      </c>
      <c r="D2651" t="inlineStr">
        <is>
          <t>VÄSTERBOTTENS LÄN</t>
        </is>
      </c>
      <c r="E2651" t="inlineStr">
        <is>
          <t>SKELLEFTEÅ</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2417-2024</t>
        </is>
      </c>
      <c r="B2652" s="1" t="n">
        <v>45310</v>
      </c>
      <c r="C2652" s="1" t="n">
        <v>45472</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2579-2024</t>
        </is>
      </c>
      <c r="B2653" s="1" t="n">
        <v>45313</v>
      </c>
      <c r="C2653" s="1" t="n">
        <v>45472</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2526-2024</t>
        </is>
      </c>
      <c r="B2654" s="1" t="n">
        <v>45313</v>
      </c>
      <c r="C2654" s="1" t="n">
        <v>45472</v>
      </c>
      <c r="D2654" t="inlineStr">
        <is>
          <t>VÄSTERBOTTENS LÄN</t>
        </is>
      </c>
      <c r="E2654" t="inlineStr">
        <is>
          <t>SKELLEFTEÅ</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2562-2024</t>
        </is>
      </c>
      <c r="B2655" s="1" t="n">
        <v>45313</v>
      </c>
      <c r="C2655" s="1" t="n">
        <v>45472</v>
      </c>
      <c r="D2655" t="inlineStr">
        <is>
          <t>VÄSTERBOTTENS LÄN</t>
        </is>
      </c>
      <c r="E2655" t="inlineStr">
        <is>
          <t>SKELLEFTEÅ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2572-2024</t>
        </is>
      </c>
      <c r="B2656" s="1" t="n">
        <v>45313</v>
      </c>
      <c r="C2656" s="1" t="n">
        <v>45472</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2641-2024</t>
        </is>
      </c>
      <c r="B2657" s="1" t="n">
        <v>45314</v>
      </c>
      <c r="C2657" s="1" t="n">
        <v>45472</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2773-2024</t>
        </is>
      </c>
      <c r="B2658" s="1" t="n">
        <v>45314</v>
      </c>
      <c r="C2658" s="1" t="n">
        <v>45472</v>
      </c>
      <c r="D2658" t="inlineStr">
        <is>
          <t>VÄSTERBOTTENS LÄN</t>
        </is>
      </c>
      <c r="E2658" t="inlineStr">
        <is>
          <t>SKELLEFTEÅ</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2801-2024</t>
        </is>
      </c>
      <c r="B2659" s="1" t="n">
        <v>45314</v>
      </c>
      <c r="C2659" s="1" t="n">
        <v>45472</v>
      </c>
      <c r="D2659" t="inlineStr">
        <is>
          <t>VÄSTERBOTTENS LÄN</t>
        </is>
      </c>
      <c r="E2659" t="inlineStr">
        <is>
          <t>SKELLEFTEÅ</t>
        </is>
      </c>
      <c r="F2659" t="inlineStr">
        <is>
          <t>Sveaskog</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2811-2024</t>
        </is>
      </c>
      <c r="B2660" s="1" t="n">
        <v>45314</v>
      </c>
      <c r="C2660" s="1" t="n">
        <v>45472</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2840-2024</t>
        </is>
      </c>
      <c r="B2661" s="1" t="n">
        <v>45315</v>
      </c>
      <c r="C2661" s="1" t="n">
        <v>45472</v>
      </c>
      <c r="D2661" t="inlineStr">
        <is>
          <t>VÄSTERBOTTENS LÄN</t>
        </is>
      </c>
      <c r="E2661" t="inlineStr">
        <is>
          <t>SKELLEFTEÅ</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2848-2024</t>
        </is>
      </c>
      <c r="B2662" s="1" t="n">
        <v>45315</v>
      </c>
      <c r="C2662" s="1" t="n">
        <v>45472</v>
      </c>
      <c r="D2662" t="inlineStr">
        <is>
          <t>VÄSTERBOTTENS LÄN</t>
        </is>
      </c>
      <c r="E2662" t="inlineStr">
        <is>
          <t>SKELLEFTEÅ</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2845-2024</t>
        </is>
      </c>
      <c r="B2663" s="1" t="n">
        <v>45315</v>
      </c>
      <c r="C2663" s="1" t="n">
        <v>45472</v>
      </c>
      <c r="D2663" t="inlineStr">
        <is>
          <t>VÄSTERBOTTENS LÄN</t>
        </is>
      </c>
      <c r="E2663" t="inlineStr">
        <is>
          <t>SKELLEFTEÅ</t>
        </is>
      </c>
      <c r="F2663" t="inlineStr">
        <is>
          <t>Sveaskog</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2955-2024</t>
        </is>
      </c>
      <c r="B2664" s="1" t="n">
        <v>45315</v>
      </c>
      <c r="C2664" s="1" t="n">
        <v>45472</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2987-2024</t>
        </is>
      </c>
      <c r="B2665" s="1" t="n">
        <v>45315</v>
      </c>
      <c r="C2665" s="1" t="n">
        <v>45472</v>
      </c>
      <c r="D2665" t="inlineStr">
        <is>
          <t>VÄSTERBOTTENS LÄN</t>
        </is>
      </c>
      <c r="E2665" t="inlineStr">
        <is>
          <t>SKELLEFTEÅ</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2976-2024</t>
        </is>
      </c>
      <c r="B2666" s="1" t="n">
        <v>45315</v>
      </c>
      <c r="C2666" s="1" t="n">
        <v>45472</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3045-2024</t>
        </is>
      </c>
      <c r="B2667" s="1" t="n">
        <v>45316</v>
      </c>
      <c r="C2667" s="1" t="n">
        <v>45472</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3143-2024</t>
        </is>
      </c>
      <c r="B2668" s="1" t="n">
        <v>45316</v>
      </c>
      <c r="C2668" s="1" t="n">
        <v>45472</v>
      </c>
      <c r="D2668" t="inlineStr">
        <is>
          <t>VÄSTERBOTTENS LÄN</t>
        </is>
      </c>
      <c r="E2668" t="inlineStr">
        <is>
          <t>SKELLEFTEÅ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3142-2024</t>
        </is>
      </c>
      <c r="B2669" s="1" t="n">
        <v>45316</v>
      </c>
      <c r="C2669" s="1" t="n">
        <v>45472</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3141-2024</t>
        </is>
      </c>
      <c r="B2670" s="1" t="n">
        <v>45316</v>
      </c>
      <c r="C2670" s="1" t="n">
        <v>45472</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3358-2024</t>
        </is>
      </c>
      <c r="B2671" s="1" t="n">
        <v>45317</v>
      </c>
      <c r="C2671" s="1" t="n">
        <v>45472</v>
      </c>
      <c r="D2671" t="inlineStr">
        <is>
          <t>VÄSTERBOTTENS LÄN</t>
        </is>
      </c>
      <c r="E2671" t="inlineStr">
        <is>
          <t>SKELLEFTEÅ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3445-2024</t>
        </is>
      </c>
      <c r="B2672" s="1" t="n">
        <v>45320</v>
      </c>
      <c r="C2672" s="1" t="n">
        <v>45472</v>
      </c>
      <c r="D2672" t="inlineStr">
        <is>
          <t>VÄSTERBOTTENS LÄN</t>
        </is>
      </c>
      <c r="E2672" t="inlineStr">
        <is>
          <t>SKELLEFTEÅ</t>
        </is>
      </c>
      <c r="G2672" t="n">
        <v>19.1</v>
      </c>
      <c r="H2672" t="n">
        <v>0</v>
      </c>
      <c r="I2672" t="n">
        <v>0</v>
      </c>
      <c r="J2672" t="n">
        <v>0</v>
      </c>
      <c r="K2672" t="n">
        <v>0</v>
      </c>
      <c r="L2672" t="n">
        <v>0</v>
      </c>
      <c r="M2672" t="n">
        <v>0</v>
      </c>
      <c r="N2672" t="n">
        <v>0</v>
      </c>
      <c r="O2672" t="n">
        <v>0</v>
      </c>
      <c r="P2672" t="n">
        <v>0</v>
      </c>
      <c r="Q2672" t="n">
        <v>0</v>
      </c>
      <c r="R2672" s="2" t="inlineStr"/>
    </row>
    <row r="2673" ht="15" customHeight="1">
      <c r="A2673" t="inlineStr">
        <is>
          <t>A 3451-2024</t>
        </is>
      </c>
      <c r="B2673" s="1" t="n">
        <v>45320</v>
      </c>
      <c r="C2673" s="1" t="n">
        <v>45472</v>
      </c>
      <c r="D2673" t="inlineStr">
        <is>
          <t>VÄSTERBOTTENS LÄN</t>
        </is>
      </c>
      <c r="E2673" t="inlineStr">
        <is>
          <t>SKELLEFTEÅ</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3465-2024</t>
        </is>
      </c>
      <c r="B2674" s="1" t="n">
        <v>45320</v>
      </c>
      <c r="C2674" s="1" t="n">
        <v>45472</v>
      </c>
      <c r="D2674" t="inlineStr">
        <is>
          <t>VÄSTERBOTTENS LÄN</t>
        </is>
      </c>
      <c r="E2674" t="inlineStr">
        <is>
          <t>SKELLEFTEÅ</t>
        </is>
      </c>
      <c r="G2674" t="n">
        <v>17.4</v>
      </c>
      <c r="H2674" t="n">
        <v>0</v>
      </c>
      <c r="I2674" t="n">
        <v>0</v>
      </c>
      <c r="J2674" t="n">
        <v>0</v>
      </c>
      <c r="K2674" t="n">
        <v>0</v>
      </c>
      <c r="L2674" t="n">
        <v>0</v>
      </c>
      <c r="M2674" t="n">
        <v>0</v>
      </c>
      <c r="N2674" t="n">
        <v>0</v>
      </c>
      <c r="O2674" t="n">
        <v>0</v>
      </c>
      <c r="P2674" t="n">
        <v>0</v>
      </c>
      <c r="Q2674" t="n">
        <v>0</v>
      </c>
      <c r="R2674" s="2" t="inlineStr"/>
    </row>
    <row r="2675" ht="15" customHeight="1">
      <c r="A2675" t="inlineStr">
        <is>
          <t>A 3571-2024</t>
        </is>
      </c>
      <c r="B2675" s="1" t="n">
        <v>45320</v>
      </c>
      <c r="C2675" s="1" t="n">
        <v>45472</v>
      </c>
      <c r="D2675" t="inlineStr">
        <is>
          <t>VÄSTERBOTTENS LÄN</t>
        </is>
      </c>
      <c r="E2675" t="inlineStr">
        <is>
          <t>SKELLEFTEÅ</t>
        </is>
      </c>
      <c r="F2675" t="inlineStr">
        <is>
          <t>Holmen skog AB</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3453-2024</t>
        </is>
      </c>
      <c r="B2676" s="1" t="n">
        <v>45320</v>
      </c>
      <c r="C2676" s="1" t="n">
        <v>45472</v>
      </c>
      <c r="D2676" t="inlineStr">
        <is>
          <t>VÄSTERBOTTENS LÄN</t>
        </is>
      </c>
      <c r="E2676" t="inlineStr">
        <is>
          <t>SKELLEFTEÅ</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3458-2024</t>
        </is>
      </c>
      <c r="B2677" s="1" t="n">
        <v>45320</v>
      </c>
      <c r="C2677" s="1" t="n">
        <v>45472</v>
      </c>
      <c r="D2677" t="inlineStr">
        <is>
          <t>VÄSTERBOTTENS LÄN</t>
        </is>
      </c>
      <c r="E2677" t="inlineStr">
        <is>
          <t>SKELLEFTEÅ</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3611-2024</t>
        </is>
      </c>
      <c r="B2678" s="1" t="n">
        <v>45320</v>
      </c>
      <c r="C2678" s="1" t="n">
        <v>45472</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3947-2024</t>
        </is>
      </c>
      <c r="B2679" s="1" t="n">
        <v>45322</v>
      </c>
      <c r="C2679" s="1" t="n">
        <v>45472</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3983-2024</t>
        </is>
      </c>
      <c r="B2680" s="1" t="n">
        <v>45322</v>
      </c>
      <c r="C2680" s="1" t="n">
        <v>45472</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3962-2024</t>
        </is>
      </c>
      <c r="B2681" s="1" t="n">
        <v>45322</v>
      </c>
      <c r="C2681" s="1" t="n">
        <v>45472</v>
      </c>
      <c r="D2681" t="inlineStr">
        <is>
          <t>VÄSTERBOTTENS LÄN</t>
        </is>
      </c>
      <c r="E2681" t="inlineStr">
        <is>
          <t>SKELLEFTEÅ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4022-2024</t>
        </is>
      </c>
      <c r="B2682" s="1" t="n">
        <v>45323</v>
      </c>
      <c r="C2682" s="1" t="n">
        <v>45472</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4034-2024</t>
        </is>
      </c>
      <c r="B2683" s="1" t="n">
        <v>45323</v>
      </c>
      <c r="C2683" s="1" t="n">
        <v>45472</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4106-2024</t>
        </is>
      </c>
      <c r="B2684" s="1" t="n">
        <v>45323</v>
      </c>
      <c r="C2684" s="1" t="n">
        <v>45472</v>
      </c>
      <c r="D2684" t="inlineStr">
        <is>
          <t>VÄSTERBOTTENS LÄN</t>
        </is>
      </c>
      <c r="E2684" t="inlineStr">
        <is>
          <t>SKELLEFTEÅ</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4118-2024</t>
        </is>
      </c>
      <c r="B2685" s="1" t="n">
        <v>45323</v>
      </c>
      <c r="C2685" s="1" t="n">
        <v>45472</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4138-2024</t>
        </is>
      </c>
      <c r="B2686" s="1" t="n">
        <v>45323</v>
      </c>
      <c r="C2686" s="1" t="n">
        <v>45472</v>
      </c>
      <c r="D2686" t="inlineStr">
        <is>
          <t>VÄSTERBOTTENS LÄN</t>
        </is>
      </c>
      <c r="E2686" t="inlineStr">
        <is>
          <t>SKELLEFTEÅ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4008-2024</t>
        </is>
      </c>
      <c r="B2687" s="1" t="n">
        <v>45323</v>
      </c>
      <c r="C2687" s="1" t="n">
        <v>45472</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4032-2024</t>
        </is>
      </c>
      <c r="B2688" s="1" t="n">
        <v>45323</v>
      </c>
      <c r="C2688" s="1" t="n">
        <v>45472</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4019-2024</t>
        </is>
      </c>
      <c r="B2689" s="1" t="n">
        <v>45323</v>
      </c>
      <c r="C2689" s="1" t="n">
        <v>45472</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4084-2024</t>
        </is>
      </c>
      <c r="B2690" s="1" t="n">
        <v>45323</v>
      </c>
      <c r="C2690" s="1" t="n">
        <v>45472</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4124-2024</t>
        </is>
      </c>
      <c r="B2691" s="1" t="n">
        <v>45323</v>
      </c>
      <c r="C2691" s="1" t="n">
        <v>45472</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4292-2024</t>
        </is>
      </c>
      <c r="B2692" s="1" t="n">
        <v>45324</v>
      </c>
      <c r="C2692" s="1" t="n">
        <v>45472</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4617-2024</t>
        </is>
      </c>
      <c r="B2693" s="1" t="n">
        <v>45327</v>
      </c>
      <c r="C2693" s="1" t="n">
        <v>45472</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4656-2024</t>
        </is>
      </c>
      <c r="B2694" s="1" t="n">
        <v>45327</v>
      </c>
      <c r="C2694" s="1" t="n">
        <v>45472</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4777-2024</t>
        </is>
      </c>
      <c r="B2695" s="1" t="n">
        <v>45328</v>
      </c>
      <c r="C2695" s="1" t="n">
        <v>45472</v>
      </c>
      <c r="D2695" t="inlineStr">
        <is>
          <t>VÄSTERBOTTENS LÄN</t>
        </is>
      </c>
      <c r="E2695" t="inlineStr">
        <is>
          <t>SKELLEFTEÅ</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4900-2024</t>
        </is>
      </c>
      <c r="B2696" s="1" t="n">
        <v>45329</v>
      </c>
      <c r="C2696" s="1" t="n">
        <v>45472</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5220-2024</t>
        </is>
      </c>
      <c r="B2697" s="1" t="n">
        <v>45330</v>
      </c>
      <c r="C2697" s="1" t="n">
        <v>45472</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5236-2024</t>
        </is>
      </c>
      <c r="B2698" s="1" t="n">
        <v>45330</v>
      </c>
      <c r="C2698" s="1" t="n">
        <v>45472</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5252-2024</t>
        </is>
      </c>
      <c r="B2699" s="1" t="n">
        <v>45330</v>
      </c>
      <c r="C2699" s="1" t="n">
        <v>45472</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5239-2024</t>
        </is>
      </c>
      <c r="B2700" s="1" t="n">
        <v>45330</v>
      </c>
      <c r="C2700" s="1" t="n">
        <v>45472</v>
      </c>
      <c r="D2700" t="inlineStr">
        <is>
          <t>VÄSTERBOTTENS LÄN</t>
        </is>
      </c>
      <c r="E2700" t="inlineStr">
        <is>
          <t>SKELLEFTEÅ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5237-2024</t>
        </is>
      </c>
      <c r="B2701" s="1" t="n">
        <v>45330</v>
      </c>
      <c r="C2701" s="1" t="n">
        <v>45472</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5603-2024</t>
        </is>
      </c>
      <c r="B2702" s="1" t="n">
        <v>45334</v>
      </c>
      <c r="C2702" s="1" t="n">
        <v>45472</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5636-2024</t>
        </is>
      </c>
      <c r="B2703" s="1" t="n">
        <v>45334</v>
      </c>
      <c r="C2703" s="1" t="n">
        <v>45472</v>
      </c>
      <c r="D2703" t="inlineStr">
        <is>
          <t>VÄSTERBOTTENS LÄN</t>
        </is>
      </c>
      <c r="E2703" t="inlineStr">
        <is>
          <t>SKELLEFTEÅ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5660-2024</t>
        </is>
      </c>
      <c r="B2704" s="1" t="n">
        <v>45334</v>
      </c>
      <c r="C2704" s="1" t="n">
        <v>45472</v>
      </c>
      <c r="D2704" t="inlineStr">
        <is>
          <t>VÄSTERBOTTENS LÄN</t>
        </is>
      </c>
      <c r="E2704" t="inlineStr">
        <is>
          <t>SKELLEFTEÅ</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5639-2024</t>
        </is>
      </c>
      <c r="B2705" s="1" t="n">
        <v>45334</v>
      </c>
      <c r="C2705" s="1" t="n">
        <v>45472</v>
      </c>
      <c r="D2705" t="inlineStr">
        <is>
          <t>VÄSTERBOTTENS LÄN</t>
        </is>
      </c>
      <c r="E2705" t="inlineStr">
        <is>
          <t>SKELLEFTEÅ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5596-2024</t>
        </is>
      </c>
      <c r="B2706" s="1" t="n">
        <v>45334</v>
      </c>
      <c r="C2706" s="1" t="n">
        <v>45472</v>
      </c>
      <c r="D2706" t="inlineStr">
        <is>
          <t>VÄSTERBOTTENS LÄN</t>
        </is>
      </c>
      <c r="E2706" t="inlineStr">
        <is>
          <t>SKELLEFTEÅ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6018-2024</t>
        </is>
      </c>
      <c r="B2707" s="1" t="n">
        <v>45336</v>
      </c>
      <c r="C2707" s="1" t="n">
        <v>45472</v>
      </c>
      <c r="D2707" t="inlineStr">
        <is>
          <t>VÄSTERBOTTENS LÄN</t>
        </is>
      </c>
      <c r="E2707" t="inlineStr">
        <is>
          <t>SKELLEFTEÅ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6078-2024</t>
        </is>
      </c>
      <c r="B2708" s="1" t="n">
        <v>45336</v>
      </c>
      <c r="C2708" s="1" t="n">
        <v>45472</v>
      </c>
      <c r="D2708" t="inlineStr">
        <is>
          <t>VÄSTERBOTTENS LÄN</t>
        </is>
      </c>
      <c r="E2708" t="inlineStr">
        <is>
          <t>SKELLEFTEÅ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6244-2024</t>
        </is>
      </c>
      <c r="B2709" s="1" t="n">
        <v>45337</v>
      </c>
      <c r="C2709" s="1" t="n">
        <v>45472</v>
      </c>
      <c r="D2709" t="inlineStr">
        <is>
          <t>VÄSTERBOTTENS LÄN</t>
        </is>
      </c>
      <c r="E2709" t="inlineStr">
        <is>
          <t>SKELLEFTEÅ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6398-2024</t>
        </is>
      </c>
      <c r="B2710" s="1" t="n">
        <v>45338</v>
      </c>
      <c r="C2710" s="1" t="n">
        <v>45472</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6420-2024</t>
        </is>
      </c>
      <c r="B2711" s="1" t="n">
        <v>45338</v>
      </c>
      <c r="C2711" s="1" t="n">
        <v>45472</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6428-2024</t>
        </is>
      </c>
      <c r="B2712" s="1" t="n">
        <v>45338</v>
      </c>
      <c r="C2712" s="1" t="n">
        <v>45472</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6422-2024</t>
        </is>
      </c>
      <c r="B2713" s="1" t="n">
        <v>45338</v>
      </c>
      <c r="C2713" s="1" t="n">
        <v>45472</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6448-2024</t>
        </is>
      </c>
      <c r="B2714" s="1" t="n">
        <v>45338</v>
      </c>
      <c r="C2714" s="1" t="n">
        <v>45472</v>
      </c>
      <c r="D2714" t="inlineStr">
        <is>
          <t>VÄSTERBOTTENS LÄN</t>
        </is>
      </c>
      <c r="E2714" t="inlineStr">
        <is>
          <t>SKELLEFTEÅ</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6435-2024</t>
        </is>
      </c>
      <c r="B2715" s="1" t="n">
        <v>45338</v>
      </c>
      <c r="C2715" s="1" t="n">
        <v>45472</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6710-2024</t>
        </is>
      </c>
      <c r="B2716" s="1" t="n">
        <v>45341</v>
      </c>
      <c r="C2716" s="1" t="n">
        <v>45472</v>
      </c>
      <c r="D2716" t="inlineStr">
        <is>
          <t>VÄSTERBOTTENS LÄN</t>
        </is>
      </c>
      <c r="E2716" t="inlineStr">
        <is>
          <t>SKELLEFTEÅ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6723-2024</t>
        </is>
      </c>
      <c r="B2717" s="1" t="n">
        <v>45342</v>
      </c>
      <c r="C2717" s="1" t="n">
        <v>45472</v>
      </c>
      <c r="D2717" t="inlineStr">
        <is>
          <t>VÄSTERBOTTENS LÄN</t>
        </is>
      </c>
      <c r="E2717" t="inlineStr">
        <is>
          <t>SKELLEFTEÅ</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6720-2024</t>
        </is>
      </c>
      <c r="B2718" s="1" t="n">
        <v>45342</v>
      </c>
      <c r="C2718" s="1" t="n">
        <v>45472</v>
      </c>
      <c r="D2718" t="inlineStr">
        <is>
          <t>VÄSTERBOTTENS LÄN</t>
        </is>
      </c>
      <c r="E2718" t="inlineStr">
        <is>
          <t>SKELLEFTEÅ</t>
        </is>
      </c>
      <c r="F2718" t="inlineStr">
        <is>
          <t>Sveaskog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6704-2024</t>
        </is>
      </c>
      <c r="B2719" s="1" t="n">
        <v>45342</v>
      </c>
      <c r="C2719" s="1" t="n">
        <v>45472</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6931-2024</t>
        </is>
      </c>
      <c r="B2720" s="1" t="n">
        <v>45343</v>
      </c>
      <c r="C2720" s="1" t="n">
        <v>45472</v>
      </c>
      <c r="D2720" t="inlineStr">
        <is>
          <t>VÄSTERBOTTENS LÄN</t>
        </is>
      </c>
      <c r="E2720" t="inlineStr">
        <is>
          <t>SKELLEFTEÅ</t>
        </is>
      </c>
      <c r="F2720" t="inlineStr">
        <is>
          <t>Holmen skog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7225-2024</t>
        </is>
      </c>
      <c r="B2721" s="1" t="n">
        <v>45344</v>
      </c>
      <c r="C2721" s="1" t="n">
        <v>45472</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7255-2024</t>
        </is>
      </c>
      <c r="B2722" s="1" t="n">
        <v>45344</v>
      </c>
      <c r="C2722" s="1" t="n">
        <v>45472</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7256-2024</t>
        </is>
      </c>
      <c r="B2723" s="1" t="n">
        <v>45344</v>
      </c>
      <c r="C2723" s="1" t="n">
        <v>45472</v>
      </c>
      <c r="D2723" t="inlineStr">
        <is>
          <t>VÄSTERBOTTENS LÄN</t>
        </is>
      </c>
      <c r="E2723" t="inlineStr">
        <is>
          <t>SKELLEFTEÅ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7668-2024</t>
        </is>
      </c>
      <c r="B2724" s="1" t="n">
        <v>45348</v>
      </c>
      <c r="C2724" s="1" t="n">
        <v>45472</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7742-2024</t>
        </is>
      </c>
      <c r="B2725" s="1" t="n">
        <v>45348</v>
      </c>
      <c r="C2725" s="1" t="n">
        <v>45472</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7767-2024</t>
        </is>
      </c>
      <c r="B2726" s="1" t="n">
        <v>45348</v>
      </c>
      <c r="C2726" s="1" t="n">
        <v>45472</v>
      </c>
      <c r="D2726" t="inlineStr">
        <is>
          <t>VÄSTERBOTTENS LÄN</t>
        </is>
      </c>
      <c r="E2726" t="inlineStr">
        <is>
          <t>SKELLEFTEÅ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7766-2024</t>
        </is>
      </c>
      <c r="B2727" s="1" t="n">
        <v>45348</v>
      </c>
      <c r="C2727" s="1" t="n">
        <v>45472</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7745-2024</t>
        </is>
      </c>
      <c r="B2728" s="1" t="n">
        <v>45348</v>
      </c>
      <c r="C2728" s="1" t="n">
        <v>45472</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7800-2024</t>
        </is>
      </c>
      <c r="B2729" s="1" t="n">
        <v>45348</v>
      </c>
      <c r="C2729" s="1" t="n">
        <v>45472</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7832-2024</t>
        </is>
      </c>
      <c r="B2730" s="1" t="n">
        <v>45349</v>
      </c>
      <c r="C2730" s="1" t="n">
        <v>45472</v>
      </c>
      <c r="D2730" t="inlineStr">
        <is>
          <t>VÄSTERBOTTENS LÄN</t>
        </is>
      </c>
      <c r="E2730" t="inlineStr">
        <is>
          <t>SKELLEFTEÅ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7872-2024</t>
        </is>
      </c>
      <c r="B2731" s="1" t="n">
        <v>45349</v>
      </c>
      <c r="C2731" s="1" t="n">
        <v>45472</v>
      </c>
      <c r="D2731" t="inlineStr">
        <is>
          <t>VÄSTERBOTTENS LÄN</t>
        </is>
      </c>
      <c r="E2731" t="inlineStr">
        <is>
          <t>SKELLEFTEÅ</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7831-2024</t>
        </is>
      </c>
      <c r="B2732" s="1" t="n">
        <v>45349</v>
      </c>
      <c r="C2732" s="1" t="n">
        <v>45472</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7884-2024</t>
        </is>
      </c>
      <c r="B2733" s="1" t="n">
        <v>45349</v>
      </c>
      <c r="C2733" s="1" t="n">
        <v>45472</v>
      </c>
      <c r="D2733" t="inlineStr">
        <is>
          <t>VÄSTERBOTTENS LÄN</t>
        </is>
      </c>
      <c r="E2733" t="inlineStr">
        <is>
          <t>SKELLEFTEÅ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7943-2024</t>
        </is>
      </c>
      <c r="B2734" s="1" t="n">
        <v>45350</v>
      </c>
      <c r="C2734" s="1" t="n">
        <v>45472</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8532-2024</t>
        </is>
      </c>
      <c r="B2735" s="1" t="n">
        <v>45351</v>
      </c>
      <c r="C2735" s="1" t="n">
        <v>45472</v>
      </c>
      <c r="D2735" t="inlineStr">
        <is>
          <t>VÄSTERBOTTENS LÄN</t>
        </is>
      </c>
      <c r="E2735" t="inlineStr">
        <is>
          <t>SKELLEFTEÅ</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8082-2024</t>
        </is>
      </c>
      <c r="B2736" s="1" t="n">
        <v>45351</v>
      </c>
      <c r="C2736" s="1" t="n">
        <v>45472</v>
      </c>
      <c r="D2736" t="inlineStr">
        <is>
          <t>VÄSTERBOTTENS LÄN</t>
        </is>
      </c>
      <c r="E2736" t="inlineStr">
        <is>
          <t>SKELLEFTEÅ</t>
        </is>
      </c>
      <c r="G2736" t="n">
        <v>18.9</v>
      </c>
      <c r="H2736" t="n">
        <v>0</v>
      </c>
      <c r="I2736" t="n">
        <v>0</v>
      </c>
      <c r="J2736" t="n">
        <v>0</v>
      </c>
      <c r="K2736" t="n">
        <v>0</v>
      </c>
      <c r="L2736" t="n">
        <v>0</v>
      </c>
      <c r="M2736" t="n">
        <v>0</v>
      </c>
      <c r="N2736" t="n">
        <v>0</v>
      </c>
      <c r="O2736" t="n">
        <v>0</v>
      </c>
      <c r="P2736" t="n">
        <v>0</v>
      </c>
      <c r="Q2736" t="n">
        <v>0</v>
      </c>
      <c r="R2736" s="2" t="inlineStr"/>
    </row>
    <row r="2737" ht="15" customHeight="1">
      <c r="A2737" t="inlineStr">
        <is>
          <t>A 8341-2024</t>
        </is>
      </c>
      <c r="B2737" s="1" t="n">
        <v>45351</v>
      </c>
      <c r="C2737" s="1" t="n">
        <v>45472</v>
      </c>
      <c r="D2737" t="inlineStr">
        <is>
          <t>VÄSTERBOTTENS LÄN</t>
        </is>
      </c>
      <c r="E2737" t="inlineStr">
        <is>
          <t>SKELLEFTEÅ</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8569-2024</t>
        </is>
      </c>
      <c r="B2738" s="1" t="n">
        <v>45351</v>
      </c>
      <c r="C2738" s="1" t="n">
        <v>45472</v>
      </c>
      <c r="D2738" t="inlineStr">
        <is>
          <t>VÄSTERBOTTENS LÄN</t>
        </is>
      </c>
      <c r="E2738" t="inlineStr">
        <is>
          <t>SKELLEFTEÅ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8566-2024</t>
        </is>
      </c>
      <c r="B2739" s="1" t="n">
        <v>45355</v>
      </c>
      <c r="C2739" s="1" t="n">
        <v>45472</v>
      </c>
      <c r="D2739" t="inlineStr">
        <is>
          <t>VÄSTERBOTTENS LÄN</t>
        </is>
      </c>
      <c r="E2739" t="inlineStr">
        <is>
          <t>SKELLEFTEÅ</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8920-2024</t>
        </is>
      </c>
      <c r="B2740" s="1" t="n">
        <v>45357</v>
      </c>
      <c r="C2740" s="1" t="n">
        <v>45472</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8927-2024</t>
        </is>
      </c>
      <c r="B2741" s="1" t="n">
        <v>45357</v>
      </c>
      <c r="C2741" s="1" t="n">
        <v>45472</v>
      </c>
      <c r="D2741" t="inlineStr">
        <is>
          <t>VÄSTERBOTTENS LÄN</t>
        </is>
      </c>
      <c r="E2741" t="inlineStr">
        <is>
          <t>SKELLEFTEÅ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8924-2024</t>
        </is>
      </c>
      <c r="B2742" s="1" t="n">
        <v>45357</v>
      </c>
      <c r="C2742" s="1" t="n">
        <v>45472</v>
      </c>
      <c r="D2742" t="inlineStr">
        <is>
          <t>VÄSTERBOTTENS LÄN</t>
        </is>
      </c>
      <c r="E2742" t="inlineStr">
        <is>
          <t>SKELLEFTEÅ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8928-2024</t>
        </is>
      </c>
      <c r="B2743" s="1" t="n">
        <v>45357</v>
      </c>
      <c r="C2743" s="1" t="n">
        <v>45472</v>
      </c>
      <c r="D2743" t="inlineStr">
        <is>
          <t>VÄSTERBOTTENS LÄN</t>
        </is>
      </c>
      <c r="E2743" t="inlineStr">
        <is>
          <t>SKELLEFTEÅ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8932-2024</t>
        </is>
      </c>
      <c r="B2744" s="1" t="n">
        <v>45357</v>
      </c>
      <c r="C2744" s="1" t="n">
        <v>45472</v>
      </c>
      <c r="D2744" t="inlineStr">
        <is>
          <t>VÄSTERBOTTENS LÄN</t>
        </is>
      </c>
      <c r="E2744" t="inlineStr">
        <is>
          <t>SKELLEFTEÅ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8919-2024</t>
        </is>
      </c>
      <c r="B2745" s="1" t="n">
        <v>45357</v>
      </c>
      <c r="C2745" s="1" t="n">
        <v>45472</v>
      </c>
      <c r="D2745" t="inlineStr">
        <is>
          <t>VÄSTERBOTTENS LÄN</t>
        </is>
      </c>
      <c r="E2745" t="inlineStr">
        <is>
          <t>SKELLEFTEÅ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9233-2024</t>
        </is>
      </c>
      <c r="B2746" s="1" t="n">
        <v>45358</v>
      </c>
      <c r="C2746" s="1" t="n">
        <v>45472</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9162-2024</t>
        </is>
      </c>
      <c r="B2747" s="1" t="n">
        <v>45358</v>
      </c>
      <c r="C2747" s="1" t="n">
        <v>45472</v>
      </c>
      <c r="D2747" t="inlineStr">
        <is>
          <t>VÄSTERBOTTENS LÄN</t>
        </is>
      </c>
      <c r="E2747" t="inlineStr">
        <is>
          <t>SKELLEFTEÅ</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9228-2024</t>
        </is>
      </c>
      <c r="B2748" s="1" t="n">
        <v>45358</v>
      </c>
      <c r="C2748" s="1" t="n">
        <v>45472</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9207-2024</t>
        </is>
      </c>
      <c r="B2749" s="1" t="n">
        <v>45358</v>
      </c>
      <c r="C2749" s="1" t="n">
        <v>45472</v>
      </c>
      <c r="D2749" t="inlineStr">
        <is>
          <t>VÄSTERBOTTENS LÄN</t>
        </is>
      </c>
      <c r="E2749" t="inlineStr">
        <is>
          <t>SKELLEFTEÅ</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9466-2024</t>
        </is>
      </c>
      <c r="B2750" s="1" t="n">
        <v>45359</v>
      </c>
      <c r="C2750" s="1" t="n">
        <v>45472</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9364-2024</t>
        </is>
      </c>
      <c r="B2751" s="1" t="n">
        <v>45359</v>
      </c>
      <c r="C2751" s="1" t="n">
        <v>45472</v>
      </c>
      <c r="D2751" t="inlineStr">
        <is>
          <t>VÄSTERBOTTENS LÄN</t>
        </is>
      </c>
      <c r="E2751" t="inlineStr">
        <is>
          <t>SKELLEFTEÅ</t>
        </is>
      </c>
      <c r="G2751" t="n">
        <v>14.3</v>
      </c>
      <c r="H2751" t="n">
        <v>0</v>
      </c>
      <c r="I2751" t="n">
        <v>0</v>
      </c>
      <c r="J2751" t="n">
        <v>0</v>
      </c>
      <c r="K2751" t="n">
        <v>0</v>
      </c>
      <c r="L2751" t="n">
        <v>0</v>
      </c>
      <c r="M2751" t="n">
        <v>0</v>
      </c>
      <c r="N2751" t="n">
        <v>0</v>
      </c>
      <c r="O2751" t="n">
        <v>0</v>
      </c>
      <c r="P2751" t="n">
        <v>0</v>
      </c>
      <c r="Q2751" t="n">
        <v>0</v>
      </c>
      <c r="R2751" s="2" t="inlineStr"/>
    </row>
    <row r="2752" ht="15" customHeight="1">
      <c r="A2752" t="inlineStr">
        <is>
          <t>A 9425-2024</t>
        </is>
      </c>
      <c r="B2752" s="1" t="n">
        <v>45359</v>
      </c>
      <c r="C2752" s="1" t="n">
        <v>45472</v>
      </c>
      <c r="D2752" t="inlineStr">
        <is>
          <t>VÄSTERBOTTENS LÄN</t>
        </is>
      </c>
      <c r="E2752" t="inlineStr">
        <is>
          <t>SKELLEFTEÅ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9465-2024</t>
        </is>
      </c>
      <c r="B2753" s="1" t="n">
        <v>45359</v>
      </c>
      <c r="C2753" s="1" t="n">
        <v>45472</v>
      </c>
      <c r="D2753" t="inlineStr">
        <is>
          <t>VÄSTERBOTTENS LÄN</t>
        </is>
      </c>
      <c r="E2753" t="inlineStr">
        <is>
          <t>SKELLEFTEÅ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9470-2024</t>
        </is>
      </c>
      <c r="B2754" s="1" t="n">
        <v>45359</v>
      </c>
      <c r="C2754" s="1" t="n">
        <v>45472</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9717-2024</t>
        </is>
      </c>
      <c r="B2755" s="1" t="n">
        <v>45362</v>
      </c>
      <c r="C2755" s="1" t="n">
        <v>45472</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9711-2024</t>
        </is>
      </c>
      <c r="B2756" s="1" t="n">
        <v>45362</v>
      </c>
      <c r="C2756" s="1" t="n">
        <v>45472</v>
      </c>
      <c r="D2756" t="inlineStr">
        <is>
          <t>VÄSTERBOTTENS LÄN</t>
        </is>
      </c>
      <c r="E2756" t="inlineStr">
        <is>
          <t>SKELLEFTEÅ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9807-2024</t>
        </is>
      </c>
      <c r="B2757" s="1" t="n">
        <v>45362</v>
      </c>
      <c r="C2757" s="1" t="n">
        <v>45472</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9897-2024</t>
        </is>
      </c>
      <c r="B2758" s="1" t="n">
        <v>45363</v>
      </c>
      <c r="C2758" s="1" t="n">
        <v>45472</v>
      </c>
      <c r="D2758" t="inlineStr">
        <is>
          <t>VÄSTERBOTTENS LÄN</t>
        </is>
      </c>
      <c r="E2758" t="inlineStr">
        <is>
          <t>SKELLEFTEÅ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9983-2024</t>
        </is>
      </c>
      <c r="B2759" s="1" t="n">
        <v>45363</v>
      </c>
      <c r="C2759" s="1" t="n">
        <v>45472</v>
      </c>
      <c r="D2759" t="inlineStr">
        <is>
          <t>VÄSTERBOTTENS LÄN</t>
        </is>
      </c>
      <c r="E2759" t="inlineStr">
        <is>
          <t>SKELLEFTEÅ</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10340-2024</t>
        </is>
      </c>
      <c r="B2760" s="1" t="n">
        <v>45365</v>
      </c>
      <c r="C2760" s="1" t="n">
        <v>45472</v>
      </c>
      <c r="D2760" t="inlineStr">
        <is>
          <t>VÄSTERBOTTENS LÄN</t>
        </is>
      </c>
      <c r="E2760" t="inlineStr">
        <is>
          <t>SKELLEFTEÅ</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10250-2024</t>
        </is>
      </c>
      <c r="B2761" s="1" t="n">
        <v>45365</v>
      </c>
      <c r="C2761" s="1" t="n">
        <v>45472</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10343-2024</t>
        </is>
      </c>
      <c r="B2762" s="1" t="n">
        <v>45365</v>
      </c>
      <c r="C2762" s="1" t="n">
        <v>45472</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10604-2024</t>
        </is>
      </c>
      <c r="B2763" s="1" t="n">
        <v>45366</v>
      </c>
      <c r="C2763" s="1" t="n">
        <v>45472</v>
      </c>
      <c r="D2763" t="inlineStr">
        <is>
          <t>VÄSTERBOTTENS LÄN</t>
        </is>
      </c>
      <c r="E2763" t="inlineStr">
        <is>
          <t>SKELLEFTEÅ</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10655-2024</t>
        </is>
      </c>
      <c r="B2764" s="1" t="n">
        <v>45368</v>
      </c>
      <c r="C2764" s="1" t="n">
        <v>45472</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10719-2024</t>
        </is>
      </c>
      <c r="B2765" s="1" t="n">
        <v>45369</v>
      </c>
      <c r="C2765" s="1" t="n">
        <v>45472</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10825-2024</t>
        </is>
      </c>
      <c r="B2766" s="1" t="n">
        <v>45369</v>
      </c>
      <c r="C2766" s="1" t="n">
        <v>45472</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10693-2024</t>
        </is>
      </c>
      <c r="B2767" s="1" t="n">
        <v>45369</v>
      </c>
      <c r="C2767" s="1" t="n">
        <v>45472</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10659-2024</t>
        </is>
      </c>
      <c r="B2768" s="1" t="n">
        <v>45369</v>
      </c>
      <c r="C2768" s="1" t="n">
        <v>45472</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10879-2024</t>
        </is>
      </c>
      <c r="B2769" s="1" t="n">
        <v>45370</v>
      </c>
      <c r="C2769" s="1" t="n">
        <v>45472</v>
      </c>
      <c r="D2769" t="inlineStr">
        <is>
          <t>VÄSTERBOTTENS LÄN</t>
        </is>
      </c>
      <c r="E2769" t="inlineStr">
        <is>
          <t>SKELLEFTEÅ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10883-2024</t>
        </is>
      </c>
      <c r="B2770" s="1" t="n">
        <v>45370</v>
      </c>
      <c r="C2770" s="1" t="n">
        <v>45472</v>
      </c>
      <c r="D2770" t="inlineStr">
        <is>
          <t>VÄSTERBOTTENS LÄN</t>
        </is>
      </c>
      <c r="E2770" t="inlineStr">
        <is>
          <t>SKELLEFTEÅ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10893-2024</t>
        </is>
      </c>
      <c r="B2771" s="1" t="n">
        <v>45370</v>
      </c>
      <c r="C2771" s="1" t="n">
        <v>45472</v>
      </c>
      <c r="D2771" t="inlineStr">
        <is>
          <t>VÄSTERBOTTENS LÄN</t>
        </is>
      </c>
      <c r="E2771" t="inlineStr">
        <is>
          <t>SKELLEFTEÅ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10886-2024</t>
        </is>
      </c>
      <c r="B2772" s="1" t="n">
        <v>45370</v>
      </c>
      <c r="C2772" s="1" t="n">
        <v>45472</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10892-2024</t>
        </is>
      </c>
      <c r="B2773" s="1" t="n">
        <v>45370</v>
      </c>
      <c r="C2773" s="1" t="n">
        <v>45472</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10900-2024</t>
        </is>
      </c>
      <c r="B2774" s="1" t="n">
        <v>45370</v>
      </c>
      <c r="C2774" s="1" t="n">
        <v>45472</v>
      </c>
      <c r="D2774" t="inlineStr">
        <is>
          <t>VÄSTERBOTTENS LÄN</t>
        </is>
      </c>
      <c r="E2774" t="inlineStr">
        <is>
          <t>SKELLEFTEÅ</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11027-2024</t>
        </is>
      </c>
      <c r="B2775" s="1" t="n">
        <v>45370</v>
      </c>
      <c r="C2775" s="1" t="n">
        <v>45472</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11025-2024</t>
        </is>
      </c>
      <c r="B2776" s="1" t="n">
        <v>45370</v>
      </c>
      <c r="C2776" s="1" t="n">
        <v>45472</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11082-2024</t>
        </is>
      </c>
      <c r="B2777" s="1" t="n">
        <v>45370</v>
      </c>
      <c r="C2777" s="1" t="n">
        <v>45472</v>
      </c>
      <c r="D2777" t="inlineStr">
        <is>
          <t>VÄSTERBOTTENS LÄN</t>
        </is>
      </c>
      <c r="E2777" t="inlineStr">
        <is>
          <t>SKELLEFTEÅ</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11078-2024</t>
        </is>
      </c>
      <c r="B2778" s="1" t="n">
        <v>45370</v>
      </c>
      <c r="C2778" s="1" t="n">
        <v>45472</v>
      </c>
      <c r="D2778" t="inlineStr">
        <is>
          <t>VÄSTERBOTTENS LÄN</t>
        </is>
      </c>
      <c r="E2778" t="inlineStr">
        <is>
          <t>SKELLEFTEÅ</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10911-2024</t>
        </is>
      </c>
      <c r="B2779" s="1" t="n">
        <v>45370</v>
      </c>
      <c r="C2779" s="1" t="n">
        <v>45472</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11079-2024</t>
        </is>
      </c>
      <c r="B2780" s="1" t="n">
        <v>45370</v>
      </c>
      <c r="C2780" s="1" t="n">
        <v>45472</v>
      </c>
      <c r="D2780" t="inlineStr">
        <is>
          <t>VÄSTERBOTTENS LÄN</t>
        </is>
      </c>
      <c r="E2780" t="inlineStr">
        <is>
          <t>SKELLEFTEÅ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11081-2024</t>
        </is>
      </c>
      <c r="B2781" s="1" t="n">
        <v>45370</v>
      </c>
      <c r="C2781" s="1" t="n">
        <v>45472</v>
      </c>
      <c r="D2781" t="inlineStr">
        <is>
          <t>VÄSTERBOTTENS LÄN</t>
        </is>
      </c>
      <c r="E2781" t="inlineStr">
        <is>
          <t>SKELLEFTEÅ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11076-2024</t>
        </is>
      </c>
      <c r="B2782" s="1" t="n">
        <v>45370</v>
      </c>
      <c r="C2782" s="1" t="n">
        <v>45472</v>
      </c>
      <c r="D2782" t="inlineStr">
        <is>
          <t>VÄSTERBOTTENS LÄN</t>
        </is>
      </c>
      <c r="E2782" t="inlineStr">
        <is>
          <t>SKELLEFTEÅ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11077-2024</t>
        </is>
      </c>
      <c r="B2783" s="1" t="n">
        <v>45370</v>
      </c>
      <c r="C2783" s="1" t="n">
        <v>45472</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11130-2024</t>
        </is>
      </c>
      <c r="B2784" s="1" t="n">
        <v>45371</v>
      </c>
      <c r="C2784" s="1" t="n">
        <v>45472</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11313-2024</t>
        </is>
      </c>
      <c r="B2785" s="1" t="n">
        <v>45371</v>
      </c>
      <c r="C2785" s="1" t="n">
        <v>45472</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11490-2024</t>
        </is>
      </c>
      <c r="B2786" s="1" t="n">
        <v>45372</v>
      </c>
      <c r="C2786" s="1" t="n">
        <v>45472</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11527-2024</t>
        </is>
      </c>
      <c r="B2787" s="1" t="n">
        <v>45372</v>
      </c>
      <c r="C2787" s="1" t="n">
        <v>45472</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11528-2024</t>
        </is>
      </c>
      <c r="B2788" s="1" t="n">
        <v>45372</v>
      </c>
      <c r="C2788" s="1" t="n">
        <v>45472</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11526-2024</t>
        </is>
      </c>
      <c r="B2789" s="1" t="n">
        <v>45372</v>
      </c>
      <c r="C2789" s="1" t="n">
        <v>45472</v>
      </c>
      <c r="D2789" t="inlineStr">
        <is>
          <t>VÄSTERBOTTENS LÄN</t>
        </is>
      </c>
      <c r="E2789" t="inlineStr">
        <is>
          <t>SKELLEFTEÅ</t>
        </is>
      </c>
      <c r="G2789" t="n">
        <v>21.4</v>
      </c>
      <c r="H2789" t="n">
        <v>0</v>
      </c>
      <c r="I2789" t="n">
        <v>0</v>
      </c>
      <c r="J2789" t="n">
        <v>0</v>
      </c>
      <c r="K2789" t="n">
        <v>0</v>
      </c>
      <c r="L2789" t="n">
        <v>0</v>
      </c>
      <c r="M2789" t="n">
        <v>0</v>
      </c>
      <c r="N2789" t="n">
        <v>0</v>
      </c>
      <c r="O2789" t="n">
        <v>0</v>
      </c>
      <c r="P2789" t="n">
        <v>0</v>
      </c>
      <c r="Q2789" t="n">
        <v>0</v>
      </c>
      <c r="R2789" s="2" t="inlineStr"/>
    </row>
    <row r="2790" ht="15" customHeight="1">
      <c r="A2790" t="inlineStr">
        <is>
          <t>A 11525-2024</t>
        </is>
      </c>
      <c r="B2790" s="1" t="n">
        <v>45372</v>
      </c>
      <c r="C2790" s="1" t="n">
        <v>45472</v>
      </c>
      <c r="D2790" t="inlineStr">
        <is>
          <t>VÄSTERBOTTENS LÄN</t>
        </is>
      </c>
      <c r="E2790" t="inlineStr">
        <is>
          <t>SKELLEFTEÅ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11529-2024</t>
        </is>
      </c>
      <c r="B2791" s="1" t="n">
        <v>45372</v>
      </c>
      <c r="C2791" s="1" t="n">
        <v>45472</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11875-2024</t>
        </is>
      </c>
      <c r="B2792" s="1" t="n">
        <v>45376</v>
      </c>
      <c r="C2792" s="1" t="n">
        <v>45472</v>
      </c>
      <c r="D2792" t="inlineStr">
        <is>
          <t>VÄSTERBOTTENS LÄN</t>
        </is>
      </c>
      <c r="E2792" t="inlineStr">
        <is>
          <t>SKELLEFTEÅ</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12073-2024</t>
        </is>
      </c>
      <c r="B2793" s="1" t="n">
        <v>45376</v>
      </c>
      <c r="C2793" s="1" t="n">
        <v>45472</v>
      </c>
      <c r="D2793" t="inlineStr">
        <is>
          <t>VÄSTERBOTTENS LÄN</t>
        </is>
      </c>
      <c r="E2793" t="inlineStr">
        <is>
          <t>SKELLEFTEÅ</t>
        </is>
      </c>
      <c r="G2793" t="n">
        <v>41.5</v>
      </c>
      <c r="H2793" t="n">
        <v>0</v>
      </c>
      <c r="I2793" t="n">
        <v>0</v>
      </c>
      <c r="J2793" t="n">
        <v>0</v>
      </c>
      <c r="K2793" t="n">
        <v>0</v>
      </c>
      <c r="L2793" t="n">
        <v>0</v>
      </c>
      <c r="M2793" t="n">
        <v>0</v>
      </c>
      <c r="N2793" t="n">
        <v>0</v>
      </c>
      <c r="O2793" t="n">
        <v>0</v>
      </c>
      <c r="P2793" t="n">
        <v>0</v>
      </c>
      <c r="Q2793" t="n">
        <v>0</v>
      </c>
      <c r="R2793" s="2" t="inlineStr"/>
    </row>
    <row r="2794" ht="15" customHeight="1">
      <c r="A2794" t="inlineStr">
        <is>
          <t>A 12112-2024</t>
        </is>
      </c>
      <c r="B2794" s="1" t="n">
        <v>45376</v>
      </c>
      <c r="C2794" s="1" t="n">
        <v>45472</v>
      </c>
      <c r="D2794" t="inlineStr">
        <is>
          <t>VÄSTERBOTTENS LÄN</t>
        </is>
      </c>
      <c r="E2794" t="inlineStr">
        <is>
          <t>SKELLEFTEÅ</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12007-2024</t>
        </is>
      </c>
      <c r="B2795" s="1" t="n">
        <v>45377</v>
      </c>
      <c r="C2795" s="1" t="n">
        <v>45472</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12045-2024</t>
        </is>
      </c>
      <c r="B2796" s="1" t="n">
        <v>45377</v>
      </c>
      <c r="C2796" s="1" t="n">
        <v>45472</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12004-2024</t>
        </is>
      </c>
      <c r="B2797" s="1" t="n">
        <v>45377</v>
      </c>
      <c r="C2797" s="1" t="n">
        <v>45472</v>
      </c>
      <c r="D2797" t="inlineStr">
        <is>
          <t>VÄSTERBOTTENS LÄN</t>
        </is>
      </c>
      <c r="E2797" t="inlineStr">
        <is>
          <t>SKELLEFTEÅ</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12537-2024</t>
        </is>
      </c>
      <c r="B2798" s="1" t="n">
        <v>45379</v>
      </c>
      <c r="C2798" s="1" t="n">
        <v>45472</v>
      </c>
      <c r="D2798" t="inlineStr">
        <is>
          <t>VÄSTERBOTTENS LÄN</t>
        </is>
      </c>
      <c r="E2798" t="inlineStr">
        <is>
          <t>SKELLEFTEÅ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12515-2024</t>
        </is>
      </c>
      <c r="B2799" s="1" t="n">
        <v>45379</v>
      </c>
      <c r="C2799" s="1" t="n">
        <v>45472</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12763-2024</t>
        </is>
      </c>
      <c r="B2800" s="1" t="n">
        <v>45384</v>
      </c>
      <c r="C2800" s="1" t="n">
        <v>45472</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12771-2024</t>
        </is>
      </c>
      <c r="B2801" s="1" t="n">
        <v>45384</v>
      </c>
      <c r="C2801" s="1" t="n">
        <v>45472</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12804-2024</t>
        </is>
      </c>
      <c r="B2802" s="1" t="n">
        <v>45384</v>
      </c>
      <c r="C2802" s="1" t="n">
        <v>45472</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12798-2024</t>
        </is>
      </c>
      <c r="B2803" s="1" t="n">
        <v>45384</v>
      </c>
      <c r="C2803" s="1" t="n">
        <v>45472</v>
      </c>
      <c r="D2803" t="inlineStr">
        <is>
          <t>VÄSTERBOTTENS LÄN</t>
        </is>
      </c>
      <c r="E2803" t="inlineStr">
        <is>
          <t>SKELLEFTEÅ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12759-2024</t>
        </is>
      </c>
      <c r="B2804" s="1" t="n">
        <v>45384</v>
      </c>
      <c r="C2804" s="1" t="n">
        <v>45472</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12772-2024</t>
        </is>
      </c>
      <c r="B2805" s="1" t="n">
        <v>45384</v>
      </c>
      <c r="C2805" s="1" t="n">
        <v>45472</v>
      </c>
      <c r="D2805" t="inlineStr">
        <is>
          <t>VÄSTERBOTTENS LÄN</t>
        </is>
      </c>
      <c r="E2805" t="inlineStr">
        <is>
          <t>SKELLEFTEÅ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12801-2024</t>
        </is>
      </c>
      <c r="B2806" s="1" t="n">
        <v>45384</v>
      </c>
      <c r="C2806" s="1" t="n">
        <v>45472</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13270-2024</t>
        </is>
      </c>
      <c r="B2807" s="1" t="n">
        <v>45386</v>
      </c>
      <c r="C2807" s="1" t="n">
        <v>45472</v>
      </c>
      <c r="D2807" t="inlineStr">
        <is>
          <t>VÄSTERBOTTENS LÄN</t>
        </is>
      </c>
      <c r="E2807" t="inlineStr">
        <is>
          <t>SKELLEFTEÅ</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13267-2024</t>
        </is>
      </c>
      <c r="B2808" s="1" t="n">
        <v>45386</v>
      </c>
      <c r="C2808" s="1" t="n">
        <v>45472</v>
      </c>
      <c r="D2808" t="inlineStr">
        <is>
          <t>VÄSTERBOTTENS LÄN</t>
        </is>
      </c>
      <c r="E2808" t="inlineStr">
        <is>
          <t>SKELLEFTEÅ</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13257-2024</t>
        </is>
      </c>
      <c r="B2809" s="1" t="n">
        <v>45386</v>
      </c>
      <c r="C2809" s="1" t="n">
        <v>45472</v>
      </c>
      <c r="D2809" t="inlineStr">
        <is>
          <t>VÄSTERBOTTENS LÄN</t>
        </is>
      </c>
      <c r="E2809" t="inlineStr">
        <is>
          <t>SKELLEFTEÅ</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13298-2024</t>
        </is>
      </c>
      <c r="B2810" s="1" t="n">
        <v>45386</v>
      </c>
      <c r="C2810" s="1" t="n">
        <v>45472</v>
      </c>
      <c r="D2810" t="inlineStr">
        <is>
          <t>VÄSTERBOTTENS LÄN</t>
        </is>
      </c>
      <c r="E2810" t="inlineStr">
        <is>
          <t>SKELLEFTEÅ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13330-2024</t>
        </is>
      </c>
      <c r="B2811" s="1" t="n">
        <v>45386</v>
      </c>
      <c r="C2811" s="1" t="n">
        <v>45472</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13467-2024</t>
        </is>
      </c>
      <c r="B2812" s="1" t="n">
        <v>45387</v>
      </c>
      <c r="C2812" s="1" t="n">
        <v>45472</v>
      </c>
      <c r="D2812" t="inlineStr">
        <is>
          <t>VÄSTERBOTTENS LÄN</t>
        </is>
      </c>
      <c r="E2812" t="inlineStr">
        <is>
          <t>SKELLEFTEÅ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13920-2024</t>
        </is>
      </c>
      <c r="B2813" s="1" t="n">
        <v>45391</v>
      </c>
      <c r="C2813" s="1" t="n">
        <v>45472</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14227-2024</t>
        </is>
      </c>
      <c r="B2814" s="1" t="n">
        <v>45393</v>
      </c>
      <c r="C2814" s="1" t="n">
        <v>45472</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14232-2024</t>
        </is>
      </c>
      <c r="B2815" s="1" t="n">
        <v>45393</v>
      </c>
      <c r="C2815" s="1" t="n">
        <v>45472</v>
      </c>
      <c r="D2815" t="inlineStr">
        <is>
          <t>VÄSTERBOTTENS LÄN</t>
        </is>
      </c>
      <c r="E2815" t="inlineStr">
        <is>
          <t>SKELLEFTEÅ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14342-2024</t>
        </is>
      </c>
      <c r="B2816" s="1" t="n">
        <v>45393</v>
      </c>
      <c r="C2816" s="1" t="n">
        <v>45472</v>
      </c>
      <c r="D2816" t="inlineStr">
        <is>
          <t>VÄSTERBOTTENS LÄN</t>
        </is>
      </c>
      <c r="E2816" t="inlineStr">
        <is>
          <t>SKELLEFTEÅ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14653-2024</t>
        </is>
      </c>
      <c r="B2817" s="1" t="n">
        <v>45397</v>
      </c>
      <c r="C2817" s="1" t="n">
        <v>45472</v>
      </c>
      <c r="D2817" t="inlineStr">
        <is>
          <t>VÄSTERBOTTENS LÄN</t>
        </is>
      </c>
      <c r="E2817" t="inlineStr">
        <is>
          <t>SKELLEFTEÅ</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14663-2024</t>
        </is>
      </c>
      <c r="B2818" s="1" t="n">
        <v>45397</v>
      </c>
      <c r="C2818" s="1" t="n">
        <v>45472</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14650-2024</t>
        </is>
      </c>
      <c r="B2819" s="1" t="n">
        <v>45397</v>
      </c>
      <c r="C2819" s="1" t="n">
        <v>45472</v>
      </c>
      <c r="D2819" t="inlineStr">
        <is>
          <t>VÄSTERBOTTENS LÄN</t>
        </is>
      </c>
      <c r="E2819" t="inlineStr">
        <is>
          <t>SKELLEFTEÅ</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14962-2024</t>
        </is>
      </c>
      <c r="B2820" s="1" t="n">
        <v>45399</v>
      </c>
      <c r="C2820" s="1" t="n">
        <v>45472</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14963-2024</t>
        </is>
      </c>
      <c r="B2821" s="1" t="n">
        <v>45398</v>
      </c>
      <c r="C2821" s="1" t="n">
        <v>45472</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15137-2024</t>
        </is>
      </c>
      <c r="B2822" s="1" t="n">
        <v>45399</v>
      </c>
      <c r="C2822" s="1" t="n">
        <v>45472</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15136-2024</t>
        </is>
      </c>
      <c r="B2823" s="1" t="n">
        <v>45399</v>
      </c>
      <c r="C2823" s="1" t="n">
        <v>45472</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15424-2024</t>
        </is>
      </c>
      <c r="B2824" s="1" t="n">
        <v>45400</v>
      </c>
      <c r="C2824" s="1" t="n">
        <v>45472</v>
      </c>
      <c r="D2824" t="inlineStr">
        <is>
          <t>VÄSTERBOTTENS LÄN</t>
        </is>
      </c>
      <c r="E2824" t="inlineStr">
        <is>
          <t>SKELLEFTEÅ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15467-2024</t>
        </is>
      </c>
      <c r="B2825" s="1" t="n">
        <v>45400</v>
      </c>
      <c r="C2825" s="1" t="n">
        <v>45472</v>
      </c>
      <c r="D2825" t="inlineStr">
        <is>
          <t>VÄSTERBOTTENS LÄN</t>
        </is>
      </c>
      <c r="E2825" t="inlineStr">
        <is>
          <t>SKELLEFTEÅ</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15473-2024</t>
        </is>
      </c>
      <c r="B2826" s="1" t="n">
        <v>45400</v>
      </c>
      <c r="C2826" s="1" t="n">
        <v>45472</v>
      </c>
      <c r="D2826" t="inlineStr">
        <is>
          <t>VÄSTERBOTTENS LÄN</t>
        </is>
      </c>
      <c r="E2826" t="inlineStr">
        <is>
          <t>SKELLEFTEÅ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15460-2024</t>
        </is>
      </c>
      <c r="B2827" s="1" t="n">
        <v>45400</v>
      </c>
      <c r="C2827" s="1" t="n">
        <v>45472</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15625-2024</t>
        </is>
      </c>
      <c r="B2828" s="1" t="n">
        <v>45402</v>
      </c>
      <c r="C2828" s="1" t="n">
        <v>45472</v>
      </c>
      <c r="D2828" t="inlineStr">
        <is>
          <t>VÄSTERBOTTENS LÄN</t>
        </is>
      </c>
      <c r="E2828" t="inlineStr">
        <is>
          <t>SKELLEFTEÅ</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15728-2024</t>
        </is>
      </c>
      <c r="B2829" s="1" t="n">
        <v>45404</v>
      </c>
      <c r="C2829" s="1" t="n">
        <v>45472</v>
      </c>
      <c r="D2829" t="inlineStr">
        <is>
          <t>VÄSTERBOTTENS LÄN</t>
        </is>
      </c>
      <c r="E2829" t="inlineStr">
        <is>
          <t>SKELLEFTEÅ</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15801-2024</t>
        </is>
      </c>
      <c r="B2830" s="1" t="n">
        <v>45404</v>
      </c>
      <c r="C2830" s="1" t="n">
        <v>45472</v>
      </c>
      <c r="D2830" t="inlineStr">
        <is>
          <t>VÄSTERBOTTENS LÄN</t>
        </is>
      </c>
      <c r="E2830" t="inlineStr">
        <is>
          <t>SKELLEFTEÅ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15846-2024</t>
        </is>
      </c>
      <c r="B2831" s="1" t="n">
        <v>45404</v>
      </c>
      <c r="C2831" s="1" t="n">
        <v>45472</v>
      </c>
      <c r="D2831" t="inlineStr">
        <is>
          <t>VÄSTERBOTTENS LÄN</t>
        </is>
      </c>
      <c r="E2831" t="inlineStr">
        <is>
          <t>SKELLEFTEÅ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15848-2024</t>
        </is>
      </c>
      <c r="B2832" s="1" t="n">
        <v>45404</v>
      </c>
      <c r="C2832" s="1" t="n">
        <v>45472</v>
      </c>
      <c r="D2832" t="inlineStr">
        <is>
          <t>VÄSTERBOTTENS LÄN</t>
        </is>
      </c>
      <c r="E2832" t="inlineStr">
        <is>
          <t>SKELLEFTEÅ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15856-2024</t>
        </is>
      </c>
      <c r="B2833" s="1" t="n">
        <v>45404</v>
      </c>
      <c r="C2833" s="1" t="n">
        <v>45472</v>
      </c>
      <c r="D2833" t="inlineStr">
        <is>
          <t>VÄSTERBOTTENS LÄN</t>
        </is>
      </c>
      <c r="E2833" t="inlineStr">
        <is>
          <t>SKELLEFTEÅ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15855-2024</t>
        </is>
      </c>
      <c r="B2834" s="1" t="n">
        <v>45405</v>
      </c>
      <c r="C2834" s="1" t="n">
        <v>45472</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15927-2024</t>
        </is>
      </c>
      <c r="B2835" s="1" t="n">
        <v>45405</v>
      </c>
      <c r="C2835" s="1" t="n">
        <v>45472</v>
      </c>
      <c r="D2835" t="inlineStr">
        <is>
          <t>VÄSTERBOTTENS LÄN</t>
        </is>
      </c>
      <c r="E2835" t="inlineStr">
        <is>
          <t>SKELLEFTEÅ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16037-2024</t>
        </is>
      </c>
      <c r="B2836" s="1" t="n">
        <v>45405</v>
      </c>
      <c r="C2836" s="1" t="n">
        <v>45472</v>
      </c>
      <c r="D2836" t="inlineStr">
        <is>
          <t>VÄSTERBOTTENS LÄN</t>
        </is>
      </c>
      <c r="E2836" t="inlineStr">
        <is>
          <t>SKELLEFTEÅ</t>
        </is>
      </c>
      <c r="F2836" t="inlineStr">
        <is>
          <t>Holmen skog AB</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16096-2024</t>
        </is>
      </c>
      <c r="B2837" s="1" t="n">
        <v>45406</v>
      </c>
      <c r="C2837" s="1" t="n">
        <v>45472</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16501-2024</t>
        </is>
      </c>
      <c r="B2838" s="1" t="n">
        <v>45408</v>
      </c>
      <c r="C2838" s="1" t="n">
        <v>45472</v>
      </c>
      <c r="D2838" t="inlineStr">
        <is>
          <t>VÄSTERBOTTENS LÄN</t>
        </is>
      </c>
      <c r="E2838" t="inlineStr">
        <is>
          <t>SKELLEFTEÅ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16519-2024</t>
        </is>
      </c>
      <c r="B2839" s="1" t="n">
        <v>45408</v>
      </c>
      <c r="C2839" s="1" t="n">
        <v>45472</v>
      </c>
      <c r="D2839" t="inlineStr">
        <is>
          <t>VÄSTERBOTTENS LÄN</t>
        </is>
      </c>
      <c r="E2839" t="inlineStr">
        <is>
          <t>SKELLEFTEÅ</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16711-2024</t>
        </is>
      </c>
      <c r="B2840" s="1" t="n">
        <v>45409</v>
      </c>
      <c r="C2840" s="1" t="n">
        <v>45472</v>
      </c>
      <c r="D2840" t="inlineStr">
        <is>
          <t>VÄSTERBOTTENS LÄN</t>
        </is>
      </c>
      <c r="E2840" t="inlineStr">
        <is>
          <t>SKELLEFTEÅ</t>
        </is>
      </c>
      <c r="F2840" t="inlineStr">
        <is>
          <t>SCA</t>
        </is>
      </c>
      <c r="G2840" t="n">
        <v>30.4</v>
      </c>
      <c r="H2840" t="n">
        <v>0</v>
      </c>
      <c r="I2840" t="n">
        <v>0</v>
      </c>
      <c r="J2840" t="n">
        <v>0</v>
      </c>
      <c r="K2840" t="n">
        <v>0</v>
      </c>
      <c r="L2840" t="n">
        <v>0</v>
      </c>
      <c r="M2840" t="n">
        <v>0</v>
      </c>
      <c r="N2840" t="n">
        <v>0</v>
      </c>
      <c r="O2840" t="n">
        <v>0</v>
      </c>
      <c r="P2840" t="n">
        <v>0</v>
      </c>
      <c r="Q2840" t="n">
        <v>0</v>
      </c>
      <c r="R2840" s="2" t="inlineStr"/>
      <c r="U2840">
        <f>HYPERLINK("https://klasma.github.io/Logging_2482/knärot/A 16711-2024 karta knärot.png", "A 16711-2024")</f>
        <v/>
      </c>
      <c r="V2840">
        <f>HYPERLINK("https://klasma.github.io/Logging_2482/klagomål/A 16711-2024 FSC-klagomål.docx", "A 16711-2024")</f>
        <v/>
      </c>
      <c r="W2840">
        <f>HYPERLINK("https://klasma.github.io/Logging_2482/klagomålsmail/A 16711-2024 FSC-klagomål mail.docx", "A 16711-2024")</f>
        <v/>
      </c>
      <c r="X2840">
        <f>HYPERLINK("https://klasma.github.io/Logging_2482/tillsyn/A 16711-2024 tillsynsbegäran.docx", "A 16711-2024")</f>
        <v/>
      </c>
      <c r="Y2840">
        <f>HYPERLINK("https://klasma.github.io/Logging_2482/tillsynsmail/A 16711-2024 tillsynsbegäran mail.docx", "A 16711-2024")</f>
        <v/>
      </c>
    </row>
    <row r="2841" ht="15" customHeight="1">
      <c r="A2841" t="inlineStr">
        <is>
          <t>A 16959-2024</t>
        </is>
      </c>
      <c r="B2841" s="1" t="n">
        <v>45411</v>
      </c>
      <c r="C2841" s="1" t="n">
        <v>45472</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17005-2024</t>
        </is>
      </c>
      <c r="B2842" s="1" t="n">
        <v>45411</v>
      </c>
      <c r="C2842" s="1" t="n">
        <v>45472</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16977-2024</t>
        </is>
      </c>
      <c r="B2843" s="1" t="n">
        <v>45412</v>
      </c>
      <c r="C2843" s="1" t="n">
        <v>45472</v>
      </c>
      <c r="D2843" t="inlineStr">
        <is>
          <t>VÄSTERBOTTENS LÄN</t>
        </is>
      </c>
      <c r="E2843" t="inlineStr">
        <is>
          <t>SKELLEFTEÅ</t>
        </is>
      </c>
      <c r="F2843" t="inlineStr">
        <is>
          <t>SCA</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17509-2024</t>
        </is>
      </c>
      <c r="B2844" s="1" t="n">
        <v>45415</v>
      </c>
      <c r="C2844" s="1" t="n">
        <v>45472</v>
      </c>
      <c r="D2844" t="inlineStr">
        <is>
          <t>VÄSTERBOTTENS LÄN</t>
        </is>
      </c>
      <c r="E2844" t="inlineStr">
        <is>
          <t>SKELLEFTEÅ</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17542-2024</t>
        </is>
      </c>
      <c r="B2845" s="1" t="n">
        <v>45415</v>
      </c>
      <c r="C2845" s="1" t="n">
        <v>45472</v>
      </c>
      <c r="D2845" t="inlineStr">
        <is>
          <t>VÄSTERBOTTENS LÄN</t>
        </is>
      </c>
      <c r="E2845" t="inlineStr">
        <is>
          <t>SKELLEFTEÅ</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17550-2024</t>
        </is>
      </c>
      <c r="B2846" s="1" t="n">
        <v>45415</v>
      </c>
      <c r="C2846" s="1" t="n">
        <v>45472</v>
      </c>
      <c r="D2846" t="inlineStr">
        <is>
          <t>VÄSTERBOTTENS LÄN</t>
        </is>
      </c>
      <c r="E2846" t="inlineStr">
        <is>
          <t>SKELLEFTEÅ</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17506-2024</t>
        </is>
      </c>
      <c r="B2847" s="1" t="n">
        <v>45415</v>
      </c>
      <c r="C2847" s="1" t="n">
        <v>45472</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17568-2024</t>
        </is>
      </c>
      <c r="B2848" s="1" t="n">
        <v>45415</v>
      </c>
      <c r="C2848" s="1" t="n">
        <v>45472</v>
      </c>
      <c r="D2848" t="inlineStr">
        <is>
          <t>VÄSTERBOTTENS LÄN</t>
        </is>
      </c>
      <c r="E2848" t="inlineStr">
        <is>
          <t>SKELLEFTEÅ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18595-2024</t>
        </is>
      </c>
      <c r="B2849" s="1" t="n">
        <v>45415</v>
      </c>
      <c r="C2849" s="1" t="n">
        <v>45472</v>
      </c>
      <c r="D2849" t="inlineStr">
        <is>
          <t>VÄSTERBOTTENS LÄN</t>
        </is>
      </c>
      <c r="E2849" t="inlineStr">
        <is>
          <t>SKELLEFTEÅ</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17751-2024</t>
        </is>
      </c>
      <c r="B2850" s="1" t="n">
        <v>45418</v>
      </c>
      <c r="C2850" s="1" t="n">
        <v>45472</v>
      </c>
      <c r="D2850" t="inlineStr">
        <is>
          <t>VÄSTERBOTTENS LÄN</t>
        </is>
      </c>
      <c r="E2850" t="inlineStr">
        <is>
          <t>SKELLEFTEÅ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17880-2024</t>
        </is>
      </c>
      <c r="B2851" s="1" t="n">
        <v>45419</v>
      </c>
      <c r="C2851" s="1" t="n">
        <v>45472</v>
      </c>
      <c r="D2851" t="inlineStr">
        <is>
          <t>VÄSTERBOTTENS LÄN</t>
        </is>
      </c>
      <c r="E2851" t="inlineStr">
        <is>
          <t>SKELLEFTEÅ</t>
        </is>
      </c>
      <c r="F2851" t="inlineStr">
        <is>
          <t>Kommuner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17884-2024</t>
        </is>
      </c>
      <c r="B2852" s="1" t="n">
        <v>45419</v>
      </c>
      <c r="C2852" s="1" t="n">
        <v>45472</v>
      </c>
      <c r="D2852" t="inlineStr">
        <is>
          <t>VÄSTERBOTTENS LÄN</t>
        </is>
      </c>
      <c r="E2852" t="inlineStr">
        <is>
          <t>SKELLEFTEÅ</t>
        </is>
      </c>
      <c r="F2852" t="inlineStr">
        <is>
          <t>Kommuner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18367-2024</t>
        </is>
      </c>
      <c r="B2853" s="1" t="n">
        <v>45422</v>
      </c>
      <c r="C2853" s="1" t="n">
        <v>45472</v>
      </c>
      <c r="D2853" t="inlineStr">
        <is>
          <t>VÄSTERBOTTENS LÄN</t>
        </is>
      </c>
      <c r="E2853" t="inlineStr">
        <is>
          <t>SKELLEFTEÅ</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18368-2024</t>
        </is>
      </c>
      <c r="B2854" s="1" t="n">
        <v>45422</v>
      </c>
      <c r="C2854" s="1" t="n">
        <v>45472</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18578-2024</t>
        </is>
      </c>
      <c r="B2855" s="1" t="n">
        <v>45425</v>
      </c>
      <c r="C2855" s="1" t="n">
        <v>45472</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18564-2024</t>
        </is>
      </c>
      <c r="B2856" s="1" t="n">
        <v>45425</v>
      </c>
      <c r="C2856" s="1" t="n">
        <v>45472</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18580-2024</t>
        </is>
      </c>
      <c r="B2857" s="1" t="n">
        <v>45425</v>
      </c>
      <c r="C2857" s="1" t="n">
        <v>45472</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18681-2024</t>
        </is>
      </c>
      <c r="B2858" s="1" t="n">
        <v>45426</v>
      </c>
      <c r="C2858" s="1" t="n">
        <v>45472</v>
      </c>
      <c r="D2858" t="inlineStr">
        <is>
          <t>VÄSTERBOTTENS LÄN</t>
        </is>
      </c>
      <c r="E2858" t="inlineStr">
        <is>
          <t>SKELLEFTEÅ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18979-2024</t>
        </is>
      </c>
      <c r="B2859" s="1" t="n">
        <v>45427</v>
      </c>
      <c r="C2859" s="1" t="n">
        <v>45472</v>
      </c>
      <c r="D2859" t="inlineStr">
        <is>
          <t>VÄSTERBOTTENS LÄN</t>
        </is>
      </c>
      <c r="E2859" t="inlineStr">
        <is>
          <t>SKELLEFTEÅ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19405-2024</t>
        </is>
      </c>
      <c r="B2860" s="1" t="n">
        <v>45428</v>
      </c>
      <c r="C2860" s="1" t="n">
        <v>45472</v>
      </c>
      <c r="D2860" t="inlineStr">
        <is>
          <t>VÄSTERBOTTENS LÄN</t>
        </is>
      </c>
      <c r="E2860" t="inlineStr">
        <is>
          <t>SKELLEFTEÅ</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19582-2024</t>
        </is>
      </c>
      <c r="B2861" s="1" t="n">
        <v>45430</v>
      </c>
      <c r="C2861" s="1" t="n">
        <v>45472</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19576-2024</t>
        </is>
      </c>
      <c r="B2862" s="1" t="n">
        <v>45430</v>
      </c>
      <c r="C2862" s="1" t="n">
        <v>45472</v>
      </c>
      <c r="D2862" t="inlineStr">
        <is>
          <t>VÄSTERBOTTENS LÄN</t>
        </is>
      </c>
      <c r="E2862" t="inlineStr">
        <is>
          <t>SKELLEFTEÅ</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19782-2024</t>
        </is>
      </c>
      <c r="B2863" s="1" t="n">
        <v>45432</v>
      </c>
      <c r="C2863" s="1" t="n">
        <v>45472</v>
      </c>
      <c r="D2863" t="inlineStr">
        <is>
          <t>VÄSTERBOTTENS LÄN</t>
        </is>
      </c>
      <c r="E2863" t="inlineStr">
        <is>
          <t>SKELLEFTEÅ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19784-2024</t>
        </is>
      </c>
      <c r="B2864" s="1" t="n">
        <v>45432</v>
      </c>
      <c r="C2864" s="1" t="n">
        <v>45472</v>
      </c>
      <c r="D2864" t="inlineStr">
        <is>
          <t>VÄSTERBOTTENS LÄN</t>
        </is>
      </c>
      <c r="E2864" t="inlineStr">
        <is>
          <t>SKELLEFTEÅ</t>
        </is>
      </c>
      <c r="F2864" t="inlineStr">
        <is>
          <t>Sveaskog</t>
        </is>
      </c>
      <c r="G2864" t="n">
        <v>16.7</v>
      </c>
      <c r="H2864" t="n">
        <v>0</v>
      </c>
      <c r="I2864" t="n">
        <v>0</v>
      </c>
      <c r="J2864" t="n">
        <v>0</v>
      </c>
      <c r="K2864" t="n">
        <v>0</v>
      </c>
      <c r="L2864" t="n">
        <v>0</v>
      </c>
      <c r="M2864" t="n">
        <v>0</v>
      </c>
      <c r="N2864" t="n">
        <v>0</v>
      </c>
      <c r="O2864" t="n">
        <v>0</v>
      </c>
      <c r="P2864" t="n">
        <v>0</v>
      </c>
      <c r="Q2864" t="n">
        <v>0</v>
      </c>
      <c r="R2864" s="2" t="inlineStr"/>
    </row>
    <row r="2865" ht="15" customHeight="1">
      <c r="A2865" t="inlineStr">
        <is>
          <t>A 19801-2024</t>
        </is>
      </c>
      <c r="B2865" s="1" t="n">
        <v>45432</v>
      </c>
      <c r="C2865" s="1" t="n">
        <v>45472</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19808-2024</t>
        </is>
      </c>
      <c r="B2866" s="1" t="n">
        <v>45432</v>
      </c>
      <c r="C2866" s="1" t="n">
        <v>45472</v>
      </c>
      <c r="D2866" t="inlineStr">
        <is>
          <t>VÄSTERBOTTENS LÄN</t>
        </is>
      </c>
      <c r="E2866" t="inlineStr">
        <is>
          <t>SKELLEFTEÅ</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19809-2024</t>
        </is>
      </c>
      <c r="B2867" s="1" t="n">
        <v>45432</v>
      </c>
      <c r="C2867" s="1" t="n">
        <v>45472</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19839-2024</t>
        </is>
      </c>
      <c r="B2868" s="1" t="n">
        <v>45433</v>
      </c>
      <c r="C2868" s="1" t="n">
        <v>45472</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19905-2024</t>
        </is>
      </c>
      <c r="B2869" s="1" t="n">
        <v>45433</v>
      </c>
      <c r="C2869" s="1" t="n">
        <v>45472</v>
      </c>
      <c r="D2869" t="inlineStr">
        <is>
          <t>VÄSTERBOTTENS LÄN</t>
        </is>
      </c>
      <c r="E2869" t="inlineStr">
        <is>
          <t>SKELLEFTEÅ</t>
        </is>
      </c>
      <c r="F2869" t="inlineStr">
        <is>
          <t>Holmen skog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19957-2024</t>
        </is>
      </c>
      <c r="B2870" s="1" t="n">
        <v>45433</v>
      </c>
      <c r="C2870" s="1" t="n">
        <v>45472</v>
      </c>
      <c r="D2870" t="inlineStr">
        <is>
          <t>VÄSTERBOTTENS LÄN</t>
        </is>
      </c>
      <c r="E2870" t="inlineStr">
        <is>
          <t>SKELLEFTEÅ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19975-2024</t>
        </is>
      </c>
      <c r="B2871" s="1" t="n">
        <v>45433</v>
      </c>
      <c r="C2871" s="1" t="n">
        <v>45472</v>
      </c>
      <c r="D2871" t="inlineStr">
        <is>
          <t>VÄSTERBOTTENS LÄN</t>
        </is>
      </c>
      <c r="E2871" t="inlineStr">
        <is>
          <t>SKELLEFTEÅ</t>
        </is>
      </c>
      <c r="F2871" t="inlineStr">
        <is>
          <t>Sveaskog</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20153-2024</t>
        </is>
      </c>
      <c r="B2872" s="1" t="n">
        <v>45434</v>
      </c>
      <c r="C2872" s="1" t="n">
        <v>45472</v>
      </c>
      <c r="D2872" t="inlineStr">
        <is>
          <t>VÄSTERBOTTENS LÄN</t>
        </is>
      </c>
      <c r="E2872" t="inlineStr">
        <is>
          <t>SKELLEFTEÅ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20205-2024</t>
        </is>
      </c>
      <c r="B2873" s="1" t="n">
        <v>45434</v>
      </c>
      <c r="C2873" s="1" t="n">
        <v>45472</v>
      </c>
      <c r="D2873" t="inlineStr">
        <is>
          <t>VÄSTERBOTTENS LÄN</t>
        </is>
      </c>
      <c r="E2873" t="inlineStr">
        <is>
          <t>SKELLEFTEÅ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20209-2024</t>
        </is>
      </c>
      <c r="B2874" s="1" t="n">
        <v>45434</v>
      </c>
      <c r="C2874" s="1" t="n">
        <v>45472</v>
      </c>
      <c r="D2874" t="inlineStr">
        <is>
          <t>VÄSTERBOTTENS LÄN</t>
        </is>
      </c>
      <c r="E2874" t="inlineStr">
        <is>
          <t>SKELLEFTEÅ</t>
        </is>
      </c>
      <c r="F2874" t="inlineStr">
        <is>
          <t>Holmen skog AB</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20320-2024</t>
        </is>
      </c>
      <c r="B2875" s="1" t="n">
        <v>45435</v>
      </c>
      <c r="C2875" s="1" t="n">
        <v>45472</v>
      </c>
      <c r="D2875" t="inlineStr">
        <is>
          <t>VÄSTERBOTTENS LÄN</t>
        </is>
      </c>
      <c r="E2875" t="inlineStr">
        <is>
          <t>SKELLEFTEÅ</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20454-2024</t>
        </is>
      </c>
      <c r="B2876" s="1" t="n">
        <v>45435</v>
      </c>
      <c r="C2876" s="1" t="n">
        <v>45472</v>
      </c>
      <c r="D2876" t="inlineStr">
        <is>
          <t>VÄSTERBOTTENS LÄN</t>
        </is>
      </c>
      <c r="E2876" t="inlineStr">
        <is>
          <t>SKELLEFTEÅ</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20498-2024</t>
        </is>
      </c>
      <c r="B2877" s="1" t="n">
        <v>45435</v>
      </c>
      <c r="C2877" s="1" t="n">
        <v>45472</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20429-2024</t>
        </is>
      </c>
      <c r="B2878" s="1" t="n">
        <v>45435</v>
      </c>
      <c r="C2878" s="1" t="n">
        <v>45472</v>
      </c>
      <c r="D2878" t="inlineStr">
        <is>
          <t>VÄSTERBOTTENS LÄN</t>
        </is>
      </c>
      <c r="E2878" t="inlineStr">
        <is>
          <t>SKELLEFTEÅ</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20497-2024</t>
        </is>
      </c>
      <c r="B2879" s="1" t="n">
        <v>45435</v>
      </c>
      <c r="C2879" s="1" t="n">
        <v>45472</v>
      </c>
      <c r="D2879" t="inlineStr">
        <is>
          <t>VÄSTERBOTTENS LÄN</t>
        </is>
      </c>
      <c r="E2879" t="inlineStr">
        <is>
          <t>SKELLEFTEÅ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20448-2024</t>
        </is>
      </c>
      <c r="B2880" s="1" t="n">
        <v>45435</v>
      </c>
      <c r="C2880" s="1" t="n">
        <v>45472</v>
      </c>
      <c r="D2880" t="inlineStr">
        <is>
          <t>VÄSTERBOTTENS LÄN</t>
        </is>
      </c>
      <c r="E2880" t="inlineStr">
        <is>
          <t>SKELLEFTEÅ</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20500-2024</t>
        </is>
      </c>
      <c r="B2881" s="1" t="n">
        <v>45436</v>
      </c>
      <c r="C2881" s="1" t="n">
        <v>45472</v>
      </c>
      <c r="D2881" t="inlineStr">
        <is>
          <t>VÄSTERBOTTENS LÄN</t>
        </is>
      </c>
      <c r="E2881" t="inlineStr">
        <is>
          <t>SKELLEFTEÅ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20479-2024</t>
        </is>
      </c>
      <c r="B2882" s="1" t="n">
        <v>45435</v>
      </c>
      <c r="C2882" s="1" t="n">
        <v>45472</v>
      </c>
      <c r="D2882" t="inlineStr">
        <is>
          <t>VÄSTERBOTTENS LÄN</t>
        </is>
      </c>
      <c r="E2882" t="inlineStr">
        <is>
          <t>SKELLEFTEÅ</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20499-2024</t>
        </is>
      </c>
      <c r="B2883" s="1" t="n">
        <v>45435</v>
      </c>
      <c r="C2883" s="1" t="n">
        <v>45472</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20592-2024</t>
        </is>
      </c>
      <c r="B2884" s="1" t="n">
        <v>45436</v>
      </c>
      <c r="C2884" s="1" t="n">
        <v>45472</v>
      </c>
      <c r="D2884" t="inlineStr">
        <is>
          <t>VÄSTERBOTTENS LÄN</t>
        </is>
      </c>
      <c r="E2884" t="inlineStr">
        <is>
          <t>SKELLEFTEÅ</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20596-2024</t>
        </is>
      </c>
      <c r="B2885" s="1" t="n">
        <v>45436</v>
      </c>
      <c r="C2885" s="1" t="n">
        <v>45472</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20723-2024</t>
        </is>
      </c>
      <c r="B2886" s="1" t="n">
        <v>45436</v>
      </c>
      <c r="C2886" s="1" t="n">
        <v>45472</v>
      </c>
      <c r="D2886" t="inlineStr">
        <is>
          <t>VÄSTERBOTTENS LÄN</t>
        </is>
      </c>
      <c r="E2886" t="inlineStr">
        <is>
          <t>SKELLEFTEÅ</t>
        </is>
      </c>
      <c r="F2886" t="inlineStr">
        <is>
          <t>Holmen skog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20637-2024</t>
        </is>
      </c>
      <c r="B2887" s="1" t="n">
        <v>45436</v>
      </c>
      <c r="C2887" s="1" t="n">
        <v>45472</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20559-2024</t>
        </is>
      </c>
      <c r="B2888" s="1" t="n">
        <v>45436</v>
      </c>
      <c r="C2888" s="1" t="n">
        <v>45472</v>
      </c>
      <c r="D2888" t="inlineStr">
        <is>
          <t>VÄSTERBOTTENS LÄN</t>
        </is>
      </c>
      <c r="E2888" t="inlineStr">
        <is>
          <t>SKELLEFTEÅ</t>
        </is>
      </c>
      <c r="F2888" t="inlineStr">
        <is>
          <t>Sveaskog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20900-2024</t>
        </is>
      </c>
      <c r="B2889" s="1" t="n">
        <v>45439</v>
      </c>
      <c r="C2889" s="1" t="n">
        <v>45472</v>
      </c>
      <c r="D2889" t="inlineStr">
        <is>
          <t>VÄSTERBOTTENS LÄN</t>
        </is>
      </c>
      <c r="E2889" t="inlineStr">
        <is>
          <t>SKELLEFTEÅ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21078-2024</t>
        </is>
      </c>
      <c r="B2890" s="1" t="n">
        <v>45440</v>
      </c>
      <c r="C2890" s="1" t="n">
        <v>45472</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21057-2024</t>
        </is>
      </c>
      <c r="B2891" s="1" t="n">
        <v>45439</v>
      </c>
      <c r="C2891" s="1" t="n">
        <v>45472</v>
      </c>
      <c r="D2891" t="inlineStr">
        <is>
          <t>VÄSTERBOTTENS LÄN</t>
        </is>
      </c>
      <c r="E2891" t="inlineStr">
        <is>
          <t>SKELLEFTEÅ</t>
        </is>
      </c>
      <c r="F2891" t="inlineStr">
        <is>
          <t>Sveaskog</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21076-2024</t>
        </is>
      </c>
      <c r="B2892" s="1" t="n">
        <v>45440</v>
      </c>
      <c r="C2892" s="1" t="n">
        <v>45472</v>
      </c>
      <c r="D2892" t="inlineStr">
        <is>
          <t>VÄSTERBOTTENS LÄN</t>
        </is>
      </c>
      <c r="E2892" t="inlineStr">
        <is>
          <t>SKELLEFTEÅ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20924-2024</t>
        </is>
      </c>
      <c r="B2893" s="1" t="n">
        <v>45439</v>
      </c>
      <c r="C2893" s="1" t="n">
        <v>45472</v>
      </c>
      <c r="D2893" t="inlineStr">
        <is>
          <t>VÄSTERBOTTENS LÄN</t>
        </is>
      </c>
      <c r="E2893" t="inlineStr">
        <is>
          <t>SKELLEFTEÅ</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21077-2024</t>
        </is>
      </c>
      <c r="B2894" s="1" t="n">
        <v>45440</v>
      </c>
      <c r="C2894" s="1" t="n">
        <v>45472</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21152-2024</t>
        </is>
      </c>
      <c r="B2895" s="1" t="n">
        <v>45440</v>
      </c>
      <c r="C2895" s="1" t="n">
        <v>45472</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21146-2024</t>
        </is>
      </c>
      <c r="B2896" s="1" t="n">
        <v>45440</v>
      </c>
      <c r="C2896" s="1" t="n">
        <v>45472</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21426-2024</t>
        </is>
      </c>
      <c r="B2897" s="1" t="n">
        <v>45441</v>
      </c>
      <c r="C2897" s="1" t="n">
        <v>45472</v>
      </c>
      <c r="D2897" t="inlineStr">
        <is>
          <t>VÄSTERBOTTENS LÄN</t>
        </is>
      </c>
      <c r="E2897" t="inlineStr">
        <is>
          <t>SKELLEFTEÅ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21438-2024</t>
        </is>
      </c>
      <c r="B2898" s="1" t="n">
        <v>45441</v>
      </c>
      <c r="C2898" s="1" t="n">
        <v>45472</v>
      </c>
      <c r="D2898" t="inlineStr">
        <is>
          <t>VÄSTERBOTTENS LÄN</t>
        </is>
      </c>
      <c r="E2898" t="inlineStr">
        <is>
          <t>SKELLEFTEÅ</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21495-2024</t>
        </is>
      </c>
      <c r="B2899" s="1" t="n">
        <v>45441</v>
      </c>
      <c r="C2899" s="1" t="n">
        <v>45472</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21593-2024</t>
        </is>
      </c>
      <c r="B2900" s="1" t="n">
        <v>45441</v>
      </c>
      <c r="C2900" s="1" t="n">
        <v>45472</v>
      </c>
      <c r="D2900" t="inlineStr">
        <is>
          <t>VÄSTERBOTTENS LÄN</t>
        </is>
      </c>
      <c r="E2900" t="inlineStr">
        <is>
          <t>SKELLEFTEÅ</t>
        </is>
      </c>
      <c r="F2900" t="inlineStr">
        <is>
          <t>Sveaskog</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21730-2024</t>
        </is>
      </c>
      <c r="B2901" s="1" t="n">
        <v>45442</v>
      </c>
      <c r="C2901" s="1" t="n">
        <v>45472</v>
      </c>
      <c r="D2901" t="inlineStr">
        <is>
          <t>VÄSTERBOTTENS LÄN</t>
        </is>
      </c>
      <c r="E2901" t="inlineStr">
        <is>
          <t>SKELLEFTEÅ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21737-2024</t>
        </is>
      </c>
      <c r="B2902" s="1" t="n">
        <v>45442</v>
      </c>
      <c r="C2902" s="1" t="n">
        <v>45472</v>
      </c>
      <c r="D2902" t="inlineStr">
        <is>
          <t>VÄSTERBOTTENS LÄN</t>
        </is>
      </c>
      <c r="E2902" t="inlineStr">
        <is>
          <t>SKELLEFTEÅ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21765-2024</t>
        </is>
      </c>
      <c r="B2903" s="1" t="n">
        <v>45442</v>
      </c>
      <c r="C2903" s="1" t="n">
        <v>45472</v>
      </c>
      <c r="D2903" t="inlineStr">
        <is>
          <t>VÄSTERBOTTENS LÄN</t>
        </is>
      </c>
      <c r="E2903" t="inlineStr">
        <is>
          <t>SKELLEFTEÅ</t>
        </is>
      </c>
      <c r="F2903" t="inlineStr">
        <is>
          <t>Holmen skog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21785-2024</t>
        </is>
      </c>
      <c r="B2904" s="1" t="n">
        <v>45442</v>
      </c>
      <c r="C2904" s="1" t="n">
        <v>45472</v>
      </c>
      <c r="D2904" t="inlineStr">
        <is>
          <t>VÄSTERBOTTENS LÄN</t>
        </is>
      </c>
      <c r="E2904" t="inlineStr">
        <is>
          <t>SKELLEFTEÅ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21812-2024</t>
        </is>
      </c>
      <c r="B2905" s="1" t="n">
        <v>45442</v>
      </c>
      <c r="C2905" s="1" t="n">
        <v>45472</v>
      </c>
      <c r="D2905" t="inlineStr">
        <is>
          <t>VÄSTERBOTTENS LÄN</t>
        </is>
      </c>
      <c r="E2905" t="inlineStr">
        <is>
          <t>SKELLEFTEÅ</t>
        </is>
      </c>
      <c r="F2905" t="inlineStr">
        <is>
          <t>Holmen skog AB</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21854-2024</t>
        </is>
      </c>
      <c r="B2906" s="1" t="n">
        <v>45442</v>
      </c>
      <c r="C2906" s="1" t="n">
        <v>45472</v>
      </c>
      <c r="D2906" t="inlineStr">
        <is>
          <t>VÄSTERBOTTENS LÄN</t>
        </is>
      </c>
      <c r="E2906" t="inlineStr">
        <is>
          <t>SKELLEFTEÅ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21836-2024</t>
        </is>
      </c>
      <c r="B2907" s="1" t="n">
        <v>45443</v>
      </c>
      <c r="C2907" s="1" t="n">
        <v>45472</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22014-2024</t>
        </is>
      </c>
      <c r="B2908" s="1" t="n">
        <v>45443</v>
      </c>
      <c r="C2908" s="1" t="n">
        <v>45472</v>
      </c>
      <c r="D2908" t="inlineStr">
        <is>
          <t>VÄSTERBOTTENS LÄN</t>
        </is>
      </c>
      <c r="E2908" t="inlineStr">
        <is>
          <t>SKELLEFTEÅ</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22044-2024</t>
        </is>
      </c>
      <c r="B2909" s="1" t="n">
        <v>45443</v>
      </c>
      <c r="C2909" s="1" t="n">
        <v>45472</v>
      </c>
      <c r="D2909" t="inlineStr">
        <is>
          <t>VÄSTERBOTTENS LÄN</t>
        </is>
      </c>
      <c r="E2909" t="inlineStr">
        <is>
          <t>SKELLEFTEÅ</t>
        </is>
      </c>
      <c r="F2909" t="inlineStr">
        <is>
          <t>Holmen skog AB</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22072-2024</t>
        </is>
      </c>
      <c r="B2910" s="1" t="n">
        <v>45443</v>
      </c>
      <c r="C2910" s="1" t="n">
        <v>45472</v>
      </c>
      <c r="D2910" t="inlineStr">
        <is>
          <t>VÄSTERBOTTENS LÄN</t>
        </is>
      </c>
      <c r="E2910" t="inlineStr">
        <is>
          <t>SKELLEFTEÅ</t>
        </is>
      </c>
      <c r="F2910" t="inlineStr">
        <is>
          <t>Holmen skog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22136-2024</t>
        </is>
      </c>
      <c r="B2911" s="1" t="n">
        <v>45444</v>
      </c>
      <c r="C2911" s="1" t="n">
        <v>45472</v>
      </c>
      <c r="D2911" t="inlineStr">
        <is>
          <t>VÄSTERBOTTENS LÄN</t>
        </is>
      </c>
      <c r="E2911" t="inlineStr">
        <is>
          <t>SKELLEFTEÅ</t>
        </is>
      </c>
      <c r="F2911" t="inlineStr">
        <is>
          <t>Sveaskog</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22205-2024</t>
        </is>
      </c>
      <c r="B2912" s="1" t="n">
        <v>45446</v>
      </c>
      <c r="C2912" s="1" t="n">
        <v>45472</v>
      </c>
      <c r="D2912" t="inlineStr">
        <is>
          <t>VÄSTERBOTTENS LÄN</t>
        </is>
      </c>
      <c r="E2912" t="inlineStr">
        <is>
          <t>SKELLEFTEÅ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22199-2024</t>
        </is>
      </c>
      <c r="B2913" s="1" t="n">
        <v>45446</v>
      </c>
      <c r="C2913" s="1" t="n">
        <v>45472</v>
      </c>
      <c r="D2913" t="inlineStr">
        <is>
          <t>VÄSTERBOTTENS LÄN</t>
        </is>
      </c>
      <c r="E2913" t="inlineStr">
        <is>
          <t>SKELLEFTEÅ</t>
        </is>
      </c>
      <c r="F2913" t="inlineStr">
        <is>
          <t>Sveaskog</t>
        </is>
      </c>
      <c r="G2913" t="n">
        <v>40.5</v>
      </c>
      <c r="H2913" t="n">
        <v>0</v>
      </c>
      <c r="I2913" t="n">
        <v>0</v>
      </c>
      <c r="J2913" t="n">
        <v>0</v>
      </c>
      <c r="K2913" t="n">
        <v>0</v>
      </c>
      <c r="L2913" t="n">
        <v>0</v>
      </c>
      <c r="M2913" t="n">
        <v>0</v>
      </c>
      <c r="N2913" t="n">
        <v>0</v>
      </c>
      <c r="O2913" t="n">
        <v>0</v>
      </c>
      <c r="P2913" t="n">
        <v>0</v>
      </c>
      <c r="Q2913" t="n">
        <v>0</v>
      </c>
      <c r="R2913" s="2" t="inlineStr"/>
    </row>
    <row r="2914" ht="15" customHeight="1">
      <c r="A2914" t="inlineStr">
        <is>
          <t>A 22203-2024</t>
        </is>
      </c>
      <c r="B2914" s="1" t="n">
        <v>45446</v>
      </c>
      <c r="C2914" s="1" t="n">
        <v>45472</v>
      </c>
      <c r="D2914" t="inlineStr">
        <is>
          <t>VÄSTERBOTTENS LÄN</t>
        </is>
      </c>
      <c r="E2914" t="inlineStr">
        <is>
          <t>SKELLEFTEÅ</t>
        </is>
      </c>
      <c r="F2914" t="inlineStr">
        <is>
          <t>Sveaskog</t>
        </is>
      </c>
      <c r="G2914" t="n">
        <v>48.1</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45472</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45472</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22609-2024</t>
        </is>
      </c>
      <c r="B2917" s="1" t="n">
        <v>45447</v>
      </c>
      <c r="C2917" s="1" t="n">
        <v>45472</v>
      </c>
      <c r="D2917" t="inlineStr">
        <is>
          <t>VÄSTERBOTTENS LÄN</t>
        </is>
      </c>
      <c r="E2917" t="inlineStr">
        <is>
          <t>SKELLEFTEÅ</t>
        </is>
      </c>
      <c r="F2917" t="inlineStr">
        <is>
          <t>Holmen skog AB</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22654-2024</t>
        </is>
      </c>
      <c r="B2918" s="1" t="n">
        <v>45447</v>
      </c>
      <c r="C2918" s="1" t="n">
        <v>45472</v>
      </c>
      <c r="D2918" t="inlineStr">
        <is>
          <t>VÄSTERBOTTENS LÄN</t>
        </is>
      </c>
      <c r="E2918" t="inlineStr">
        <is>
          <t>SKELLEFTEÅ</t>
        </is>
      </c>
      <c r="F2918" t="inlineStr">
        <is>
          <t>Sveaskog</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22796-2024</t>
        </is>
      </c>
      <c r="B2919" s="1" t="n">
        <v>45448</v>
      </c>
      <c r="C2919" s="1" t="n">
        <v>45472</v>
      </c>
      <c r="D2919" t="inlineStr">
        <is>
          <t>VÄSTERBOTTENS LÄN</t>
        </is>
      </c>
      <c r="E2919" t="inlineStr">
        <is>
          <t>SKELLEFTEÅ</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22921-2024</t>
        </is>
      </c>
      <c r="B2920" s="1" t="n">
        <v>45448</v>
      </c>
      <c r="C2920" s="1" t="n">
        <v>45472</v>
      </c>
      <c r="D2920" t="inlineStr">
        <is>
          <t>VÄSTERBOTTENS LÄN</t>
        </is>
      </c>
      <c r="E2920" t="inlineStr">
        <is>
          <t>SKELLEFTEÅ</t>
        </is>
      </c>
      <c r="F2920" t="inlineStr">
        <is>
          <t>Sveaskog</t>
        </is>
      </c>
      <c r="G2920" t="n">
        <v>18.6</v>
      </c>
      <c r="H2920" t="n">
        <v>0</v>
      </c>
      <c r="I2920" t="n">
        <v>0</v>
      </c>
      <c r="J2920" t="n">
        <v>0</v>
      </c>
      <c r="K2920" t="n">
        <v>0</v>
      </c>
      <c r="L2920" t="n">
        <v>0</v>
      </c>
      <c r="M2920" t="n">
        <v>0</v>
      </c>
      <c r="N2920" t="n">
        <v>0</v>
      </c>
      <c r="O2920" t="n">
        <v>0</v>
      </c>
      <c r="P2920" t="n">
        <v>0</v>
      </c>
      <c r="Q2920" t="n">
        <v>0</v>
      </c>
      <c r="R2920" s="2" t="inlineStr"/>
    </row>
    <row r="2921" ht="15" customHeight="1">
      <c r="A2921" t="inlineStr">
        <is>
          <t>A 22859-2024</t>
        </is>
      </c>
      <c r="B2921" s="1" t="n">
        <v>45448</v>
      </c>
      <c r="C2921" s="1" t="n">
        <v>45472</v>
      </c>
      <c r="D2921" t="inlineStr">
        <is>
          <t>VÄSTERBOTTENS LÄN</t>
        </is>
      </c>
      <c r="E2921" t="inlineStr">
        <is>
          <t>SKELLEFTEÅ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23164-2024</t>
        </is>
      </c>
      <c r="B2922" s="1" t="n">
        <v>45450</v>
      </c>
      <c r="C2922" s="1" t="n">
        <v>45472</v>
      </c>
      <c r="D2922" t="inlineStr">
        <is>
          <t>VÄSTERBOTTENS LÄN</t>
        </is>
      </c>
      <c r="E2922" t="inlineStr">
        <is>
          <t>SKELLEFTEÅ</t>
        </is>
      </c>
      <c r="F2922" t="inlineStr">
        <is>
          <t>Sveaskog</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23062-2024</t>
        </is>
      </c>
      <c r="B2923" s="1" t="n">
        <v>45450</v>
      </c>
      <c r="C2923" s="1" t="n">
        <v>45472</v>
      </c>
      <c r="D2923" t="inlineStr">
        <is>
          <t>VÄSTERBOTTENS LÄN</t>
        </is>
      </c>
      <c r="E2923" t="inlineStr">
        <is>
          <t>SKELLEFTEÅ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23059-2024</t>
        </is>
      </c>
      <c r="B2924" s="1" t="n">
        <v>45450</v>
      </c>
      <c r="C2924" s="1" t="n">
        <v>45472</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23168-2024</t>
        </is>
      </c>
      <c r="B2925" s="1" t="n">
        <v>45450</v>
      </c>
      <c r="C2925" s="1" t="n">
        <v>45472</v>
      </c>
      <c r="D2925" t="inlineStr">
        <is>
          <t>VÄSTERBOTTENS LÄN</t>
        </is>
      </c>
      <c r="E2925" t="inlineStr">
        <is>
          <t>SKELLEFTEÅ</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45472</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23169-2024</t>
        </is>
      </c>
      <c r="B2927" s="1" t="n">
        <v>45450</v>
      </c>
      <c r="C2927" s="1" t="n">
        <v>45472</v>
      </c>
      <c r="D2927" t="inlineStr">
        <is>
          <t>VÄSTERBOTTENS LÄN</t>
        </is>
      </c>
      <c r="E2927" t="inlineStr">
        <is>
          <t>SKELLEFTEÅ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23239-2024</t>
        </is>
      </c>
      <c r="B2928" s="1" t="n">
        <v>45453</v>
      </c>
      <c r="C2928" s="1" t="n">
        <v>45472</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23503-2024</t>
        </is>
      </c>
      <c r="B2929" s="1" t="n">
        <v>45453</v>
      </c>
      <c r="C2929" s="1" t="n">
        <v>45472</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23520-2024</t>
        </is>
      </c>
      <c r="B2930" s="1" t="n">
        <v>45454</v>
      </c>
      <c r="C2930" s="1" t="n">
        <v>45472</v>
      </c>
      <c r="D2930" t="inlineStr">
        <is>
          <t>VÄSTERBOTTENS LÄN</t>
        </is>
      </c>
      <c r="E2930" t="inlineStr">
        <is>
          <t>SKELLEFTEÅ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23502-2024</t>
        </is>
      </c>
      <c r="B2931" s="1" t="n">
        <v>45453</v>
      </c>
      <c r="C2931" s="1" t="n">
        <v>45472</v>
      </c>
      <c r="D2931" t="inlineStr">
        <is>
          <t>VÄSTERBOTTENS LÄN</t>
        </is>
      </c>
      <c r="E2931" t="inlineStr">
        <is>
          <t>SKELLEFTEÅ</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23522-2024</t>
        </is>
      </c>
      <c r="B2932" s="1" t="n">
        <v>45454</v>
      </c>
      <c r="C2932" s="1" t="n">
        <v>45472</v>
      </c>
      <c r="D2932" t="inlineStr">
        <is>
          <t>VÄSTERBOTTENS LÄN</t>
        </is>
      </c>
      <c r="E2932" t="inlineStr">
        <is>
          <t>SKELLEFTEÅ</t>
        </is>
      </c>
      <c r="G2932" t="n">
        <v>13.4</v>
      </c>
      <c r="H2932" t="n">
        <v>0</v>
      </c>
      <c r="I2932" t="n">
        <v>0</v>
      </c>
      <c r="J2932" t="n">
        <v>0</v>
      </c>
      <c r="K2932" t="n">
        <v>0</v>
      </c>
      <c r="L2932" t="n">
        <v>0</v>
      </c>
      <c r="M2932" t="n">
        <v>0</v>
      </c>
      <c r="N2932" t="n">
        <v>0</v>
      </c>
      <c r="O2932" t="n">
        <v>0</v>
      </c>
      <c r="P2932" t="n">
        <v>0</v>
      </c>
      <c r="Q2932" t="n">
        <v>0</v>
      </c>
      <c r="R2932" s="2" t="inlineStr"/>
    </row>
    <row r="2933" ht="15" customHeight="1">
      <c r="A2933" t="inlineStr">
        <is>
          <t>A 23445-2024</t>
        </is>
      </c>
      <c r="B2933" s="1" t="n">
        <v>45453</v>
      </c>
      <c r="C2933" s="1" t="n">
        <v>45472</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23501-2024</t>
        </is>
      </c>
      <c r="B2934" s="1" t="n">
        <v>45453</v>
      </c>
      <c r="C2934" s="1" t="n">
        <v>45472</v>
      </c>
      <c r="D2934" t="inlineStr">
        <is>
          <t>VÄSTERBOTTENS LÄN</t>
        </is>
      </c>
      <c r="E2934" t="inlineStr">
        <is>
          <t>SKELLEFTEÅ</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23521-2024</t>
        </is>
      </c>
      <c r="B2935" s="1" t="n">
        <v>45454</v>
      </c>
      <c r="C2935" s="1" t="n">
        <v>45472</v>
      </c>
      <c r="D2935" t="inlineStr">
        <is>
          <t>VÄSTERBOTTENS LÄN</t>
        </is>
      </c>
      <c r="E2935" t="inlineStr">
        <is>
          <t>SKELLEFTEÅ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23634-2024</t>
        </is>
      </c>
      <c r="B2936" s="1" t="n">
        <v>45454</v>
      </c>
      <c r="C2936" s="1" t="n">
        <v>45472</v>
      </c>
      <c r="D2936" t="inlineStr">
        <is>
          <t>VÄSTERBOTTENS LÄN</t>
        </is>
      </c>
      <c r="E2936" t="inlineStr">
        <is>
          <t>SKELLEFTEÅ</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23629-2024</t>
        </is>
      </c>
      <c r="B2937" s="1" t="n">
        <v>45454</v>
      </c>
      <c r="C2937" s="1" t="n">
        <v>45472</v>
      </c>
      <c r="D2937" t="inlineStr">
        <is>
          <t>VÄSTERBOTTENS LÄN</t>
        </is>
      </c>
      <c r="E2937" t="inlineStr">
        <is>
          <t>SKELLEFTEÅ</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23750-2024</t>
        </is>
      </c>
      <c r="B2938" s="1" t="n">
        <v>45455</v>
      </c>
      <c r="C2938" s="1" t="n">
        <v>45472</v>
      </c>
      <c r="D2938" t="inlineStr">
        <is>
          <t>VÄSTERBOTTENS LÄN</t>
        </is>
      </c>
      <c r="E2938" t="inlineStr">
        <is>
          <t>SKELLEFTEÅ</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23823-2024</t>
        </is>
      </c>
      <c r="B2939" s="1" t="n">
        <v>45455</v>
      </c>
      <c r="C2939" s="1" t="n">
        <v>45472</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23903-2024</t>
        </is>
      </c>
      <c r="B2940" s="1" t="n">
        <v>45455</v>
      </c>
      <c r="C2940" s="1" t="n">
        <v>45472</v>
      </c>
      <c r="D2940" t="inlineStr">
        <is>
          <t>VÄSTERBOTTENS LÄN</t>
        </is>
      </c>
      <c r="E2940" t="inlineStr">
        <is>
          <t>SKELLEFTEÅ</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45472</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45472</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24080-2024</t>
        </is>
      </c>
      <c r="B2943" s="1" t="n">
        <v>45456</v>
      </c>
      <c r="C2943" s="1" t="n">
        <v>45472</v>
      </c>
      <c r="D2943" t="inlineStr">
        <is>
          <t>VÄSTERBOTTENS LÄN</t>
        </is>
      </c>
      <c r="E2943" t="inlineStr">
        <is>
          <t>SKELLEFTEÅ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24195-2024</t>
        </is>
      </c>
      <c r="B2944" s="1" t="n">
        <v>45456</v>
      </c>
      <c r="C2944" s="1" t="n">
        <v>45472</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24352-2024</t>
        </is>
      </c>
      <c r="B2945" s="1" t="n">
        <v>45457</v>
      </c>
      <c r="C2945" s="1" t="n">
        <v>45472</v>
      </c>
      <c r="D2945" t="inlineStr">
        <is>
          <t>VÄSTERBOTTENS LÄN</t>
        </is>
      </c>
      <c r="E2945" t="inlineStr">
        <is>
          <t>SKELLEFTEÅ</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24349-2024</t>
        </is>
      </c>
      <c r="B2946" s="1" t="n">
        <v>45457</v>
      </c>
      <c r="C2946" s="1" t="n">
        <v>45472</v>
      </c>
      <c r="D2946" t="inlineStr">
        <is>
          <t>VÄSTERBOTTENS LÄN</t>
        </is>
      </c>
      <c r="E2946" t="inlineStr">
        <is>
          <t>SKELLEFTEÅ</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24362-2024</t>
        </is>
      </c>
      <c r="B2947" s="1" t="n">
        <v>45457</v>
      </c>
      <c r="C2947" s="1" t="n">
        <v>45472</v>
      </c>
      <c r="D2947" t="inlineStr">
        <is>
          <t>VÄSTERBOTTENS LÄN</t>
        </is>
      </c>
      <c r="E2947" t="inlineStr">
        <is>
          <t>SKELLEFTEÅ</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24418-2024</t>
        </is>
      </c>
      <c r="B2948" s="1" t="n">
        <v>45457</v>
      </c>
      <c r="C2948" s="1" t="n">
        <v>45472</v>
      </c>
      <c r="D2948" t="inlineStr">
        <is>
          <t>VÄSTERBOTTENS LÄN</t>
        </is>
      </c>
      <c r="E2948" t="inlineStr">
        <is>
          <t>SKELLEFTEÅ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24576-2024</t>
        </is>
      </c>
      <c r="B2949" s="1" t="n">
        <v>45460</v>
      </c>
      <c r="C2949" s="1" t="n">
        <v>45472</v>
      </c>
      <c r="D2949" t="inlineStr">
        <is>
          <t>VÄSTERBOTTENS LÄN</t>
        </is>
      </c>
      <c r="E2949" t="inlineStr">
        <is>
          <t>SKELLEFTEÅ</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24604-2024</t>
        </is>
      </c>
      <c r="B2950" s="1" t="n">
        <v>45460</v>
      </c>
      <c r="C2950" s="1" t="n">
        <v>45472</v>
      </c>
      <c r="D2950" t="inlineStr">
        <is>
          <t>VÄSTERBOTTENS LÄN</t>
        </is>
      </c>
      <c r="E2950" t="inlineStr">
        <is>
          <t>SKELLEFTEÅ</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24696-2024</t>
        </is>
      </c>
      <c r="B2951" s="1" t="n">
        <v>45460</v>
      </c>
      <c r="C2951" s="1" t="n">
        <v>45472</v>
      </c>
      <c r="D2951" t="inlineStr">
        <is>
          <t>VÄSTERBOTTENS LÄN</t>
        </is>
      </c>
      <c r="E2951" t="inlineStr">
        <is>
          <t>SKELLEFTEÅ</t>
        </is>
      </c>
      <c r="F2951" t="inlineStr">
        <is>
          <t>Holmen skog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24780-2024</t>
        </is>
      </c>
      <c r="B2952" s="1" t="n">
        <v>45460</v>
      </c>
      <c r="C2952" s="1" t="n">
        <v>45472</v>
      </c>
      <c r="D2952" t="inlineStr">
        <is>
          <t>VÄSTERBOTTENS LÄN</t>
        </is>
      </c>
      <c r="E2952" t="inlineStr">
        <is>
          <t>SKELLEFTEÅ</t>
        </is>
      </c>
      <c r="F2952" t="inlineStr">
        <is>
          <t>Sveaskog</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24920-2024</t>
        </is>
      </c>
      <c r="B2953" s="1" t="n">
        <v>45461</v>
      </c>
      <c r="C2953" s="1" t="n">
        <v>45472</v>
      </c>
      <c r="D2953" t="inlineStr">
        <is>
          <t>VÄSTERBOTTENS LÄN</t>
        </is>
      </c>
      <c r="E2953" t="inlineStr">
        <is>
          <t>SKELLEFTEÅ</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24914-2024</t>
        </is>
      </c>
      <c r="B2954" s="1" t="n">
        <v>45461</v>
      </c>
      <c r="C2954" s="1" t="n">
        <v>45472</v>
      </c>
      <c r="D2954" t="inlineStr">
        <is>
          <t>VÄSTERBOTTENS LÄN</t>
        </is>
      </c>
      <c r="E2954" t="inlineStr">
        <is>
          <t>SKELLEFTEÅ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25006-2024</t>
        </is>
      </c>
      <c r="B2955" s="1" t="n">
        <v>45461</v>
      </c>
      <c r="C2955" s="1" t="n">
        <v>45472</v>
      </c>
      <c r="D2955" t="inlineStr">
        <is>
          <t>VÄSTERBOTTENS LÄN</t>
        </is>
      </c>
      <c r="E2955" t="inlineStr">
        <is>
          <t>SKELLEFTEÅ</t>
        </is>
      </c>
      <c r="F2955" t="inlineStr">
        <is>
          <t>Sveaskog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25099-2024</t>
        </is>
      </c>
      <c r="B2956" s="1" t="n">
        <v>45462</v>
      </c>
      <c r="C2956" s="1" t="n">
        <v>45472</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25158-2024</t>
        </is>
      </c>
      <c r="B2957" s="1" t="n">
        <v>45462</v>
      </c>
      <c r="C2957" s="1" t="n">
        <v>45472</v>
      </c>
      <c r="D2957" t="inlineStr">
        <is>
          <t>VÄSTERBOTTENS LÄN</t>
        </is>
      </c>
      <c r="E2957" t="inlineStr">
        <is>
          <t>SKELLEFTEÅ</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25184-2024</t>
        </is>
      </c>
      <c r="B2958" s="1" t="n">
        <v>45462</v>
      </c>
      <c r="C2958" s="1" t="n">
        <v>45472</v>
      </c>
      <c r="D2958" t="inlineStr">
        <is>
          <t>VÄSTERBOTTENS LÄN</t>
        </is>
      </c>
      <c r="E2958" t="inlineStr">
        <is>
          <t>SKELLEFTEÅ</t>
        </is>
      </c>
      <c r="F2958" t="inlineStr">
        <is>
          <t>Holmen skog AB</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25209-2024</t>
        </is>
      </c>
      <c r="B2959" s="1" t="n">
        <v>45462</v>
      </c>
      <c r="C2959" s="1" t="n">
        <v>45472</v>
      </c>
      <c r="D2959" t="inlineStr">
        <is>
          <t>VÄSTERBOTTENS LÄN</t>
        </is>
      </c>
      <c r="E2959" t="inlineStr">
        <is>
          <t>SKELLEFTEÅ</t>
        </is>
      </c>
      <c r="F2959" t="inlineStr">
        <is>
          <t>Holmen skog AB</t>
        </is>
      </c>
      <c r="G2959" t="n">
        <v>30.3</v>
      </c>
      <c r="H2959" t="n">
        <v>0</v>
      </c>
      <c r="I2959" t="n">
        <v>0</v>
      </c>
      <c r="J2959" t="n">
        <v>0</v>
      </c>
      <c r="K2959" t="n">
        <v>0</v>
      </c>
      <c r="L2959" t="n">
        <v>0</v>
      </c>
      <c r="M2959" t="n">
        <v>0</v>
      </c>
      <c r="N2959" t="n">
        <v>0</v>
      </c>
      <c r="O2959" t="n">
        <v>0</v>
      </c>
      <c r="P2959" t="n">
        <v>0</v>
      </c>
      <c r="Q2959" t="n">
        <v>0</v>
      </c>
      <c r="R2959" s="2" t="inlineStr"/>
    </row>
    <row r="2960" ht="15" customHeight="1">
      <c r="A2960" t="inlineStr">
        <is>
          <t>A 25106-2024</t>
        </is>
      </c>
      <c r="B2960" s="1" t="n">
        <v>45462</v>
      </c>
      <c r="C2960" s="1" t="n">
        <v>45472</v>
      </c>
      <c r="D2960" t="inlineStr">
        <is>
          <t>VÄSTERBOTTENS LÄN</t>
        </is>
      </c>
      <c r="E2960" t="inlineStr">
        <is>
          <t>SKELLEFTEÅ</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25111-2024</t>
        </is>
      </c>
      <c r="B2961" s="1" t="n">
        <v>45462</v>
      </c>
      <c r="C2961" s="1" t="n">
        <v>45472</v>
      </c>
      <c r="D2961" t="inlineStr">
        <is>
          <t>VÄSTERBOTTENS LÄN</t>
        </is>
      </c>
      <c r="E2961" t="inlineStr">
        <is>
          <t>SKELLEFTEÅ</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25157-2024</t>
        </is>
      </c>
      <c r="B2962" s="1" t="n">
        <v>45462</v>
      </c>
      <c r="C2962" s="1" t="n">
        <v>45472</v>
      </c>
      <c r="D2962" t="inlineStr">
        <is>
          <t>VÄSTERBOTTENS LÄN</t>
        </is>
      </c>
      <c r="E2962" t="inlineStr">
        <is>
          <t>SKELLEFTEÅ</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25155-2024</t>
        </is>
      </c>
      <c r="B2963" s="1" t="n">
        <v>45462</v>
      </c>
      <c r="C2963" s="1" t="n">
        <v>45472</v>
      </c>
      <c r="D2963" t="inlineStr">
        <is>
          <t>VÄSTERBOTTENS LÄN</t>
        </is>
      </c>
      <c r="E2963" t="inlineStr">
        <is>
          <t>SKELLEFTEÅ</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25665-2024</t>
        </is>
      </c>
      <c r="B2964" s="1" t="n">
        <v>45463</v>
      </c>
      <c r="C2964" s="1" t="n">
        <v>45472</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25666-2024</t>
        </is>
      </c>
      <c r="B2965" s="1" t="n">
        <v>45463</v>
      </c>
      <c r="C2965" s="1" t="n">
        <v>45472</v>
      </c>
      <c r="D2965" t="inlineStr">
        <is>
          <t>VÄSTERBOTTENS LÄN</t>
        </is>
      </c>
      <c r="E2965" t="inlineStr">
        <is>
          <t>SKELLEFTEÅ</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25682-2024</t>
        </is>
      </c>
      <c r="B2966" s="1" t="n">
        <v>45463</v>
      </c>
      <c r="C2966" s="1" t="n">
        <v>45472</v>
      </c>
      <c r="D2966" t="inlineStr">
        <is>
          <t>VÄSTERBOTTENS LÄN</t>
        </is>
      </c>
      <c r="E2966" t="inlineStr">
        <is>
          <t>SKELLEFTEÅ</t>
        </is>
      </c>
      <c r="F2966" t="inlineStr">
        <is>
          <t>Sveaskog</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25795-2024</t>
        </is>
      </c>
      <c r="B2967" s="1" t="n">
        <v>45463</v>
      </c>
      <c r="C2967" s="1" t="n">
        <v>45472</v>
      </c>
      <c r="D2967" t="inlineStr">
        <is>
          <t>VÄSTERBOTTENS LÄN</t>
        </is>
      </c>
      <c r="E2967" t="inlineStr">
        <is>
          <t>SKELLEFTEÅ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25943-2024</t>
        </is>
      </c>
      <c r="B2968" s="1" t="n">
        <v>45467</v>
      </c>
      <c r="C2968" s="1" t="n">
        <v>45472</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25983-2024</t>
        </is>
      </c>
      <c r="B2969" s="1" t="n">
        <v>45467</v>
      </c>
      <c r="C2969" s="1" t="n">
        <v>45472</v>
      </c>
      <c r="D2969" t="inlineStr">
        <is>
          <t>VÄSTERBOTTENS LÄN</t>
        </is>
      </c>
      <c r="E2969" t="inlineStr">
        <is>
          <t>SKELLEFTEÅ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25984-2024</t>
        </is>
      </c>
      <c r="B2970" s="1" t="n">
        <v>45467</v>
      </c>
      <c r="C2970" s="1" t="n">
        <v>45472</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26096-2024</t>
        </is>
      </c>
      <c r="B2971" s="1" t="n">
        <v>45467</v>
      </c>
      <c r="C2971" s="1" t="n">
        <v>45472</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26102-2024</t>
        </is>
      </c>
      <c r="B2972" s="1" t="n">
        <v>45468</v>
      </c>
      <c r="C2972" s="1" t="n">
        <v>45472</v>
      </c>
      <c r="D2972" t="inlineStr">
        <is>
          <t>VÄSTERBOTTENS LÄN</t>
        </is>
      </c>
      <c r="E2972" t="inlineStr">
        <is>
          <t>SKELLEFTEÅ</t>
        </is>
      </c>
      <c r="F2972" t="inlineStr">
        <is>
          <t>Holmen skog AB</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26190-2024</t>
        </is>
      </c>
      <c r="B2973" s="1" t="n">
        <v>45468</v>
      </c>
      <c r="C2973" s="1" t="n">
        <v>45472</v>
      </c>
      <c r="D2973" t="inlineStr">
        <is>
          <t>VÄSTERBOTTENS LÄN</t>
        </is>
      </c>
      <c r="E2973" t="inlineStr">
        <is>
          <t>SKELLEFTEÅ</t>
        </is>
      </c>
      <c r="F2973" t="inlineStr">
        <is>
          <t>Holmen skog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26212-2024</t>
        </is>
      </c>
      <c r="B2974" s="1" t="n">
        <v>45468</v>
      </c>
      <c r="C2974" s="1" t="n">
        <v>45472</v>
      </c>
      <c r="D2974" t="inlineStr">
        <is>
          <t>VÄSTERBOTTENS LÄN</t>
        </is>
      </c>
      <c r="E2974" t="inlineStr">
        <is>
          <t>SKELLEFTEÅ</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26226-2024</t>
        </is>
      </c>
      <c r="B2975" s="1" t="n">
        <v>45468</v>
      </c>
      <c r="C2975" s="1" t="n">
        <v>45472</v>
      </c>
      <c r="D2975" t="inlineStr">
        <is>
          <t>VÄSTERBOTTENS LÄN</t>
        </is>
      </c>
      <c r="E2975" t="inlineStr">
        <is>
          <t>SKELLEFTEÅ</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45472</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26257-2024</t>
        </is>
      </c>
      <c r="B2977" s="1" t="n">
        <v>45468</v>
      </c>
      <c r="C2977" s="1" t="n">
        <v>45472</v>
      </c>
      <c r="D2977" t="inlineStr">
        <is>
          <t>VÄSTERBOTTENS LÄN</t>
        </is>
      </c>
      <c r="E2977" t="inlineStr">
        <is>
          <t>SKELLEFTEÅ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26293-2024</t>
        </is>
      </c>
      <c r="B2978" s="1" t="n">
        <v>45468</v>
      </c>
      <c r="C2978" s="1" t="n">
        <v>45472</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26328-2024</t>
        </is>
      </c>
      <c r="B2979" s="1" t="n">
        <v>45469</v>
      </c>
      <c r="C2979" s="1" t="n">
        <v>45472</v>
      </c>
      <c r="D2979" t="inlineStr">
        <is>
          <t>VÄSTERBOTTENS LÄN</t>
        </is>
      </c>
      <c r="E2979" t="inlineStr">
        <is>
          <t>SKELLEFTEÅ</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26389-2024</t>
        </is>
      </c>
      <c r="B2980" s="1" t="n">
        <v>45469</v>
      </c>
      <c r="C2980" s="1" t="n">
        <v>45472</v>
      </c>
      <c r="D2980" t="inlineStr">
        <is>
          <t>VÄSTERBOTTENS LÄN</t>
        </is>
      </c>
      <c r="E2980" t="inlineStr">
        <is>
          <t>SKELLEFTEÅ</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26399-2024</t>
        </is>
      </c>
      <c r="B2981" s="1" t="n">
        <v>45469</v>
      </c>
      <c r="C2981" s="1" t="n">
        <v>45472</v>
      </c>
      <c r="D2981" t="inlineStr">
        <is>
          <t>VÄSTERBOTTENS LÄN</t>
        </is>
      </c>
      <c r="E2981" t="inlineStr">
        <is>
          <t>SKELLEFTEÅ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26447-2024</t>
        </is>
      </c>
      <c r="B2982" s="1" t="n">
        <v>45469</v>
      </c>
      <c r="C2982" s="1" t="n">
        <v>45472</v>
      </c>
      <c r="D2982" t="inlineStr">
        <is>
          <t>VÄSTERBOTTENS LÄN</t>
        </is>
      </c>
      <c r="E2982" t="inlineStr">
        <is>
          <t>SKELLEFTEÅ</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26497-2024</t>
        </is>
      </c>
      <c r="B2983" s="1" t="n">
        <v>45469</v>
      </c>
      <c r="C2983" s="1" t="n">
        <v>45472</v>
      </c>
      <c r="D2983" t="inlineStr">
        <is>
          <t>VÄSTERBOTTENS LÄN</t>
        </is>
      </c>
      <c r="E2983" t="inlineStr">
        <is>
          <t>SKELLEFTEÅ</t>
        </is>
      </c>
      <c r="F2983" t="inlineStr">
        <is>
          <t>Holmen skog AB</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26546-2024</t>
        </is>
      </c>
      <c r="B2984" s="1" t="n">
        <v>45469</v>
      </c>
      <c r="C2984" s="1" t="n">
        <v>45472</v>
      </c>
      <c r="D2984" t="inlineStr">
        <is>
          <t>VÄSTERBOTTENS LÄN</t>
        </is>
      </c>
      <c r="E2984" t="inlineStr">
        <is>
          <t>SKELLEFTEÅ</t>
        </is>
      </c>
      <c r="F2984" t="inlineStr">
        <is>
          <t>Sveaskog</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26581-2024</t>
        </is>
      </c>
      <c r="B2985" s="1" t="n">
        <v>45469</v>
      </c>
      <c r="C2985" s="1" t="n">
        <v>45472</v>
      </c>
      <c r="D2985" t="inlineStr">
        <is>
          <t>VÄSTERBOTTENS LÄN</t>
        </is>
      </c>
      <c r="E2985" t="inlineStr">
        <is>
          <t>SKELLEFTEÅ</t>
        </is>
      </c>
      <c r="F2985" t="inlineStr">
        <is>
          <t>Holmen skog AB</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26626-2024</t>
        </is>
      </c>
      <c r="B2986" s="1" t="n">
        <v>45469</v>
      </c>
      <c r="C2986" s="1" t="n">
        <v>45472</v>
      </c>
      <c r="D2986" t="inlineStr">
        <is>
          <t>VÄSTERBOTTENS LÄN</t>
        </is>
      </c>
      <c r="E2986" t="inlineStr">
        <is>
          <t>SKELLEFTEÅ</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26630-2024</t>
        </is>
      </c>
      <c r="B2987" s="1" t="n">
        <v>45469</v>
      </c>
      <c r="C2987" s="1" t="n">
        <v>45472</v>
      </c>
      <c r="D2987" t="inlineStr">
        <is>
          <t>VÄSTERBOTTENS LÄN</t>
        </is>
      </c>
      <c r="E2987" t="inlineStr">
        <is>
          <t>SKELLEFTEÅ</t>
        </is>
      </c>
      <c r="F2987" t="inlineStr">
        <is>
          <t>Sveaskog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26708-2024</t>
        </is>
      </c>
      <c r="B2988" s="1" t="n">
        <v>45470</v>
      </c>
      <c r="C2988" s="1" t="n">
        <v>45472</v>
      </c>
      <c r="D2988" t="inlineStr">
        <is>
          <t>VÄSTERBOTTENS LÄN</t>
        </is>
      </c>
      <c r="E2988" t="inlineStr">
        <is>
          <t>SKELLEFTEÅ</t>
        </is>
      </c>
      <c r="F2988" t="inlineStr">
        <is>
          <t>Sveaskog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26818-2024</t>
        </is>
      </c>
      <c r="B2989" s="1" t="n">
        <v>45470</v>
      </c>
      <c r="C2989" s="1" t="n">
        <v>45472</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26826-2024</t>
        </is>
      </c>
      <c r="B2990" s="1" t="n">
        <v>45470</v>
      </c>
      <c r="C2990" s="1" t="n">
        <v>45472</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26831-2024</t>
        </is>
      </c>
      <c r="B2991" s="1" t="n">
        <v>45470</v>
      </c>
      <c r="C2991" s="1" t="n">
        <v>45472</v>
      </c>
      <c r="D2991" t="inlineStr">
        <is>
          <t>VÄSTERBOTTENS LÄN</t>
        </is>
      </c>
      <c r="E2991" t="inlineStr">
        <is>
          <t>SKELLEFTEÅ</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26920-2024</t>
        </is>
      </c>
      <c r="B2992" s="1" t="n">
        <v>45471</v>
      </c>
      <c r="C2992" s="1" t="n">
        <v>45472</v>
      </c>
      <c r="D2992" t="inlineStr">
        <is>
          <t>VÄSTERBOTTENS LÄN</t>
        </is>
      </c>
      <c r="E2992" t="inlineStr">
        <is>
          <t>SKELLEFTEÅ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26928-2024</t>
        </is>
      </c>
      <c r="B2993" s="1" t="n">
        <v>45471</v>
      </c>
      <c r="C2993" s="1" t="n">
        <v>45472</v>
      </c>
      <c r="D2993" t="inlineStr">
        <is>
          <t>VÄSTERBOTTENS LÄN</t>
        </is>
      </c>
      <c r="E2993" t="inlineStr">
        <is>
          <t>SKELLEFTEÅ</t>
        </is>
      </c>
      <c r="G2993" t="n">
        <v>17.6</v>
      </c>
      <c r="H2993" t="n">
        <v>0</v>
      </c>
      <c r="I2993" t="n">
        <v>0</v>
      </c>
      <c r="J2993" t="n">
        <v>0</v>
      </c>
      <c r="K2993" t="n">
        <v>0</v>
      </c>
      <c r="L2993" t="n">
        <v>0</v>
      </c>
      <c r="M2993" t="n">
        <v>0</v>
      </c>
      <c r="N2993" t="n">
        <v>0</v>
      </c>
      <c r="O2993" t="n">
        <v>0</v>
      </c>
      <c r="P2993" t="n">
        <v>0</v>
      </c>
      <c r="Q2993" t="n">
        <v>0</v>
      </c>
      <c r="R2993" s="2" t="inlineStr"/>
    </row>
    <row r="2994" ht="15" customHeight="1">
      <c r="A2994" t="inlineStr">
        <is>
          <t>A 26929-2024</t>
        </is>
      </c>
      <c r="B2994" s="1" t="n">
        <v>45471</v>
      </c>
      <c r="C2994" s="1" t="n">
        <v>45472</v>
      </c>
      <c r="D2994" t="inlineStr">
        <is>
          <t>VÄSTERBOTTENS LÄN</t>
        </is>
      </c>
      <c r="E2994" t="inlineStr">
        <is>
          <t>SKELLEFTEÅ</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26997-2024</t>
        </is>
      </c>
      <c r="B2995" s="1" t="n">
        <v>45471</v>
      </c>
      <c r="C2995" s="1" t="n">
        <v>45472</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27026-2024</t>
        </is>
      </c>
      <c r="B2996" s="1" t="n">
        <v>45471</v>
      </c>
      <c r="C2996" s="1" t="n">
        <v>45472</v>
      </c>
      <c r="D2996" t="inlineStr">
        <is>
          <t>VÄSTERBOTTENS LÄN</t>
        </is>
      </c>
      <c r="E2996" t="inlineStr">
        <is>
          <t>SKELLEFTEÅ</t>
        </is>
      </c>
      <c r="F2996" t="inlineStr">
        <is>
          <t>Holmen skog AB</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27083-2024</t>
        </is>
      </c>
      <c r="B2997" s="1" t="n">
        <v>45471</v>
      </c>
      <c r="C2997" s="1" t="n">
        <v>45472</v>
      </c>
      <c r="D2997" t="inlineStr">
        <is>
          <t>VÄSTERBOTTENS LÄN</t>
        </is>
      </c>
      <c r="E2997" t="inlineStr">
        <is>
          <t>SKELLEFTEÅ</t>
        </is>
      </c>
      <c r="F2997" t="inlineStr">
        <is>
          <t>Holmen skog AB</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27143-2024</t>
        </is>
      </c>
      <c r="B2998" s="1" t="n">
        <v>45471</v>
      </c>
      <c r="C2998" s="1" t="n">
        <v>45472</v>
      </c>
      <c r="D2998" t="inlineStr">
        <is>
          <t>VÄSTERBOTTENS LÄN</t>
        </is>
      </c>
      <c r="E2998" t="inlineStr">
        <is>
          <t>SKELLEFTEÅ</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45472</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45472</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27212-2024</t>
        </is>
      </c>
      <c r="B3001" s="1" t="n">
        <v>45471</v>
      </c>
      <c r="C3001" s="1" t="n">
        <v>45472</v>
      </c>
      <c r="D3001" t="inlineStr">
        <is>
          <t>VÄSTERBOTTENS LÄN</t>
        </is>
      </c>
      <c r="E3001" t="inlineStr">
        <is>
          <t>SKELLEFTEÅ</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27228-2024</t>
        </is>
      </c>
      <c r="B3002" s="1" t="n">
        <v>45471</v>
      </c>
      <c r="C3002" s="1" t="n">
        <v>45472</v>
      </c>
      <c r="D3002" t="inlineStr">
        <is>
          <t>VÄSTERBOTTENS LÄN</t>
        </is>
      </c>
      <c r="E3002" t="inlineStr">
        <is>
          <t>SKELLEFTEÅ</t>
        </is>
      </c>
      <c r="F3002" t="inlineStr">
        <is>
          <t>Holmen skog AB</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27253-2024</t>
        </is>
      </c>
      <c r="B3003" s="1" t="n">
        <v>45471</v>
      </c>
      <c r="C3003" s="1" t="n">
        <v>45472</v>
      </c>
      <c r="D3003" t="inlineStr">
        <is>
          <t>VÄSTERBOTTENS LÄN</t>
        </is>
      </c>
      <c r="E3003" t="inlineStr">
        <is>
          <t>SKELLEFTEÅ</t>
        </is>
      </c>
      <c r="F3003" t="inlineStr">
        <is>
          <t>Holmen skog AB</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27264-2024</t>
        </is>
      </c>
      <c r="B3004" s="1" t="n">
        <v>45471</v>
      </c>
      <c r="C3004" s="1" t="n">
        <v>45472</v>
      </c>
      <c r="D3004" t="inlineStr">
        <is>
          <t>VÄSTERBOTTENS LÄN</t>
        </is>
      </c>
      <c r="E3004" t="inlineStr">
        <is>
          <t>SKELLEFTEÅ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27267-2024</t>
        </is>
      </c>
      <c r="B3005" s="1" t="n">
        <v>45471</v>
      </c>
      <c r="C3005" s="1" t="n">
        <v>45472</v>
      </c>
      <c r="D3005" t="inlineStr">
        <is>
          <t>VÄSTERBOTTENS LÄN</t>
        </is>
      </c>
      <c r="E3005" t="inlineStr">
        <is>
          <t>SKELLEFTEÅ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27269-2024</t>
        </is>
      </c>
      <c r="B3006" s="1" t="n">
        <v>45471</v>
      </c>
      <c r="C3006" s="1" t="n">
        <v>45472</v>
      </c>
      <c r="D3006" t="inlineStr">
        <is>
          <t>VÄSTERBOTTENS LÄN</t>
        </is>
      </c>
      <c r="E3006" t="inlineStr">
        <is>
          <t>SKELLEFTEÅ</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27286-2024</t>
        </is>
      </c>
      <c r="B3007" s="1" t="n">
        <v>45472</v>
      </c>
      <c r="C3007" s="1" t="n">
        <v>45472</v>
      </c>
      <c r="D3007" t="inlineStr">
        <is>
          <t>VÄSTERBOTTENS LÄN</t>
        </is>
      </c>
      <c r="E3007" t="inlineStr">
        <is>
          <t>SKELLEFTEÅ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27287-2024</t>
        </is>
      </c>
      <c r="B3008" s="1" t="n">
        <v>45472</v>
      </c>
      <c r="C3008" s="1" t="n">
        <v>45472</v>
      </c>
      <c r="D3008" t="inlineStr">
        <is>
          <t>VÄSTERBOTTENS LÄN</t>
        </is>
      </c>
      <c r="E3008" t="inlineStr">
        <is>
          <t>SKELLEFTEÅ</t>
        </is>
      </c>
      <c r="G3008" t="n">
        <v>11.7</v>
      </c>
      <c r="H3008" t="n">
        <v>0</v>
      </c>
      <c r="I3008" t="n">
        <v>0</v>
      </c>
      <c r="J3008" t="n">
        <v>0</v>
      </c>
      <c r="K3008" t="n">
        <v>0</v>
      </c>
      <c r="L3008" t="n">
        <v>0</v>
      </c>
      <c r="M3008" t="n">
        <v>0</v>
      </c>
      <c r="N3008" t="n">
        <v>0</v>
      </c>
      <c r="O3008" t="n">
        <v>0</v>
      </c>
      <c r="P3008" t="n">
        <v>0</v>
      </c>
      <c r="Q3008" t="n">
        <v>0</v>
      </c>
      <c r="R3008" s="2" t="inlineStr"/>
    </row>
    <row r="3009" ht="15" customHeight="1">
      <c r="A3009" t="inlineStr">
        <is>
          <t>A 27288-2024</t>
        </is>
      </c>
      <c r="B3009" s="1" t="n">
        <v>45472</v>
      </c>
      <c r="C3009" s="1" t="n">
        <v>45472</v>
      </c>
      <c r="D3009" t="inlineStr">
        <is>
          <t>VÄSTERBOTTENS LÄN</t>
        </is>
      </c>
      <c r="E3009" t="inlineStr">
        <is>
          <t>SKELLEFTEÅ</t>
        </is>
      </c>
      <c r="G3009" t="n">
        <v>2.3</v>
      </c>
      <c r="H3009" t="n">
        <v>0</v>
      </c>
      <c r="I3009" t="n">
        <v>0</v>
      </c>
      <c r="J3009" t="n">
        <v>0</v>
      </c>
      <c r="K3009" t="n">
        <v>0</v>
      </c>
      <c r="L3009" t="n">
        <v>0</v>
      </c>
      <c r="M3009" t="n">
        <v>0</v>
      </c>
      <c r="N3009" t="n">
        <v>0</v>
      </c>
      <c r="O3009" t="n">
        <v>0</v>
      </c>
      <c r="P3009" t="n">
        <v>0</v>
      </c>
      <c r="Q3009" t="n">
        <v>0</v>
      </c>
      <c r="R3009" s="2" t="inlineStr"/>
    </row>
    <row r="3010">
      <c r="A3010" t="inlineStr">
        <is>
          <t>A 27289-2024</t>
        </is>
      </c>
      <c r="B3010" s="1" t="n">
        <v>45472</v>
      </c>
      <c r="C3010" s="1" t="n">
        <v>45472</v>
      </c>
      <c r="D3010" t="inlineStr">
        <is>
          <t>VÄSTERBOTTENS LÄN</t>
        </is>
      </c>
      <c r="E3010" t="inlineStr">
        <is>
          <t>SKELLEFTEÅ</t>
        </is>
      </c>
      <c r="G3010" t="n">
        <v>1.4</v>
      </c>
      <c r="H3010" t="n">
        <v>0</v>
      </c>
      <c r="I3010" t="n">
        <v>0</v>
      </c>
      <c r="J3010" t="n">
        <v>0</v>
      </c>
      <c r="K3010" t="n">
        <v>0</v>
      </c>
      <c r="L3010" t="n">
        <v>0</v>
      </c>
      <c r="M3010" t="n">
        <v>0</v>
      </c>
      <c r="N3010" t="n">
        <v>0</v>
      </c>
      <c r="O3010" t="n">
        <v>0</v>
      </c>
      <c r="P3010" t="n">
        <v>0</v>
      </c>
      <c r="Q3010" t="n">
        <v>0</v>
      </c>
      <c r="R3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2024-06-29T14:00:19Z</dcterms:created>
  <dcterms:modified xmlns:dcterms="http://purl.org/dc/terms/" xmlns:xsi="http://www.w3.org/2001/XMLSchema-instance" xsi:type="dcterms:W3CDTF">2024-06-29T14:00:21Z</dcterms:modified>
</cp:coreProperties>
</file>