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45757</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45757</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45757</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45757</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45757</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45757</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45757</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45757</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45757</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45757</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45757</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45757</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45757</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45757</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45757</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45757</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45757</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45757</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45757</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45757</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45757</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45757</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45757</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45757</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45757</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45757</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43123-2024</t>
        </is>
      </c>
      <c r="B42" s="1" t="n">
        <v>45567</v>
      </c>
      <c r="C42" s="1" t="n">
        <v>45757</v>
      </c>
      <c r="D42" t="inlineStr">
        <is>
          <t>VÄSTERBOTTENS LÄN</t>
        </is>
      </c>
      <c r="E42" t="inlineStr">
        <is>
          <t>SKELLEFTEÅ</t>
        </is>
      </c>
      <c r="G42" t="n">
        <v>30.4</v>
      </c>
      <c r="H42" t="n">
        <v>2</v>
      </c>
      <c r="I42" t="n">
        <v>1</v>
      </c>
      <c r="J42" t="n">
        <v>7</v>
      </c>
      <c r="K42" t="n">
        <v>0</v>
      </c>
      <c r="L42" t="n">
        <v>0</v>
      </c>
      <c r="M42" t="n">
        <v>0</v>
      </c>
      <c r="N42" t="n">
        <v>0</v>
      </c>
      <c r="O42" t="n">
        <v>7</v>
      </c>
      <c r="P42" t="n">
        <v>0</v>
      </c>
      <c r="Q42" t="n">
        <v>8</v>
      </c>
      <c r="R42" s="2" t="inlineStr">
        <is>
          <t>Gammelgransskål
Garnlav
Granticka
Rosenticka
Spillkråka
Tretåig hackspett
Ullticka
Vedticka</t>
        </is>
      </c>
      <c r="S42">
        <f>HYPERLINK("https://klasma.github.io/Logging_2482/artfynd/A 43123-2024 artfynd.xlsx", "A 43123-2024")</f>
        <v/>
      </c>
      <c r="T42">
        <f>HYPERLINK("https://klasma.github.io/Logging_2482/kartor/A 43123-2024 karta.png", "A 43123-2024")</f>
        <v/>
      </c>
      <c r="V42">
        <f>HYPERLINK("https://klasma.github.io/Logging_2482/klagomål/A 43123-2024 FSC-klagomål.docx", "A 43123-2024")</f>
        <v/>
      </c>
      <c r="W42">
        <f>HYPERLINK("https://klasma.github.io/Logging_2482/klagomålsmail/A 43123-2024 FSC-klagomål mail.docx", "A 43123-2024")</f>
        <v/>
      </c>
      <c r="X42">
        <f>HYPERLINK("https://klasma.github.io/Logging_2482/tillsyn/A 43123-2024 tillsynsbegäran.docx", "A 43123-2024")</f>
        <v/>
      </c>
      <c r="Y42">
        <f>HYPERLINK("https://klasma.github.io/Logging_2482/tillsynsmail/A 43123-2024 tillsynsbegäran mail.docx", "A 43123-2024")</f>
        <v/>
      </c>
      <c r="Z42">
        <f>HYPERLINK("https://klasma.github.io/Logging_2482/fåglar/A 43123-2024 prioriterade fågelarter.docx", "A 43123-2024")</f>
        <v/>
      </c>
    </row>
    <row r="43" ht="15" customHeight="1">
      <c r="A43" t="inlineStr">
        <is>
          <t>A 48272-2024</t>
        </is>
      </c>
      <c r="B43" s="1" t="n">
        <v>45590</v>
      </c>
      <c r="C43" s="1" t="n">
        <v>45757</v>
      </c>
      <c r="D43" t="inlineStr">
        <is>
          <t>VÄSTERBOTTENS LÄN</t>
        </is>
      </c>
      <c r="E43" t="inlineStr">
        <is>
          <t>SKELLEFTEÅ</t>
        </is>
      </c>
      <c r="G43" t="n">
        <v>12.5</v>
      </c>
      <c r="H43" t="n">
        <v>1</v>
      </c>
      <c r="I43" t="n">
        <v>0</v>
      </c>
      <c r="J43" t="n">
        <v>7</v>
      </c>
      <c r="K43" t="n">
        <v>1</v>
      </c>
      <c r="L43" t="n">
        <v>0</v>
      </c>
      <c r="M43" t="n">
        <v>0</v>
      </c>
      <c r="N43" t="n">
        <v>0</v>
      </c>
      <c r="O43" t="n">
        <v>8</v>
      </c>
      <c r="P43" t="n">
        <v>1</v>
      </c>
      <c r="Q43" t="n">
        <v>8</v>
      </c>
      <c r="R43" s="2" t="inlineStr">
        <is>
          <t>Vågticka
Granticka
Harticka
Rosenticka
Stjärntagging
Tretåig hackspett
Ullticka
Violettgrå tagellav</t>
        </is>
      </c>
      <c r="S43">
        <f>HYPERLINK("https://klasma.github.io/Logging_2482/artfynd/A 48272-2024 artfynd.xlsx", "A 48272-2024")</f>
        <v/>
      </c>
      <c r="T43">
        <f>HYPERLINK("https://klasma.github.io/Logging_2482/kartor/A 48272-2024 karta.png", "A 48272-2024")</f>
        <v/>
      </c>
      <c r="V43">
        <f>HYPERLINK("https://klasma.github.io/Logging_2482/klagomål/A 48272-2024 FSC-klagomål.docx", "A 48272-2024")</f>
        <v/>
      </c>
      <c r="W43">
        <f>HYPERLINK("https://klasma.github.io/Logging_2482/klagomålsmail/A 48272-2024 FSC-klagomål mail.docx", "A 48272-2024")</f>
        <v/>
      </c>
      <c r="X43">
        <f>HYPERLINK("https://klasma.github.io/Logging_2482/tillsyn/A 48272-2024 tillsynsbegäran.docx", "A 48272-2024")</f>
        <v/>
      </c>
      <c r="Y43">
        <f>HYPERLINK("https://klasma.github.io/Logging_2482/tillsynsmail/A 48272-2024 tillsynsbegäran mail.docx", "A 48272-2024")</f>
        <v/>
      </c>
      <c r="Z43">
        <f>HYPERLINK("https://klasma.github.io/Logging_2482/fåglar/A 48272-2024 prioriterade fågelarter.docx", "A 48272-2024")</f>
        <v/>
      </c>
    </row>
    <row r="44" ht="15" customHeight="1">
      <c r="A44" t="inlineStr">
        <is>
          <t>A 53122-2024</t>
        </is>
      </c>
      <c r="B44" s="1" t="n">
        <v>45611</v>
      </c>
      <c r="C44" s="1" t="n">
        <v>45757</v>
      </c>
      <c r="D44" t="inlineStr">
        <is>
          <t>VÄSTERBOTTENS LÄN</t>
        </is>
      </c>
      <c r="E44" t="inlineStr">
        <is>
          <t>SKELLEFTEÅ</t>
        </is>
      </c>
      <c r="F44" t="inlineStr">
        <is>
          <t>Holmen skog AB</t>
        </is>
      </c>
      <c r="G44" t="n">
        <v>8.5</v>
      </c>
      <c r="H44" t="n">
        <v>1</v>
      </c>
      <c r="I44" t="n">
        <v>3</v>
      </c>
      <c r="J44" t="n">
        <v>4</v>
      </c>
      <c r="K44" t="n">
        <v>1</v>
      </c>
      <c r="L44" t="n">
        <v>0</v>
      </c>
      <c r="M44" t="n">
        <v>0</v>
      </c>
      <c r="N44" t="n">
        <v>0</v>
      </c>
      <c r="O44" t="n">
        <v>5</v>
      </c>
      <c r="P44" t="n">
        <v>1</v>
      </c>
      <c r="Q44" t="n">
        <v>8</v>
      </c>
      <c r="R44" s="2" t="inlineStr">
        <is>
          <t>Lammticka
Blå taggsvamp
Motaggsvamp
Orange taggsvamp
Vaddporing
Dropptaggsvamp
Plattlummer
Tallfingersvamp</t>
        </is>
      </c>
      <c r="S44">
        <f>HYPERLINK("https://klasma.github.io/Logging_2482/artfynd/A 53122-2024 artfynd.xlsx", "A 53122-2024")</f>
        <v/>
      </c>
      <c r="T44">
        <f>HYPERLINK("https://klasma.github.io/Logging_2482/kartor/A 53122-2024 karta.png", "A 53122-2024")</f>
        <v/>
      </c>
      <c r="V44">
        <f>HYPERLINK("https://klasma.github.io/Logging_2482/klagomål/A 53122-2024 FSC-klagomål.docx", "A 53122-2024")</f>
        <v/>
      </c>
      <c r="W44">
        <f>HYPERLINK("https://klasma.github.io/Logging_2482/klagomålsmail/A 53122-2024 FSC-klagomål mail.docx", "A 53122-2024")</f>
        <v/>
      </c>
      <c r="X44">
        <f>HYPERLINK("https://klasma.github.io/Logging_2482/tillsyn/A 53122-2024 tillsynsbegäran.docx", "A 53122-2024")</f>
        <v/>
      </c>
      <c r="Y44">
        <f>HYPERLINK("https://klasma.github.io/Logging_2482/tillsynsmail/A 53122-2024 tillsynsbegäran mail.docx", "A 53122-2024")</f>
        <v/>
      </c>
    </row>
    <row r="45" ht="15" customHeight="1">
      <c r="A45" t="inlineStr">
        <is>
          <t>A 25653-2019</t>
        </is>
      </c>
      <c r="B45" s="1" t="n">
        <v>43602</v>
      </c>
      <c r="C45" s="1" t="n">
        <v>45757</v>
      </c>
      <c r="D45" t="inlineStr">
        <is>
          <t>VÄSTERBOTTENS LÄN</t>
        </is>
      </c>
      <c r="E45" t="inlineStr">
        <is>
          <t>SKELLEFTEÅ</t>
        </is>
      </c>
      <c r="G45" t="n">
        <v>27.4</v>
      </c>
      <c r="H45" t="n">
        <v>6</v>
      </c>
      <c r="I45" t="n">
        <v>2</v>
      </c>
      <c r="J45" t="n">
        <v>3</v>
      </c>
      <c r="K45" t="n">
        <v>0</v>
      </c>
      <c r="L45" t="n">
        <v>0</v>
      </c>
      <c r="M45" t="n">
        <v>0</v>
      </c>
      <c r="N45" t="n">
        <v>0</v>
      </c>
      <c r="O45" t="n">
        <v>3</v>
      </c>
      <c r="P45" t="n">
        <v>0</v>
      </c>
      <c r="Q45" t="n">
        <v>7</v>
      </c>
      <c r="R45" s="2" t="inlineStr">
        <is>
          <t>Kolflarnlav
Nordfladdermus
Tretåig hackspett
Korallrot
Spindelblomster
Vanlig groda
Revlummer</t>
        </is>
      </c>
      <c r="S45">
        <f>HYPERLINK("https://klasma.github.io/Logging_2482/artfynd/A 25653-2019 artfynd.xlsx", "A 25653-2019")</f>
        <v/>
      </c>
      <c r="T45">
        <f>HYPERLINK("https://klasma.github.io/Logging_2482/kartor/A 25653-2019 karta.png", "A 25653-2019")</f>
        <v/>
      </c>
      <c r="V45">
        <f>HYPERLINK("https://klasma.github.io/Logging_2482/klagomål/A 25653-2019 FSC-klagomål.docx", "A 25653-2019")</f>
        <v/>
      </c>
      <c r="W45">
        <f>HYPERLINK("https://klasma.github.io/Logging_2482/klagomålsmail/A 25653-2019 FSC-klagomål mail.docx", "A 25653-2019")</f>
        <v/>
      </c>
      <c r="X45">
        <f>HYPERLINK("https://klasma.github.io/Logging_2482/tillsyn/A 25653-2019 tillsynsbegäran.docx", "A 25653-2019")</f>
        <v/>
      </c>
      <c r="Y45">
        <f>HYPERLINK("https://klasma.github.io/Logging_2482/tillsynsmail/A 25653-2019 tillsynsbegäran mail.docx", "A 25653-2019")</f>
        <v/>
      </c>
      <c r="Z45">
        <f>HYPERLINK("https://klasma.github.io/Logging_2482/fåglar/A 25653-2019 prioriterade fågelarter.docx", "A 25653-2019")</f>
        <v/>
      </c>
    </row>
    <row r="46" ht="15" customHeight="1">
      <c r="A46" t="inlineStr">
        <is>
          <t>A 30834-2020</t>
        </is>
      </c>
      <c r="B46" s="1" t="n">
        <v>44011</v>
      </c>
      <c r="C46" s="1" t="n">
        <v>45757</v>
      </c>
      <c r="D46" t="inlineStr">
        <is>
          <t>VÄSTERBOTTENS LÄN</t>
        </is>
      </c>
      <c r="E46" t="inlineStr">
        <is>
          <t>SKELLEFTEÅ</t>
        </is>
      </c>
      <c r="F46" t="inlineStr">
        <is>
          <t>Kyrkan</t>
        </is>
      </c>
      <c r="G46" t="n">
        <v>8.4</v>
      </c>
      <c r="H46" t="n">
        <v>2</v>
      </c>
      <c r="I46" t="n">
        <v>0</v>
      </c>
      <c r="J46" t="n">
        <v>6</v>
      </c>
      <c r="K46" t="n">
        <v>1</v>
      </c>
      <c r="L46" t="n">
        <v>0</v>
      </c>
      <c r="M46" t="n">
        <v>0</v>
      </c>
      <c r="N46" t="n">
        <v>0</v>
      </c>
      <c r="O46" t="n">
        <v>7</v>
      </c>
      <c r="P46" t="n">
        <v>1</v>
      </c>
      <c r="Q46" t="n">
        <v>7</v>
      </c>
      <c r="R46" s="2" t="inlineStr">
        <is>
          <t>Gräddticka
Harticka
Rosenticka
Spillkråka
Stjärntagging
Tretåig hackspett
Ullticka</t>
        </is>
      </c>
      <c r="S46">
        <f>HYPERLINK("https://klasma.github.io/Logging_2482/artfynd/A 30834-2020 artfynd.xlsx", "A 30834-2020")</f>
        <v/>
      </c>
      <c r="T46">
        <f>HYPERLINK("https://klasma.github.io/Logging_2482/kartor/A 30834-2020 karta.png", "A 30834-2020")</f>
        <v/>
      </c>
      <c r="V46">
        <f>HYPERLINK("https://klasma.github.io/Logging_2482/klagomål/A 30834-2020 FSC-klagomål.docx", "A 30834-2020")</f>
        <v/>
      </c>
      <c r="W46">
        <f>HYPERLINK("https://klasma.github.io/Logging_2482/klagomålsmail/A 30834-2020 FSC-klagomål mail.docx", "A 30834-2020")</f>
        <v/>
      </c>
      <c r="X46">
        <f>HYPERLINK("https://klasma.github.io/Logging_2482/tillsyn/A 30834-2020 tillsynsbegäran.docx", "A 30834-2020")</f>
        <v/>
      </c>
      <c r="Y46">
        <f>HYPERLINK("https://klasma.github.io/Logging_2482/tillsynsmail/A 30834-2020 tillsynsbegäran mail.docx", "A 30834-2020")</f>
        <v/>
      </c>
      <c r="Z46">
        <f>HYPERLINK("https://klasma.github.io/Logging_2482/fåglar/A 30834-2020 prioriterade fågelarter.docx", "A 30834-2020")</f>
        <v/>
      </c>
    </row>
    <row r="47" ht="15" customHeight="1">
      <c r="A47" t="inlineStr">
        <is>
          <t>A 14493-2022</t>
        </is>
      </c>
      <c r="B47" s="1" t="n">
        <v>44655</v>
      </c>
      <c r="C47" s="1" t="n">
        <v>45757</v>
      </c>
      <c r="D47" t="inlineStr">
        <is>
          <t>VÄSTERBOTTENS LÄN</t>
        </is>
      </c>
      <c r="E47" t="inlineStr">
        <is>
          <t>SKELLEFTEÅ</t>
        </is>
      </c>
      <c r="G47" t="n">
        <v>9.5</v>
      </c>
      <c r="H47" t="n">
        <v>2</v>
      </c>
      <c r="I47" t="n">
        <v>1</v>
      </c>
      <c r="J47" t="n">
        <v>5</v>
      </c>
      <c r="K47" t="n">
        <v>1</v>
      </c>
      <c r="L47" t="n">
        <v>0</v>
      </c>
      <c r="M47" t="n">
        <v>0</v>
      </c>
      <c r="N47" t="n">
        <v>0</v>
      </c>
      <c r="O47" t="n">
        <v>6</v>
      </c>
      <c r="P47" t="n">
        <v>1</v>
      </c>
      <c r="Q47" t="n">
        <v>7</v>
      </c>
      <c r="R47" s="2" t="inlineStr">
        <is>
          <t>Knärot
Gammelgransskål
Garnlav
Harticka
Tretåig hackspett
Ullticka
Vedticka</t>
        </is>
      </c>
      <c r="S47">
        <f>HYPERLINK("https://klasma.github.io/Logging_2482/artfynd/A 14493-2022 artfynd.xlsx", "A 14493-2022")</f>
        <v/>
      </c>
      <c r="T47">
        <f>HYPERLINK("https://klasma.github.io/Logging_2482/kartor/A 14493-2022 karta.png", "A 14493-2022")</f>
        <v/>
      </c>
      <c r="U47">
        <f>HYPERLINK("https://klasma.github.io/Logging_2482/knärot/A 14493-2022 karta knärot.png", "A 14493-2022")</f>
        <v/>
      </c>
      <c r="V47">
        <f>HYPERLINK("https://klasma.github.io/Logging_2482/klagomål/A 14493-2022 FSC-klagomål.docx", "A 14493-2022")</f>
        <v/>
      </c>
      <c r="W47">
        <f>HYPERLINK("https://klasma.github.io/Logging_2482/klagomålsmail/A 14493-2022 FSC-klagomål mail.docx", "A 14493-2022")</f>
        <v/>
      </c>
      <c r="X47">
        <f>HYPERLINK("https://klasma.github.io/Logging_2482/tillsyn/A 14493-2022 tillsynsbegäran.docx", "A 14493-2022")</f>
        <v/>
      </c>
      <c r="Y47">
        <f>HYPERLINK("https://klasma.github.io/Logging_2482/tillsynsmail/A 14493-2022 tillsynsbegäran mail.docx", "A 14493-2022")</f>
        <v/>
      </c>
      <c r="Z47">
        <f>HYPERLINK("https://klasma.github.io/Logging_2482/fåglar/A 14493-2022 prioriterade fågelarter.docx", "A 14493-2022")</f>
        <v/>
      </c>
    </row>
    <row r="48" ht="15" customHeight="1">
      <c r="A48" t="inlineStr">
        <is>
          <t>A 32605-2023</t>
        </is>
      </c>
      <c r="B48" s="1" t="n">
        <v>45121</v>
      </c>
      <c r="C48" s="1" t="n">
        <v>45757</v>
      </c>
      <c r="D48" t="inlineStr">
        <is>
          <t>VÄSTERBOTTENS LÄN</t>
        </is>
      </c>
      <c r="E48" t="inlineStr">
        <is>
          <t>SKELLEFTEÅ</t>
        </is>
      </c>
      <c r="F48" t="inlineStr">
        <is>
          <t>Holmen skog AB</t>
        </is>
      </c>
      <c r="G48" t="n">
        <v>5.5</v>
      </c>
      <c r="H48" t="n">
        <v>2</v>
      </c>
      <c r="I48" t="n">
        <v>1</v>
      </c>
      <c r="J48" t="n">
        <v>5</v>
      </c>
      <c r="K48" t="n">
        <v>0</v>
      </c>
      <c r="L48" t="n">
        <v>0</v>
      </c>
      <c r="M48" t="n">
        <v>0</v>
      </c>
      <c r="N48" t="n">
        <v>0</v>
      </c>
      <c r="O48" t="n">
        <v>5</v>
      </c>
      <c r="P48" t="n">
        <v>0</v>
      </c>
      <c r="Q48" t="n">
        <v>7</v>
      </c>
      <c r="R48" s="2" t="inlineStr">
        <is>
          <t>Blanksvart spiklav
Gammelgransskål
Garnlav
Spillkråka
Tallticka
Skinnlav
Lavskrika</t>
        </is>
      </c>
      <c r="S48">
        <f>HYPERLINK("https://klasma.github.io/Logging_2482/artfynd/A 32605-2023 artfynd.xlsx", "A 32605-2023")</f>
        <v/>
      </c>
      <c r="T48">
        <f>HYPERLINK("https://klasma.github.io/Logging_2482/kartor/A 32605-2023 karta.png", "A 32605-2023")</f>
        <v/>
      </c>
      <c r="V48">
        <f>HYPERLINK("https://klasma.github.io/Logging_2482/klagomål/A 32605-2023 FSC-klagomål.docx", "A 32605-2023")</f>
        <v/>
      </c>
      <c r="W48">
        <f>HYPERLINK("https://klasma.github.io/Logging_2482/klagomålsmail/A 32605-2023 FSC-klagomål mail.docx", "A 32605-2023")</f>
        <v/>
      </c>
      <c r="X48">
        <f>HYPERLINK("https://klasma.github.io/Logging_2482/tillsyn/A 32605-2023 tillsynsbegäran.docx", "A 32605-2023")</f>
        <v/>
      </c>
      <c r="Y48">
        <f>HYPERLINK("https://klasma.github.io/Logging_2482/tillsynsmail/A 32605-2023 tillsynsbegäran mail.docx", "A 32605-2023")</f>
        <v/>
      </c>
      <c r="Z48">
        <f>HYPERLINK("https://klasma.github.io/Logging_2482/fåglar/A 32605-2023 prioriterade fågelarter.docx", "A 32605-2023")</f>
        <v/>
      </c>
    </row>
    <row r="49" ht="15" customHeight="1">
      <c r="A49" t="inlineStr">
        <is>
          <t>A 54391-2023</t>
        </is>
      </c>
      <c r="B49" s="1" t="n">
        <v>45226</v>
      </c>
      <c r="C49" s="1" t="n">
        <v>45757</v>
      </c>
      <c r="D49" t="inlineStr">
        <is>
          <t>VÄSTERBOTTENS LÄN</t>
        </is>
      </c>
      <c r="E49" t="inlineStr">
        <is>
          <t>SKELLEFTEÅ</t>
        </is>
      </c>
      <c r="G49" t="n">
        <v>17.9</v>
      </c>
      <c r="H49" t="n">
        <v>3</v>
      </c>
      <c r="I49" t="n">
        <v>1</v>
      </c>
      <c r="J49" t="n">
        <v>4</v>
      </c>
      <c r="K49" t="n">
        <v>0</v>
      </c>
      <c r="L49" t="n">
        <v>0</v>
      </c>
      <c r="M49" t="n">
        <v>0</v>
      </c>
      <c r="N49" t="n">
        <v>0</v>
      </c>
      <c r="O49" t="n">
        <v>4</v>
      </c>
      <c r="P49" t="n">
        <v>0</v>
      </c>
      <c r="Q49" t="n">
        <v>7</v>
      </c>
      <c r="R49" s="2" t="inlineStr">
        <is>
          <t>Garnlav
Harticka
Spillkråka
Tallticka
Skinnlav
Fläcknycklar
Revlummer</t>
        </is>
      </c>
      <c r="S49">
        <f>HYPERLINK("https://klasma.github.io/Logging_2482/artfynd/A 54391-2023 artfynd.xlsx", "A 54391-2023")</f>
        <v/>
      </c>
      <c r="T49">
        <f>HYPERLINK("https://klasma.github.io/Logging_2482/kartor/A 54391-2023 karta.png", "A 54391-2023")</f>
        <v/>
      </c>
      <c r="V49">
        <f>HYPERLINK("https://klasma.github.io/Logging_2482/klagomål/A 54391-2023 FSC-klagomål.docx", "A 54391-2023")</f>
        <v/>
      </c>
      <c r="W49">
        <f>HYPERLINK("https://klasma.github.io/Logging_2482/klagomålsmail/A 54391-2023 FSC-klagomål mail.docx", "A 54391-2023")</f>
        <v/>
      </c>
      <c r="X49">
        <f>HYPERLINK("https://klasma.github.io/Logging_2482/tillsyn/A 54391-2023 tillsynsbegäran.docx", "A 54391-2023")</f>
        <v/>
      </c>
      <c r="Y49">
        <f>HYPERLINK("https://klasma.github.io/Logging_2482/tillsynsmail/A 54391-2023 tillsynsbegäran mail.docx", "A 54391-2023")</f>
        <v/>
      </c>
      <c r="Z49">
        <f>HYPERLINK("https://klasma.github.io/Logging_2482/fåglar/A 54391-2023 prioriterade fågelarter.docx", "A 54391-2023")</f>
        <v/>
      </c>
    </row>
    <row r="50" ht="15" customHeight="1">
      <c r="A50" t="inlineStr">
        <is>
          <t>A 13467-2024</t>
        </is>
      </c>
      <c r="B50" s="1" t="n">
        <v>45387</v>
      </c>
      <c r="C50" s="1" t="n">
        <v>45757</v>
      </c>
      <c r="D50" t="inlineStr">
        <is>
          <t>VÄSTERBOTTENS LÄN</t>
        </is>
      </c>
      <c r="E50" t="inlineStr">
        <is>
          <t>SKELLEFTEÅ</t>
        </is>
      </c>
      <c r="F50" t="inlineStr">
        <is>
          <t>Sveaskog</t>
        </is>
      </c>
      <c r="G50" t="n">
        <v>3.1</v>
      </c>
      <c r="H50" t="n">
        <v>3</v>
      </c>
      <c r="I50" t="n">
        <v>0</v>
      </c>
      <c r="J50" t="n">
        <v>5</v>
      </c>
      <c r="K50" t="n">
        <v>1</v>
      </c>
      <c r="L50" t="n">
        <v>0</v>
      </c>
      <c r="M50" t="n">
        <v>0</v>
      </c>
      <c r="N50" t="n">
        <v>0</v>
      </c>
      <c r="O50" t="n">
        <v>6</v>
      </c>
      <c r="P50" t="n">
        <v>1</v>
      </c>
      <c r="Q50" t="n">
        <v>7</v>
      </c>
      <c r="R50" s="2" t="inlineStr">
        <is>
          <t>Knärot
Garnlav
Granticka
Orange taggsvamp
Talltita
Äggvaxskivling
Lavskrika</t>
        </is>
      </c>
      <c r="S50">
        <f>HYPERLINK("https://klasma.github.io/Logging_2482/artfynd/A 13467-2024 artfynd.xlsx", "A 13467-2024")</f>
        <v/>
      </c>
      <c r="T50">
        <f>HYPERLINK("https://klasma.github.io/Logging_2482/kartor/A 13467-2024 karta.png", "A 13467-2024")</f>
        <v/>
      </c>
      <c r="U50">
        <f>HYPERLINK("https://klasma.github.io/Logging_2482/knärot/A 13467-2024 karta knärot.png", "A 13467-2024")</f>
        <v/>
      </c>
      <c r="V50">
        <f>HYPERLINK("https://klasma.github.io/Logging_2482/klagomål/A 13467-2024 FSC-klagomål.docx", "A 13467-2024")</f>
        <v/>
      </c>
      <c r="W50">
        <f>HYPERLINK("https://klasma.github.io/Logging_2482/klagomålsmail/A 13467-2024 FSC-klagomål mail.docx", "A 13467-2024")</f>
        <v/>
      </c>
      <c r="X50">
        <f>HYPERLINK("https://klasma.github.io/Logging_2482/tillsyn/A 13467-2024 tillsynsbegäran.docx", "A 13467-2024")</f>
        <v/>
      </c>
      <c r="Y50">
        <f>HYPERLINK("https://klasma.github.io/Logging_2482/tillsynsmail/A 13467-2024 tillsynsbegäran mail.docx", "A 13467-2024")</f>
        <v/>
      </c>
      <c r="Z50">
        <f>HYPERLINK("https://klasma.github.io/Logging_2482/fåglar/A 13467-2024 prioriterade fågelarter.docx", "A 13467-2024")</f>
        <v/>
      </c>
    </row>
    <row r="51" ht="15" customHeight="1">
      <c r="A51" t="inlineStr">
        <is>
          <t>A 31889-2019</t>
        </is>
      </c>
      <c r="B51" s="1" t="n">
        <v>43642</v>
      </c>
      <c r="C51" s="1" t="n">
        <v>45757</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45757</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45757</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45757</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45757</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45757</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45757</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45757</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45757</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45757</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45757</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45757</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45757</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45757</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45757</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45757</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45757</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45757</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45757</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45757</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45757</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45757</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45757</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45757</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45757</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45757</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45757</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45757</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45757</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45757</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45757</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45757</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45757</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45757</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45757</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45757</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45757</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45757</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45757</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45757</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45757</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45757</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45757</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45757</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45757</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45757</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45757</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45757</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45757</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45757</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45757</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45757</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45757</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45757</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45757</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45757</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45757</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45757</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45757</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45757</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45757</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45757</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45757</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45757</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45757</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45757</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45757</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45757</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45757</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45757</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45757</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45757</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45757</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45757</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45757</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45757</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45757</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45757</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45757</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45757</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45757</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45757</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45757</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45757</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45757</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45757</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45757</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45757</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45757</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45757</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45757</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45757</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45757</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45757</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45757</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45757</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45757</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45757</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45757</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45757</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45757</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45757</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45757</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45757</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45757</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45757</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45757</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45757</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45757</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45757</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45757</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45757</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45757</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45757</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45757</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45757</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45757</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45757</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45757</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45757</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45757</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45757</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45757</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45757</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45757</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45757</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45757</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45757</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45757</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45757</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45757</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45757</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45757</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45757</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45757</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45757</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45757</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45757</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45757</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45757</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45757</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45757</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45757</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45757</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45757</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45757</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45757</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45757</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45757</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45757</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45757</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45757</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45757</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45757</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45757</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45757</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45757</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45757</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45757</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45757</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45757</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45757</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45757</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45757</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45757</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45757</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45757</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45757</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45757</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45757</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45757</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45757</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45757</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45757</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45757</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45757</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45757</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45757</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45757</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45757</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45757</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45757</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45757</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45757</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45757</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45757</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45757</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45757</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45757</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45757</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45757</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45757</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45757</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45757</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45757</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45757</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45757</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45757</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45757</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45757</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45757</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45757</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45757</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45757</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45757</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45757</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45757</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45757</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45757</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45757</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45757</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45757</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45757</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45757</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45757</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45757</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45757</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45757</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45757</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45757</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45757</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45757</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45757</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45757</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45757</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45757</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45757</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45757</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45757</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45757</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45757</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45757</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45757</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45757</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45757</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45757</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45757</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45757</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45757</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45757</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45757</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45757</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45757</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45757</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45757</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45757</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45757</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45757</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45757</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45757</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45757</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45757</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45757</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45757</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45757</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45757</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45757</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45757</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45757</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45757</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45757</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45757</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45757</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45757</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45757</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45757</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45757</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45757</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45757</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45757</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45757</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45757</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45757</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45757</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45757</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45757</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45757</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45757</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45757</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45757</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45757</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45757</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45757</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45757</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45757</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45757</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45757</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45757</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45757</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45757</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45757</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45757</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45757</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45757</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45757</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45757</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45757</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45757</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45757</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45757</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45757</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45757</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45757</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45757</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45757</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45757</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45757</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45757</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45757</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45757</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45757</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45757</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45757</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45757</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45757</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45757</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45757</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45757</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45757</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45757</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45757</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45757</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45757</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45757</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45757</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45757</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45757</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45757</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45757</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45757</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45757</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45757</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45757</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45757</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45757</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45757</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45757</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45757</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45757</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45757</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45757</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45757</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45757</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45757</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45757</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45757</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45757</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45757</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45757</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45757</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45757</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45757</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45757</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45757</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45757</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45757</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45757</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45757</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45757</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45757</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45757</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45757</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45757</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45757</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45757</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45757</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45757</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45757</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45757</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45757</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45757</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45757</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45757</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45757</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45757</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45757</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45757</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45757</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45757</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45757</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45757</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45757</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45757</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45757</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45757</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45757</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45757</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45757</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45757</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45757</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45757</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45757</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45757</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45757</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45757</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45757</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45757</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45757</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45757</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45757</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45757</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45757</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45757</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45757</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45757</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45757</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45757</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45757</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45757</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45757</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45757</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45757</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45757</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45757</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45757</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45757</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45757</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45757</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45757</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45757</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45757</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45757</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45757</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45757</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45757</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45757</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45757</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45757</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45757</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45757</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45757</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45757</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45757</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45757</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45757</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45757</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45757</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45757</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45757</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45757</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45757</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45757</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45757</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45757</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45757</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45757</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45757</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45757</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45757</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45757</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45757</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45757</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45757</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45757</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45757</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45757</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45757</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45757</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45757</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45757</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45757</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45757</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45757</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45757</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45757</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45757</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45757</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45757</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45757</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45757</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45757</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45757</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45757</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45757</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45757</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45757</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45757</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45757</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45757</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45757</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45757</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45757</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45757</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45757</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45757</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45757</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45757</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45757</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45757</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45757</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45757</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45757</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45757</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45757</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45757</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45757</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45757</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45757</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45757</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45757</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45757</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45757</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45757</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45757</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45757</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45757</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45757</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45757</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45757</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45757</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45757</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45757</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45757</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45757</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45757</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45757</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45757</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45757</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45757</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45757</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45757</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45757</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45757</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45757</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45757</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45757</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45757</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45757</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45757</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45757</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45757</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45757</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45757</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45757</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45757</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45757</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45757</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45757</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45757</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45757</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45757</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45757</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45757</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45757</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45757</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45757</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45757</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45757</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45757</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45757</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45757</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45757</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45757</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45757</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45757</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45757</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45757</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45757</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45757</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45757</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45757</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45757</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45757</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45757</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45757</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45757</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45757</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45757</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45757</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45757</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45757</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45757</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45757</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45757</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45757</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45757</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45757</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45757</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45757</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45757</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45757</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45757</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45757</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45757</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45757</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45757</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45757</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45757</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45757</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45757</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45757</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45757</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45757</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45757</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45757</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45757</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45757</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45757</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45757</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45757</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45757</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45757</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45757</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45757</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45757</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45757</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45757</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45757</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45757</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45757</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45757</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45757</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45757</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45757</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45757</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45757</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45757</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45757</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45757</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45757</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45757</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45757</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45757</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45757</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45757</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45757</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45757</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45757</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45757</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45757</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45757</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45757</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45757</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45757</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45757</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45757</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45757</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45757</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45757</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45757</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45757</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45757</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45757</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45757</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45757</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45757</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45757</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45757</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45757</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45757</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45757</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45757</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45757</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45757</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45757</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45757</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45757</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45757</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45757</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45757</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45757</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45757</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45757</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45757</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45757</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45757</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45757</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45757</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45757</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45757</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45757</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45757</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45757</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45757</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45757</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45757</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45757</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45757</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45757</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45757</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45757</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45757</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45757</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45757</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45757</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45757</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45757</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45757</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45757</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45757</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45757</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45757</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45757</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45757</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45757</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45757</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45757</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45757</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45757</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45757</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45757</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45757</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45757</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45757</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45757</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45757</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45757</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45757</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45757</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45757</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45757</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45757</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45757</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45757</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45757</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45757</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45757</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45757</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45757</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45757</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45757</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45757</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45757</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45757</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45757</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45757</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45757</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45757</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45757</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45757</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45757</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45757</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45757</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45757</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45757</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45757</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45757</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45757</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45757</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45757</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45757</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45757</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45757</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45757</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45757</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45757</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45757</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45757</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45757</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45757</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45757</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45757</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45757</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45757</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45757</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45757</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45757</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45757</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45757</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45757</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45757</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45757</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45757</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45757</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45757</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45757</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45757</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45757</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45757</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45757</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45757</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45757</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45757</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45757</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45757</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45757</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45757</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45757</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45757</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45757</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45757</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45757</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45757</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45757</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45757</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45757</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45757</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45757</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45757</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45757</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45757</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45757</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45757</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45757</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45757</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45757</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45757</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45757</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45757</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45757</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45757</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45757</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45757</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45757</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45757</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45757</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45757</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45757</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45757</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45757</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45757</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45757</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45757</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45757</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45757</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45757</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45757</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45757</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45757</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45757</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45757</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45757</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45757</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45757</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45757</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45757</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45757</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45757</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45757</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45757</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45757</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45757</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45757</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45757</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45757</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45757</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45757</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45757</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45757</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45757</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45757</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45757</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45757</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45757</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45757</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45757</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45757</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45757</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45757</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45757</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45757</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45757</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45757</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45757</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45757</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45757</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45757</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45757</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45757</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45757</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45757</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45757</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45757</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45757</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45757</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45757</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45757</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45757</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45757</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45757</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45757</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45757</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45757</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45757</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45757</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45757</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45757</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45757</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45757</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45757</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45757</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45757</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45757</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45757</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45757</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45757</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45757</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45757</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45757</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45757</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45757</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45757</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45757</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45757</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45757</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45757</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45757</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45757</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45757</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45757</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45757</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45757</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45757</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45757</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45757</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45757</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45757</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45757</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45757</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45757</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45757</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45757</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45757</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45757</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45757</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45757</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45757</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45757</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45757</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45757</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45757</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45757</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45757</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45757</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45757</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45757</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45757</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45757</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45757</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45757</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45757</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45757</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45757</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45757</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45757</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45757</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45757</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45757</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45757</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45757</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45757</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45757</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45757</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45757</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45757</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45757</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45757</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45757</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45757</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45757</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45757</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45757</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45757</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45757</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45757</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45757</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45757</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45757</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45757</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45757</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45757</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45757</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45757</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45757</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45757</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45757</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45757</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45757</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45757</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45757</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45757</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45757</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45757</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45757</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45757</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45757</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45757</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45757</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45757</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45757</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45757</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45757</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45757</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45757</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45757</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45757</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45757</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45757</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45757</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45757</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45757</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45757</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45757</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45757</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45757</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45757</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45757</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45757</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45757</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45757</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45757</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45757</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45757</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45757</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45757</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45757</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45757</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45757</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45757</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45757</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45757</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45757</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45757</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45757</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45757</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45757</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45757</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45757</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45757</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45757</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45757</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45757</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45757</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45757</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45757</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45757</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45757</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45757</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45757</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45757</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45757</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45757</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45757</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45757</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45757</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45757</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45757</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45757</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45757</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45757</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45757</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45757</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45757</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45757</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45757</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45757</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45757</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45757</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45757</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45757</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45757</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45757</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45757</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45757</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45757</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45757</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45757</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45757</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45757</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45757</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45757</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45757</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45757</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45757</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45757</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45757</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45757</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45757</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45757</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45757</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45757</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45757</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45757</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45757</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45757</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45757</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45757</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45757</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45757</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45757</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45757</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45757</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45757</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45757</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45757</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45757</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45757</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45757</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45757</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45757</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45757</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45757</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45757</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45757</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45757</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45757</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45757</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45757</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45757</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45757</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45757</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45757</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45757</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45757</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45757</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45757</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45757</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45757</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45757</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45757</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45757</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45757</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45757</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45757</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45757</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45757</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45757</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45757</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45757</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45757</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45757</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45757</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45757</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45757</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45757</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45757</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45757</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45757</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45757</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45757</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45757</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45757</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45757</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45757</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45757</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45757</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45757</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45757</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45757</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45757</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45757</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45757</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45757</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45757</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45757</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45757</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45757</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45757</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45757</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45757</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45757</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45757</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45757</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45757</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45757</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45757</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45757</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45757</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45757</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45757</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45757</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45757</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45757</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45757</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45757</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45757</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45757</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45757</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45757</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45757</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45757</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45757</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45757</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45757</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45757</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45757</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45757</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45757</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45757</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45757</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45757</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45757</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45757</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45757</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45757</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45757</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45757</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45757</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45757</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45757</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45757</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45757</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45757</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45757</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45757</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45757</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45757</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45757</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45757</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45757</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45757</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45757</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45757</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45757</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45757</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45757</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45757</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45757</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45757</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45757</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45757</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45757</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45757</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45757</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45757</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45757</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45757</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45757</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45757</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45757</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45757</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45757</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45757</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45757</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45757</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45757</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45757</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45757</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45757</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45757</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45757</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45757</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45757</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45757</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45757</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45757</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45757</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45757</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45757</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45757</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45757</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45757</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45757</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45757</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45757</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45757</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45757</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45757</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45757</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45757</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45757</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45757</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45757</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45757</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45757</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45757</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45757</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45757</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45757</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45757</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45757</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45757</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45757</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45757</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45757</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45757</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45757</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45757</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45757</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45757</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45757</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45757</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45757</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45757</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45757</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45757</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45757</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45757</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45757</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45757</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45757</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45757</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45757</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45757</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45757</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45757</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45757</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45757</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45757</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45757</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45757</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45757</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45757</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45757</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45757</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45757</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45757</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45757</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45757</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45757</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45757</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45757</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45757</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45757</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45757</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45757</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45757</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45757</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45757</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45757</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45757</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45757</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45757</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45757</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45757</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45757</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45757</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45757</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45757</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45757</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45757</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45757</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45757</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45757</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45757</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45757</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45757</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45757</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45757</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45757</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45757</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45757</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45757</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45757</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45757</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45757</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45757</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45757</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45757</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45757</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45757</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45757</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45757</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45757</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45757</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45757</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45757</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45757</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45757</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45757</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45757</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45757</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45757</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45757</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45757</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45757</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45757</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45757</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45757</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45757</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45757</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45757</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45757</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45757</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45757</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45757</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45757</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45757</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45757</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45757</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45757</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45757</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45757</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45757</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45757</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45757</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45757</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45757</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45757</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45757</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45757</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45757</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45757</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45757</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45757</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45757</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45757</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45757</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45757</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45757</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45757</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45757</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45757</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45757</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45757</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45757</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45757</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45757</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45757</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45757</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45757</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45757</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45757</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45757</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45757</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45757</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45757</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45757</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45757</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45757</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45757</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45757</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45757</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45757</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45757</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45757</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45757</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45757</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45757</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45757</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45757</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45757</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45757</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45757</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45757</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45757</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45757</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45757</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45757</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45757</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45757</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45757</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45757</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45757</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45757</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45757</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45757</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45757</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45757</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45757</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45757</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45757</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45757</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45757</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45757</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45757</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45757</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45757</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45757</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45757</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45757</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45757</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45757</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45757</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45757</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45757</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45757</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45757</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45757</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45757</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45757</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45757</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45757</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45757</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45757</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45757</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45757</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45757</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45757</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45757</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45757</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45757</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45757</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45757</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45757</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45757</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45757</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45757</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45757</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45757</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45757</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45757</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45757</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45757</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45757</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45757</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45757</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45757</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45757</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45757</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45757</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45757</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45757</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45757</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45757</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45757</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45757</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45757</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45757</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45757</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45757</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45757</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45757</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45757</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45757</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45757</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45757</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45757</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45757</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45757</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45757</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45757</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45757</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45757</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45757</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45757</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45757</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45757</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45757</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45757</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45757</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45757</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45757</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45757</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45757</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45757</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45757</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45757</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45757</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45757</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45757</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45757</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45757</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45757</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45757</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45757</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45757</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45757</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45757</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45757</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45757</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45757</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45757</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45757</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45757</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45757</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45757</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45757</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45757</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45757</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45757</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45757</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45757</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45757</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45757</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45757</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45757</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45757</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45757</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45757</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45757</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45757</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45757</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45757</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45757</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45757</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45757</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45757</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45757</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45757</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45757</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45757</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45757</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45757</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45757</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45757</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45757</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45757</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45757</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45757</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45757</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45757</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45757</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45757</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45757</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45757</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45757</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45757</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45757</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45757</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45757</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45757</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45757</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45757</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45757</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45757</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45757</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45757</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45757</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45757</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45757</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45757</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45757</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45757</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45757</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45757</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45757</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45757</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45757</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45757</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45757</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45757</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45757</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45757</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45757</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45757</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45757</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45757</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45757</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45757</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45757</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45757</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45757</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45757</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45757</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45757</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45757</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45757</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45757</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45757</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45757</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45757</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45757</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45757</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45757</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45757</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45757</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45757</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45757</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45757</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45757</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45757</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45757</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45757</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45757</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45757</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45757</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45757</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45757</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45757</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45757</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45757</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45757</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45757</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45757</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45757</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45757</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45757</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45757</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45757</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45757</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45757</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45757</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45757</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45757</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45757</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45757</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45757</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45757</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45757</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45757</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45757</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45757</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45757</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45757</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45757</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45757</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45757</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45757</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45757</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45757</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45757</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45757</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45757</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45757</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45757</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45757</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45757</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45757</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45757</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45757</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45757</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45757</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45757</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45757</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45757</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45757</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45757</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45757</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45757</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45757</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45757</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45757</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45757</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45757</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45757</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45757</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45757</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45757</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45757</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45757</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45757</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45757</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45757</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45757</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45757</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45757</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45757</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45757</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45757</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45757</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45757</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45757</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45757</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45757</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45757</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45757</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45757</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45757</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45757</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45757</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45757</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45757</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45757</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45757</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45757</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45757</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45757</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45757</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45757</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45757</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45757</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45757</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45757</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45757</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45757</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45757</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45757</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45757</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45757</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45757</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45757</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45757</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45757</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45757</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45757</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45757</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45757</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45757</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45757</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45757</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45757</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45757</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45757</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45757</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45757</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45757</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45757</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45757</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45757</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45757</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45757</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45757</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45757</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45757</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45757</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45757</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45757</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45757</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45757</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45757</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45757</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45757</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45757</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45757</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45757</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45757</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45757</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45757</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45757</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45757</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45757</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45757</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45757</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45757</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45757</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45757</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45757</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45757</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45757</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45757</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45757</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45757</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45757</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45757</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45757</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45757</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45757</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45757</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45757</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45757</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45757</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45757</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45757</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45757</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45757</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45757</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45757</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45757</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45757</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45757</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45757</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45757</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45757</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45757</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45757</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45757</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45757</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45757</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45757</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45757</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45757</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45757</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45757</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45757</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45757</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45757</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45757</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45757</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45757</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45757</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45757</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45757</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45757</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45757</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45757</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45757</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45757</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45757</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45757</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45757</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45757</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45757</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45757</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45757</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45757</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45757</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45757</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45757</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45757</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45757</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45757</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45757</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45757</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45757</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45757</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45757</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45757</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45757</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45757</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45757</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45757</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45757</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45757</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45757</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45757</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45757</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45757</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45757</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45757</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45757</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45757</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45757</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45757</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45757</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45757</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45757</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45757</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45757</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45757</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45757</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45757</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45757</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45757</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45757</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45757</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45757</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45757</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45757</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45757</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45757</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45757</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45757</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45757</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45757</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45757</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45757</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45757</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45757</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45757</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45757</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45757</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45757</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45757</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45757</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45757</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45757</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45757</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45757</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45757</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45757</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45757</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45757</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45757</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45757</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45757</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45757</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45757</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45757</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45757</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45757</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45757</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45757</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45757</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45757</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45757</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45757</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45757</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45757</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45757</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45757</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45757</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45757</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45757</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45757</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45757</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45757</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45757</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45757</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45757</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45757</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45757</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45757</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45757</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45757</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45757</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45757</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45757</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45757</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45757</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45757</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45757</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45757</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45757</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45757</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45757</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45757</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45757</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45757</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45757</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45757</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45757</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45757</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45757</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45757</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45757</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45757</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45757</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45757</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45757</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45757</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45757</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45757</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45757</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45757</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45757</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45757</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45757</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45757</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45757</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45757</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45757</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45757</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45757</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45757</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45757</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45757</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45757</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45757</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45757</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45757</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45757</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45757</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45757</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45757</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45757</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45757</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45757</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45757</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45757</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45757</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45757</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45757</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45757</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45757</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45757</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45757</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45757</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45757</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45757</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45757</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45757</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45757</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45757</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45757</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45757</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45757</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45757</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45757</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45757</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45757</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45757</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45757</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45757</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45757</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45757</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45757</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45757</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45757</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45757</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45757</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45757</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45757</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45757</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45757</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45757</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45757</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45757</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45757</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45757</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45757</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45757</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45757</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45757</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45757</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45757</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45757</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45757</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45757</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45757</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45757</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45757</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45757</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45757</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45757</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45757</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45757</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45757</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45757</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45757</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45757</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45757</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45757</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45757</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45757</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45757</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45757</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45757</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45757</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45757</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45757</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45757</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45757</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45757</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45757</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45757</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45757</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45757</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45757</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45757</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45757</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45757</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45757</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45757</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45757</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45757</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45757</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45757</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45757</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45757</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45757</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45757</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45757</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45757</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45757</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45757</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45757</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45757</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45757</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45757</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45757</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45757</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45757</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45757</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45757</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45757</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45757</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45757</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45757</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45757</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45757</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45757</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45757</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45757</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45757</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45757</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45757</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45757</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45757</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45757</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45757</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45757</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45757</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45757</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45757</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45757</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45757</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45757</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45757</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45757</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45757</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45757</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45757</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45757</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45757</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45757</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45757</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45757</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45757</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45757</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45757</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45757</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45757</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45757</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45757</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45757</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45757</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45757</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45757</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45757</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45757</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45757</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45757</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45757</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45757</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45757</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45757</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45757</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45757</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45757</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45757</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45757</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45757</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45757</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45757</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45757</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45757</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45757</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45757</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45757</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45757</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45757</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45757</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45757</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45757</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45757</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45757</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45757</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45757</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45757</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45757</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45757</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45757</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45757</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45757</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45757</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45757</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45757</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45757</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45757</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45757</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45757</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45757</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45757</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45757</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45757</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45757</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45757</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45757</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45757</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45757</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45757</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45757</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45757</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45757</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45757</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45757</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45757</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45757</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45757</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45757</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45757</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45757</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45757</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45757</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45757</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45757</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45757</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45757</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45757</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45757</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45757</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45757</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45757</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45757</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45757</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45757</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45757</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45757</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45757</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45757</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45757</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45757</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45757</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45757</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45757</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45757</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45757</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45757</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45757</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45757</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45757</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45757</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45757</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45757</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45757</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45757</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45757</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45757</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45757</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45757</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45757</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45757</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45757</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45757</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45757</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45757</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45757</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45757</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45757</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45757</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45757</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45757</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45757</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45757</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45757</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45757</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45757</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45757</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45757</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45757</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45757</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45757</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45757</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45757</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45757</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45757</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45757</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45757</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45757</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45757</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45757</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45757</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45757</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45757</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45757</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45757</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45757</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45757</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45757</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45757</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45757</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45757</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45757</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45757</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45757</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45757</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45757</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45757</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45757</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45757</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45757</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45757</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45757</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45757</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45757</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45757</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45757</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45757</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45757</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45757</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45757</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45757</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45757</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45757</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45757</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45757</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45757</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45757</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45757</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45757</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45757</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45757</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45757</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45757</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45757</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45757</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45757</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45757</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45757</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45757</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45757</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45757</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45757</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45757</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45757</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45757</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45757</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45757</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45757</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45757</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45757</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45757</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45757</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45757</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45757</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45757</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45757</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45757</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45757</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45757</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45757</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45757</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45757</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45757</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45757</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45757</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45757</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45757</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45757</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45757</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45757</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45757</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45757</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45757</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45757</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45757</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45757</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45757</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45757</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45757</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45757</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45757</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45757</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45757</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45757</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45757</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45757</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45757</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45757</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45757</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45757</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45757</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45757</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45757</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45757</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45757</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45757</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45757</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45757</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45757</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45757</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45757</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45757</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45757</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45757</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45757</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45757</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45757</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45757</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45757</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45757</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45757</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45757</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45757</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45757</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45757</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45757</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45757</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45757</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45757</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45757</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45757</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45757</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45757</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45757</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45757</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45757</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45757</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45757</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45757</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45757</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45757</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45757</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45757</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45757</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45757</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45757</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45757</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45757</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45757</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45757</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45757</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45757</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45757</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45757</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45757</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45757</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45757</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45757</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45757</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45757</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45757</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45757</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45757</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45757</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45757</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45757</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45757</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45757</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45757</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45757</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45757</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45757</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45757</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45757</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45757</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45757</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45757</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45757</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45757</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45757</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45757</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45757</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45757</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45757</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45757</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45757</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45757</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45757</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45757</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45757</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45757</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45757</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45757</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45757</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45757</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45757</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45757</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45757</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45757</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45757</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45757</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45757</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45757</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45757</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45757</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45757</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45757</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45757</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45757</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45757</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45757</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45757</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45757</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45757</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45757</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45757</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45757</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45757</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45757</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45757</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45757</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45757</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45757</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45757</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45757</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45757</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45757</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45757</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45757</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45757</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45757</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45757</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45757</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45757</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45757</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45757</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45757</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45757</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45757</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45757</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45757</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45757</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45757</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45757</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45757</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45757</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45757</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45757</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45757</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45757</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45757</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45757</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45757</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45757</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45757</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45757</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45757</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45757</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45757</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45757</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45757</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45757</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45757</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45757</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45757</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45757</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45757</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45757</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45757</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45757</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45757</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45757</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45757</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45757</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45757</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45757</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45757</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45757</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45757</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45757</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45757</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45757</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45757</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45757</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45757</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45757</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45757</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45757</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45757</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45757</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45757</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45757</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45757</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45757</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45757</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45757</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45757</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45757</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45757</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45757</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45757</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45757</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45757</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45757</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45757</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45757</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45757</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45757</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45757</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45757</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45757</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45757</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45757</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45757</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45757</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45757</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45757</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45757</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45757</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45757</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45757</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45757</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45757</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45757</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45757</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45757</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45757</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45757</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45757</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45757</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45757</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45757</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45757</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45757</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45757</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45757</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45757</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45757</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45757</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45757</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45757</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45757</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45757</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45757</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45757</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45757</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45757</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45757</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45757</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45757</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45757</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45757</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45757</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45757</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45757</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45757</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45757</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45757</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45757</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45757</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45757</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45757</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45757</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45757</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45757</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45757</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45757</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45757</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45757</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45757</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45757</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45757</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45757</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45757</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45757</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45757</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45757</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45757</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45757</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45757</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45757</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45757</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45757</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45757</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45757</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45757</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45757</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45757</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45757</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45757</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45757</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45757</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45757</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45757</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45757</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45757</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45757</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45757</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45757</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45757</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45757</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45757</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45757</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45757</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45757</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45757</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45757</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45757</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45757</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45757</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45757</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45757</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45757</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45757</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45757</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45757</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45757</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45757</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45757</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45757</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45757</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45757</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45757</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45757</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45757</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45757</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45757</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45757</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45757</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45757</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45757</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45757</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45757</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45757</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45757</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45757</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45757</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45757</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45757</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45757</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45757</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45757</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45757</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45757</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45757</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45757</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45757</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45757</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45757</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45757</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45757</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45757</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45757</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45757</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45757</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45757</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45757</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45757</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45757</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45757</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45757</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45757</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45757</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45757</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45757</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45757</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45757</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45757</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45757</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45757</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45757</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45757</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45757</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45757</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45757</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45757</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45757</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45757</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45757</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45757</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45757</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45757</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45757</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45757</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45757</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45757</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45757</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45757</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45757</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45757</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45757</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45757</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45757</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45757</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45757</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45757</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45757</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45757</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45757</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45757</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45757</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45757</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45757</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45757</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45757</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45757</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45757</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45757</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45757</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45757</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45757</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45757</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45757</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45757</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45757</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45757</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45757</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45757</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45757</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45757</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45757</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45757</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45757</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45757</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45757</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45757</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45757</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45757</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45757</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45757</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45757</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45757</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45757</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45757</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45757</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45757</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45757</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45757</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45757</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45757</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45757</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45757</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45757</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45757</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45757</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45757</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45757</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45757</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45757</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45757</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45757</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45757</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45757</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45757</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45757</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45757</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45757</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45757</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45757</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45757</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45757</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45757</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45757</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45757</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45757</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45757</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45757</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45757</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45757</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45757</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45757</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45757</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45757</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45757</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45757</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45757</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45757</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45757</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45757</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45757</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45757</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45757</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45757</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45757</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45757</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45757</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45757</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45757</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45757</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45757</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45757</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45757</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45757</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45757</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45757</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45757</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45757</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45757</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45757</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45757</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45757</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45757</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45757</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45757</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45757</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45757</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45757</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45757</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45757</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45757</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45757</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45757</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45757</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45757</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45757</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45757</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45757</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45757</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45757</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45757</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45757</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45757</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45757</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45757</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45757</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45757</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45757</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45757</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45757</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45757</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45757</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45757</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45757</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45757</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45757</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45757</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45757</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45757</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45757</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45757</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45757</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45757</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45757</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45757</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45757</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45757</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45757</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45757</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45757</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45757</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45757</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45757</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45757</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45757</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45757</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45757</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45757</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45757</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45757</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45757</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45757</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45757</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45757</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45757</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45757</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45757</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45757</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45757</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45757</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45757</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45757</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45757</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45757</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45757</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45757</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45757</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45757</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45757</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45757</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45757</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45757</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45757</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45757</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45757</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45757</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45757</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45757</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45757</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45757</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45757</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45757</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45757</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45757</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45757</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45757</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45757</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45757</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45757</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45757</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45757</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45757</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45757</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45757</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45757</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45757</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45757</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45757</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45757</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45757</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45757</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45757</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45757</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45757</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45757</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45757</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45757</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45757</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45757</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45757</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45757</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45757</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45757</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45757</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45757</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45757</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45757</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45757</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45757</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45757</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45757</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45757</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45757</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45757</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45757</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45757</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45757</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45757</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45757</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45757</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45757</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45757</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45757</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45757</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45757</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45757</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45757</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45757</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45757</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45757</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45757</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45757</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45757</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45757</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45757</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45757</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45757</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45757</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45757</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45757</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45757</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45757</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45757</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45757</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45757</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45757</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45757</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45757</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45757</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45757</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45757</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45757</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45757</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45757</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45757</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45757</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45757</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45757</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45757</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45757</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45757</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45757</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45757</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45757</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45757</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45757</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45757</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45757</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45757</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45757</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45757</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45757</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45757</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45757</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45757</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45757</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45757</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45757</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45757</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45757</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45757</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45757</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45757</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45757</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45757</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45757</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45757</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45757</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45757</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45757</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45757</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45757</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45757</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45757</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45757</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45757</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45757</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45757</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45757</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45757</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45757</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45757</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45757</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45757</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45757</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45757</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45757</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45757</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45757</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45757</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45757</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45757</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45757</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45757</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45757</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45757</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45757</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45757</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45757</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45757</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45757</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45757</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45757</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45757</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45757</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45757</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45757</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45757</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45757</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45757</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45757</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45757</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45757</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45757</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45757</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45757</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45757</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45757</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45757</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45757</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45757</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45757</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45757</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45757</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45757</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45757</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45757</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45757</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45757</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45757</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45757</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45757</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45757</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45757</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45757</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45757</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45757</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45757</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45757</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45757</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45757</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45757</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45757</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45757</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45757</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45757</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45757</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45757</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45757</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45757</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45757</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45757</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45757</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45757</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45757</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45757</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45757</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45757</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45757</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45757</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45757</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45757</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45757</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45757</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45757</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45757</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45757</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45757</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45757</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45757</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45757</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45757</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45757</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45757</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45757</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45757</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45757</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45757</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45757</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45757</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45757</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45757</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45757</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45757</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45757</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45757</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45757</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45757</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45757</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45757</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45757</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45757</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45757</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45757</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45757</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45757</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45757</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45757</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45757</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45757</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45757</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45757</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45757</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45757</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45757</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45757</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45757</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45757</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45757</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45757</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45757</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45757</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45757</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45757</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45757</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45757</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45757</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45757</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45757</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45757</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45757</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45757</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45757</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45757</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45757</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45757</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45757</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45757</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45757</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45757</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45757</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45757</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45757</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45757</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45757</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45757</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45757</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45757</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45757</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45757</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45757</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45757</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45757</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45757</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45757</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45757</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45757</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45757</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45757</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45757</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45757</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45757</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45757</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45757</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45757</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45757</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45757</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45757</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45757</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45757</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45757</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45757</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45757</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45757</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45757</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45757</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45757</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45757</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45757</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45757</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45757</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45757</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45757</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45757</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45757</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45757</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45757</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45757</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45757</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45757</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45757</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45757</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45757</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45757</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45757</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45757</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45757</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45757</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45757</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45757</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45757</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45757</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45757</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45757</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45757</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45757</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45757</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45757</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45757</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45757</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45757</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45757</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45757</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45757</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45757</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45757</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45757</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45757</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45757</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45757</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45757</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45757</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45757</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45757</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45757</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45757</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45757</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45757</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45757</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45757</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45757</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45757</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45757</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45757</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45757</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45757</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45757</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45757</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45757</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45757</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45757</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45757</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45757</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45757</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45757</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45757</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45757</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45757</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45757</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45757</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45757</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45757</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45757</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45757</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45757</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45757</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45757</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45757</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45757</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45757</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45757</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45757</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45757</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45757</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45757</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45757</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45757</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45757</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45757</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45757</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45757</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45757</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45757</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45757</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45757</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45757</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45757</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45757</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45757</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45757</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45757</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45757</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45757</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45757</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45757</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45757</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45757</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45757</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45757</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45757</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45757</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45757</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45757</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45757</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45757</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45757</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45757</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45757</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45757</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45757</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45757</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45757</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45757</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45757</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45757</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45757</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45757</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45757</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45757</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45757</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45757</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45757</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45757</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45757</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45757</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45757</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45757</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45757</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45757</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45757</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45757</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45757</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45757</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45757</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45757</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45757</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45757</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45757</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45757</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45757</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45757</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45757</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45757</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45757</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45757</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45757</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45757</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45757</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45757</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45757</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45757</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45757</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45757</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45757</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45757</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45757</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45757</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45757</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45757</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45757</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45757</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45757</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45757</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45757</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45757</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45757</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45757</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45757</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45757</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45757</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45757</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45757</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45757</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45757</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45757</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45757</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45757</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45757</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45757</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45757</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45757</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45757</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45757</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45757</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45757</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45757</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45757</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45757</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45757</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45757</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45757</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45757</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45757</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45757</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45757</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45757</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45757</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45757</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45757</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45757</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45757</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45757</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45757</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45757</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45757</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45757</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45757</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45757</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45757</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45757</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45757</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45757</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45757</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45757</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45757</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45757</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45757</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45757</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45757</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45757</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45757</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45757</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45757</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45757</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45757</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45757</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45757</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45757</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45757</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45757</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45757</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45757</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45757</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45757</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45757</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45757</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45757</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45757</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45757</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45757</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45757</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45757</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45757</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45757</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45757</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45757</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45757</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45757</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45757</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45757</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45757</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45757</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45757</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45757</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45757</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45757</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45757</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45757</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45757</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45757</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45757</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45757</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45757</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45757</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45757</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45757</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45757</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45757</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45757</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45757</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45757</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45757</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45757</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45757</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45757</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45757</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45757</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45757</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45757</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45757</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45757</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45757</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45757</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45757</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45757</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45757</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45757</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45757</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45757</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45757</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45757</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45757</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45757</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45757</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45757</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45757</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45757</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45757</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45757</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45757</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45757</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45757</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45757</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45757</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45757</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45757</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45757</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45757</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45757</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45757</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45757</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45757</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45757</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45757</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45757</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45757</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45757</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45757</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45757</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45757</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45757</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45757</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45757</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45757</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45757</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45757</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45757</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45757</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45757</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45757</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45757</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45757</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45757</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45757</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45757</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45757</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45757</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45757</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45757</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45757</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45757</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45757</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45757</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45757</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45757</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45757</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45757</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45757</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45757</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45757</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45757</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45757</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45757</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45757</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45757</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45757</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45757</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45757</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45757</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45757</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45757</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45757</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45757</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45757</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45757</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45757</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45757</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45757</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45757</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45757</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45757</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45757</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45757</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45757</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45757</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45757</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45757</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45757</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45757</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45757</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45757</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45757</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45757</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45757</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45757</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45757</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45757</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45757</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45757</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45757</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45757</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45757</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45757</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45757</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45757</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45757</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45757</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45757</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45757</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45757</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45757</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45757</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45757</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45757</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45757</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45757</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45757</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45757</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45757</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45757</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45757</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45757</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45757</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45757</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45757</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45757</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45757</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45757</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45757</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45757</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45757</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45757</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45757</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45757</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45757</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45757</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45757</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45757</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45757</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45757</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45757</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45757</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45757</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45757</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45757</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45757</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45757</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45757</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45757</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45757</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45757</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45757</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45757</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45757</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45757</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45757</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45757</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45757</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45757</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45757</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45757</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45757</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45757</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45757</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45757</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45757</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45757</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45757</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45757</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45757</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45757</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45757</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45757</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45757</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45757</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45757</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45757</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45757</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45757</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45757</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45757</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45757</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45757</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45757</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45757</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45757</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45757</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45757</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45757</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45757</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45757</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45757</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45757</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45757</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45757</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45757</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45757</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45757</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45757</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45757</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45757</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45757</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45757</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45757</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45757</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45757</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45757</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45757</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45757</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45757</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45757</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45757</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45757</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45757</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45757</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45757</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45757</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45757</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45757</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45757</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45757</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45757</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45757</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45757</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45757</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45757</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45757</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45757</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45757</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45757</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45757</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45757</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45757</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45757</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45757</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45757</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45757</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45757</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45757</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45757</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45757</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45757</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45757</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45757</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45757</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45757</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45757</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45757</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45757</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45757</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45757</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11254-2025</t>
        </is>
      </c>
      <c r="B3906" s="1" t="n">
        <v>45726</v>
      </c>
      <c r="C3906" s="1" t="n">
        <v>45757</v>
      </c>
      <c r="D3906" t="inlineStr">
        <is>
          <t>VÄSTERBOTTENS LÄN</t>
        </is>
      </c>
      <c r="E3906" t="inlineStr">
        <is>
          <t>SKELLEFTEÅ</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45757</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45757</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45757</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12050-2025</t>
        </is>
      </c>
      <c r="B3910" s="1" t="n">
        <v>45728</v>
      </c>
      <c r="C3910" s="1" t="n">
        <v>45757</v>
      </c>
      <c r="D3910" t="inlineStr">
        <is>
          <t>VÄSTERBOTTENS LÄN</t>
        </is>
      </c>
      <c r="E3910" t="inlineStr">
        <is>
          <t>SKELLEFTEÅ</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45757</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45757</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11907-2025</t>
        </is>
      </c>
      <c r="B3913" s="1" t="n">
        <v>45728</v>
      </c>
      <c r="C3913" s="1" t="n">
        <v>45757</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11994-2025</t>
        </is>
      </c>
      <c r="B3914" s="1" t="n">
        <v>45728</v>
      </c>
      <c r="C3914" s="1" t="n">
        <v>45757</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45757</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45757</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12256-2025</t>
        </is>
      </c>
      <c r="B3917" s="1" t="n">
        <v>45729</v>
      </c>
      <c r="C3917" s="1" t="n">
        <v>45757</v>
      </c>
      <c r="D3917" t="inlineStr">
        <is>
          <t>VÄSTERBOTTENS LÄN</t>
        </is>
      </c>
      <c r="E3917" t="inlineStr">
        <is>
          <t>SKELLEFTEÅ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12090-2025</t>
        </is>
      </c>
      <c r="B3918" s="1" t="n">
        <v>45729</v>
      </c>
      <c r="C3918" s="1" t="n">
        <v>45757</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45757</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45757</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45757</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45757</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45757</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45757</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45757</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45757</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12712-2025</t>
        </is>
      </c>
      <c r="B3927" s="1" t="n">
        <v>45733</v>
      </c>
      <c r="C3927" s="1" t="n">
        <v>45757</v>
      </c>
      <c r="D3927" t="inlineStr">
        <is>
          <t>VÄSTERBOTTENS LÄN</t>
        </is>
      </c>
      <c r="E3927" t="inlineStr">
        <is>
          <t>SKELLEFTEÅ</t>
        </is>
      </c>
      <c r="G3927" t="n">
        <v>13.6</v>
      </c>
      <c r="H3927" t="n">
        <v>0</v>
      </c>
      <c r="I3927" t="n">
        <v>0</v>
      </c>
      <c r="J3927" t="n">
        <v>0</v>
      </c>
      <c r="K3927" t="n">
        <v>0</v>
      </c>
      <c r="L3927" t="n">
        <v>0</v>
      </c>
      <c r="M3927" t="n">
        <v>0</v>
      </c>
      <c r="N3927" t="n">
        <v>0</v>
      </c>
      <c r="O3927" t="n">
        <v>0</v>
      </c>
      <c r="P3927" t="n">
        <v>0</v>
      </c>
      <c r="Q3927" t="n">
        <v>0</v>
      </c>
      <c r="R3927" s="2" t="inlineStr"/>
    </row>
    <row r="3928" ht="15" customHeight="1">
      <c r="A3928" t="inlineStr">
        <is>
          <t>A 12842-2025</t>
        </is>
      </c>
      <c r="B3928" s="1" t="n">
        <v>45733</v>
      </c>
      <c r="C3928" s="1" t="n">
        <v>45757</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12855-2025</t>
        </is>
      </c>
      <c r="B3929" s="1" t="n">
        <v>45733</v>
      </c>
      <c r="C3929" s="1" t="n">
        <v>45757</v>
      </c>
      <c r="D3929" t="inlineStr">
        <is>
          <t>VÄSTERBOTTENS LÄN</t>
        </is>
      </c>
      <c r="E3929" t="inlineStr">
        <is>
          <t>SKELLEFTEÅ</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45757</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45757</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45757</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45757</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45757</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45757</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45757</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45757</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45757</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45757</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45757</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45757</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13478-2025</t>
        </is>
      </c>
      <c r="B3942" s="1" t="n">
        <v>45736</v>
      </c>
      <c r="C3942" s="1" t="n">
        <v>45757</v>
      </c>
      <c r="D3942" t="inlineStr">
        <is>
          <t>VÄSTERBOTTENS LÄN</t>
        </is>
      </c>
      <c r="E3942" t="inlineStr">
        <is>
          <t>SKELLEFTEÅ</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13493-2025</t>
        </is>
      </c>
      <c r="B3943" s="1" t="n">
        <v>45736</v>
      </c>
      <c r="C3943" s="1" t="n">
        <v>45757</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13649-2025</t>
        </is>
      </c>
      <c r="B3944" s="1" t="n">
        <v>45736</v>
      </c>
      <c r="C3944" s="1" t="n">
        <v>45757</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45757</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45757</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45757</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45757</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45757</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45757</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45757</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45757</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45757</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45757</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45757</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45757</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15218-2025</t>
        </is>
      </c>
      <c r="B3957" s="1" t="n">
        <v>45744</v>
      </c>
      <c r="C3957" s="1" t="n">
        <v>45757</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15245-2025</t>
        </is>
      </c>
      <c r="B3958" s="1" t="n">
        <v>45744</v>
      </c>
      <c r="C3958" s="1" t="n">
        <v>45757</v>
      </c>
      <c r="D3958" t="inlineStr">
        <is>
          <t>VÄSTERBOTTENS LÄN</t>
        </is>
      </c>
      <c r="E3958" t="inlineStr">
        <is>
          <t>SKELLEFTEÅ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15116-2025</t>
        </is>
      </c>
      <c r="B3959" s="1" t="n">
        <v>45744</v>
      </c>
      <c r="C3959" s="1" t="n">
        <v>45757</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15089-2025</t>
        </is>
      </c>
      <c r="B3960" s="1" t="n">
        <v>45744</v>
      </c>
      <c r="C3960" s="1" t="n">
        <v>45757</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15136-2025</t>
        </is>
      </c>
      <c r="B3961" s="1" t="n">
        <v>45744</v>
      </c>
      <c r="C3961" s="1" t="n">
        <v>45757</v>
      </c>
      <c r="D3961" t="inlineStr">
        <is>
          <t>VÄSTERBOTTENS LÄN</t>
        </is>
      </c>
      <c r="E3961" t="inlineStr">
        <is>
          <t>SKELLEFTEÅ</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45757</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45757</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45757</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45757</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15542-2025</t>
        </is>
      </c>
      <c r="B3966" s="1" t="n">
        <v>45747</v>
      </c>
      <c r="C3966" s="1" t="n">
        <v>45757</v>
      </c>
      <c r="D3966" t="inlineStr">
        <is>
          <t>VÄSTERBOTTENS LÄN</t>
        </is>
      </c>
      <c r="E3966" t="inlineStr">
        <is>
          <t>SKELLEFTEÅ</t>
        </is>
      </c>
      <c r="F3966" t="inlineStr">
        <is>
          <t>Övriga Aktiebolag</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15461-2025</t>
        </is>
      </c>
      <c r="B3967" s="1" t="n">
        <v>45747</v>
      </c>
      <c r="C3967" s="1" t="n">
        <v>45757</v>
      </c>
      <c r="D3967" t="inlineStr">
        <is>
          <t>VÄSTERBOTTENS LÄN</t>
        </is>
      </c>
      <c r="E3967" t="inlineStr">
        <is>
          <t>SKELLEFTEÅ</t>
        </is>
      </c>
      <c r="F3967" t="inlineStr">
        <is>
          <t>Holmen skog AB</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15360-2025</t>
        </is>
      </c>
      <c r="B3968" s="1" t="n">
        <v>45747</v>
      </c>
      <c r="C3968" s="1" t="n">
        <v>45757</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45757</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45757</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16190-2025</t>
        </is>
      </c>
      <c r="B3971" s="1" t="n">
        <v>45750</v>
      </c>
      <c r="C3971" s="1" t="n">
        <v>45757</v>
      </c>
      <c r="D3971" t="inlineStr">
        <is>
          <t>VÄSTERBOTTENS LÄN</t>
        </is>
      </c>
      <c r="E3971" t="inlineStr">
        <is>
          <t>SKELLEFTEÅ</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16236-2025</t>
        </is>
      </c>
      <c r="B3972" s="1" t="n">
        <v>45750</v>
      </c>
      <c r="C3972" s="1" t="n">
        <v>45757</v>
      </c>
      <c r="D3972" t="inlineStr">
        <is>
          <t>VÄSTERBOTTENS LÄN</t>
        </is>
      </c>
      <c r="E3972" t="inlineStr">
        <is>
          <t>SKELLEFTEÅ</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16248-2025</t>
        </is>
      </c>
      <c r="B3973" s="1" t="n">
        <v>45750</v>
      </c>
      <c r="C3973" s="1" t="n">
        <v>45757</v>
      </c>
      <c r="D3973" t="inlineStr">
        <is>
          <t>VÄSTERBOTTENS LÄN</t>
        </is>
      </c>
      <c r="E3973" t="inlineStr">
        <is>
          <t>SKELLEFTEÅ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16251-2025</t>
        </is>
      </c>
      <c r="B3974" s="1" t="n">
        <v>45750</v>
      </c>
      <c r="C3974" s="1" t="n">
        <v>45757</v>
      </c>
      <c r="D3974" t="inlineStr">
        <is>
          <t>VÄSTERBOTTENS LÄN</t>
        </is>
      </c>
      <c r="E3974" t="inlineStr">
        <is>
          <t>SKELLEFTEÅ</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16261-2025</t>
        </is>
      </c>
      <c r="B3975" s="1" t="n">
        <v>45750</v>
      </c>
      <c r="C3975" s="1" t="n">
        <v>45757</v>
      </c>
      <c r="D3975" t="inlineStr">
        <is>
          <t>VÄSTERBOTTENS LÄN</t>
        </is>
      </c>
      <c r="E3975" t="inlineStr">
        <is>
          <t>SKELLEFTEÅ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16249-2025</t>
        </is>
      </c>
      <c r="B3976" s="1" t="n">
        <v>45750</v>
      </c>
      <c r="C3976" s="1" t="n">
        <v>45757</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16201-2025</t>
        </is>
      </c>
      <c r="B3977" s="1" t="n">
        <v>45750</v>
      </c>
      <c r="C3977" s="1" t="n">
        <v>45757</v>
      </c>
      <c r="D3977" t="inlineStr">
        <is>
          <t>VÄSTERBOTTENS LÄN</t>
        </is>
      </c>
      <c r="E3977" t="inlineStr">
        <is>
          <t>SKELLEFTEÅ</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16156-2025</t>
        </is>
      </c>
      <c r="B3978" s="1" t="n">
        <v>45750</v>
      </c>
      <c r="C3978" s="1" t="n">
        <v>45757</v>
      </c>
      <c r="D3978" t="inlineStr">
        <is>
          <t>VÄSTERBOTTENS LÄN</t>
        </is>
      </c>
      <c r="E3978" t="inlineStr">
        <is>
          <t>SKELLEFTEÅ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16202-2025</t>
        </is>
      </c>
      <c r="B3979" s="1" t="n">
        <v>45750</v>
      </c>
      <c r="C3979" s="1" t="n">
        <v>45757</v>
      </c>
      <c r="D3979" t="inlineStr">
        <is>
          <t>VÄSTERBOTTENS LÄN</t>
        </is>
      </c>
      <c r="E3979" t="inlineStr">
        <is>
          <t>SKELLEFTEÅ</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16130-2025</t>
        </is>
      </c>
      <c r="B3980" s="1" t="n">
        <v>45750</v>
      </c>
      <c r="C3980" s="1" t="n">
        <v>45757</v>
      </c>
      <c r="D3980" t="inlineStr">
        <is>
          <t>VÄSTERBOTTENS LÄN</t>
        </is>
      </c>
      <c r="E3980" t="inlineStr">
        <is>
          <t>SKELLEFTEÅ</t>
        </is>
      </c>
      <c r="G3980" t="n">
        <v>21.9</v>
      </c>
      <c r="H3980" t="n">
        <v>0</v>
      </c>
      <c r="I3980" t="n">
        <v>0</v>
      </c>
      <c r="J3980" t="n">
        <v>0</v>
      </c>
      <c r="K3980" t="n">
        <v>0</v>
      </c>
      <c r="L3980" t="n">
        <v>0</v>
      </c>
      <c r="M3980" t="n">
        <v>0</v>
      </c>
      <c r="N3980" t="n">
        <v>0</v>
      </c>
      <c r="O3980" t="n">
        <v>0</v>
      </c>
      <c r="P3980" t="n">
        <v>0</v>
      </c>
      <c r="Q3980" t="n">
        <v>0</v>
      </c>
      <c r="R3980" s="2" t="inlineStr"/>
    </row>
    <row r="3981" ht="15" customHeight="1">
      <c r="A3981" t="inlineStr">
        <is>
          <t>A 16257-2025</t>
        </is>
      </c>
      <c r="B3981" s="1" t="n">
        <v>45750</v>
      </c>
      <c r="C3981" s="1" t="n">
        <v>45757</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16443-2025</t>
        </is>
      </c>
      <c r="B3982" s="1" t="n">
        <v>45750</v>
      </c>
      <c r="C3982" s="1" t="n">
        <v>45757</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16457-2025</t>
        </is>
      </c>
      <c r="B3983" s="1" t="n">
        <v>45750</v>
      </c>
      <c r="C3983" s="1" t="n">
        <v>45757</v>
      </c>
      <c r="D3983" t="inlineStr">
        <is>
          <t>VÄSTERBOTTENS LÄN</t>
        </is>
      </c>
      <c r="E3983" t="inlineStr">
        <is>
          <t>SKELLEFTEÅ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16461-2025</t>
        </is>
      </c>
      <c r="B3984" s="1" t="n">
        <v>45750</v>
      </c>
      <c r="C3984" s="1" t="n">
        <v>45757</v>
      </c>
      <c r="D3984" t="inlineStr">
        <is>
          <t>VÄSTERBOTTENS LÄN</t>
        </is>
      </c>
      <c r="E3984" t="inlineStr">
        <is>
          <t>SKELLEFTEÅ</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16706-2025</t>
        </is>
      </c>
      <c r="B3985" s="1" t="n">
        <v>45751</v>
      </c>
      <c r="C3985" s="1" t="n">
        <v>45757</v>
      </c>
      <c r="D3985" t="inlineStr">
        <is>
          <t>VÄSTERBOTTENS LÄN</t>
        </is>
      </c>
      <c r="E3985" t="inlineStr">
        <is>
          <t>SKELLEFTEÅ</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16403-2025</t>
        </is>
      </c>
      <c r="B3986" s="1" t="n">
        <v>45751</v>
      </c>
      <c r="C3986" s="1" t="n">
        <v>45757</v>
      </c>
      <c r="D3986" t="inlineStr">
        <is>
          <t>VÄSTERBOTTENS LÄN</t>
        </is>
      </c>
      <c r="E3986" t="inlineStr">
        <is>
          <t>SKELLEFTEÅ</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16409-2025</t>
        </is>
      </c>
      <c r="B3987" s="1" t="n">
        <v>45751</v>
      </c>
      <c r="C3987" s="1" t="n">
        <v>45757</v>
      </c>
      <c r="D3987" t="inlineStr">
        <is>
          <t>VÄSTERBOTTENS LÄN</t>
        </is>
      </c>
      <c r="E3987" t="inlineStr">
        <is>
          <t>SKELLEFTEÅ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16410-2025</t>
        </is>
      </c>
      <c r="B3988" s="1" t="n">
        <v>45751</v>
      </c>
      <c r="C3988" s="1" t="n">
        <v>45757</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16415-2025</t>
        </is>
      </c>
      <c r="B3989" s="1" t="n">
        <v>45751</v>
      </c>
      <c r="C3989" s="1" t="n">
        <v>45757</v>
      </c>
      <c r="D3989" t="inlineStr">
        <is>
          <t>VÄSTERBOTTENS LÄN</t>
        </is>
      </c>
      <c r="E3989" t="inlineStr">
        <is>
          <t>SKELLEFTEÅ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16899-2025</t>
        </is>
      </c>
      <c r="B3990" s="1" t="n">
        <v>45751</v>
      </c>
      <c r="C3990" s="1" t="n">
        <v>45757</v>
      </c>
      <c r="D3990" t="inlineStr">
        <is>
          <t>VÄSTERBOTTENS LÄN</t>
        </is>
      </c>
      <c r="E3990" t="inlineStr">
        <is>
          <t>SKELLEFTEÅ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16900-2025</t>
        </is>
      </c>
      <c r="B3991" s="1" t="n">
        <v>45751</v>
      </c>
      <c r="C3991" s="1" t="n">
        <v>45757</v>
      </c>
      <c r="D3991" t="inlineStr">
        <is>
          <t>VÄSTERBOTTENS LÄN</t>
        </is>
      </c>
      <c r="E3991" t="inlineStr">
        <is>
          <t>SKELLEFTEÅ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45757</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16707-2025</t>
        </is>
      </c>
      <c r="B3993" s="1" t="n">
        <v>45751</v>
      </c>
      <c r="C3993" s="1" t="n">
        <v>45757</v>
      </c>
      <c r="D3993" t="inlineStr">
        <is>
          <t>VÄSTERBOTTENS LÄN</t>
        </is>
      </c>
      <c r="E3993" t="inlineStr">
        <is>
          <t>SKELLEFTEÅ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16708-2025</t>
        </is>
      </c>
      <c r="B3994" s="1" t="n">
        <v>45751</v>
      </c>
      <c r="C3994" s="1" t="n">
        <v>45757</v>
      </c>
      <c r="D3994" t="inlineStr">
        <is>
          <t>VÄSTERBOTTENS LÄN</t>
        </is>
      </c>
      <c r="E3994" t="inlineStr">
        <is>
          <t>SKELLEFTEÅ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16437-2025</t>
        </is>
      </c>
      <c r="B3995" s="1" t="n">
        <v>45751</v>
      </c>
      <c r="C3995" s="1" t="n">
        <v>45757</v>
      </c>
      <c r="D3995" t="inlineStr">
        <is>
          <t>VÄSTERBOTTENS LÄN</t>
        </is>
      </c>
      <c r="E3995" t="inlineStr">
        <is>
          <t>SKELLEFTEÅ</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16355-2025</t>
        </is>
      </c>
      <c r="B3996" s="1" t="n">
        <v>45751</v>
      </c>
      <c r="C3996" s="1" t="n">
        <v>45757</v>
      </c>
      <c r="D3996" t="inlineStr">
        <is>
          <t>VÄSTERBOTTENS LÄN</t>
        </is>
      </c>
      <c r="E3996" t="inlineStr">
        <is>
          <t>SKELLEFTEÅ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16416-2025</t>
        </is>
      </c>
      <c r="B3997" s="1" t="n">
        <v>45751</v>
      </c>
      <c r="C3997" s="1" t="n">
        <v>45757</v>
      </c>
      <c r="D3997" t="inlineStr">
        <is>
          <t>VÄSTERBOTTENS LÄN</t>
        </is>
      </c>
      <c r="E3997" t="inlineStr">
        <is>
          <t>SKELLEFTEÅ</t>
        </is>
      </c>
      <c r="F3997" t="inlineStr">
        <is>
          <t>Holmen skog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16602-2025</t>
        </is>
      </c>
      <c r="B3998" s="1" t="n">
        <v>45753</v>
      </c>
      <c r="C3998" s="1" t="n">
        <v>45757</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16604-2025</t>
        </is>
      </c>
      <c r="B3999" s="1" t="n">
        <v>45753</v>
      </c>
      <c r="C3999" s="1" t="n">
        <v>45757</v>
      </c>
      <c r="D3999" t="inlineStr">
        <is>
          <t>VÄSTERBOTTENS LÄN</t>
        </is>
      </c>
      <c r="E3999" t="inlineStr">
        <is>
          <t>SKELLEFTEÅ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16642-2025</t>
        </is>
      </c>
      <c r="B4000" s="1" t="n">
        <v>45754</v>
      </c>
      <c r="C4000" s="1" t="n">
        <v>45757</v>
      </c>
      <c r="D4000" t="inlineStr">
        <is>
          <t>VÄSTERBOTTENS LÄN</t>
        </is>
      </c>
      <c r="E4000" t="inlineStr">
        <is>
          <t>SKELLEFTEÅ</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16672-2025</t>
        </is>
      </c>
      <c r="B4001" s="1" t="n">
        <v>45754</v>
      </c>
      <c r="C4001" s="1" t="n">
        <v>45757</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17010-2025</t>
        </is>
      </c>
      <c r="B4002" s="1" t="n">
        <v>45754</v>
      </c>
      <c r="C4002" s="1" t="n">
        <v>45757</v>
      </c>
      <c r="D4002" t="inlineStr">
        <is>
          <t>VÄSTERBOTTENS LÄN</t>
        </is>
      </c>
      <c r="E4002" t="inlineStr">
        <is>
          <t>SKELLEFTEÅ</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16856-2025</t>
        </is>
      </c>
      <c r="B4003" s="1" t="n">
        <v>45754</v>
      </c>
      <c r="C4003" s="1" t="n">
        <v>45757</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16663-2025</t>
        </is>
      </c>
      <c r="B4004" s="1" t="n">
        <v>45754</v>
      </c>
      <c r="C4004" s="1" t="n">
        <v>45757</v>
      </c>
      <c r="D4004" t="inlineStr">
        <is>
          <t>VÄSTERBOTTENS LÄN</t>
        </is>
      </c>
      <c r="E4004" t="inlineStr">
        <is>
          <t>SKELLEFTEÅ</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16760-2025</t>
        </is>
      </c>
      <c r="B4005" s="1" t="n">
        <v>45754</v>
      </c>
      <c r="C4005" s="1" t="n">
        <v>45757</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17134-2025</t>
        </is>
      </c>
      <c r="B4006" s="1" t="n">
        <v>45755</v>
      </c>
      <c r="C4006" s="1" t="n">
        <v>45757</v>
      </c>
      <c r="D4006" t="inlineStr">
        <is>
          <t>VÄSTERBOTTENS LÄN</t>
        </is>
      </c>
      <c r="E4006" t="inlineStr">
        <is>
          <t>SKELLEFTEÅ</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17005-2025</t>
        </is>
      </c>
      <c r="B4007" s="1" t="n">
        <v>45755</v>
      </c>
      <c r="C4007" s="1" t="n">
        <v>45757</v>
      </c>
      <c r="D4007" t="inlineStr">
        <is>
          <t>VÄSTERBOTTENS LÄN</t>
        </is>
      </c>
      <c r="E4007" t="inlineStr">
        <is>
          <t>SKELLEFTEÅ</t>
        </is>
      </c>
      <c r="G4007" t="n">
        <v>15.4</v>
      </c>
      <c r="H4007" t="n">
        <v>0</v>
      </c>
      <c r="I4007" t="n">
        <v>0</v>
      </c>
      <c r="J4007" t="n">
        <v>0</v>
      </c>
      <c r="K4007" t="n">
        <v>0</v>
      </c>
      <c r="L4007" t="n">
        <v>0</v>
      </c>
      <c r="M4007" t="n">
        <v>0</v>
      </c>
      <c r="N4007" t="n">
        <v>0</v>
      </c>
      <c r="O4007" t="n">
        <v>0</v>
      </c>
      <c r="P4007" t="n">
        <v>0</v>
      </c>
      <c r="Q4007" t="n">
        <v>0</v>
      </c>
      <c r="R4007" s="2" t="inlineStr"/>
    </row>
    <row r="4008" ht="15" customHeight="1">
      <c r="A4008" t="inlineStr">
        <is>
          <t>A 17008-2025</t>
        </is>
      </c>
      <c r="B4008" s="1" t="n">
        <v>45755</v>
      </c>
      <c r="C4008" s="1" t="n">
        <v>45757</v>
      </c>
      <c r="D4008" t="inlineStr">
        <is>
          <t>VÄSTERBOTTENS LÄN</t>
        </is>
      </c>
      <c r="E4008" t="inlineStr">
        <is>
          <t>SKELLEFTEÅ</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17015-2025</t>
        </is>
      </c>
      <c r="B4009" s="1" t="n">
        <v>45755</v>
      </c>
      <c r="C4009" s="1" t="n">
        <v>45757</v>
      </c>
      <c r="D4009" t="inlineStr">
        <is>
          <t>VÄSTERBOTTENS LÄN</t>
        </is>
      </c>
      <c r="E4009" t="inlineStr">
        <is>
          <t>SKELLEFTEÅ</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16971-2025</t>
        </is>
      </c>
      <c r="B4010" s="1" t="n">
        <v>45755</v>
      </c>
      <c r="C4010" s="1" t="n">
        <v>45757</v>
      </c>
      <c r="D4010" t="inlineStr">
        <is>
          <t>VÄSTERBOTTENS LÄN</t>
        </is>
      </c>
      <c r="E4010" t="inlineStr">
        <is>
          <t>SKELLEFTEÅ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17162-2025</t>
        </is>
      </c>
      <c r="B4011" s="1" t="n">
        <v>45756</v>
      </c>
      <c r="C4011" s="1" t="n">
        <v>45757</v>
      </c>
      <c r="D4011" t="inlineStr">
        <is>
          <t>VÄSTERBOTTENS LÄN</t>
        </is>
      </c>
      <c r="E4011" t="inlineStr">
        <is>
          <t>SKELLEFTEÅ</t>
        </is>
      </c>
      <c r="G4011" t="n">
        <v>23.9</v>
      </c>
      <c r="H4011" t="n">
        <v>0</v>
      </c>
      <c r="I4011" t="n">
        <v>0</v>
      </c>
      <c r="J4011" t="n">
        <v>0</v>
      </c>
      <c r="K4011" t="n">
        <v>0</v>
      </c>
      <c r="L4011" t="n">
        <v>0</v>
      </c>
      <c r="M4011" t="n">
        <v>0</v>
      </c>
      <c r="N4011" t="n">
        <v>0</v>
      </c>
      <c r="O4011" t="n">
        <v>0</v>
      </c>
      <c r="P4011" t="n">
        <v>0</v>
      </c>
      <c r="Q4011" t="n">
        <v>0</v>
      </c>
      <c r="R4011" s="2" t="inlineStr"/>
    </row>
    <row r="4012" ht="15" customHeight="1">
      <c r="A4012" t="inlineStr">
        <is>
          <t>A 17173-2025</t>
        </is>
      </c>
      <c r="B4012" s="1" t="n">
        <v>45756</v>
      </c>
      <c r="C4012" s="1" t="n">
        <v>45757</v>
      </c>
      <c r="D4012" t="inlineStr">
        <is>
          <t>VÄSTERBOTTENS LÄN</t>
        </is>
      </c>
      <c r="E4012" t="inlineStr">
        <is>
          <t>SKELLEFTEÅ</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17160-2025</t>
        </is>
      </c>
      <c r="B4013" s="1" t="n">
        <v>45756</v>
      </c>
      <c r="C4013" s="1" t="n">
        <v>45757</v>
      </c>
      <c r="D4013" t="inlineStr">
        <is>
          <t>VÄSTERBOTTENS LÄN</t>
        </is>
      </c>
      <c r="E4013" t="inlineStr">
        <is>
          <t>SKELLEFTEÅ</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17182-2025</t>
        </is>
      </c>
      <c r="B4014" s="1" t="n">
        <v>45756</v>
      </c>
      <c r="C4014" s="1" t="n">
        <v>45757</v>
      </c>
      <c r="D4014" t="inlineStr">
        <is>
          <t>VÄSTERBOTTENS LÄN</t>
        </is>
      </c>
      <c r="E4014" t="inlineStr">
        <is>
          <t>SKELLEFTEÅ</t>
        </is>
      </c>
      <c r="F4014" t="inlineStr">
        <is>
          <t>Holmen skog AB</t>
        </is>
      </c>
      <c r="G4014" t="n">
        <v>2</v>
      </c>
      <c r="H4014" t="n">
        <v>0</v>
      </c>
      <c r="I4014" t="n">
        <v>0</v>
      </c>
      <c r="J4014" t="n">
        <v>0</v>
      </c>
      <c r="K4014" t="n">
        <v>0</v>
      </c>
      <c r="L4014" t="n">
        <v>0</v>
      </c>
      <c r="M4014" t="n">
        <v>0</v>
      </c>
      <c r="N4014" t="n">
        <v>0</v>
      </c>
      <c r="O4014" t="n">
        <v>0</v>
      </c>
      <c r="P4014" t="n">
        <v>0</v>
      </c>
      <c r="Q4014" t="n">
        <v>0</v>
      </c>
      <c r="R4014" s="2" t="inlineStr"/>
    </row>
    <row r="4015">
      <c r="A4015" t="inlineStr">
        <is>
          <t>A 17154-2025</t>
        </is>
      </c>
      <c r="B4015" s="1" t="n">
        <v>45756</v>
      </c>
      <c r="C4015" s="1" t="n">
        <v>45757</v>
      </c>
      <c r="D4015" t="inlineStr">
        <is>
          <t>VÄSTERBOTTENS LÄN</t>
        </is>
      </c>
      <c r="E4015" t="inlineStr">
        <is>
          <t>SKELLEFTEÅ</t>
        </is>
      </c>
      <c r="G4015" t="n">
        <v>6.6</v>
      </c>
      <c r="H4015" t="n">
        <v>0</v>
      </c>
      <c r="I4015" t="n">
        <v>0</v>
      </c>
      <c r="J4015" t="n">
        <v>0</v>
      </c>
      <c r="K4015" t="n">
        <v>0</v>
      </c>
      <c r="L4015" t="n">
        <v>0</v>
      </c>
      <c r="M4015" t="n">
        <v>0</v>
      </c>
      <c r="N4015" t="n">
        <v>0</v>
      </c>
      <c r="O4015" t="n">
        <v>0</v>
      </c>
      <c r="P4015" t="n">
        <v>0</v>
      </c>
      <c r="Q4015" t="n">
        <v>0</v>
      </c>
      <c r="R4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2025-04-10T16:17:57Z</dcterms:created>
  <dcterms:modified xmlns:dcterms="http://purl.org/dc/terms/" xmlns:xsi="http://www.w3.org/2001/XMLSchema-instance" xsi:type="dcterms:W3CDTF">2025-04-10T16:18:01Z</dcterms:modified>
</cp:coreProperties>
</file>