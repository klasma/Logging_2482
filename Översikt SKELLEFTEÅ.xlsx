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45694</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45694</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45694</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45694</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45694</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45694</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45694</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45694</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45694</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45694</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45694</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45694</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45694</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45694</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45694</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45694</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45694</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45694</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45694</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45694</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45694</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45694</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45694</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45694</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45694</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45694</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45694</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45694</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45694</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45694</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45694</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45694</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45694</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45694</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45694</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45694</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45694</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45694</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45694</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45694</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45694</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45694</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45694</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45694</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45694</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45694</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45694</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45694</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45694</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45694</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45694</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45694</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45694</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45694</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45694</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45694</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45694</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45694</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45694</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45694</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45694</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45694</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45694</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45694</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45694</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45694</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45694</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45694</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45694</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45694</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45694</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45694</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45694</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45694</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45694</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45694</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45694</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45694</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45694</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45694</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45694</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45694</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45694</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45694</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45694</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45694</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45694</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45694</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45694</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45694</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45694</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45694</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45694</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45694</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45694</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45694</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45694</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45694</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45694</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45694</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45694</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45694</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45694</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45694</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45694</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45694</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45694</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45694</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45694</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45694</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45694</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45694</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45694</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45694</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45694</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45694</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45694</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45694</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45694</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45694</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45694</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45694</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45694</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45694</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45694</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45694</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45694</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45694</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45694</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45694</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45694</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45694</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45694</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45694</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45694</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45694</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45694</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45694</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45694</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45694</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45694</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45694</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45694</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45694</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45694</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45694</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45694</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45694</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45694</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45694</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45694</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45694</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45694</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45694</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45694</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45694</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45694</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45694</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45694</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45694</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45694</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45694</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45694</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45694</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45694</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45694</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45694</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45694</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45694</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45694</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45694</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45694</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45694</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45694</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45694</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45694</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45694</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45694</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45694</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45694</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45694</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45694</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45694</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45694</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45694</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45694</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45694</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45694</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45694</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45694</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45694</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45694</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45694</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45694</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45694</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45694</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45694</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45694</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45694</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45694</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45694</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45694</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45694</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45694</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45694</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45694</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45694</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45694</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45694</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45694</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45694</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45694</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45694</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45694</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45694</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45694</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45694</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45694</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45694</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45694</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45694</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45694</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45694</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45694</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45694</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45694</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45694</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45694</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45694</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45694</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45694</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45694</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45694</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45694</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737-2025</t>
        </is>
      </c>
      <c r="B248" s="1" t="n">
        <v>45665</v>
      </c>
      <c r="C248" s="1" t="n">
        <v>45694</v>
      </c>
      <c r="D248" t="inlineStr">
        <is>
          <t>VÄSTERBOTTENS LÄN</t>
        </is>
      </c>
      <c r="E248" t="inlineStr">
        <is>
          <t>SKELLEFTEÅ</t>
        </is>
      </c>
      <c r="G248" t="n">
        <v>14.8</v>
      </c>
      <c r="H248" t="n">
        <v>0</v>
      </c>
      <c r="I248" t="n">
        <v>0</v>
      </c>
      <c r="J248" t="n">
        <v>0</v>
      </c>
      <c r="K248" t="n">
        <v>1</v>
      </c>
      <c r="L248" t="n">
        <v>0</v>
      </c>
      <c r="M248" t="n">
        <v>0</v>
      </c>
      <c r="N248" t="n">
        <v>0</v>
      </c>
      <c r="O248" t="n">
        <v>1</v>
      </c>
      <c r="P248" t="n">
        <v>1</v>
      </c>
      <c r="Q248" t="n">
        <v>1</v>
      </c>
      <c r="R248" s="2" t="inlineStr">
        <is>
          <t>Goliatmusseron</t>
        </is>
      </c>
      <c r="S248">
        <f>HYPERLINK("https://klasma.github.io/Logging_2482/artfynd/A 737-2025 artfynd.xlsx", "A 737-2025")</f>
        <v/>
      </c>
      <c r="T248">
        <f>HYPERLINK("https://klasma.github.io/Logging_2482/kartor/A 737-2025 karta.png", "A 737-2025")</f>
        <v/>
      </c>
      <c r="V248">
        <f>HYPERLINK("https://klasma.github.io/Logging_2482/klagomål/A 737-2025 FSC-klagomål.docx", "A 737-2025")</f>
        <v/>
      </c>
      <c r="W248">
        <f>HYPERLINK("https://klasma.github.io/Logging_2482/klagomålsmail/A 737-2025 FSC-klagomål mail.docx", "A 737-2025")</f>
        <v/>
      </c>
      <c r="X248">
        <f>HYPERLINK("https://klasma.github.io/Logging_2482/tillsyn/A 737-2025 tillsynsbegäran.docx", "A 737-2025")</f>
        <v/>
      </c>
      <c r="Y248">
        <f>HYPERLINK("https://klasma.github.io/Logging_2482/tillsynsmail/A 737-2025 tillsynsbegäran mail.docx", "A 737-2025")</f>
        <v/>
      </c>
    </row>
    <row r="249" ht="15" customHeight="1">
      <c r="A249" t="inlineStr">
        <is>
          <t>A 1016-2025</t>
        </is>
      </c>
      <c r="B249" s="1" t="n">
        <v>45665</v>
      </c>
      <c r="C249" s="1" t="n">
        <v>45694</v>
      </c>
      <c r="D249" t="inlineStr">
        <is>
          <t>VÄSTERBOTTENS LÄN</t>
        </is>
      </c>
      <c r="E249" t="inlineStr">
        <is>
          <t>SKELLEFTEÅ</t>
        </is>
      </c>
      <c r="G249" t="n">
        <v>15.6</v>
      </c>
      <c r="H249" t="n">
        <v>1</v>
      </c>
      <c r="I249" t="n">
        <v>0</v>
      </c>
      <c r="J249" t="n">
        <v>0</v>
      </c>
      <c r="K249" t="n">
        <v>1</v>
      </c>
      <c r="L249" t="n">
        <v>0</v>
      </c>
      <c r="M249" t="n">
        <v>0</v>
      </c>
      <c r="N249" t="n">
        <v>0</v>
      </c>
      <c r="O249" t="n">
        <v>1</v>
      </c>
      <c r="P249" t="n">
        <v>1</v>
      </c>
      <c r="Q249" t="n">
        <v>1</v>
      </c>
      <c r="R249" s="2" t="inlineStr">
        <is>
          <t>Knärot</t>
        </is>
      </c>
      <c r="S249">
        <f>HYPERLINK("https://klasma.github.io/Logging_2482/artfynd/A 1016-2025 artfynd.xlsx", "A 1016-2025")</f>
        <v/>
      </c>
      <c r="T249">
        <f>HYPERLINK("https://klasma.github.io/Logging_2482/kartor/A 1016-2025 karta.png", "A 1016-2025")</f>
        <v/>
      </c>
      <c r="U249">
        <f>HYPERLINK("https://klasma.github.io/Logging_2482/knärot/A 1016-2025 karta knärot.png", "A 1016-2025")</f>
        <v/>
      </c>
      <c r="V249">
        <f>HYPERLINK("https://klasma.github.io/Logging_2482/klagomål/A 1016-2025 FSC-klagomål.docx", "A 1016-2025")</f>
        <v/>
      </c>
      <c r="W249">
        <f>HYPERLINK("https://klasma.github.io/Logging_2482/klagomålsmail/A 1016-2025 FSC-klagomål mail.docx", "A 1016-2025")</f>
        <v/>
      </c>
      <c r="X249">
        <f>HYPERLINK("https://klasma.github.io/Logging_2482/tillsyn/A 1016-2025 tillsynsbegäran.docx", "A 1016-2025")</f>
        <v/>
      </c>
      <c r="Y249">
        <f>HYPERLINK("https://klasma.github.io/Logging_2482/tillsynsmail/A 1016-2025 tillsynsbegäran mail.docx", "A 1016-2025")</f>
        <v/>
      </c>
    </row>
    <row r="250" ht="15" customHeight="1">
      <c r="A250" t="inlineStr">
        <is>
          <t>A 1694-2025</t>
        </is>
      </c>
      <c r="B250" s="1" t="n">
        <v>45670</v>
      </c>
      <c r="C250" s="1" t="n">
        <v>45694</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45694</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45694</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45694</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45694</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45694</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45694</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45694</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45694</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45694</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45694</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45694</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45694</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45694</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45694</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45694</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45694</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45694</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45694</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45694</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45694</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45694</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45694</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45694</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45694</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45694</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45694</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45694</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45694</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45694</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45694</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45694</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45694</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45694</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45694</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45694</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45694</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45694</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45694</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45694</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45694</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45694</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45694</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45694</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45694</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45694</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45694</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45694</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45694</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45694</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45694</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45694</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45694</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45694</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45694</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45694</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45694</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45694</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45694</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45694</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45694</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45694</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45694</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45694</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45694</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45694</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45694</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45694</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45694</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45694</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45694</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45694</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45694</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45694</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45694</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45694</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45694</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45694</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45694</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45694</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45694</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45694</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45694</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45694</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45694</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45694</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45694</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45694</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45694</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45694</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45694</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45694</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45694</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45694</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45694</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45694</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45694</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45694</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45694</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45694</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45694</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45694</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45694</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45694</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45694</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45694</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45694</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45694</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45694</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45694</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45694</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45694</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45694</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45694</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45694</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45694</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45694</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45694</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45694</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45694</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45694</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45694</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45694</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45694</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45694</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45694</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45694</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45694</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45694</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45694</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45694</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45694</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45694</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45694</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45694</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45694</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45694</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45694</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45694</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45694</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45694</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45694</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45694</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45694</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45694</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45694</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45694</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45694</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45694</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45694</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45694</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45694</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45694</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45694</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45694</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45694</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45694</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45694</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45694</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45694</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45694</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45694</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45694</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45694</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45694</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45694</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45694</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45694</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45694</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45694</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45694</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45694</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45694</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45694</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45694</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45694</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45694</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45694</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45694</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45694</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45694</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45694</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45694</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45694</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45694</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45694</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45694</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45694</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45694</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45694</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45694</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45694</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45694</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45694</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45694</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45694</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45694</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45694</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45694</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45694</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45694</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45694</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45694</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45694</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45694</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45694</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45694</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45694</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45694</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45694</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45694</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45694</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45694</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45694</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45694</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45694</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45694</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45694</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45694</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45694</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45694</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45694</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45694</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45694</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45694</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45694</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45694</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45694</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45694</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45694</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45694</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45694</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45694</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45694</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45694</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45694</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45694</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45694</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45694</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45694</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45694</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45694</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45694</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45694</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45694</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45694</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45694</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45694</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45694</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45694</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45694</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45694</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45694</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45694</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45694</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45694</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45694</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45694</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45694</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45694</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45694</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45694</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45694</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45694</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45694</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45694</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45694</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45694</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45694</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45694</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45694</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45694</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45694</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45694</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45694</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45694</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45694</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45694</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45694</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45694</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45694</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45694</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45694</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45694</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45694</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45694</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45694</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45694</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45694</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45694</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45694</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45694</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45694</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45694</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45694</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45694</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45694</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45694</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45694</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45694</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45694</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45694</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45694</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45694</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45694</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45694</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45694</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45694</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45694</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45694</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45694</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45694</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45694</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45694</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45694</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45694</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45694</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45694</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45694</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45694</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45694</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45694</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45694</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45694</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45694</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45694</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45694</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45694</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45694</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45694</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45694</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45694</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45694</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45694</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45694</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45694</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45694</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45694</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45694</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45694</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45694</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45694</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45694</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45694</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45694</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45694</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45694</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45694</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45694</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45694</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45694</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45694</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45694</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45694</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45694</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45694</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45694</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45694</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45694</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45694</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45694</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45694</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45694</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45694</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45694</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45694</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45694</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45694</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45694</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45694</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45694</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45694</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45694</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45694</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45694</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45694</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45694</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45694</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45694</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45694</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45694</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45694</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45694</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45694</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45694</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45694</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45694</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45694</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45694</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45694</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45694</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45694</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45694</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45694</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45694</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45694</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45694</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45694</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45694</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45694</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45694</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45694</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45694</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45694</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45694</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45694</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45694</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45694</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45694</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45694</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45694</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45694</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45694</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45694</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45694</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45694</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45694</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45694</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45694</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45694</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45694</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45694</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45694</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45694</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45694</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45694</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45694</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45694</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45694</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45694</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45694</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45694</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45694</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45694</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45694</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45694</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45694</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45694</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45694</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45694</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45694</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45694</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45694</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45694</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45694</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45694</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45694</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45694</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45694</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45694</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45694</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45694</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45694</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45694</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45694</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45694</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45694</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45694</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45694</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45694</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45694</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45694</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45694</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45694</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45694</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45694</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45694</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45694</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45694</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45694</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45694</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45694</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45694</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45694</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45694</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45694</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45694</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45694</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45694</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45694</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45694</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45694</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45694</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45694</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45694</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45694</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45694</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45694</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45694</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45694</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45694</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45694</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45694</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45694</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45694</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45694</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45694</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45694</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45694</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45694</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45694</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45694</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45694</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45694</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45694</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45694</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45694</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45694</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45694</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45694</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45694</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45694</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45694</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45694</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45694</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45694</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45694</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45694</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45694</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45694</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45694</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45694</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45694</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45694</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45694</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45694</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45694</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45694</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45694</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45694</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45694</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45694</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45694</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45694</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45694</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45694</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45694</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45694</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45694</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45694</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45694</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45694</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45694</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45694</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45694</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45694</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45694</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45694</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45694</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45694</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45694</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45694</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45694</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45694</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45694</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45694</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45694</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45694</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45694</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45694</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45694</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45694</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45694</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45694</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45694</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45694</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45694</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45694</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45694</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45694</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45694</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45694</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45694</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45694</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45694</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45694</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45694</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45694</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45694</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45694</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45694</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45694</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45694</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45694</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45694</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45694</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45694</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45694</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45694</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45694</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45694</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45694</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45694</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45694</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45694</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45694</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45694</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45694</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45694</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45694</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45694</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45694</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45694</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45694</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45694</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45694</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45694</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45694</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45694</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45694</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45694</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45694</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45694</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45694</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45694</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45694</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45694</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45694</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45694</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45694</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45694</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45694</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45694</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45694</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45694</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45694</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45694</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45694</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45694</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45694</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45694</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45694</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45694</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45694</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45694</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45694</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45694</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45694</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45694</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45694</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45694</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45694</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45694</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45694</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45694</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45694</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45694</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45694</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45694</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45694</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45694</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45694</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45694</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45694</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45694</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45694</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45694</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45694</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45694</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45694</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45694</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45694</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45694</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45694</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45694</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45694</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45694</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45694</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45694</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45694</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45694</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45694</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45694</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45694</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45694</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45694</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45694</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45694</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45694</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45694</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45694</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45694</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45694</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45694</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45694</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45694</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45694</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45694</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45694</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45694</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45694</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45694</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45694</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45694</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45694</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45694</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45694</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45694</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45694</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45694</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45694</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45694</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45694</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45694</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45694</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45694</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45694</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45694</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45694</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45694</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45694</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45694</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45694</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45694</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45694</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45694</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45694</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45694</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45694</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45694</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45694</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45694</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45694</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45694</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45694</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45694</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45694</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45694</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45694</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45694</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45694</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45694</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45694</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45694</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45694</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45694</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45694</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45694</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45694</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45694</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45694</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45694</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45694</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45694</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45694</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45694</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45694</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45694</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45694</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45694</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45694</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45694</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45694</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45694</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45694</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45694</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45694</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45694</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45694</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45694</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45694</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45694</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45694</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45694</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45694</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45694</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45694</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45694</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45694</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45694</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45694</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45694</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45694</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45694</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45694</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45694</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45694</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45694</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45694</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45694</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45694</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45694</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45694</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45694</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45694</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45694</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45694</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45694</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45694</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45694</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45694</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45694</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45694</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45694</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45694</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45694</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45694</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45694</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45694</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45694</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45694</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45694</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45694</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45694</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45694</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45694</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45694</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45694</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45694</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45694</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45694</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45694</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45694</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45694</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45694</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45694</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45694</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45694</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45694</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45694</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45694</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45694</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45694</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45694</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45694</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45694</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45694</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45694</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45694</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45694</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45694</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45694</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45694</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45694</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45694</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45694</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45694</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45694</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45694</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45694</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45694</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45694</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45694</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45694</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45694</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45694</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45694</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45694</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45694</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45694</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45694</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45694</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45694</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45694</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45694</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45694</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45694</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45694</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45694</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45694</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45694</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45694</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45694</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45694</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45694</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45694</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45694</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45694</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45694</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45694</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45694</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45694</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45694</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45694</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45694</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45694</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45694</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45694</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45694</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45694</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45694</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45694</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45694</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45694</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45694</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45694</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45694</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45694</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45694</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45694</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45694</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45694</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45694</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45694</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45694</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45694</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45694</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45694</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45694</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45694</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45694</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45694</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45694</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45694</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45694</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45694</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45694</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45694</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45694</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45694</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45694</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45694</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45694</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45694</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45694</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45694</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45694</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45694</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45694</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45694</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45694</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45694</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45694</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45694</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45694</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45694</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45694</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45694</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45694</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45694</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45694</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45694</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45694</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45694</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45694</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45694</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45694</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45694</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45694</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45694</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45694</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45694</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45694</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45694</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45694</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45694</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45694</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45694</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45694</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45694</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45694</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45694</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45694</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45694</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45694</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45694</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45694</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45694</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45694</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45694</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45694</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45694</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45694</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45694</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45694</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45694</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45694</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45694</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45694</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45694</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45694</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45694</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45694</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45694</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45694</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45694</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45694</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45694</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45694</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45694</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45694</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45694</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45694</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45694</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45694</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45694</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45694</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45694</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45694</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45694</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45694</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45694</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45694</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45694</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45694</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45694</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45694</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45694</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45694</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45694</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45694</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45694</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45694</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45694</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45694</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45694</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45694</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45694</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45694</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45694</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45694</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45694</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45694</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45694</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45694</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45694</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45694</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45694</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45694</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45694</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45694</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45694</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45694</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45694</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45694</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45694</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45694</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45694</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45694</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45694</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45694</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45694</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45694</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45694</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45694</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45694</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45694</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45694</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45694</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45694</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45694</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45694</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45694</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45694</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45694</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45694</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45694</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45694</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45694</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45694</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45694</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45694</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45694</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45694</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45694</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45694</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45694</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45694</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45694</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45694</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45694</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45694</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45694</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45694</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45694</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45694</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45694</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45694</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45694</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45694</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45694</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45694</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45694</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45694</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45694</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45694</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45694</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45694</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45694</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45694</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45694</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45694</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45694</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45694</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45694</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45694</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45694</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45694</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45694</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45694</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45694</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45694</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45694</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45694</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45694</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45694</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45694</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45694</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45694</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45694</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45694</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45694</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45694</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45694</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45694</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45694</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45694</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45694</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45694</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45694</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45694</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45694</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45694</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45694</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45694</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45694</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45694</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45694</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45694</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45694</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45694</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45694</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45694</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45694</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45694</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45694</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45694</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45694</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45694</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45694</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45694</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45694</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45694</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45694</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45694</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45694</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45694</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45694</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45694</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45694</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45694</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45694</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45694</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45694</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45694</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45694</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45694</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45694</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45694</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45694</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45694</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45694</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45694</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45694</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45694</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45694</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45694</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45694</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45694</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45694</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45694</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45694</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45694</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45694</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45694</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45694</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45694</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45694</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45694</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45694</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45694</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45694</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45694</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45694</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45694</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45694</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45694</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45694</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45694</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45694</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45694</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45694</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45694</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45694</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45694</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45694</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45694</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45694</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45694</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45694</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45694</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45694</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45694</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45694</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45694</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45694</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45694</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45694</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45694</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45694</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45694</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45694</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45694</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45694</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45694</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45694</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45694</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45694</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45694</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45694</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45694</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45694</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45694</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45694</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45694</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45694</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45694</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45694</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45694</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45694</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45694</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45694</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45694</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45694</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45694</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45694</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45694</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45694</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45694</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45694</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45694</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45694</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45694</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45694</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45694</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45694</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45694</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45694</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45694</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45694</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45694</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45694</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45694</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45694</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45694</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45694</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45694</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45694</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45694</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45694</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45694</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45694</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45694</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45694</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45694</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45694</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45694</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45694</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45694</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45694</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45694</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45694</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45694</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45694</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45694</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45694</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45694</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45694</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45694</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45694</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45694</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45694</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45694</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45694</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45694</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45694</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45694</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45694</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45694</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45694</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45694</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45694</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45694</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45694</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45694</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45694</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45694</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45694</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45694</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45694</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45694</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45694</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45694</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45694</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45694</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45694</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45694</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45694</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45694</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45694</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45694</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45694</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45694</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45694</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45694</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45694</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45694</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45694</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45694</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45694</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45694</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45694</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45694</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45694</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45694</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45694</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45694</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45694</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45694</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45694</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45694</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45694</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45694</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45694</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45694</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45694</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45694</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45694</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45694</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45694</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45694</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45694</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45694</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45694</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45694</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45694</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45694</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45694</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45694</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45694</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45694</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45694</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45694</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45694</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45694</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45694</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45694</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45694</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45694</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45694</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45694</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45694</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45694</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45694</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45694</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45694</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45694</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45694</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45694</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45694</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45694</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45694</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45694</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45694</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45694</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45694</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45694</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45694</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45694</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45694</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45694</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45694</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45694</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45694</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45694</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45694</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45694</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45694</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45694</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45694</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45694</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45694</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45694</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45694</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45694</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45694</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45694</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45694</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45694</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45694</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45694</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45694</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45694</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45694</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45694</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45694</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45694</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45694</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45694</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45694</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45694</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45694</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45694</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45694</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45694</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45694</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45694</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45694</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45694</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45694</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45694</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45694</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45694</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45694</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45694</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45694</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45694</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45694</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45694</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45694</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45694</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45694</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45694</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45694</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45694</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45694</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45694</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45694</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45694</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45694</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45694</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45694</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45694</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45694</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45694</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45694</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45694</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45694</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45694</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45694</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45694</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45694</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45694</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45694</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45694</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45694</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45694</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45694</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45694</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45694</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45694</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45694</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45694</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45694</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45694</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45694</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45694</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45694</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45694</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45694</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45694</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45694</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45694</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45694</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45694</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45694</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45694</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45694</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45694</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45694</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45694</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45694</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45694</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45694</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45694</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45694</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45694</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45694</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45694</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45694</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45694</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45694</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45694</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45694</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45694</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45694</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45694</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45694</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45694</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45694</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45694</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45694</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45694</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45694</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45694</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45694</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45694</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45694</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45694</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45694</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45694</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45694</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45694</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45694</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45694</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45694</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45694</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45694</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45694</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45694</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45694</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45694</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45694</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45694</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45694</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45694</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45694</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45694</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45694</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45694</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45694</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45694</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45694</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45694</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45694</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45694</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45694</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45694</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45694</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45694</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45694</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45694</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45694</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45694</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45694</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45694</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45694</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45694</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45694</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45694</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45694</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45694</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45694</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45694</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45694</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45694</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45694</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45694</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45694</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45694</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45694</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45694</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45694</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45694</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45694</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45694</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45694</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45694</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45694</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45694</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45694</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45694</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45694</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45694</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45694</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45694</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45694</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45694</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45694</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45694</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45694</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45694</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45694</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45694</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45694</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45694</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45694</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45694</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45694</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45694</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45694</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45694</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45694</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45694</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45694</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45694</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45694</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45694</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45694</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45694</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45694</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45694</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45694</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45694</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45694</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45694</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45694</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45694</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45694</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45694</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45694</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45694</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45694</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45694</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45694</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45694</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45694</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45694</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45694</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45694</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45694</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45694</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45694</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45694</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45694</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45694</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45694</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45694</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45694</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45694</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45694</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45694</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45694</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45694</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45694</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45694</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45694</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45694</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45694</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45694</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45694</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45694</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45694</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45694</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45694</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45694</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45694</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45694</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45694</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45694</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45694</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45694</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45694</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45694</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45694</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45694</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45694</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45694</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45694</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45694</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45694</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45694</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45694</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45694</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45694</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45694</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45694</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45694</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45694</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45694</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45694</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45694</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45694</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45694</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45694</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45694</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45694</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45694</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45694</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45694</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45694</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45694</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45694</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45694</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45694</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45694</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45694</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45694</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45694</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45694</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45694</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45694</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45694</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45694</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45694</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45694</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45694</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45694</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45694</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45694</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45694</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45694</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45694</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45694</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45694</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45694</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45694</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45694</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45694</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45694</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45694</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45694</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45694</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45694</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45694</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45694</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45694</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45694</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45694</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45694</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45694</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45694</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45694</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45694</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45694</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45694</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45694</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45694</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45694</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45694</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45694</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45694</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45694</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45694</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45694</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45694</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45694</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45694</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45694</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45694</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45694</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45694</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45694</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45694</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45694</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45694</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45694</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45694</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45694</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45694</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45694</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45694</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45694</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45694</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45694</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45694</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45694</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45694</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45694</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45694</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45694</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45694</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45694</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45694</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45694</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45694</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45694</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45694</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45694</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45694</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45694</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45694</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45694</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45694</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45694</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45694</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45694</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45694</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45694</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45694</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45694</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45694</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45694</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45694</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45694</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45694</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45694</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45694</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45694</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45694</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45694</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45694</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45694</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45694</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45694</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45694</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45694</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45694</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45694</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45694</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45694</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45694</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45694</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45694</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45694</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45694</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45694</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45694</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45694</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45694</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45694</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45694</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45694</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45694</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45694</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45694</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45694</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45694</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45694</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45694</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45694</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45694</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45694</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45694</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45694</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45694</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45694</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45694</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45694</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45694</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45694</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45694</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45694</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45694</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45694</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45694</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45694</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45694</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45694</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45694</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45694</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45694</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45694</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45694</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45694</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45694</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45694</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45694</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45694</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45694</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45694</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45694</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45694</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45694</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45694</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45694</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45694</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45694</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45694</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45694</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45694</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45694</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45694</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45694</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45694</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45694</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45694</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45694</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45694</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45694</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45694</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45694</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45694</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45694</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45694</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45694</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45694</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45694</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45694</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45694</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45694</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45694</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45694</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45694</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45694</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45694</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45694</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45694</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45694</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45694</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45694</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45694</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45694</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45694</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45694</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45694</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45694</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45694</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45694</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45694</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45694</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45694</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45694</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45694</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45694</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45694</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45694</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45694</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45694</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45694</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45694</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45694</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45694</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45694</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45694</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45694</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45694</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45694</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45694</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45694</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45694</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45694</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45694</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45694</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45694</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45694</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45694</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45694</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45694</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45694</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45694</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45694</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45694</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45694</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45694</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45694</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45694</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45694</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45694</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45694</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45694</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45694</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45694</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45694</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45694</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45694</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45694</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45694</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45694</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45694</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45694</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45694</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45694</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45694</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45694</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45694</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45694</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45694</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45694</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45694</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45694</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45694</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45694</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45694</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45694</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45694</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45694</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45694</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45694</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45694</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45694</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45694</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45694</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45694</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45694</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45694</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45694</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45694</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45694</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45694</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45694</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45694</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45694</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45694</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45694</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45694</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45694</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45694</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45694</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45694</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45694</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45694</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45694</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45694</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45694</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45694</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45694</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45694</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45694</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45694</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45694</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45694</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45694</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45694</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45694</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45694</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45694</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45694</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45694</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45694</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45694</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45694</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45694</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45694</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45694</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45694</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45694</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45694</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45694</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45694</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45694</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45694</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45694</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45694</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45694</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45694</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45694</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45694</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45694</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45694</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45694</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45694</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45694</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45694</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45694</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45694</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45694</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45694</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45694</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45694</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45694</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45694</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45694</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45694</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45694</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45694</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45694</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45694</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45694</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45694</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45694</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45694</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45694</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45694</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45694</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45694</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45694</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45694</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45694</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45694</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45694</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45694</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45694</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45694</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45694</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45694</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45694</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45694</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45694</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45694</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45694</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45694</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45694</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45694</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45694</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45694</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45694</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45694</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45694</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45694</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45694</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45694</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45694</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45694</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45694</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45694</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45694</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45694</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45694</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45694</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45694</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45694</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45694</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45694</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45694</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45694</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45694</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45694</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45694</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45694</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45694</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45694</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45694</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45694</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45694</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45694</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45694</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45694</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45694</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45694</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45694</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45694</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45694</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45694</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45694</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45694</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45694</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45694</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45694</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45694</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45694</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45694</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45694</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45694</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45694</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45694</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45694</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45694</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45694</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45694</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45694</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45694</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45694</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45694</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45694</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45694</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45694</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45694</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45694</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45694</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45694</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45694</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45694</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45694</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45694</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45694</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45694</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45694</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45694</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45694</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45694</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45694</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45694</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45694</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45694</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45694</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45694</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45694</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45694</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45694</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45694</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45694</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45694</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45694</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45694</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45694</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45694</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45694</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45694</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45694</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45694</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45694</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45694</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45694</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45694</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45694</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45694</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45694</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45694</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45694</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45694</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45694</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45694</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45694</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45694</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45694</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45694</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45694</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45694</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45694</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45694</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45694</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45694</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45694</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45694</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45694</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45694</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45694</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45694</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45694</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45694</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45694</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45694</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45694</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45694</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45694</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45694</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45694</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45694</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45694</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45694</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45694</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45694</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45694</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45694</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45694</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45694</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45694</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45694</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45694</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45694</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45694</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45694</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45694</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45694</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45694</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45694</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45694</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45694</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45694</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45694</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45694</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45694</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45694</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45694</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45694</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45694</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45694</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45694</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45694</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45694</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45694</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45694</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45694</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45694</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45694</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45694</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45694</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45694</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45694</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45694</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45694</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45694</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45694</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45694</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45694</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45694</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45694</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45694</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45694</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45694</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45694</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45694</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45694</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45694</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45694</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45694</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45694</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45694</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45694</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45694</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45694</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45694</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45694</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45694</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45694</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45694</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45694</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45694</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45694</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45694</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45694</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45694</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45694</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45694</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45694</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45694</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45694</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45694</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45694</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45694</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45694</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45694</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45694</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45694</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45694</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45694</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45694</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45694</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45694</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45694</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45694</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45694</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45694</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45694</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45694</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45694</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45694</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45694</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45694</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45694</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45694</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45694</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45694</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45694</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45694</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45694</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45694</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45694</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45694</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45694</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45694</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45694</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45694</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45694</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45694</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45694</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45694</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45694</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45694</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45694</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45694</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45694</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45694</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45694</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45694</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45694</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45694</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45694</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45694</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45694</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45694</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45694</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45694</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45694</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45694</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45694</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45694</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45694</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45694</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45694</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45694</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45694</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45694</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45694</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45694</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45694</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45694</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45694</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45694</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45694</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45694</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45694</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45694</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45694</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45694</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45694</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45694</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45694</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45694</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45694</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45694</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45694</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45694</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45694</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45694</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45694</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45694</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45694</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45694</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45694</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45694</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45694</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45694</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45694</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45694</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45694</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45694</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45694</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45694</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45694</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45694</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45694</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45694</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45694</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45694</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45694</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45694</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45694</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45694</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45694</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45694</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45694</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45694</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45694</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45694</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45694</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45694</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45694</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45694</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45694</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45694</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45694</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45694</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45694</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45694</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45694</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45694</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45694</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45694</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45694</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45694</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45694</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45694</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45694</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45694</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45694</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45694</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45694</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45694</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45694</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45694</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45694</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45694</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45694</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45694</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45694</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45694</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45694</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45694</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45694</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45694</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45694</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45694</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45694</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45694</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45694</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45694</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45694</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45694</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45694</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45694</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45694</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45694</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45694</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45694</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45694</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45694</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45694</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45694</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45694</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45694</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45694</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45694</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45694</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45694</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45694</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45694</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45694</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45694</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45694</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45694</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45694</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45694</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45694</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45694</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45694</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45694</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45694</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45694</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45694</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45694</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45694</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45694</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45694</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45694</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45694</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45694</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45694</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45694</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45694</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45694</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45694</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45694</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45694</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45694</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45694</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45694</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45694</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45694</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45694</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45694</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45694</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45694</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45694</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45694</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45694</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45694</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45694</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45694</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45694</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45694</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45694</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45694</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45694</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45694</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45694</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45694</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45694</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45694</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45694</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45694</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45694</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45694</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45694</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45694</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45694</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45694</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45694</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45694</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45694</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45694</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45694</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45694</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45694</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45694</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45694</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45694</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45694</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45694</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45694</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45694</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45694</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45694</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45694</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45694</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45694</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45694</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45694</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45694</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45694</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45694</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45694</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45694</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45694</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45694</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45694</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45694</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45694</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45694</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45694</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45694</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45694</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45694</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45694</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45694</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45694</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45694</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45694</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45694</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45694</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45694</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45694</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45694</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45694</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45694</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45694</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45694</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45694</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45694</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45694</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45694</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45694</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45694</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45694</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45694</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45694</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45694</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45694</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45694</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45694</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45694</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45694</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45694</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45694</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45694</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45694</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45694</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45694</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45694</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45694</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45694</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45694</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45694</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45694</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45694</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45694</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45694</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45694</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45694</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45694</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45694</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45694</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45694</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45694</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45694</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45694</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45694</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45694</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45694</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45694</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45694</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45694</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45694</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45694</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45694</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45694</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45694</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45694</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45694</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45694</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45694</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45694</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45694</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45694</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45694</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45694</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45694</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45694</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45694</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45694</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45694</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45694</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45694</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45694</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45694</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45694</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45694</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45694</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45694</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45694</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45694</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45694</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45694</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45694</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45694</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45694</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45694</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45694</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45694</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45694</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45694</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45694</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45694</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45694</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45694</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45694</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45694</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45694</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45694</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45694</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45694</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45694</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45694</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45694</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45694</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45694</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45694</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45694</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45694</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45694</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45694</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45694</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45694</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45694</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45694</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45694</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45694</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45694</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45694</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45694</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45694</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45694</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45694</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45694</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45694</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45694</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45694</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45694</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45694</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45694</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45694</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45694</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45694</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45694</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45694</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45694</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45694</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45694</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45694</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45694</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45694</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45694</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45694</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45694</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45694</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45694</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45694</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45694</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45694</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45694</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45694</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45694</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45694</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45694</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45694</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45694</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45694</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45694</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45694</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45694</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45694</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45694</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45694</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45694</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45694</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45694</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45694</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45694</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45694</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45694</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45694</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45694</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45694</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45694</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45694</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45694</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45694</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45694</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45694</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45694</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45694</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45694</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45694</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45694</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45694</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45694</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45694</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45694</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45694</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45694</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45694</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45694</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45694</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45694</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45694</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45694</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45694</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45694</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45694</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45694</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45694</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45694</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45694</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45694</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45694</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45694</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45694</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45694</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45694</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45694</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45694</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45694</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45694</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45694</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45694</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45694</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45694</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45694</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45694</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45694</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45694</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45694</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45694</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45694</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45694</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45694</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45694</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45694</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45694</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45694</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45694</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45694</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45694</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45694</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45694</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45694</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45694</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45694</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45694</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45694</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45694</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45694</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45694</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45694</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45694</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45694</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45694</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45694</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45694</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45694</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45694</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45694</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45694</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45694</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45694</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45694</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45694</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45694</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45694</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45694</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45694</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45694</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45694</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45694</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45694</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45694</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45694</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45694</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45694</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45694</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45694</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45694</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45694</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45694</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45694</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45694</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45694</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45694</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45694</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45694</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45694</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45694</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45694</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45694</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45694</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45694</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45694</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45694</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45694</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45694</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45694</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45694</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45694</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45694</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45694</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45694</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45694</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45694</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45694</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45694</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45694</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45694</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45694</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45694</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45694</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45694</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45694</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45694</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45694</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45694</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45694</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45694</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45694</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45694</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45694</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45694</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45694</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45694</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45694</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45694</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45694</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45694</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45694</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45694</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45694</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45694</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45694</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45694</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45694</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45694</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45694</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45694</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45694</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45694</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45694</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45694</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45694</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45694</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45694</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45694</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45694</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45694</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45694</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45694</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45694</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45694</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45694</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45694</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45694</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45694</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45694</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45694</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45694</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45694</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45694</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45694</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45694</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45694</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45694</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45694</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45694</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45694</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45694</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45694</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45694</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45694</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45694</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45694</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45694</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45694</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45694</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45694</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45694</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45694</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45694</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45694</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45694</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45694</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45694</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45694</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45694</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45694</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45694</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45694</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45694</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45694</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45694</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45694</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45694</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45694</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45694</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45694</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45694</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45694</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45694</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45694</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45694</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45694</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45694</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45694</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45694</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45694</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45694</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45694</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45694</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45694</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45694</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45694</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45694</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45694</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45694</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45694</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45694</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45694</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45694</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45694</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45694</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45694</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45694</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45694</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45694</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45694</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45694</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45694</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45694</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45694</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45694</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45694</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45694</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45694</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45694</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45694</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45694</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45694</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45694</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45694</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45694</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45694</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45694</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45694</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45694</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45694</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45694</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45694</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45694</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45694</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45694</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45694</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45694</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45694</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45694</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45694</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45694</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45694</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45694</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45694</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45694</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45694</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45694</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45694</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45694</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45694</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45694</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45694</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45694</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45694</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45694</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45694</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45694</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45694</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45694</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45694</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45694</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45694</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45694</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45694</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45694</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45694</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45694</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45694</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45694</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45694</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45694</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45694</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45694</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45694</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45694</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45694</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45694</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45694</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45694</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45694</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45694</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45694</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45694</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45694</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45694</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45694</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45694</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45694</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45694</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45694</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45694</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45694</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45694</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45694</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45694</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45694</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45694</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45694</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45694</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45694</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45694</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45694</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45694</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45694</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45694</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45694</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45694</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45694</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45694</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45694</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45694</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45694</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45694</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45694</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45694</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45694</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45694</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45694</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45694</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45694</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45694</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45694</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45694</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45694</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45694</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45694</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45694</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45694</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45694</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45694</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45694</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45694</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45694</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45694</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45694</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45694</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45694</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45694</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45694</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45694</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45694</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45694</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45694</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45694</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45694</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45694</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45694</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45694</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45694</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45694</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45694</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45694</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45694</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45694</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45694</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45694</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45694</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45694</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45694</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45694</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45694</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45694</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45694</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45694</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45694</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45694</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45694</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45694</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45694</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45694</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45694</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45694</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45694</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45694</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45694</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45694</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45694</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45694</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45694</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45694</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45694</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45694</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45694</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45694</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45694</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45694</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45694</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45694</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45694</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45694</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45694</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45694</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45694</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45694</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45694</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45694</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45694</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45694</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45694</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45694</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45694</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45694</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45694</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45694</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45694</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45694</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45694</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45694</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45694</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45694</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45694</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45694</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45694</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45694</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45694</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45694</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45694</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45694</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45694</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45694</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45694</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45694</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45694</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45694</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45694</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45694</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45694</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45694</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45694</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45694</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45694</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45694</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45694</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45694</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45694</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45694</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45694</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45694</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45694</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45694</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45694</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45694</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45694</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45694</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45694</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45694</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45694</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45694</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45694</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45694</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45694</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45694</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45694</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45694</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45694</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45694</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45694</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45694</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45694</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45694</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45694</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45694</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45694</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45694</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45694</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45694</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45694</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45694</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45694</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45694</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45694</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45694</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45694</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45694</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45694</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45694</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45694</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45694</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45694</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45694</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45694</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45694</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45694</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45694</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45694</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45694</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45694</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45694</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45694</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45694</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45694</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45694</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45694</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45694</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45694</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45694</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45694</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45694</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45694</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45694</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45694</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45694</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45694</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45694</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45694</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45694</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45694</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45694</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45694</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45694</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45694</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45694</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45694</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45694</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45694</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45694</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45694</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45694</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45694</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45694</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45694</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45694</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45694</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45694</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45694</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45694</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45694</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45694</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45694</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45694</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45694</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45694</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45694</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45694</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45694</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45694</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45694</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45694</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45694</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45694</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45694</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45694</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45694</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45694</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45694</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45694</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45694</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45694</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45694</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45694</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45694</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45694</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45694</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45694</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45694</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45694</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45694</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45694</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45694</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45694</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45694</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45694</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45694</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45694</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45694</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45694</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45694</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45694</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45694</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45694</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45694</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45694</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45694</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45694</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45694</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45694</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45694</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45694</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45694</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45694</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45694</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45694</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45694</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45694</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45694</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45694</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45694</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45694</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45694</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45694</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45694</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45694</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45694</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45694</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45694</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45694</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45694</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45694</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45694</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45694</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45694</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45694</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45694</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45694</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45694</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45694</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45694</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45694</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45694</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45694</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45694</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45694</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45694</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45694</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45694</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45694</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45694</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45694</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45694</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45694</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45694</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45694</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45694</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45694</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45694</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45694</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45694</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45694</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45694</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45694</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45694</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45694</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45694</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45694</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45694</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45694</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45694</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45694</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45694</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45694</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45694</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45694</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45694</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45694</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45694</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45694</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45694</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45694</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45694</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45694</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45694</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45694</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45694</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45694</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45694</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45694</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45694</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45694</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45694</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45694</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45694</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45694</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45694</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45694</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45694</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45694</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45694</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45694</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45694</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45694</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45694</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45694</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45694</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45694</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45694</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45694</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641-2025</t>
        </is>
      </c>
      <c r="B3699" s="1" t="n">
        <v>45664</v>
      </c>
      <c r="C3699" s="1" t="n">
        <v>45694</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787-2025</t>
        </is>
      </c>
      <c r="B3700" s="1" t="n">
        <v>45665</v>
      </c>
      <c r="C3700" s="1" t="n">
        <v>45694</v>
      </c>
      <c r="D3700" t="inlineStr">
        <is>
          <t>VÄSTERBOTTENS LÄN</t>
        </is>
      </c>
      <c r="E3700" t="inlineStr">
        <is>
          <t>SKELLEFTEÅ</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714-2025</t>
        </is>
      </c>
      <c r="B3701" s="1" t="n">
        <v>45665</v>
      </c>
      <c r="C3701" s="1" t="n">
        <v>45694</v>
      </c>
      <c r="D3701" t="inlineStr">
        <is>
          <t>VÄSTERBOTTENS LÄN</t>
        </is>
      </c>
      <c r="E3701" t="inlineStr">
        <is>
          <t>SKELLEFTEÅ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862-2025</t>
        </is>
      </c>
      <c r="B3702" s="1" t="n">
        <v>45665</v>
      </c>
      <c r="C3702" s="1" t="n">
        <v>45694</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867-2025</t>
        </is>
      </c>
      <c r="B3703" s="1" t="n">
        <v>45665</v>
      </c>
      <c r="C3703" s="1" t="n">
        <v>45694</v>
      </c>
      <c r="D3703" t="inlineStr">
        <is>
          <t>VÄSTERBOTTENS LÄN</t>
        </is>
      </c>
      <c r="E3703" t="inlineStr">
        <is>
          <t>SKELLEFTEÅ</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908-2025</t>
        </is>
      </c>
      <c r="B3704" s="1" t="n">
        <v>45665</v>
      </c>
      <c r="C3704" s="1" t="n">
        <v>45694</v>
      </c>
      <c r="D3704" t="inlineStr">
        <is>
          <t>VÄSTERBOTTENS LÄN</t>
        </is>
      </c>
      <c r="E3704" t="inlineStr">
        <is>
          <t>SKELLEFTEÅ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1004-2025</t>
        </is>
      </c>
      <c r="B3705" s="1" t="n">
        <v>45665</v>
      </c>
      <c r="C3705" s="1" t="n">
        <v>45694</v>
      </c>
      <c r="D3705" t="inlineStr">
        <is>
          <t>VÄSTERBOTTENS LÄN</t>
        </is>
      </c>
      <c r="E3705" t="inlineStr">
        <is>
          <t>SKELLEFTEÅ</t>
        </is>
      </c>
      <c r="G3705" t="n">
        <v>12.1</v>
      </c>
      <c r="H3705" t="n">
        <v>0</v>
      </c>
      <c r="I3705" t="n">
        <v>0</v>
      </c>
      <c r="J3705" t="n">
        <v>0</v>
      </c>
      <c r="K3705" t="n">
        <v>0</v>
      </c>
      <c r="L3705" t="n">
        <v>0</v>
      </c>
      <c r="M3705" t="n">
        <v>0</v>
      </c>
      <c r="N3705" t="n">
        <v>0</v>
      </c>
      <c r="O3705" t="n">
        <v>0</v>
      </c>
      <c r="P3705" t="n">
        <v>0</v>
      </c>
      <c r="Q3705" t="n">
        <v>0</v>
      </c>
      <c r="R3705" s="2" t="inlineStr"/>
    </row>
    <row r="3706" ht="15" customHeight="1">
      <c r="A3706" t="inlineStr">
        <is>
          <t>A 1022-2025</t>
        </is>
      </c>
      <c r="B3706" s="1" t="n">
        <v>45665</v>
      </c>
      <c r="C3706" s="1" t="n">
        <v>45694</v>
      </c>
      <c r="D3706" t="inlineStr">
        <is>
          <t>VÄSTERBOTTENS LÄN</t>
        </is>
      </c>
      <c r="E3706" t="inlineStr">
        <is>
          <t>SKELLEFTEÅ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1025-2025</t>
        </is>
      </c>
      <c r="B3707" s="1" t="n">
        <v>45665</v>
      </c>
      <c r="C3707" s="1" t="n">
        <v>45694</v>
      </c>
      <c r="D3707" t="inlineStr">
        <is>
          <t>VÄSTERBOTTENS LÄN</t>
        </is>
      </c>
      <c r="E3707" t="inlineStr">
        <is>
          <t>SKELLEFTEÅ</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948-2025</t>
        </is>
      </c>
      <c r="B3708" s="1" t="n">
        <v>45666</v>
      </c>
      <c r="C3708" s="1" t="n">
        <v>45694</v>
      </c>
      <c r="D3708" t="inlineStr">
        <is>
          <t>VÄSTERBOTTENS LÄN</t>
        </is>
      </c>
      <c r="E3708" t="inlineStr">
        <is>
          <t>SKELLEFTEÅ</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964-2025</t>
        </is>
      </c>
      <c r="B3709" s="1" t="n">
        <v>45666</v>
      </c>
      <c r="C3709" s="1" t="n">
        <v>45694</v>
      </c>
      <c r="D3709" t="inlineStr">
        <is>
          <t>VÄSTERBOTTENS LÄN</t>
        </is>
      </c>
      <c r="E3709" t="inlineStr">
        <is>
          <t>SKELLEFTEÅ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1113-2025</t>
        </is>
      </c>
      <c r="B3710" s="1" t="n">
        <v>45666</v>
      </c>
      <c r="C3710" s="1" t="n">
        <v>45694</v>
      </c>
      <c r="D3710" t="inlineStr">
        <is>
          <t>VÄSTERBOTTENS LÄN</t>
        </is>
      </c>
      <c r="E3710" t="inlineStr">
        <is>
          <t>SKELLEFTEÅ</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45694</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1336-2025</t>
        </is>
      </c>
      <c r="B3712" s="1" t="n">
        <v>45666</v>
      </c>
      <c r="C3712" s="1" t="n">
        <v>45694</v>
      </c>
      <c r="D3712" t="inlineStr">
        <is>
          <t>VÄSTERBOTTENS LÄN</t>
        </is>
      </c>
      <c r="E3712" t="inlineStr">
        <is>
          <t>SKELLEFTEÅ</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951-2025</t>
        </is>
      </c>
      <c r="B3713" s="1" t="n">
        <v>45666</v>
      </c>
      <c r="C3713" s="1" t="n">
        <v>45694</v>
      </c>
      <c r="D3713" t="inlineStr">
        <is>
          <t>VÄSTERBOTTENS LÄN</t>
        </is>
      </c>
      <c r="E3713" t="inlineStr">
        <is>
          <t>SKELLEFTEÅ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1246-2025</t>
        </is>
      </c>
      <c r="B3714" s="1" t="n">
        <v>45667</v>
      </c>
      <c r="C3714" s="1" t="n">
        <v>45694</v>
      </c>
      <c r="D3714" t="inlineStr">
        <is>
          <t>VÄSTERBOTTENS LÄN</t>
        </is>
      </c>
      <c r="E3714" t="inlineStr">
        <is>
          <t>SKELLEFTEÅ</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1233-2025</t>
        </is>
      </c>
      <c r="B3715" s="1" t="n">
        <v>45667</v>
      </c>
      <c r="C3715" s="1" t="n">
        <v>45694</v>
      </c>
      <c r="D3715" t="inlineStr">
        <is>
          <t>VÄSTERBOTTENS LÄN</t>
        </is>
      </c>
      <c r="E3715" t="inlineStr">
        <is>
          <t>SKELLEFTEÅ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1249-2025</t>
        </is>
      </c>
      <c r="B3716" s="1" t="n">
        <v>45667</v>
      </c>
      <c r="C3716" s="1" t="n">
        <v>45694</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1253-2025</t>
        </is>
      </c>
      <c r="B3717" s="1" t="n">
        <v>45667</v>
      </c>
      <c r="C3717" s="1" t="n">
        <v>45694</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1244-2025</t>
        </is>
      </c>
      <c r="B3718" s="1" t="n">
        <v>45667</v>
      </c>
      <c r="C3718" s="1" t="n">
        <v>45694</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45694</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45694</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1362-2025</t>
        </is>
      </c>
      <c r="B3721" s="1" t="n">
        <v>45667</v>
      </c>
      <c r="C3721" s="1" t="n">
        <v>45694</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45694</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1404-2025</t>
        </is>
      </c>
      <c r="B3723" s="1" t="n">
        <v>45667</v>
      </c>
      <c r="C3723" s="1" t="n">
        <v>45694</v>
      </c>
      <c r="D3723" t="inlineStr">
        <is>
          <t>VÄSTERBOTTENS LÄN</t>
        </is>
      </c>
      <c r="E3723" t="inlineStr">
        <is>
          <t>SKELLEFTEÅ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1321-2025</t>
        </is>
      </c>
      <c r="B3724" s="1" t="n">
        <v>45667</v>
      </c>
      <c r="C3724" s="1" t="n">
        <v>45694</v>
      </c>
      <c r="D3724" t="inlineStr">
        <is>
          <t>VÄSTERBOTTENS LÄN</t>
        </is>
      </c>
      <c r="E3724" t="inlineStr">
        <is>
          <t>SKELLEFTEÅ</t>
        </is>
      </c>
      <c r="F3724" t="inlineStr">
        <is>
          <t>Holmen skog AB</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1367-2025</t>
        </is>
      </c>
      <c r="B3725" s="1" t="n">
        <v>45667</v>
      </c>
      <c r="C3725" s="1" t="n">
        <v>45694</v>
      </c>
      <c r="D3725" t="inlineStr">
        <is>
          <t>VÄSTERBOTTENS LÄN</t>
        </is>
      </c>
      <c r="E3725" t="inlineStr">
        <is>
          <t>SKELLEFTEÅ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45694</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1667-2025</t>
        </is>
      </c>
      <c r="B3727" s="1" t="n">
        <v>45670</v>
      </c>
      <c r="C3727" s="1" t="n">
        <v>45694</v>
      </c>
      <c r="D3727" t="inlineStr">
        <is>
          <t>VÄSTERBOTTENS LÄN</t>
        </is>
      </c>
      <c r="E3727" t="inlineStr">
        <is>
          <t>SKELLEFTEÅ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1577-2025</t>
        </is>
      </c>
      <c r="B3728" s="1" t="n">
        <v>45670</v>
      </c>
      <c r="C3728" s="1" t="n">
        <v>45694</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45694</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1936-2025</t>
        </is>
      </c>
      <c r="B3730" s="1" t="n">
        <v>45671</v>
      </c>
      <c r="C3730" s="1" t="n">
        <v>45694</v>
      </c>
      <c r="D3730" t="inlineStr">
        <is>
          <t>VÄSTERBOTTENS LÄN</t>
        </is>
      </c>
      <c r="E3730" t="inlineStr">
        <is>
          <t>SKELLEFTEÅ</t>
        </is>
      </c>
      <c r="G3730" t="n">
        <v>21.5</v>
      </c>
      <c r="H3730" t="n">
        <v>0</v>
      </c>
      <c r="I3730" t="n">
        <v>0</v>
      </c>
      <c r="J3730" t="n">
        <v>0</v>
      </c>
      <c r="K3730" t="n">
        <v>0</v>
      </c>
      <c r="L3730" t="n">
        <v>0</v>
      </c>
      <c r="M3730" t="n">
        <v>0</v>
      </c>
      <c r="N3730" t="n">
        <v>0</v>
      </c>
      <c r="O3730" t="n">
        <v>0</v>
      </c>
      <c r="P3730" t="n">
        <v>0</v>
      </c>
      <c r="Q3730" t="n">
        <v>0</v>
      </c>
      <c r="R3730" s="2" t="inlineStr"/>
    </row>
    <row r="3731" ht="15" customHeight="1">
      <c r="A3731" t="inlineStr">
        <is>
          <t>A 1987-2025</t>
        </is>
      </c>
      <c r="B3731" s="1" t="n">
        <v>45671</v>
      </c>
      <c r="C3731" s="1" t="n">
        <v>45694</v>
      </c>
      <c r="D3731" t="inlineStr">
        <is>
          <t>VÄSTERBOTTENS LÄN</t>
        </is>
      </c>
      <c r="E3731" t="inlineStr">
        <is>
          <t>SKELLEFTEÅ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1966-2025</t>
        </is>
      </c>
      <c r="B3732" s="1" t="n">
        <v>45671</v>
      </c>
      <c r="C3732" s="1" t="n">
        <v>45694</v>
      </c>
      <c r="D3732" t="inlineStr">
        <is>
          <t>VÄSTERBOTTENS LÄN</t>
        </is>
      </c>
      <c r="E3732" t="inlineStr">
        <is>
          <t>SKELLEFTEÅ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1746-2025</t>
        </is>
      </c>
      <c r="B3733" s="1" t="n">
        <v>45671</v>
      </c>
      <c r="C3733" s="1" t="n">
        <v>45694</v>
      </c>
      <c r="D3733" t="inlineStr">
        <is>
          <t>VÄSTERBOTTENS LÄN</t>
        </is>
      </c>
      <c r="E3733" t="inlineStr">
        <is>
          <t>SKELLEFTEÅ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1791-2025</t>
        </is>
      </c>
      <c r="B3734" s="1" t="n">
        <v>45671</v>
      </c>
      <c r="C3734" s="1" t="n">
        <v>45694</v>
      </c>
      <c r="D3734" t="inlineStr">
        <is>
          <t>VÄSTERBOTTENS LÄN</t>
        </is>
      </c>
      <c r="E3734" t="inlineStr">
        <is>
          <t>SKELLEFTEÅ</t>
        </is>
      </c>
      <c r="F3734" t="inlineStr">
        <is>
          <t>Holmen skog AB</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1904-2025</t>
        </is>
      </c>
      <c r="B3735" s="1" t="n">
        <v>45671</v>
      </c>
      <c r="C3735" s="1" t="n">
        <v>45694</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1955-2025</t>
        </is>
      </c>
      <c r="B3736" s="1" t="n">
        <v>45671</v>
      </c>
      <c r="C3736" s="1" t="n">
        <v>45694</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45694</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1959-2025</t>
        </is>
      </c>
      <c r="B3738" s="1" t="n">
        <v>45671</v>
      </c>
      <c r="C3738" s="1" t="n">
        <v>45694</v>
      </c>
      <c r="D3738" t="inlineStr">
        <is>
          <t>VÄSTERBOTTENS LÄN</t>
        </is>
      </c>
      <c r="E3738" t="inlineStr">
        <is>
          <t>SKELLEFTEÅ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45694</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1946-2025</t>
        </is>
      </c>
      <c r="B3740" s="1" t="n">
        <v>45672</v>
      </c>
      <c r="C3740" s="1" t="n">
        <v>45694</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45694</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2019-2025</t>
        </is>
      </c>
      <c r="B3742" s="1" t="n">
        <v>45672</v>
      </c>
      <c r="C3742" s="1" t="n">
        <v>45694</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2070-2025</t>
        </is>
      </c>
      <c r="B3743" s="1" t="n">
        <v>45672</v>
      </c>
      <c r="C3743" s="1" t="n">
        <v>45694</v>
      </c>
      <c r="D3743" t="inlineStr">
        <is>
          <t>VÄSTERBOTTENS LÄN</t>
        </is>
      </c>
      <c r="E3743" t="inlineStr">
        <is>
          <t>SKELLEFTEÅ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2087-2025</t>
        </is>
      </c>
      <c r="B3744" s="1" t="n">
        <v>45672</v>
      </c>
      <c r="C3744" s="1" t="n">
        <v>45694</v>
      </c>
      <c r="D3744" t="inlineStr">
        <is>
          <t>VÄSTERBOTTENS LÄN</t>
        </is>
      </c>
      <c r="E3744" t="inlineStr">
        <is>
          <t>SKELLEFTEÅ</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2279-2025</t>
        </is>
      </c>
      <c r="B3745" s="1" t="n">
        <v>45673</v>
      </c>
      <c r="C3745" s="1" t="n">
        <v>45694</v>
      </c>
      <c r="D3745" t="inlineStr">
        <is>
          <t>VÄSTERBOTTENS LÄN</t>
        </is>
      </c>
      <c r="E3745" t="inlineStr">
        <is>
          <t>SKELLEFTEÅ</t>
        </is>
      </c>
      <c r="F3745" t="inlineStr">
        <is>
          <t>Holmen skog AB</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45694</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2355-2025</t>
        </is>
      </c>
      <c r="B3747" s="1" t="n">
        <v>45673</v>
      </c>
      <c r="C3747" s="1" t="n">
        <v>45694</v>
      </c>
      <c r="D3747" t="inlineStr">
        <is>
          <t>VÄSTERBOTTENS LÄN</t>
        </is>
      </c>
      <c r="E3747" t="inlineStr">
        <is>
          <t>SKELLEFTEÅ</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2308-2025</t>
        </is>
      </c>
      <c r="B3748" s="1" t="n">
        <v>45673</v>
      </c>
      <c r="C3748" s="1" t="n">
        <v>45694</v>
      </c>
      <c r="D3748" t="inlineStr">
        <is>
          <t>VÄSTERBOTTENS LÄN</t>
        </is>
      </c>
      <c r="E3748" t="inlineStr">
        <is>
          <t>SKELLEFTEÅ</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2354-2025</t>
        </is>
      </c>
      <c r="B3749" s="1" t="n">
        <v>45673</v>
      </c>
      <c r="C3749" s="1" t="n">
        <v>45694</v>
      </c>
      <c r="D3749" t="inlineStr">
        <is>
          <t>VÄSTERBOTTENS LÄN</t>
        </is>
      </c>
      <c r="E3749" t="inlineStr">
        <is>
          <t>SKELLEFTEÅ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45694</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45694</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2383-2025</t>
        </is>
      </c>
      <c r="B3752" s="1" t="n">
        <v>45674</v>
      </c>
      <c r="C3752" s="1" t="n">
        <v>45694</v>
      </c>
      <c r="D3752" t="inlineStr">
        <is>
          <t>VÄSTERBOTTENS LÄN</t>
        </is>
      </c>
      <c r="E3752" t="inlineStr">
        <is>
          <t>SKELLEFTEÅ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2519-2025</t>
        </is>
      </c>
      <c r="B3753" s="1" t="n">
        <v>45674</v>
      </c>
      <c r="C3753" s="1" t="n">
        <v>45694</v>
      </c>
      <c r="D3753" t="inlineStr">
        <is>
          <t>VÄSTERBOTTENS LÄN</t>
        </is>
      </c>
      <c r="E3753" t="inlineStr">
        <is>
          <t>SKELLEFTEÅ</t>
        </is>
      </c>
      <c r="F3753" t="inlineStr">
        <is>
          <t>Kommuner</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2393-2025</t>
        </is>
      </c>
      <c r="B3754" s="1" t="n">
        <v>45674</v>
      </c>
      <c r="C3754" s="1" t="n">
        <v>45694</v>
      </c>
      <c r="D3754" t="inlineStr">
        <is>
          <t>VÄSTERBOTTENS LÄN</t>
        </is>
      </c>
      <c r="E3754" t="inlineStr">
        <is>
          <t>SKELLEFTEÅ</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2522-2025</t>
        </is>
      </c>
      <c r="B3755" s="1" t="n">
        <v>45674</v>
      </c>
      <c r="C3755" s="1" t="n">
        <v>45694</v>
      </c>
      <c r="D3755" t="inlineStr">
        <is>
          <t>VÄSTERBOTTENS LÄN</t>
        </is>
      </c>
      <c r="E3755" t="inlineStr">
        <is>
          <t>SKELLEFTEÅ</t>
        </is>
      </c>
      <c r="F3755" t="inlineStr">
        <is>
          <t>Kommuner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45694</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45694</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45694</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2966-2025</t>
        </is>
      </c>
      <c r="B3759" s="1" t="n">
        <v>45678</v>
      </c>
      <c r="C3759" s="1" t="n">
        <v>45694</v>
      </c>
      <c r="D3759" t="inlineStr">
        <is>
          <t>VÄSTERBOTTENS LÄN</t>
        </is>
      </c>
      <c r="E3759" t="inlineStr">
        <is>
          <t>SKELLEFTEÅ</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2949-2025</t>
        </is>
      </c>
      <c r="B3760" s="1" t="n">
        <v>45678</v>
      </c>
      <c r="C3760" s="1" t="n">
        <v>45694</v>
      </c>
      <c r="D3760" t="inlineStr">
        <is>
          <t>VÄSTERBOTTENS LÄN</t>
        </is>
      </c>
      <c r="E3760" t="inlineStr">
        <is>
          <t>SKELLEFTEÅ</t>
        </is>
      </c>
      <c r="F3760" t="inlineStr">
        <is>
          <t>Holmen skog AB</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2963-2025</t>
        </is>
      </c>
      <c r="B3761" s="1" t="n">
        <v>45678</v>
      </c>
      <c r="C3761" s="1" t="n">
        <v>45694</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2967-2025</t>
        </is>
      </c>
      <c r="B3762" s="1" t="n">
        <v>45678</v>
      </c>
      <c r="C3762" s="1" t="n">
        <v>45694</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45694</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45694</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45694</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45694</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3193-2025</t>
        </is>
      </c>
      <c r="B3767" s="1" t="n">
        <v>45679</v>
      </c>
      <c r="C3767" s="1" t="n">
        <v>45694</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3209-2025</t>
        </is>
      </c>
      <c r="B3768" s="1" t="n">
        <v>45679</v>
      </c>
      <c r="C3768" s="1" t="n">
        <v>45694</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3370-2025</t>
        </is>
      </c>
      <c r="B3769" s="1" t="n">
        <v>45679</v>
      </c>
      <c r="C3769" s="1" t="n">
        <v>45694</v>
      </c>
      <c r="D3769" t="inlineStr">
        <is>
          <t>VÄSTERBOTTENS LÄN</t>
        </is>
      </c>
      <c r="E3769" t="inlineStr">
        <is>
          <t>SKELLEFTEÅ</t>
        </is>
      </c>
      <c r="G3769" t="n">
        <v>15.7</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45694</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3626-2025</t>
        </is>
      </c>
      <c r="B3771" s="1" t="n">
        <v>45681</v>
      </c>
      <c r="C3771" s="1" t="n">
        <v>45694</v>
      </c>
      <c r="D3771" t="inlineStr">
        <is>
          <t>VÄSTERBOTTENS LÄN</t>
        </is>
      </c>
      <c r="E3771" t="inlineStr">
        <is>
          <t>SKELLEFTEÅ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3674-2025</t>
        </is>
      </c>
      <c r="B3772" s="1" t="n">
        <v>45681</v>
      </c>
      <c r="C3772" s="1" t="n">
        <v>45694</v>
      </c>
      <c r="D3772" t="inlineStr">
        <is>
          <t>VÄSTERBOTTENS LÄN</t>
        </is>
      </c>
      <c r="E3772" t="inlineStr">
        <is>
          <t>SKELLEFTEÅ</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3708-2025</t>
        </is>
      </c>
      <c r="B3773" s="1" t="n">
        <v>45681</v>
      </c>
      <c r="C3773" s="1" t="n">
        <v>45694</v>
      </c>
      <c r="D3773" t="inlineStr">
        <is>
          <t>VÄSTERBOTTENS LÄN</t>
        </is>
      </c>
      <c r="E3773" t="inlineStr">
        <is>
          <t>SKELLEFTEÅ</t>
        </is>
      </c>
      <c r="G3773" t="n">
        <v>14.7</v>
      </c>
      <c r="H3773" t="n">
        <v>0</v>
      </c>
      <c r="I3773" t="n">
        <v>0</v>
      </c>
      <c r="J3773" t="n">
        <v>0</v>
      </c>
      <c r="K3773" t="n">
        <v>0</v>
      </c>
      <c r="L3773" t="n">
        <v>0</v>
      </c>
      <c r="M3773" t="n">
        <v>0</v>
      </c>
      <c r="N3773" t="n">
        <v>0</v>
      </c>
      <c r="O3773" t="n">
        <v>0</v>
      </c>
      <c r="P3773" t="n">
        <v>0</v>
      </c>
      <c r="Q3773" t="n">
        <v>0</v>
      </c>
      <c r="R3773" s="2" t="inlineStr"/>
    </row>
    <row r="3774" ht="15" customHeight="1">
      <c r="A3774" t="inlineStr">
        <is>
          <t>A 3844-2025</t>
        </is>
      </c>
      <c r="B3774" s="1" t="n">
        <v>45683</v>
      </c>
      <c r="C3774" s="1" t="n">
        <v>45694</v>
      </c>
      <c r="D3774" t="inlineStr">
        <is>
          <t>VÄSTERBOTTENS LÄN</t>
        </is>
      </c>
      <c r="E3774" t="inlineStr">
        <is>
          <t>SKELLEFTEÅ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45694</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3889-2025</t>
        </is>
      </c>
      <c r="B3776" s="1" t="n">
        <v>45684</v>
      </c>
      <c r="C3776" s="1" t="n">
        <v>45694</v>
      </c>
      <c r="D3776" t="inlineStr">
        <is>
          <t>VÄSTERBOTTENS LÄN</t>
        </is>
      </c>
      <c r="E3776" t="inlineStr">
        <is>
          <t>SKELLEFTEÅ</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45694</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45694</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4184-2025</t>
        </is>
      </c>
      <c r="B3779" s="1" t="n">
        <v>45685</v>
      </c>
      <c r="C3779" s="1" t="n">
        <v>45694</v>
      </c>
      <c r="D3779" t="inlineStr">
        <is>
          <t>VÄSTERBOTTENS LÄN</t>
        </is>
      </c>
      <c r="E3779" t="inlineStr">
        <is>
          <t>SKELLEFTEÅ</t>
        </is>
      </c>
      <c r="F3779" t="inlineStr">
        <is>
          <t>Holmen skog AB</t>
        </is>
      </c>
      <c r="G3779" t="n">
        <v>15.3</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45694</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4403-2025</t>
        </is>
      </c>
      <c r="B3781" s="1" t="n">
        <v>45686</v>
      </c>
      <c r="C3781" s="1" t="n">
        <v>45694</v>
      </c>
      <c r="D3781" t="inlineStr">
        <is>
          <t>VÄSTERBOTTENS LÄN</t>
        </is>
      </c>
      <c r="E3781" t="inlineStr">
        <is>
          <t>SKELLEFTEÅ</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4510-2025</t>
        </is>
      </c>
      <c r="B3782" s="1" t="n">
        <v>45686</v>
      </c>
      <c r="C3782" s="1" t="n">
        <v>45694</v>
      </c>
      <c r="D3782" t="inlineStr">
        <is>
          <t>VÄSTERBOTTENS LÄN</t>
        </is>
      </c>
      <c r="E3782" t="inlineStr">
        <is>
          <t>SKELLEFTEÅ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4508-2025</t>
        </is>
      </c>
      <c r="B3783" s="1" t="n">
        <v>45686</v>
      </c>
      <c r="C3783" s="1" t="n">
        <v>45694</v>
      </c>
      <c r="D3783" t="inlineStr">
        <is>
          <t>VÄSTERBOTTENS LÄN</t>
        </is>
      </c>
      <c r="E3783" t="inlineStr">
        <is>
          <t>SKELLEFTEÅ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4509-2025</t>
        </is>
      </c>
      <c r="B3784" s="1" t="n">
        <v>45686</v>
      </c>
      <c r="C3784" s="1" t="n">
        <v>45694</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4387-2025</t>
        </is>
      </c>
      <c r="B3785" s="1" t="n">
        <v>45686</v>
      </c>
      <c r="C3785" s="1" t="n">
        <v>45694</v>
      </c>
      <c r="D3785" t="inlineStr">
        <is>
          <t>VÄSTERBOTTENS LÄN</t>
        </is>
      </c>
      <c r="E3785" t="inlineStr">
        <is>
          <t>SKELLEFTEÅ</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4507-2025</t>
        </is>
      </c>
      <c r="B3786" s="1" t="n">
        <v>45686</v>
      </c>
      <c r="C3786" s="1" t="n">
        <v>45694</v>
      </c>
      <c r="D3786" t="inlineStr">
        <is>
          <t>VÄSTERBOTTENS LÄN</t>
        </is>
      </c>
      <c r="E3786" t="inlineStr">
        <is>
          <t>SKELLEFTEÅ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4604-2025</t>
        </is>
      </c>
      <c r="B3787" s="1" t="n">
        <v>45687</v>
      </c>
      <c r="C3787" s="1" t="n">
        <v>45694</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4620-2025</t>
        </is>
      </c>
      <c r="B3788" s="1" t="n">
        <v>45687</v>
      </c>
      <c r="C3788" s="1" t="n">
        <v>45694</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4645-2025</t>
        </is>
      </c>
      <c r="B3789" s="1" t="n">
        <v>45687</v>
      </c>
      <c r="C3789" s="1" t="n">
        <v>45694</v>
      </c>
      <c r="D3789" t="inlineStr">
        <is>
          <t>VÄSTERBOTTENS LÄN</t>
        </is>
      </c>
      <c r="E3789" t="inlineStr">
        <is>
          <t>SKELLEFTEÅ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4638-2025</t>
        </is>
      </c>
      <c r="B3790" s="1" t="n">
        <v>45687</v>
      </c>
      <c r="C3790" s="1" t="n">
        <v>45694</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4626-2025</t>
        </is>
      </c>
      <c r="B3791" s="1" t="n">
        <v>45687</v>
      </c>
      <c r="C3791" s="1" t="n">
        <v>45694</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4700-2025</t>
        </is>
      </c>
      <c r="B3792" s="1" t="n">
        <v>45688</v>
      </c>
      <c r="C3792" s="1" t="n">
        <v>45694</v>
      </c>
      <c r="D3792" t="inlineStr">
        <is>
          <t>VÄSTERBOTTENS LÄN</t>
        </is>
      </c>
      <c r="E3792" t="inlineStr">
        <is>
          <t>SKELLEFTEÅ</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45694</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4923-2025</t>
        </is>
      </c>
      <c r="B3794" s="1" t="n">
        <v>45688</v>
      </c>
      <c r="C3794" s="1" t="n">
        <v>45694</v>
      </c>
      <c r="D3794" t="inlineStr">
        <is>
          <t>VÄSTERBOTTENS LÄN</t>
        </is>
      </c>
      <c r="E3794" t="inlineStr">
        <is>
          <t>SKELLEFTEÅ</t>
        </is>
      </c>
      <c r="G3794" t="n">
        <v>12.1</v>
      </c>
      <c r="H3794" t="n">
        <v>0</v>
      </c>
      <c r="I3794" t="n">
        <v>0</v>
      </c>
      <c r="J3794" t="n">
        <v>0</v>
      </c>
      <c r="K3794" t="n">
        <v>0</v>
      </c>
      <c r="L3794" t="n">
        <v>0</v>
      </c>
      <c r="M3794" t="n">
        <v>0</v>
      </c>
      <c r="N3794" t="n">
        <v>0</v>
      </c>
      <c r="O3794" t="n">
        <v>0</v>
      </c>
      <c r="P3794" t="n">
        <v>0</v>
      </c>
      <c r="Q3794" t="n">
        <v>0</v>
      </c>
      <c r="R3794" s="2" t="inlineStr"/>
    </row>
    <row r="3795" ht="15" customHeight="1">
      <c r="A3795" t="inlineStr">
        <is>
          <t>A 4956-2025</t>
        </is>
      </c>
      <c r="B3795" s="1" t="n">
        <v>45689</v>
      </c>
      <c r="C3795" s="1" t="n">
        <v>45694</v>
      </c>
      <c r="D3795" t="inlineStr">
        <is>
          <t>VÄSTERBOTTENS LÄN</t>
        </is>
      </c>
      <c r="E3795" t="inlineStr">
        <is>
          <t>SKELLEFTEÅ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4959-2025</t>
        </is>
      </c>
      <c r="B3796" s="1" t="n">
        <v>45689</v>
      </c>
      <c r="C3796" s="1" t="n">
        <v>45694</v>
      </c>
      <c r="D3796" t="inlineStr">
        <is>
          <t>VÄSTERBOTTENS LÄN</t>
        </is>
      </c>
      <c r="E3796" t="inlineStr">
        <is>
          <t>SKELLEFTEÅ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4958-2025</t>
        </is>
      </c>
      <c r="B3797" s="1" t="n">
        <v>45689</v>
      </c>
      <c r="C3797" s="1" t="n">
        <v>45694</v>
      </c>
      <c r="D3797" t="inlineStr">
        <is>
          <t>VÄSTERBOTTENS LÄN</t>
        </is>
      </c>
      <c r="E3797" t="inlineStr">
        <is>
          <t>SKELLEFTEÅ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4972-2025</t>
        </is>
      </c>
      <c r="B3798" s="1" t="n">
        <v>45690</v>
      </c>
      <c r="C3798" s="1" t="n">
        <v>45694</v>
      </c>
      <c r="D3798" t="inlineStr">
        <is>
          <t>VÄSTERBOTTENS LÄN</t>
        </is>
      </c>
      <c r="E3798" t="inlineStr">
        <is>
          <t>SKELLEFTEÅ</t>
        </is>
      </c>
      <c r="F3798" t="inlineStr">
        <is>
          <t>Sveaskog</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5116-2025</t>
        </is>
      </c>
      <c r="B3799" s="1" t="n">
        <v>45691</v>
      </c>
      <c r="C3799" s="1" t="n">
        <v>45694</v>
      </c>
      <c r="D3799" t="inlineStr">
        <is>
          <t>VÄSTERBOTTENS LÄN</t>
        </is>
      </c>
      <c r="E3799" t="inlineStr">
        <is>
          <t>SKELLEFTEÅ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45694</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45694</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45694</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45694</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5374-2025</t>
        </is>
      </c>
      <c r="B3804" s="1" t="n">
        <v>45692</v>
      </c>
      <c r="C3804" s="1" t="n">
        <v>45694</v>
      </c>
      <c r="D3804" t="inlineStr">
        <is>
          <t>VÄSTERBOTTENS LÄN</t>
        </is>
      </c>
      <c r="E3804" t="inlineStr">
        <is>
          <t>SKELLEFTEÅ</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45694</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5475-2025</t>
        </is>
      </c>
      <c r="B3806" s="1" t="n">
        <v>45693</v>
      </c>
      <c r="C3806" s="1" t="n">
        <v>45694</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c r="A3807" t="inlineStr">
        <is>
          <t>A 5563-2025</t>
        </is>
      </c>
      <c r="B3807" s="1" t="n">
        <v>45693</v>
      </c>
      <c r="C3807" s="1" t="n">
        <v>45694</v>
      </c>
      <c r="D3807" t="inlineStr">
        <is>
          <t>VÄSTERBOTTENS LÄN</t>
        </is>
      </c>
      <c r="E3807" t="inlineStr">
        <is>
          <t>SKELLEFTEÅ</t>
        </is>
      </c>
      <c r="G3807" t="n">
        <v>2.7</v>
      </c>
      <c r="H3807" t="n">
        <v>0</v>
      </c>
      <c r="I3807" t="n">
        <v>0</v>
      </c>
      <c r="J3807" t="n">
        <v>0</v>
      </c>
      <c r="K3807" t="n">
        <v>0</v>
      </c>
      <c r="L3807" t="n">
        <v>0</v>
      </c>
      <c r="M3807" t="n">
        <v>0</v>
      </c>
      <c r="N3807" t="n">
        <v>0</v>
      </c>
      <c r="O3807" t="n">
        <v>0</v>
      </c>
      <c r="P3807" t="n">
        <v>0</v>
      </c>
      <c r="Q3807" t="n">
        <v>0</v>
      </c>
      <c r="R3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2025-02-06T16:44:14Z</dcterms:created>
  <dcterms:modified xmlns:dcterms="http://purl.org/dc/terms/" xmlns:xsi="http://www.w3.org/2001/XMLSchema-instance" xsi:type="dcterms:W3CDTF">2025-02-06T16:44:24Z</dcterms:modified>
</cp:coreProperties>
</file>