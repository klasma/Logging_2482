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45964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45964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45964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45964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45964</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45964</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45964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45964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45964</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45964</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45964</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45964</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45964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45964</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45964</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45964</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45964</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12019-2023</t>
        </is>
      </c>
      <c r="B19" s="1" t="n">
        <v>44995.64879629629</v>
      </c>
      <c r="C19" s="1" t="n">
        <v>45964</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32934-2025</t>
        </is>
      </c>
      <c r="B20" s="1" t="n">
        <v>45839.67444444444</v>
      </c>
      <c r="C20" s="1" t="n">
        <v>45964</v>
      </c>
      <c r="D20" t="inlineStr">
        <is>
          <t>VÄSTERBOTTENS LÄN</t>
        </is>
      </c>
      <c r="E20" t="inlineStr">
        <is>
          <t>SKELLEFTEÅ</t>
        </is>
      </c>
      <c r="F20" t="inlineStr">
        <is>
          <t>Holmen skog AB</t>
        </is>
      </c>
      <c r="G20" t="n">
        <v>17.3</v>
      </c>
      <c r="H20" t="n">
        <v>4</v>
      </c>
      <c r="I20" t="n">
        <v>2</v>
      </c>
      <c r="J20" t="n">
        <v>5</v>
      </c>
      <c r="K20" t="n">
        <v>2</v>
      </c>
      <c r="L20" t="n">
        <v>0</v>
      </c>
      <c r="M20" t="n">
        <v>0</v>
      </c>
      <c r="N20" t="n">
        <v>0</v>
      </c>
      <c r="O20" t="n">
        <v>7</v>
      </c>
      <c r="P20" t="n">
        <v>2</v>
      </c>
      <c r="Q20" t="n">
        <v>10</v>
      </c>
      <c r="R20" s="2" t="inlineStr">
        <is>
          <t>Gräddporing
Smalfotad taggsvamp
Blå taggsvamp
Spillkråka
Stjärntagging
Talltita
Vaxspindling
Dropptaggsvamp
Plattlummer
Tjäder</t>
        </is>
      </c>
      <c r="S20">
        <f>HYPERLINK("https://klasma.github.io/Logging_2482/artfynd/A 32934-2025 artfynd.xlsx", "A 32934-2025")</f>
        <v/>
      </c>
      <c r="T20">
        <f>HYPERLINK("https://klasma.github.io/Logging_2482/kartor/A 32934-2025 karta.png", "A 32934-2025")</f>
        <v/>
      </c>
      <c r="V20">
        <f>HYPERLINK("https://klasma.github.io/Logging_2482/klagomål/A 32934-2025 FSC-klagomål.docx", "A 32934-2025")</f>
        <v/>
      </c>
      <c r="W20">
        <f>HYPERLINK("https://klasma.github.io/Logging_2482/klagomålsmail/A 32934-2025 FSC-klagomål mail.docx", "A 32934-2025")</f>
        <v/>
      </c>
      <c r="X20">
        <f>HYPERLINK("https://klasma.github.io/Logging_2482/tillsyn/A 32934-2025 tillsynsbegäran.docx", "A 32934-2025")</f>
        <v/>
      </c>
      <c r="Y20">
        <f>HYPERLINK("https://klasma.github.io/Logging_2482/tillsynsmail/A 32934-2025 tillsynsbegäran mail.docx", "A 32934-2025")</f>
        <v/>
      </c>
      <c r="Z20">
        <f>HYPERLINK("https://klasma.github.io/Logging_2482/fåglar/A 32934-2025 prioriterade fågelarter.docx", "A 32934-2025")</f>
        <v/>
      </c>
    </row>
    <row r="21" ht="15" customHeight="1">
      <c r="A21" t="inlineStr">
        <is>
          <t>A 50032-2024</t>
        </is>
      </c>
      <c r="B21" s="1" t="n">
        <v>45599</v>
      </c>
      <c r="C21" s="1" t="n">
        <v>45964</v>
      </c>
      <c r="D21" t="inlineStr">
        <is>
          <t>VÄSTERBOTTENS LÄN</t>
        </is>
      </c>
      <c r="E21" t="inlineStr">
        <is>
          <t>SKELLEFTEÅ</t>
        </is>
      </c>
      <c r="F21" t="inlineStr">
        <is>
          <t>Sveaskog</t>
        </is>
      </c>
      <c r="G21" t="n">
        <v>22.7</v>
      </c>
      <c r="H21" t="n">
        <v>3</v>
      </c>
      <c r="I21" t="n">
        <v>2</v>
      </c>
      <c r="J21" t="n">
        <v>7</v>
      </c>
      <c r="K21" t="n">
        <v>0</v>
      </c>
      <c r="L21" t="n">
        <v>1</v>
      </c>
      <c r="M21" t="n">
        <v>0</v>
      </c>
      <c r="N21" t="n">
        <v>0</v>
      </c>
      <c r="O21" t="n">
        <v>8</v>
      </c>
      <c r="P21" t="n">
        <v>1</v>
      </c>
      <c r="Q21" t="n">
        <v>10</v>
      </c>
      <c r="R21" s="2" t="inlineStr">
        <is>
          <t>Urskogsporing
Gammelgransskål
Granticka
Kolflarnlav
Mörk kolflarnlav
Spillkråka
Talltita
Tretåig hackspett
Dropptaggsvamp
Skinnlav</t>
        </is>
      </c>
      <c r="S21">
        <f>HYPERLINK("https://klasma.github.io/Logging_2482/artfynd/A 50032-2024 artfynd.xlsx", "A 50032-2024")</f>
        <v/>
      </c>
      <c r="T21">
        <f>HYPERLINK("https://klasma.github.io/Logging_2482/kartor/A 50032-2024 karta.png", "A 50032-2024")</f>
        <v/>
      </c>
      <c r="V21">
        <f>HYPERLINK("https://klasma.github.io/Logging_2482/klagomål/A 50032-2024 FSC-klagomål.docx", "A 50032-2024")</f>
        <v/>
      </c>
      <c r="W21">
        <f>HYPERLINK("https://klasma.github.io/Logging_2482/klagomålsmail/A 50032-2024 FSC-klagomål mail.docx", "A 50032-2024")</f>
        <v/>
      </c>
      <c r="X21">
        <f>HYPERLINK("https://klasma.github.io/Logging_2482/tillsyn/A 50032-2024 tillsynsbegäran.docx", "A 50032-2024")</f>
        <v/>
      </c>
      <c r="Y21">
        <f>HYPERLINK("https://klasma.github.io/Logging_2482/tillsynsmail/A 50032-2024 tillsynsbegäran mail.docx", "A 50032-2024")</f>
        <v/>
      </c>
      <c r="Z21">
        <f>HYPERLINK("https://klasma.github.io/Logging_2482/fåglar/A 50032-2024 prioriterade fågelarter.docx", "A 50032-2024")</f>
        <v/>
      </c>
    </row>
    <row r="22" ht="15" customHeight="1">
      <c r="A22" t="inlineStr">
        <is>
          <t>A 62308-2022</t>
        </is>
      </c>
      <c r="B22" s="1" t="n">
        <v>44923.47131944444</v>
      </c>
      <c r="C22" s="1" t="n">
        <v>45964</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28986-2025</t>
        </is>
      </c>
      <c r="B23" s="1" t="n">
        <v>45821.36898148148</v>
      </c>
      <c r="C23" s="1" t="n">
        <v>45964</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9093-2025</t>
        </is>
      </c>
      <c r="B24" s="1" t="n">
        <v>45713</v>
      </c>
      <c r="C24" s="1" t="n">
        <v>45964</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16152-2021</t>
        </is>
      </c>
      <c r="B25" s="1" t="n">
        <v>44287</v>
      </c>
      <c r="C25" s="1" t="n">
        <v>45964</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45964</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39213-2021</t>
        </is>
      </c>
      <c r="B27" s="1" t="n">
        <v>44413</v>
      </c>
      <c r="C27" s="1" t="n">
        <v>45964</v>
      </c>
      <c r="D27" t="inlineStr">
        <is>
          <t>VÄSTERBOTTENS LÄN</t>
        </is>
      </c>
      <c r="E27" t="inlineStr">
        <is>
          <t>SKELLEFTEÅ</t>
        </is>
      </c>
      <c r="G27" t="n">
        <v>25</v>
      </c>
      <c r="H27" t="n">
        <v>1</v>
      </c>
      <c r="I27" t="n">
        <v>1</v>
      </c>
      <c r="J27" t="n">
        <v>8</v>
      </c>
      <c r="K27" t="n">
        <v>0</v>
      </c>
      <c r="L27" t="n">
        <v>0</v>
      </c>
      <c r="M27" t="n">
        <v>0</v>
      </c>
      <c r="N27" t="n">
        <v>0</v>
      </c>
      <c r="O27" t="n">
        <v>8</v>
      </c>
      <c r="P27" t="n">
        <v>0</v>
      </c>
      <c r="Q27" t="n">
        <v>9</v>
      </c>
      <c r="R27" s="2" t="inlineStr">
        <is>
          <t>Gammelgransskål
Garnlav
Granticka
Stjärntagging
Tallticka
Tretåig hackspett
Ullticka
Violettgrå tagellav
Vedticka</t>
        </is>
      </c>
      <c r="S27">
        <f>HYPERLINK("https://klasma.github.io/Logging_2482/artfynd/A 39213-2021 artfynd.xlsx", "A 39213-2021")</f>
        <v/>
      </c>
      <c r="T27">
        <f>HYPERLINK("https://klasma.github.io/Logging_2482/kartor/A 39213-2021 karta.png", "A 39213-2021")</f>
        <v/>
      </c>
      <c r="V27">
        <f>HYPERLINK("https://klasma.github.io/Logging_2482/klagomål/A 39213-2021 FSC-klagomål.docx", "A 39213-2021")</f>
        <v/>
      </c>
      <c r="W27">
        <f>HYPERLINK("https://klasma.github.io/Logging_2482/klagomålsmail/A 39213-2021 FSC-klagomål mail.docx", "A 39213-2021")</f>
        <v/>
      </c>
      <c r="X27">
        <f>HYPERLINK("https://klasma.github.io/Logging_2482/tillsyn/A 39213-2021 tillsynsbegäran.docx", "A 39213-2021")</f>
        <v/>
      </c>
      <c r="Y27">
        <f>HYPERLINK("https://klasma.github.io/Logging_2482/tillsynsmail/A 39213-2021 tillsynsbegäran mail.docx", "A 39213-2021")</f>
        <v/>
      </c>
      <c r="Z27">
        <f>HYPERLINK("https://klasma.github.io/Logging_2482/fåglar/A 39213-2021 prioriterade fågelarter.docx", "A 39213-2021")</f>
        <v/>
      </c>
    </row>
    <row r="28" ht="15" customHeight="1">
      <c r="A28" t="inlineStr">
        <is>
          <t>A 1602-2023</t>
        </is>
      </c>
      <c r="B28" s="1" t="n">
        <v>44935</v>
      </c>
      <c r="C28" s="1" t="n">
        <v>45964</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45964</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46526-2025</t>
        </is>
      </c>
      <c r="B30" s="1" t="n">
        <v>45926.33142361111</v>
      </c>
      <c r="C30" s="1" t="n">
        <v>45964</v>
      </c>
      <c r="D30" t="inlineStr">
        <is>
          <t>VÄSTERBOTTENS LÄN</t>
        </is>
      </c>
      <c r="E30" t="inlineStr">
        <is>
          <t>SKELLEFTEÅ</t>
        </is>
      </c>
      <c r="F30" t="inlineStr">
        <is>
          <t>Holmen skog AB</t>
        </is>
      </c>
      <c r="G30" t="n">
        <v>21.8</v>
      </c>
      <c r="H30" t="n">
        <v>4</v>
      </c>
      <c r="I30" t="n">
        <v>1</v>
      </c>
      <c r="J30" t="n">
        <v>7</v>
      </c>
      <c r="K30" t="n">
        <v>1</v>
      </c>
      <c r="L30" t="n">
        <v>0</v>
      </c>
      <c r="M30" t="n">
        <v>0</v>
      </c>
      <c r="N30" t="n">
        <v>0</v>
      </c>
      <c r="O30" t="n">
        <v>8</v>
      </c>
      <c r="P30" t="n">
        <v>1</v>
      </c>
      <c r="Q30" t="n">
        <v>9</v>
      </c>
      <c r="R30" s="2" t="inlineStr">
        <is>
          <t>Knärot
Garnlav
Granticka
Kilporing
Spillkråka
Talltita
Tretåig hackspett
Ullticka
Vedticka</t>
        </is>
      </c>
      <c r="S30">
        <f>HYPERLINK("https://klasma.github.io/Logging_2482/artfynd/A 46526-2025 artfynd.xlsx", "A 46526-2025")</f>
        <v/>
      </c>
      <c r="T30">
        <f>HYPERLINK("https://klasma.github.io/Logging_2482/kartor/A 46526-2025 karta.png", "A 46526-2025")</f>
        <v/>
      </c>
      <c r="U30">
        <f>HYPERLINK("https://klasma.github.io/Logging_2482/knärot/A 46526-2025 karta knärot.png", "A 46526-2025")</f>
        <v/>
      </c>
      <c r="V30">
        <f>HYPERLINK("https://klasma.github.io/Logging_2482/klagomål/A 46526-2025 FSC-klagomål.docx", "A 46526-2025")</f>
        <v/>
      </c>
      <c r="W30">
        <f>HYPERLINK("https://klasma.github.io/Logging_2482/klagomålsmail/A 46526-2025 FSC-klagomål mail.docx", "A 46526-2025")</f>
        <v/>
      </c>
      <c r="X30">
        <f>HYPERLINK("https://klasma.github.io/Logging_2482/tillsyn/A 46526-2025 tillsynsbegäran.docx", "A 46526-2025")</f>
        <v/>
      </c>
      <c r="Y30">
        <f>HYPERLINK("https://klasma.github.io/Logging_2482/tillsynsmail/A 46526-2025 tillsynsbegäran mail.docx", "A 46526-2025")</f>
        <v/>
      </c>
      <c r="Z30">
        <f>HYPERLINK("https://klasma.github.io/Logging_2482/fåglar/A 46526-2025 prioriterade fågelarter.docx", "A 46526-2025")</f>
        <v/>
      </c>
    </row>
    <row r="31" ht="15" customHeight="1">
      <c r="A31" t="inlineStr">
        <is>
          <t>A 46103-2025</t>
        </is>
      </c>
      <c r="B31" s="1" t="n">
        <v>45924.55184027777</v>
      </c>
      <c r="C31" s="1" t="n">
        <v>45964</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26112-2025</t>
        </is>
      </c>
      <c r="B32" s="1" t="n">
        <v>45805.36883101852</v>
      </c>
      <c r="C32" s="1" t="n">
        <v>45964</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45964</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48272-2024</t>
        </is>
      </c>
      <c r="B34" s="1" t="n">
        <v>45590</v>
      </c>
      <c r="C34" s="1" t="n">
        <v>45964</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49216-2025</t>
        </is>
      </c>
      <c r="B35" s="1" t="n">
        <v>45938.44971064815</v>
      </c>
      <c r="C35" s="1" t="n">
        <v>45964</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45964</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45964</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45964</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45964</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45964</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902-2023</t>
        </is>
      </c>
      <c r="B41" s="1" t="n">
        <v>44931.92561342593</v>
      </c>
      <c r="C41" s="1" t="n">
        <v>45964</v>
      </c>
      <c r="D41" t="inlineStr">
        <is>
          <t>VÄSTERBOTTENS LÄN</t>
        </is>
      </c>
      <c r="E41" t="inlineStr">
        <is>
          <t>SKELLEFTEÅ</t>
        </is>
      </c>
      <c r="G41" t="n">
        <v>7.4</v>
      </c>
      <c r="H41" t="n">
        <v>2</v>
      </c>
      <c r="I41" t="n">
        <v>1</v>
      </c>
      <c r="J41" t="n">
        <v>3</v>
      </c>
      <c r="K41" t="n">
        <v>0</v>
      </c>
      <c r="L41" t="n">
        <v>0</v>
      </c>
      <c r="M41" t="n">
        <v>0</v>
      </c>
      <c r="N41" t="n">
        <v>0</v>
      </c>
      <c r="O41" t="n">
        <v>3</v>
      </c>
      <c r="P41" t="n">
        <v>0</v>
      </c>
      <c r="Q41" t="n">
        <v>6</v>
      </c>
      <c r="R41" s="2" t="inlineStr">
        <is>
          <t>Garnlav
Granticka
Lunglav
Luddlav
Orre
Tjäder</t>
        </is>
      </c>
      <c r="S41">
        <f>HYPERLINK("https://klasma.github.io/Logging_2482/artfynd/A 902-2023 artfynd.xlsx", "A 902-2023")</f>
        <v/>
      </c>
      <c r="T41">
        <f>HYPERLINK("https://klasma.github.io/Logging_2482/kartor/A 902-2023 karta.png", "A 902-2023")</f>
        <v/>
      </c>
      <c r="V41">
        <f>HYPERLINK("https://klasma.github.io/Logging_2482/klagomål/A 902-2023 FSC-klagomål.docx", "A 902-2023")</f>
        <v/>
      </c>
      <c r="W41">
        <f>HYPERLINK("https://klasma.github.io/Logging_2482/klagomålsmail/A 902-2023 FSC-klagomål mail.docx", "A 902-2023")</f>
        <v/>
      </c>
      <c r="X41">
        <f>HYPERLINK("https://klasma.github.io/Logging_2482/tillsyn/A 902-2023 tillsynsbegäran.docx", "A 902-2023")</f>
        <v/>
      </c>
      <c r="Y41">
        <f>HYPERLINK("https://klasma.github.io/Logging_2482/tillsynsmail/A 902-2023 tillsynsbegäran mail.docx", "A 902-2023")</f>
        <v/>
      </c>
      <c r="Z41">
        <f>HYPERLINK("https://klasma.github.io/Logging_2482/fåglar/A 902-2023 prioriterade fågelarter.docx", "A 902-2023")</f>
        <v/>
      </c>
    </row>
    <row r="42" ht="15" customHeight="1">
      <c r="A42" t="inlineStr">
        <is>
          <t>A 62316-2023</t>
        </is>
      </c>
      <c r="B42" s="1" t="n">
        <v>45267.73364583333</v>
      </c>
      <c r="C42" s="1" t="n">
        <v>45964</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60590-2022</t>
        </is>
      </c>
      <c r="B43" s="1" t="n">
        <v>44911.5894212963</v>
      </c>
      <c r="C43" s="1" t="n">
        <v>45964</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2801-2024</t>
        </is>
      </c>
      <c r="B44" s="1" t="n">
        <v>45314</v>
      </c>
      <c r="C44" s="1" t="n">
        <v>45964</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51686-2025</t>
        </is>
      </c>
      <c r="B45" s="1" t="n">
        <v>45951.52231481481</v>
      </c>
      <c r="C45" s="1" t="n">
        <v>45964</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45964</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51811-2022</t>
        </is>
      </c>
      <c r="B47" s="1" t="n">
        <v>44867</v>
      </c>
      <c r="C47" s="1" t="n">
        <v>45964</v>
      </c>
      <c r="D47" t="inlineStr">
        <is>
          <t>VÄSTERBOTTENS LÄN</t>
        </is>
      </c>
      <c r="E47" t="inlineStr">
        <is>
          <t>SKELLEFTEÅ</t>
        </is>
      </c>
      <c r="G47" t="n">
        <v>3.8</v>
      </c>
      <c r="H47" t="n">
        <v>2</v>
      </c>
      <c r="I47" t="n">
        <v>1</v>
      </c>
      <c r="J47" t="n">
        <v>4</v>
      </c>
      <c r="K47" t="n">
        <v>0</v>
      </c>
      <c r="L47" t="n">
        <v>0</v>
      </c>
      <c r="M47" t="n">
        <v>0</v>
      </c>
      <c r="N47" t="n">
        <v>0</v>
      </c>
      <c r="O47" t="n">
        <v>4</v>
      </c>
      <c r="P47" t="n">
        <v>0</v>
      </c>
      <c r="Q47" t="n">
        <v>5</v>
      </c>
      <c r="R47" s="2" t="inlineStr">
        <is>
          <t>Garnlav
Harticka
Spillkråka
Tretåig hackspett
Bronshjon</t>
        </is>
      </c>
      <c r="S47">
        <f>HYPERLINK("https://klasma.github.io/Logging_2482/artfynd/A 51811-2022 artfynd.xlsx", "A 51811-2022")</f>
        <v/>
      </c>
      <c r="T47">
        <f>HYPERLINK("https://klasma.github.io/Logging_2482/kartor/A 51811-2022 karta.png", "A 51811-2022")</f>
        <v/>
      </c>
      <c r="V47">
        <f>HYPERLINK("https://klasma.github.io/Logging_2482/klagomål/A 51811-2022 FSC-klagomål.docx", "A 51811-2022")</f>
        <v/>
      </c>
      <c r="W47">
        <f>HYPERLINK("https://klasma.github.io/Logging_2482/klagomålsmail/A 51811-2022 FSC-klagomål mail.docx", "A 51811-2022")</f>
        <v/>
      </c>
      <c r="X47">
        <f>HYPERLINK("https://klasma.github.io/Logging_2482/tillsyn/A 51811-2022 tillsynsbegäran.docx", "A 51811-2022")</f>
        <v/>
      </c>
      <c r="Y47">
        <f>HYPERLINK("https://klasma.github.io/Logging_2482/tillsynsmail/A 51811-2022 tillsynsbegäran mail.docx", "A 51811-2022")</f>
        <v/>
      </c>
      <c r="Z47">
        <f>HYPERLINK("https://klasma.github.io/Logging_2482/fåglar/A 51811-2022 prioriterade fågelarter.docx", "A 51811-2022")</f>
        <v/>
      </c>
    </row>
    <row r="48" ht="15" customHeight="1">
      <c r="A48" t="inlineStr">
        <is>
          <t>A 11867-2022</t>
        </is>
      </c>
      <c r="B48" s="1" t="n">
        <v>44635</v>
      </c>
      <c r="C48" s="1" t="n">
        <v>45964</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45964</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26589-2025</t>
        </is>
      </c>
      <c r="B50" s="1" t="n">
        <v>45807.83921296296</v>
      </c>
      <c r="C50" s="1" t="n">
        <v>45964</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33941-2024</t>
        </is>
      </c>
      <c r="B51" s="1" t="n">
        <v>45523.44668981482</v>
      </c>
      <c r="C51" s="1" t="n">
        <v>45964</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29693-2025</t>
        </is>
      </c>
      <c r="B52" s="1" t="n">
        <v>45825.54184027778</v>
      </c>
      <c r="C52" s="1" t="n">
        <v>45964</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45964</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45964</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45210-2025</t>
        </is>
      </c>
      <c r="B55" s="1" t="n">
        <v>45919.56964120371</v>
      </c>
      <c r="C55" s="1" t="n">
        <v>45964</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53928-2025</t>
        </is>
      </c>
      <c r="B56" s="1" t="n">
        <v>45961.4696412037</v>
      </c>
      <c r="C56" s="1" t="n">
        <v>45964</v>
      </c>
      <c r="D56" t="inlineStr">
        <is>
          <t>VÄSTERBOTTENS LÄN</t>
        </is>
      </c>
      <c r="E56" t="inlineStr">
        <is>
          <t>SKELLEFTEÅ</t>
        </is>
      </c>
      <c r="F56" t="inlineStr">
        <is>
          <t>Övriga Aktiebolag</t>
        </is>
      </c>
      <c r="G56" t="n">
        <v>61.3</v>
      </c>
      <c r="H56" t="n">
        <v>2</v>
      </c>
      <c r="I56" t="n">
        <v>0</v>
      </c>
      <c r="J56" t="n">
        <v>4</v>
      </c>
      <c r="K56" t="n">
        <v>0</v>
      </c>
      <c r="L56" t="n">
        <v>0</v>
      </c>
      <c r="M56" t="n">
        <v>0</v>
      </c>
      <c r="N56" t="n">
        <v>0</v>
      </c>
      <c r="O56" t="n">
        <v>4</v>
      </c>
      <c r="P56" t="n">
        <v>0</v>
      </c>
      <c r="Q56" t="n">
        <v>5</v>
      </c>
      <c r="R56" s="2" t="inlineStr">
        <is>
          <t>Garnlav
Granticka
Stjärntagging
Tretåig hackspett
Revlummer</t>
        </is>
      </c>
      <c r="S56">
        <f>HYPERLINK("https://klasma.github.io/Logging_2482/artfynd/A 53928-2025 artfynd.xlsx", "A 53928-2025")</f>
        <v/>
      </c>
      <c r="T56">
        <f>HYPERLINK("https://klasma.github.io/Logging_2482/kartor/A 53928-2025 karta.png", "A 53928-2025")</f>
        <v/>
      </c>
      <c r="V56">
        <f>HYPERLINK("https://klasma.github.io/Logging_2482/klagomål/A 53928-2025 FSC-klagomål.docx", "A 53928-2025")</f>
        <v/>
      </c>
      <c r="W56">
        <f>HYPERLINK("https://klasma.github.io/Logging_2482/klagomålsmail/A 53928-2025 FSC-klagomål mail.docx", "A 53928-2025")</f>
        <v/>
      </c>
      <c r="X56">
        <f>HYPERLINK("https://klasma.github.io/Logging_2482/tillsyn/A 53928-2025 tillsynsbegäran.docx", "A 53928-2025")</f>
        <v/>
      </c>
      <c r="Y56">
        <f>HYPERLINK("https://klasma.github.io/Logging_2482/tillsynsmail/A 53928-2025 tillsynsbegäran mail.docx", "A 53928-2025")</f>
        <v/>
      </c>
      <c r="Z56">
        <f>HYPERLINK("https://klasma.github.io/Logging_2482/fåglar/A 53928-2025 prioriterade fågelarter.docx", "A 53928-2025")</f>
        <v/>
      </c>
    </row>
    <row r="57" ht="15" customHeight="1">
      <c r="A57" t="inlineStr">
        <is>
          <t>A 59408-2020</t>
        </is>
      </c>
      <c r="B57" s="1" t="n">
        <v>44147</v>
      </c>
      <c r="C57" s="1" t="n">
        <v>45964</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45964</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45964</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45964</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57738-2021</t>
        </is>
      </c>
      <c r="B61" s="1" t="n">
        <v>44484</v>
      </c>
      <c r="C61" s="1" t="n">
        <v>45964</v>
      </c>
      <c r="D61" t="inlineStr">
        <is>
          <t>VÄSTERBOTTENS LÄN</t>
        </is>
      </c>
      <c r="E61" t="inlineStr">
        <is>
          <t>SKELLEFTEÅ</t>
        </is>
      </c>
      <c r="G61" t="n">
        <v>11.4</v>
      </c>
      <c r="H61" t="n">
        <v>2</v>
      </c>
      <c r="I61" t="n">
        <v>1</v>
      </c>
      <c r="J61" t="n">
        <v>2</v>
      </c>
      <c r="K61" t="n">
        <v>0</v>
      </c>
      <c r="L61" t="n">
        <v>0</v>
      </c>
      <c r="M61" t="n">
        <v>0</v>
      </c>
      <c r="N61" t="n">
        <v>0</v>
      </c>
      <c r="O61" t="n">
        <v>2</v>
      </c>
      <c r="P61" t="n">
        <v>0</v>
      </c>
      <c r="Q61" t="n">
        <v>4</v>
      </c>
      <c r="R61" s="2" t="inlineStr">
        <is>
          <t>Doftskinn
Talltita
Nästlav
Fläcknycklar</t>
        </is>
      </c>
      <c r="S61">
        <f>HYPERLINK("https://klasma.github.io/Logging_2482/artfynd/A 57738-2021 artfynd.xlsx", "A 57738-2021")</f>
        <v/>
      </c>
      <c r="T61">
        <f>HYPERLINK("https://klasma.github.io/Logging_2482/kartor/A 57738-2021 karta.png", "A 57738-2021")</f>
        <v/>
      </c>
      <c r="V61">
        <f>HYPERLINK("https://klasma.github.io/Logging_2482/klagomål/A 57738-2021 FSC-klagomål.docx", "A 57738-2021")</f>
        <v/>
      </c>
      <c r="W61">
        <f>HYPERLINK("https://klasma.github.io/Logging_2482/klagomålsmail/A 57738-2021 FSC-klagomål mail.docx", "A 57738-2021")</f>
        <v/>
      </c>
      <c r="X61">
        <f>HYPERLINK("https://klasma.github.io/Logging_2482/tillsyn/A 57738-2021 tillsynsbegäran.docx", "A 57738-2021")</f>
        <v/>
      </c>
      <c r="Y61">
        <f>HYPERLINK("https://klasma.github.io/Logging_2482/tillsynsmail/A 57738-2021 tillsynsbegäran mail.docx", "A 57738-2021")</f>
        <v/>
      </c>
      <c r="Z61">
        <f>HYPERLINK("https://klasma.github.io/Logging_2482/fåglar/A 57738-2021 prioriterade fågelarter.docx", "A 57738-2021")</f>
        <v/>
      </c>
    </row>
    <row r="62" ht="15" customHeight="1">
      <c r="A62" t="inlineStr">
        <is>
          <t>A 18577-2024</t>
        </is>
      </c>
      <c r="B62" s="1" t="n">
        <v>45425</v>
      </c>
      <c r="C62" s="1" t="n">
        <v>45964</v>
      </c>
      <c r="D62" t="inlineStr">
        <is>
          <t>VÄSTERBOTTENS LÄN</t>
        </is>
      </c>
      <c r="E62" t="inlineStr">
        <is>
          <t>SKELLEFTEÅ</t>
        </is>
      </c>
      <c r="G62" t="n">
        <v>5.3</v>
      </c>
      <c r="H62" t="n">
        <v>1</v>
      </c>
      <c r="I62" t="n">
        <v>1</v>
      </c>
      <c r="J62" t="n">
        <v>2</v>
      </c>
      <c r="K62" t="n">
        <v>1</v>
      </c>
      <c r="L62" t="n">
        <v>0</v>
      </c>
      <c r="M62" t="n">
        <v>0</v>
      </c>
      <c r="N62" t="n">
        <v>0</v>
      </c>
      <c r="O62" t="n">
        <v>3</v>
      </c>
      <c r="P62" t="n">
        <v>1</v>
      </c>
      <c r="Q62" t="n">
        <v>4</v>
      </c>
      <c r="R62" s="2" t="inlineStr">
        <is>
          <t>Knärot
Gammelgransskål
Garnlav
Rävticka</t>
        </is>
      </c>
      <c r="S62">
        <f>HYPERLINK("https://klasma.github.io/Logging_2482/artfynd/A 18577-2024 artfynd.xlsx", "A 18577-2024")</f>
        <v/>
      </c>
      <c r="T62">
        <f>HYPERLINK("https://klasma.github.io/Logging_2482/kartor/A 18577-2024 karta.png", "A 18577-2024")</f>
        <v/>
      </c>
      <c r="U62">
        <f>HYPERLINK("https://klasma.github.io/Logging_2482/knärot/A 18577-2024 karta knärot.png", "A 18577-2024")</f>
        <v/>
      </c>
      <c r="V62">
        <f>HYPERLINK("https://klasma.github.io/Logging_2482/klagomål/A 18577-2024 FSC-klagomål.docx", "A 18577-2024")</f>
        <v/>
      </c>
      <c r="W62">
        <f>HYPERLINK("https://klasma.github.io/Logging_2482/klagomålsmail/A 18577-2024 FSC-klagomål mail.docx", "A 18577-2024")</f>
        <v/>
      </c>
      <c r="X62">
        <f>HYPERLINK("https://klasma.github.io/Logging_2482/tillsyn/A 18577-2024 tillsynsbegäran.docx", "A 18577-2024")</f>
        <v/>
      </c>
      <c r="Y62">
        <f>HYPERLINK("https://klasma.github.io/Logging_2482/tillsynsmail/A 18577-2024 tillsynsbegäran mail.docx", "A 18577-2024")</f>
        <v/>
      </c>
    </row>
    <row r="63" ht="15" customHeight="1">
      <c r="A63" t="inlineStr">
        <is>
          <t>A 46092-2023</t>
        </is>
      </c>
      <c r="B63" s="1" t="n">
        <v>45190</v>
      </c>
      <c r="C63" s="1" t="n">
        <v>45964</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62340-2021</t>
        </is>
      </c>
      <c r="B64" s="1" t="n">
        <v>44503</v>
      </c>
      <c r="C64" s="1" t="n">
        <v>45964</v>
      </c>
      <c r="D64" t="inlineStr">
        <is>
          <t>VÄSTERBOTTENS LÄN</t>
        </is>
      </c>
      <c r="E64" t="inlineStr">
        <is>
          <t>SKELLEFTEÅ</t>
        </is>
      </c>
      <c r="G64" t="n">
        <v>3.9</v>
      </c>
      <c r="H64" t="n">
        <v>0</v>
      </c>
      <c r="I64" t="n">
        <v>2</v>
      </c>
      <c r="J64" t="n">
        <v>2</v>
      </c>
      <c r="K64" t="n">
        <v>0</v>
      </c>
      <c r="L64" t="n">
        <v>0</v>
      </c>
      <c r="M64" t="n">
        <v>0</v>
      </c>
      <c r="N64" t="n">
        <v>0</v>
      </c>
      <c r="O64" t="n">
        <v>2</v>
      </c>
      <c r="P64" t="n">
        <v>0</v>
      </c>
      <c r="Q64" t="n">
        <v>4</v>
      </c>
      <c r="R64" s="2" t="inlineStr">
        <is>
          <t>Garnlav
Harticka
Dropptaggsvamp
Vedticka</t>
        </is>
      </c>
      <c r="S64">
        <f>HYPERLINK("https://klasma.github.io/Logging_2482/artfynd/A 62340-2021 artfynd.xlsx", "A 62340-2021")</f>
        <v/>
      </c>
      <c r="T64">
        <f>HYPERLINK("https://klasma.github.io/Logging_2482/kartor/A 62340-2021 karta.png", "A 62340-2021")</f>
        <v/>
      </c>
      <c r="U64">
        <f>HYPERLINK("https://klasma.github.io/Logging_2482/knärot/A 62340-2021 karta knärot.png", "A 62340-2021")</f>
        <v/>
      </c>
      <c r="V64">
        <f>HYPERLINK("https://klasma.github.io/Logging_2482/klagomål/A 62340-2021 FSC-klagomål.docx", "A 62340-2021")</f>
        <v/>
      </c>
      <c r="W64">
        <f>HYPERLINK("https://klasma.github.io/Logging_2482/klagomålsmail/A 62340-2021 FSC-klagomål mail.docx", "A 62340-2021")</f>
        <v/>
      </c>
      <c r="X64">
        <f>HYPERLINK("https://klasma.github.io/Logging_2482/tillsyn/A 62340-2021 tillsynsbegäran.docx", "A 62340-2021")</f>
        <v/>
      </c>
      <c r="Y64">
        <f>HYPERLINK("https://klasma.github.io/Logging_2482/tillsynsmail/A 62340-2021 tillsynsbegäran mail.docx", "A 62340-2021")</f>
        <v/>
      </c>
    </row>
    <row r="65" ht="15" customHeight="1">
      <c r="A65" t="inlineStr">
        <is>
          <t>A 55235-2024</t>
        </is>
      </c>
      <c r="B65" s="1" t="n">
        <v>45620</v>
      </c>
      <c r="C65" s="1" t="n">
        <v>45964</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55242-2024</t>
        </is>
      </c>
      <c r="B66" s="1" t="n">
        <v>45620</v>
      </c>
      <c r="C66" s="1" t="n">
        <v>45964</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62393-2023</t>
        </is>
      </c>
      <c r="B67" s="1" t="n">
        <v>45268</v>
      </c>
      <c r="C67" s="1" t="n">
        <v>45964</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57409-2021</t>
        </is>
      </c>
      <c r="B68" s="1" t="n">
        <v>44483</v>
      </c>
      <c r="C68" s="1" t="n">
        <v>45964</v>
      </c>
      <c r="D68" t="inlineStr">
        <is>
          <t>VÄSTERBOTTENS LÄN</t>
        </is>
      </c>
      <c r="E68" t="inlineStr">
        <is>
          <t>SKELLEFTEÅ</t>
        </is>
      </c>
      <c r="G68" t="n">
        <v>20.3</v>
      </c>
      <c r="H68" t="n">
        <v>0</v>
      </c>
      <c r="I68" t="n">
        <v>1</v>
      </c>
      <c r="J68" t="n">
        <v>3</v>
      </c>
      <c r="K68" t="n">
        <v>0</v>
      </c>
      <c r="L68" t="n">
        <v>0</v>
      </c>
      <c r="M68" t="n">
        <v>0</v>
      </c>
      <c r="N68" t="n">
        <v>0</v>
      </c>
      <c r="O68" t="n">
        <v>3</v>
      </c>
      <c r="P68" t="n">
        <v>0</v>
      </c>
      <c r="Q68" t="n">
        <v>4</v>
      </c>
      <c r="R68" s="2" t="inlineStr">
        <is>
          <t>Gammelgransskål
Garnlav
Ullticka
Vedticka</t>
        </is>
      </c>
      <c r="S68">
        <f>HYPERLINK("https://klasma.github.io/Logging_2482/artfynd/A 57409-2021 artfynd.xlsx", "A 57409-2021")</f>
        <v/>
      </c>
      <c r="T68">
        <f>HYPERLINK("https://klasma.github.io/Logging_2482/kartor/A 57409-2021 karta.png", "A 57409-2021")</f>
        <v/>
      </c>
      <c r="V68">
        <f>HYPERLINK("https://klasma.github.io/Logging_2482/klagomål/A 57409-2021 FSC-klagomål.docx", "A 57409-2021")</f>
        <v/>
      </c>
      <c r="W68">
        <f>HYPERLINK("https://klasma.github.io/Logging_2482/klagomålsmail/A 57409-2021 FSC-klagomål mail.docx", "A 57409-2021")</f>
        <v/>
      </c>
      <c r="X68">
        <f>HYPERLINK("https://klasma.github.io/Logging_2482/tillsyn/A 57409-2021 tillsynsbegäran.docx", "A 57409-2021")</f>
        <v/>
      </c>
      <c r="Y68">
        <f>HYPERLINK("https://klasma.github.io/Logging_2482/tillsynsmail/A 57409-2021 tillsynsbegäran mail.docx", "A 57409-2021")</f>
        <v/>
      </c>
    </row>
    <row r="69" ht="15" customHeight="1">
      <c r="A69" t="inlineStr">
        <is>
          <t>A 56462-2024</t>
        </is>
      </c>
      <c r="B69" s="1" t="n">
        <v>45625</v>
      </c>
      <c r="C69" s="1" t="n">
        <v>45964</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53423-2024</t>
        </is>
      </c>
      <c r="B70" s="1" t="n">
        <v>45614.51168981481</v>
      </c>
      <c r="C70" s="1" t="n">
        <v>45964</v>
      </c>
      <c r="D70" t="inlineStr">
        <is>
          <t>VÄSTERBOTTENS LÄN</t>
        </is>
      </c>
      <c r="E70" t="inlineStr">
        <is>
          <t>SKELLEFTEÅ</t>
        </is>
      </c>
      <c r="G70" t="n">
        <v>3.5</v>
      </c>
      <c r="H70" t="n">
        <v>1</v>
      </c>
      <c r="I70" t="n">
        <v>0</v>
      </c>
      <c r="J70" t="n">
        <v>4</v>
      </c>
      <c r="K70" t="n">
        <v>0</v>
      </c>
      <c r="L70" t="n">
        <v>0</v>
      </c>
      <c r="M70" t="n">
        <v>0</v>
      </c>
      <c r="N70" t="n">
        <v>0</v>
      </c>
      <c r="O70" t="n">
        <v>4</v>
      </c>
      <c r="P70" t="n">
        <v>0</v>
      </c>
      <c r="Q70" t="n">
        <v>4</v>
      </c>
      <c r="R70" s="2" t="inlineStr">
        <is>
          <t>Blanksvart spiklav
Blå taggsvamp
Garnlav
Spillkråka</t>
        </is>
      </c>
      <c r="S70">
        <f>HYPERLINK("https://klasma.github.io/Logging_2482/artfynd/A 53423-2024 artfynd.xlsx", "A 53423-2024")</f>
        <v/>
      </c>
      <c r="T70">
        <f>HYPERLINK("https://klasma.github.io/Logging_2482/kartor/A 53423-2024 karta.png", "A 53423-2024")</f>
        <v/>
      </c>
      <c r="V70">
        <f>HYPERLINK("https://klasma.github.io/Logging_2482/klagomål/A 53423-2024 FSC-klagomål.docx", "A 53423-2024")</f>
        <v/>
      </c>
      <c r="W70">
        <f>HYPERLINK("https://klasma.github.io/Logging_2482/klagomålsmail/A 53423-2024 FSC-klagomål mail.docx", "A 53423-2024")</f>
        <v/>
      </c>
      <c r="X70">
        <f>HYPERLINK("https://klasma.github.io/Logging_2482/tillsyn/A 53423-2024 tillsynsbegäran.docx", "A 53423-2024")</f>
        <v/>
      </c>
      <c r="Y70">
        <f>HYPERLINK("https://klasma.github.io/Logging_2482/tillsynsmail/A 53423-2024 tillsynsbegäran mail.docx", "A 53423-2024")</f>
        <v/>
      </c>
      <c r="Z70">
        <f>HYPERLINK("https://klasma.github.io/Logging_2482/fåglar/A 53423-2024 prioriterade fågelarter.docx", "A 53423-2024")</f>
        <v/>
      </c>
    </row>
    <row r="71" ht="15" customHeight="1">
      <c r="A71" t="inlineStr">
        <is>
          <t>A 58835-2021</t>
        </is>
      </c>
      <c r="B71" s="1" t="n">
        <v>44489</v>
      </c>
      <c r="C71" s="1" t="n">
        <v>45964</v>
      </c>
      <c r="D71" t="inlineStr">
        <is>
          <t>VÄSTERBOTTENS LÄN</t>
        </is>
      </c>
      <c r="E71" t="inlineStr">
        <is>
          <t>SKELLEFTEÅ</t>
        </is>
      </c>
      <c r="G71" t="n">
        <v>10.2</v>
      </c>
      <c r="H71" t="n">
        <v>0</v>
      </c>
      <c r="I71" t="n">
        <v>0</v>
      </c>
      <c r="J71" t="n">
        <v>4</v>
      </c>
      <c r="K71" t="n">
        <v>0</v>
      </c>
      <c r="L71" t="n">
        <v>0</v>
      </c>
      <c r="M71" t="n">
        <v>0</v>
      </c>
      <c r="N71" t="n">
        <v>0</v>
      </c>
      <c r="O71" t="n">
        <v>4</v>
      </c>
      <c r="P71" t="n">
        <v>0</v>
      </c>
      <c r="Q71" t="n">
        <v>4</v>
      </c>
      <c r="R71" s="2" t="inlineStr">
        <is>
          <t>Doftskinn
Gammelgransskål
Stjärntagging
Ullticka</t>
        </is>
      </c>
      <c r="S71">
        <f>HYPERLINK("https://klasma.github.io/Logging_2482/artfynd/A 58835-2021 artfynd.xlsx", "A 58835-2021")</f>
        <v/>
      </c>
      <c r="T71">
        <f>HYPERLINK("https://klasma.github.io/Logging_2482/kartor/A 58835-2021 karta.png", "A 58835-2021")</f>
        <v/>
      </c>
      <c r="V71">
        <f>HYPERLINK("https://klasma.github.io/Logging_2482/klagomål/A 58835-2021 FSC-klagomål.docx", "A 58835-2021")</f>
        <v/>
      </c>
      <c r="W71">
        <f>HYPERLINK("https://klasma.github.io/Logging_2482/klagomålsmail/A 58835-2021 FSC-klagomål mail.docx", "A 58835-2021")</f>
        <v/>
      </c>
      <c r="X71">
        <f>HYPERLINK("https://klasma.github.io/Logging_2482/tillsyn/A 58835-2021 tillsynsbegäran.docx", "A 58835-2021")</f>
        <v/>
      </c>
      <c r="Y71">
        <f>HYPERLINK("https://klasma.github.io/Logging_2482/tillsynsmail/A 58835-2021 tillsynsbegäran mail.docx", "A 58835-2021")</f>
        <v/>
      </c>
    </row>
    <row r="72" ht="15" customHeight="1">
      <c r="A72" t="inlineStr">
        <is>
          <t>A 38654-2025</t>
        </is>
      </c>
      <c r="B72" s="1" t="n">
        <v>45884.59638888889</v>
      </c>
      <c r="C72" s="1" t="n">
        <v>45964</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35164-2025</t>
        </is>
      </c>
      <c r="B73" s="1" t="n">
        <v>45852</v>
      </c>
      <c r="C73" s="1" t="n">
        <v>45964</v>
      </c>
      <c r="D73" t="inlineStr">
        <is>
          <t>VÄSTERBOTTENS LÄN</t>
        </is>
      </c>
      <c r="E73" t="inlineStr">
        <is>
          <t>SKELLEFTEÅ</t>
        </is>
      </c>
      <c r="G73" t="n">
        <v>2.1</v>
      </c>
      <c r="H73" t="n">
        <v>0</v>
      </c>
      <c r="I73" t="n">
        <v>0</v>
      </c>
      <c r="J73" t="n">
        <v>4</v>
      </c>
      <c r="K73" t="n">
        <v>0</v>
      </c>
      <c r="L73" t="n">
        <v>0</v>
      </c>
      <c r="M73" t="n">
        <v>0</v>
      </c>
      <c r="N73" t="n">
        <v>0</v>
      </c>
      <c r="O73" t="n">
        <v>4</v>
      </c>
      <c r="P73" t="n">
        <v>0</v>
      </c>
      <c r="Q73" t="n">
        <v>4</v>
      </c>
      <c r="R73" s="2" t="inlineStr">
        <is>
          <t>Granticka
Harticka
Kilporing
Rosenticka</t>
        </is>
      </c>
      <c r="S73">
        <f>HYPERLINK("https://klasma.github.io/Logging_2482/artfynd/A 35164-2025 artfynd.xlsx", "A 35164-2025")</f>
        <v/>
      </c>
      <c r="T73">
        <f>HYPERLINK("https://klasma.github.io/Logging_2482/kartor/A 35164-2025 karta.png", "A 35164-2025")</f>
        <v/>
      </c>
      <c r="V73">
        <f>HYPERLINK("https://klasma.github.io/Logging_2482/klagomål/A 35164-2025 FSC-klagomål.docx", "A 35164-2025")</f>
        <v/>
      </c>
      <c r="W73">
        <f>HYPERLINK("https://klasma.github.io/Logging_2482/klagomålsmail/A 35164-2025 FSC-klagomål mail.docx", "A 35164-2025")</f>
        <v/>
      </c>
      <c r="X73">
        <f>HYPERLINK("https://klasma.github.io/Logging_2482/tillsyn/A 35164-2025 tillsynsbegäran.docx", "A 35164-2025")</f>
        <v/>
      </c>
      <c r="Y73">
        <f>HYPERLINK("https://klasma.github.io/Logging_2482/tillsynsmail/A 35164-2025 tillsynsbegäran mail.docx", "A 35164-2025")</f>
        <v/>
      </c>
    </row>
    <row r="74" ht="15" customHeight="1">
      <c r="A74" t="inlineStr">
        <is>
          <t>A 39126-2025</t>
        </is>
      </c>
      <c r="B74" s="1" t="n">
        <v>45888.58637731482</v>
      </c>
      <c r="C74" s="1" t="n">
        <v>45964</v>
      </c>
      <c r="D74" t="inlineStr">
        <is>
          <t>VÄSTERBOTTENS LÄN</t>
        </is>
      </c>
      <c r="E74" t="inlineStr">
        <is>
          <t>SKELLEFTEÅ</t>
        </is>
      </c>
      <c r="F74" t="inlineStr">
        <is>
          <t>Holmen skog AB</t>
        </is>
      </c>
      <c r="G74" t="n">
        <v>1</v>
      </c>
      <c r="H74" t="n">
        <v>0</v>
      </c>
      <c r="I74" t="n">
        <v>3</v>
      </c>
      <c r="J74" t="n">
        <v>1</v>
      </c>
      <c r="K74" t="n">
        <v>0</v>
      </c>
      <c r="L74" t="n">
        <v>0</v>
      </c>
      <c r="M74" t="n">
        <v>0</v>
      </c>
      <c r="N74" t="n">
        <v>0</v>
      </c>
      <c r="O74" t="n">
        <v>1</v>
      </c>
      <c r="P74" t="n">
        <v>0</v>
      </c>
      <c r="Q74" t="n">
        <v>4</v>
      </c>
      <c r="R74" s="2" t="inlineStr">
        <is>
          <t>Gammelgransskål
Granbarkgnagare
Trådticka
Vedticka</t>
        </is>
      </c>
      <c r="S74">
        <f>HYPERLINK("https://klasma.github.io/Logging_2482/artfynd/A 39126-2025 artfynd.xlsx", "A 39126-2025")</f>
        <v/>
      </c>
      <c r="T74">
        <f>HYPERLINK("https://klasma.github.io/Logging_2482/kartor/A 39126-2025 karta.png", "A 39126-2025")</f>
        <v/>
      </c>
      <c r="U74">
        <f>HYPERLINK("https://klasma.github.io/Logging_2482/knärot/A 39126-2025 karta knärot.png", "A 39126-2025")</f>
        <v/>
      </c>
      <c r="V74">
        <f>HYPERLINK("https://klasma.github.io/Logging_2482/klagomål/A 39126-2025 FSC-klagomål.docx", "A 39126-2025")</f>
        <v/>
      </c>
      <c r="W74">
        <f>HYPERLINK("https://klasma.github.io/Logging_2482/klagomålsmail/A 39126-2025 FSC-klagomål mail.docx", "A 39126-2025")</f>
        <v/>
      </c>
      <c r="X74">
        <f>HYPERLINK("https://klasma.github.io/Logging_2482/tillsyn/A 39126-2025 tillsynsbegäran.docx", "A 39126-2025")</f>
        <v/>
      </c>
      <c r="Y74">
        <f>HYPERLINK("https://klasma.github.io/Logging_2482/tillsynsmail/A 39126-2025 tillsynsbegäran mail.docx", "A 39126-2025")</f>
        <v/>
      </c>
    </row>
    <row r="75" ht="15" customHeight="1">
      <c r="A75" t="inlineStr">
        <is>
          <t>A 39114-2025</t>
        </is>
      </c>
      <c r="B75" s="1" t="n">
        <v>45888.55090277778</v>
      </c>
      <c r="C75" s="1" t="n">
        <v>45964</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45973-2025</t>
        </is>
      </c>
      <c r="B76" s="1" t="n">
        <v>45924.36732638889</v>
      </c>
      <c r="C76" s="1" t="n">
        <v>45964</v>
      </c>
      <c r="D76" t="inlineStr">
        <is>
          <t>VÄSTERBOTTENS LÄN</t>
        </is>
      </c>
      <c r="E76" t="inlineStr">
        <is>
          <t>SKELLEFTEÅ</t>
        </is>
      </c>
      <c r="F76" t="inlineStr">
        <is>
          <t>Holmen skog AB</t>
        </is>
      </c>
      <c r="G76" t="n">
        <v>16.9</v>
      </c>
      <c r="H76" t="n">
        <v>1</v>
      </c>
      <c r="I76" t="n">
        <v>1</v>
      </c>
      <c r="J76" t="n">
        <v>3</v>
      </c>
      <c r="K76" t="n">
        <v>0</v>
      </c>
      <c r="L76" t="n">
        <v>0</v>
      </c>
      <c r="M76" t="n">
        <v>0</v>
      </c>
      <c r="N76" t="n">
        <v>0</v>
      </c>
      <c r="O76" t="n">
        <v>3</v>
      </c>
      <c r="P76" t="n">
        <v>0</v>
      </c>
      <c r="Q76" t="n">
        <v>4</v>
      </c>
      <c r="R76" s="2" t="inlineStr">
        <is>
          <t>Garnlav
Granticka
Tretåig hackspett
Blodticka</t>
        </is>
      </c>
      <c r="S76">
        <f>HYPERLINK("https://klasma.github.io/Logging_2482/artfynd/A 45973-2025 artfynd.xlsx", "A 45973-2025")</f>
        <v/>
      </c>
      <c r="T76">
        <f>HYPERLINK("https://klasma.github.io/Logging_2482/kartor/A 45973-2025 karta.png", "A 45973-2025")</f>
        <v/>
      </c>
      <c r="V76">
        <f>HYPERLINK("https://klasma.github.io/Logging_2482/klagomål/A 45973-2025 FSC-klagomål.docx", "A 45973-2025")</f>
        <v/>
      </c>
      <c r="W76">
        <f>HYPERLINK("https://klasma.github.io/Logging_2482/klagomålsmail/A 45973-2025 FSC-klagomål mail.docx", "A 45973-2025")</f>
        <v/>
      </c>
      <c r="X76">
        <f>HYPERLINK("https://klasma.github.io/Logging_2482/tillsyn/A 45973-2025 tillsynsbegäran.docx", "A 45973-2025")</f>
        <v/>
      </c>
      <c r="Y76">
        <f>HYPERLINK("https://klasma.github.io/Logging_2482/tillsynsmail/A 45973-2025 tillsynsbegäran mail.docx", "A 45973-2025")</f>
        <v/>
      </c>
      <c r="Z76">
        <f>HYPERLINK("https://klasma.github.io/Logging_2482/fåglar/A 45973-2025 prioriterade fågelarter.docx", "A 45973-2025")</f>
        <v/>
      </c>
    </row>
    <row r="77" ht="15" customHeight="1">
      <c r="A77" t="inlineStr">
        <is>
          <t>A 40414-2025</t>
        </is>
      </c>
      <c r="B77" s="1" t="n">
        <v>45895.57538194444</v>
      </c>
      <c r="C77" s="1" t="n">
        <v>45964</v>
      </c>
      <c r="D77" t="inlineStr">
        <is>
          <t>VÄSTERBOTTENS LÄN</t>
        </is>
      </c>
      <c r="E77" t="inlineStr">
        <is>
          <t>SKELLEFTEÅ</t>
        </is>
      </c>
      <c r="F77" t="inlineStr">
        <is>
          <t>Holmen skog AB</t>
        </is>
      </c>
      <c r="G77" t="n">
        <v>5.1</v>
      </c>
      <c r="H77" t="n">
        <v>1</v>
      </c>
      <c r="I77" t="n">
        <v>0</v>
      </c>
      <c r="J77" t="n">
        <v>4</v>
      </c>
      <c r="K77" t="n">
        <v>0</v>
      </c>
      <c r="L77" t="n">
        <v>0</v>
      </c>
      <c r="M77" t="n">
        <v>0</v>
      </c>
      <c r="N77" t="n">
        <v>0</v>
      </c>
      <c r="O77" t="n">
        <v>4</v>
      </c>
      <c r="P77" t="n">
        <v>0</v>
      </c>
      <c r="Q77" t="n">
        <v>4</v>
      </c>
      <c r="R77" s="2" t="inlineStr">
        <is>
          <t>Gammelgransskål
Garnlav
Tallticka
Tretåig hackspett</t>
        </is>
      </c>
      <c r="S77">
        <f>HYPERLINK("https://klasma.github.io/Logging_2482/artfynd/A 40414-2025 artfynd.xlsx", "A 40414-2025")</f>
        <v/>
      </c>
      <c r="T77">
        <f>HYPERLINK("https://klasma.github.io/Logging_2482/kartor/A 40414-2025 karta.png", "A 40414-2025")</f>
        <v/>
      </c>
      <c r="V77">
        <f>HYPERLINK("https://klasma.github.io/Logging_2482/klagomål/A 40414-2025 FSC-klagomål.docx", "A 40414-2025")</f>
        <v/>
      </c>
      <c r="W77">
        <f>HYPERLINK("https://klasma.github.io/Logging_2482/klagomålsmail/A 40414-2025 FSC-klagomål mail.docx", "A 40414-2025")</f>
        <v/>
      </c>
      <c r="X77">
        <f>HYPERLINK("https://klasma.github.io/Logging_2482/tillsyn/A 40414-2025 tillsynsbegäran.docx", "A 40414-2025")</f>
        <v/>
      </c>
      <c r="Y77">
        <f>HYPERLINK("https://klasma.github.io/Logging_2482/tillsynsmail/A 40414-2025 tillsynsbegäran mail.docx", "A 40414-2025")</f>
        <v/>
      </c>
      <c r="Z77">
        <f>HYPERLINK("https://klasma.github.io/Logging_2482/fåglar/A 40414-2025 prioriterade fågelarter.docx", "A 40414-2025")</f>
        <v/>
      </c>
    </row>
    <row r="78" ht="15" customHeight="1">
      <c r="A78" t="inlineStr">
        <is>
          <t>A 51431-2025</t>
        </is>
      </c>
      <c r="B78" s="1" t="n">
        <v>45950.54863425926</v>
      </c>
      <c r="C78" s="1" t="n">
        <v>45964</v>
      </c>
      <c r="D78" t="inlineStr">
        <is>
          <t>VÄSTERBOTTENS LÄN</t>
        </is>
      </c>
      <c r="E78" t="inlineStr">
        <is>
          <t>SKELLEFTEÅ</t>
        </is>
      </c>
      <c r="F78" t="inlineStr">
        <is>
          <t>Holmen skog AB</t>
        </is>
      </c>
      <c r="G78" t="n">
        <v>3.2</v>
      </c>
      <c r="H78" t="n">
        <v>0</v>
      </c>
      <c r="I78" t="n">
        <v>1</v>
      </c>
      <c r="J78" t="n">
        <v>3</v>
      </c>
      <c r="K78" t="n">
        <v>0</v>
      </c>
      <c r="L78" t="n">
        <v>0</v>
      </c>
      <c r="M78" t="n">
        <v>0</v>
      </c>
      <c r="N78" t="n">
        <v>0</v>
      </c>
      <c r="O78" t="n">
        <v>3</v>
      </c>
      <c r="P78" t="n">
        <v>0</v>
      </c>
      <c r="Q78" t="n">
        <v>4</v>
      </c>
      <c r="R78" s="2" t="inlineStr">
        <is>
          <t>Blanksvart spiklav
Kolflarnlav
Svart taggsvamp
Dropptaggsvamp</t>
        </is>
      </c>
      <c r="S78">
        <f>HYPERLINK("https://klasma.github.io/Logging_2482/artfynd/A 51431-2025 artfynd.xlsx", "A 51431-2025")</f>
        <v/>
      </c>
      <c r="T78">
        <f>HYPERLINK("https://klasma.github.io/Logging_2482/kartor/A 51431-2025 karta.png", "A 51431-2025")</f>
        <v/>
      </c>
      <c r="V78">
        <f>HYPERLINK("https://klasma.github.io/Logging_2482/klagomål/A 51431-2025 FSC-klagomål.docx", "A 51431-2025")</f>
        <v/>
      </c>
      <c r="W78">
        <f>HYPERLINK("https://klasma.github.io/Logging_2482/klagomålsmail/A 51431-2025 FSC-klagomål mail.docx", "A 51431-2025")</f>
        <v/>
      </c>
      <c r="X78">
        <f>HYPERLINK("https://klasma.github.io/Logging_2482/tillsyn/A 51431-2025 tillsynsbegäran.docx", "A 51431-2025")</f>
        <v/>
      </c>
      <c r="Y78">
        <f>HYPERLINK("https://klasma.github.io/Logging_2482/tillsynsmail/A 51431-2025 tillsynsbegäran mail.docx", "A 51431-2025")</f>
        <v/>
      </c>
    </row>
    <row r="79" ht="15" customHeight="1">
      <c r="A79" t="inlineStr">
        <is>
          <t>A 68690-2020</t>
        </is>
      </c>
      <c r="B79" s="1" t="n">
        <v>44186</v>
      </c>
      <c r="C79" s="1" t="n">
        <v>45964</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62595-2023</t>
        </is>
      </c>
      <c r="B80" s="1" t="n">
        <v>45267</v>
      </c>
      <c r="C80" s="1" t="n">
        <v>45964</v>
      </c>
      <c r="D80" t="inlineStr">
        <is>
          <t>VÄSTERBOTTENS LÄN</t>
        </is>
      </c>
      <c r="E80" t="inlineStr">
        <is>
          <t>SKELLEFTEÅ</t>
        </is>
      </c>
      <c r="G80" t="n">
        <v>4.6</v>
      </c>
      <c r="H80" t="n">
        <v>2</v>
      </c>
      <c r="I80" t="n">
        <v>1</v>
      </c>
      <c r="J80" t="n">
        <v>1</v>
      </c>
      <c r="K80" t="n">
        <v>0</v>
      </c>
      <c r="L80" t="n">
        <v>0</v>
      </c>
      <c r="M80" t="n">
        <v>0</v>
      </c>
      <c r="N80" t="n">
        <v>0</v>
      </c>
      <c r="O80" t="n">
        <v>1</v>
      </c>
      <c r="P80" t="n">
        <v>0</v>
      </c>
      <c r="Q80" t="n">
        <v>3</v>
      </c>
      <c r="R80" s="2" t="inlineStr">
        <is>
          <t>Spillkråka
Vedticka
Fläcknycklar</t>
        </is>
      </c>
      <c r="S80">
        <f>HYPERLINK("https://klasma.github.io/Logging_2482/artfynd/A 62595-2023 artfynd.xlsx", "A 62595-2023")</f>
        <v/>
      </c>
      <c r="T80">
        <f>HYPERLINK("https://klasma.github.io/Logging_2482/kartor/A 62595-2023 karta.png", "A 62595-2023")</f>
        <v/>
      </c>
      <c r="V80">
        <f>HYPERLINK("https://klasma.github.io/Logging_2482/klagomål/A 62595-2023 FSC-klagomål.docx", "A 62595-2023")</f>
        <v/>
      </c>
      <c r="W80">
        <f>HYPERLINK("https://klasma.github.io/Logging_2482/klagomålsmail/A 62595-2023 FSC-klagomål mail.docx", "A 62595-2023")</f>
        <v/>
      </c>
      <c r="X80">
        <f>HYPERLINK("https://klasma.github.io/Logging_2482/tillsyn/A 62595-2023 tillsynsbegäran.docx", "A 62595-2023")</f>
        <v/>
      </c>
      <c r="Y80">
        <f>HYPERLINK("https://klasma.github.io/Logging_2482/tillsynsmail/A 62595-2023 tillsynsbegäran mail.docx", "A 62595-2023")</f>
        <v/>
      </c>
      <c r="Z80">
        <f>HYPERLINK("https://klasma.github.io/Logging_2482/fåglar/A 62595-2023 prioriterade fågelarter.docx", "A 62595-2023")</f>
        <v/>
      </c>
    </row>
    <row r="81" ht="15" customHeight="1">
      <c r="A81" t="inlineStr">
        <is>
          <t>A 42687-2022</t>
        </is>
      </c>
      <c r="B81" s="1" t="n">
        <v>44831</v>
      </c>
      <c r="C81" s="1" t="n">
        <v>45964</v>
      </c>
      <c r="D81" t="inlineStr">
        <is>
          <t>VÄSTERBOTTENS LÄN</t>
        </is>
      </c>
      <c r="E81" t="inlineStr">
        <is>
          <t>SKELLEFTEÅ</t>
        </is>
      </c>
      <c r="G81" t="n">
        <v>2.7</v>
      </c>
      <c r="H81" t="n">
        <v>0</v>
      </c>
      <c r="I81" t="n">
        <v>0</v>
      </c>
      <c r="J81" t="n">
        <v>3</v>
      </c>
      <c r="K81" t="n">
        <v>0</v>
      </c>
      <c r="L81" t="n">
        <v>0</v>
      </c>
      <c r="M81" t="n">
        <v>0</v>
      </c>
      <c r="N81" t="n">
        <v>0</v>
      </c>
      <c r="O81" t="n">
        <v>3</v>
      </c>
      <c r="P81" t="n">
        <v>0</v>
      </c>
      <c r="Q81" t="n">
        <v>3</v>
      </c>
      <c r="R81" s="2" t="inlineStr">
        <is>
          <t>Granticka
Stjärntagging
Ullticka</t>
        </is>
      </c>
      <c r="S81">
        <f>HYPERLINK("https://klasma.github.io/Logging_2482/artfynd/A 42687-2022 artfynd.xlsx", "A 42687-2022")</f>
        <v/>
      </c>
      <c r="T81">
        <f>HYPERLINK("https://klasma.github.io/Logging_2482/kartor/A 42687-2022 karta.png", "A 42687-2022")</f>
        <v/>
      </c>
      <c r="V81">
        <f>HYPERLINK("https://klasma.github.io/Logging_2482/klagomål/A 42687-2022 FSC-klagomål.docx", "A 42687-2022")</f>
        <v/>
      </c>
      <c r="W81">
        <f>HYPERLINK("https://klasma.github.io/Logging_2482/klagomålsmail/A 42687-2022 FSC-klagomål mail.docx", "A 42687-2022")</f>
        <v/>
      </c>
      <c r="X81">
        <f>HYPERLINK("https://klasma.github.io/Logging_2482/tillsyn/A 42687-2022 tillsynsbegäran.docx", "A 42687-2022")</f>
        <v/>
      </c>
      <c r="Y81">
        <f>HYPERLINK("https://klasma.github.io/Logging_2482/tillsynsmail/A 42687-2022 tillsynsbegäran mail.docx", "A 42687-2022")</f>
        <v/>
      </c>
    </row>
    <row r="82" ht="15" customHeight="1">
      <c r="A82" t="inlineStr">
        <is>
          <t>A 33858-2024</t>
        </is>
      </c>
      <c r="B82" s="1" t="n">
        <v>45520</v>
      </c>
      <c r="C82" s="1" t="n">
        <v>45964</v>
      </c>
      <c r="D82" t="inlineStr">
        <is>
          <t>VÄSTERBOTTENS LÄN</t>
        </is>
      </c>
      <c r="E82" t="inlineStr">
        <is>
          <t>SKELLEFTEÅ</t>
        </is>
      </c>
      <c r="F82" t="inlineStr">
        <is>
          <t>Holmen skog AB</t>
        </is>
      </c>
      <c r="G82" t="n">
        <v>1.5</v>
      </c>
      <c r="H82" t="n">
        <v>0</v>
      </c>
      <c r="I82" t="n">
        <v>1</v>
      </c>
      <c r="J82" t="n">
        <v>2</v>
      </c>
      <c r="K82" t="n">
        <v>0</v>
      </c>
      <c r="L82" t="n">
        <v>0</v>
      </c>
      <c r="M82" t="n">
        <v>0</v>
      </c>
      <c r="N82" t="n">
        <v>0</v>
      </c>
      <c r="O82" t="n">
        <v>2</v>
      </c>
      <c r="P82" t="n">
        <v>0</v>
      </c>
      <c r="Q82" t="n">
        <v>3</v>
      </c>
      <c r="R82" s="2" t="inlineStr">
        <is>
          <t>Gammelgransskål
Garnlav
Dropptaggsvamp</t>
        </is>
      </c>
      <c r="S82">
        <f>HYPERLINK("https://klasma.github.io/Logging_2482/artfynd/A 33858-2024 artfynd.xlsx", "A 33858-2024")</f>
        <v/>
      </c>
      <c r="T82">
        <f>HYPERLINK("https://klasma.github.io/Logging_2482/kartor/A 33858-2024 karta.png", "A 33858-2024")</f>
        <v/>
      </c>
      <c r="V82">
        <f>HYPERLINK("https://klasma.github.io/Logging_2482/klagomål/A 33858-2024 FSC-klagomål.docx", "A 33858-2024")</f>
        <v/>
      </c>
      <c r="W82">
        <f>HYPERLINK("https://klasma.github.io/Logging_2482/klagomålsmail/A 33858-2024 FSC-klagomål mail.docx", "A 33858-2024")</f>
        <v/>
      </c>
      <c r="X82">
        <f>HYPERLINK("https://klasma.github.io/Logging_2482/tillsyn/A 33858-2024 tillsynsbegäran.docx", "A 33858-2024")</f>
        <v/>
      </c>
      <c r="Y82">
        <f>HYPERLINK("https://klasma.github.io/Logging_2482/tillsynsmail/A 33858-2024 tillsynsbegäran mail.docx", "A 33858-2024")</f>
        <v/>
      </c>
    </row>
    <row r="83" ht="15" customHeight="1">
      <c r="A83" t="inlineStr">
        <is>
          <t>A 22626-2021</t>
        </is>
      </c>
      <c r="B83" s="1" t="n">
        <v>44326</v>
      </c>
      <c r="C83" s="1" t="n">
        <v>45964</v>
      </c>
      <c r="D83" t="inlineStr">
        <is>
          <t>VÄSTERBOTTENS LÄN</t>
        </is>
      </c>
      <c r="E83" t="inlineStr">
        <is>
          <t>SKELLEFTEÅ</t>
        </is>
      </c>
      <c r="G83" t="n">
        <v>8.4</v>
      </c>
      <c r="H83" t="n">
        <v>0</v>
      </c>
      <c r="I83" t="n">
        <v>0</v>
      </c>
      <c r="J83" t="n">
        <v>1</v>
      </c>
      <c r="K83" t="n">
        <v>2</v>
      </c>
      <c r="L83" t="n">
        <v>0</v>
      </c>
      <c r="M83" t="n">
        <v>0</v>
      </c>
      <c r="N83" t="n">
        <v>0</v>
      </c>
      <c r="O83" t="n">
        <v>3</v>
      </c>
      <c r="P83" t="n">
        <v>2</v>
      </c>
      <c r="Q83" t="n">
        <v>3</v>
      </c>
      <c r="R83" s="2" t="inlineStr">
        <is>
          <t>Laxporing
Ulltickeporing
Fyrflikig jordstjärna</t>
        </is>
      </c>
      <c r="S83">
        <f>HYPERLINK("https://klasma.github.io/Logging_2482/artfynd/A 22626-2021 artfynd.xlsx", "A 22626-2021")</f>
        <v/>
      </c>
      <c r="T83">
        <f>HYPERLINK("https://klasma.github.io/Logging_2482/kartor/A 22626-2021 karta.png", "A 22626-2021")</f>
        <v/>
      </c>
      <c r="V83">
        <f>HYPERLINK("https://klasma.github.io/Logging_2482/klagomål/A 22626-2021 FSC-klagomål.docx", "A 22626-2021")</f>
        <v/>
      </c>
      <c r="W83">
        <f>HYPERLINK("https://klasma.github.io/Logging_2482/klagomålsmail/A 22626-2021 FSC-klagomål mail.docx", "A 22626-2021")</f>
        <v/>
      </c>
      <c r="X83">
        <f>HYPERLINK("https://klasma.github.io/Logging_2482/tillsyn/A 22626-2021 tillsynsbegäran.docx", "A 22626-2021")</f>
        <v/>
      </c>
      <c r="Y83">
        <f>HYPERLINK("https://klasma.github.io/Logging_2482/tillsynsmail/A 22626-2021 tillsynsbegäran mail.docx", "A 22626-2021")</f>
        <v/>
      </c>
    </row>
    <row r="84" ht="15" customHeight="1">
      <c r="A84" t="inlineStr">
        <is>
          <t>A 40987-2022</t>
        </is>
      </c>
      <c r="B84" s="1" t="n">
        <v>44823</v>
      </c>
      <c r="C84" s="1" t="n">
        <v>45964</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20379-2025</t>
        </is>
      </c>
      <c r="B85" s="1" t="n">
        <v>45775.42733796296</v>
      </c>
      <c r="C85" s="1" t="n">
        <v>45964</v>
      </c>
      <c r="D85" t="inlineStr">
        <is>
          <t>VÄSTERBOTTENS LÄN</t>
        </is>
      </c>
      <c r="E85" t="inlineStr">
        <is>
          <t>SKELLEFTEÅ</t>
        </is>
      </c>
      <c r="G85" t="n">
        <v>3.3</v>
      </c>
      <c r="H85" t="n">
        <v>0</v>
      </c>
      <c r="I85" t="n">
        <v>0</v>
      </c>
      <c r="J85" t="n">
        <v>3</v>
      </c>
      <c r="K85" t="n">
        <v>0</v>
      </c>
      <c r="L85" t="n">
        <v>0</v>
      </c>
      <c r="M85" t="n">
        <v>0</v>
      </c>
      <c r="N85" t="n">
        <v>0</v>
      </c>
      <c r="O85" t="n">
        <v>3</v>
      </c>
      <c r="P85" t="n">
        <v>0</v>
      </c>
      <c r="Q85" t="n">
        <v>3</v>
      </c>
      <c r="R85" s="2" t="inlineStr">
        <is>
          <t>Granticka
Orange taggsvamp
Violettgrå tagellav</t>
        </is>
      </c>
      <c r="S85">
        <f>HYPERLINK("https://klasma.github.io/Logging_2482/artfynd/A 20379-2025 artfynd.xlsx", "A 20379-2025")</f>
        <v/>
      </c>
      <c r="T85">
        <f>HYPERLINK("https://klasma.github.io/Logging_2482/kartor/A 20379-2025 karta.png", "A 20379-2025")</f>
        <v/>
      </c>
      <c r="V85">
        <f>HYPERLINK("https://klasma.github.io/Logging_2482/klagomål/A 20379-2025 FSC-klagomål.docx", "A 20379-2025")</f>
        <v/>
      </c>
      <c r="W85">
        <f>HYPERLINK("https://klasma.github.io/Logging_2482/klagomålsmail/A 20379-2025 FSC-klagomål mail.docx", "A 20379-2025")</f>
        <v/>
      </c>
      <c r="X85">
        <f>HYPERLINK("https://klasma.github.io/Logging_2482/tillsyn/A 20379-2025 tillsynsbegäran.docx", "A 20379-2025")</f>
        <v/>
      </c>
      <c r="Y85">
        <f>HYPERLINK("https://klasma.github.io/Logging_2482/tillsynsmail/A 20379-2025 tillsynsbegäran mail.docx", "A 20379-2025")</f>
        <v/>
      </c>
    </row>
    <row r="86" ht="15" customHeight="1">
      <c r="A86" t="inlineStr">
        <is>
          <t>A 44152-2023</t>
        </is>
      </c>
      <c r="B86" s="1" t="n">
        <v>45188.47930555556</v>
      </c>
      <c r="C86" s="1" t="n">
        <v>45964</v>
      </c>
      <c r="D86" t="inlineStr">
        <is>
          <t>VÄSTERBOTTENS LÄN</t>
        </is>
      </c>
      <c r="E86" t="inlineStr">
        <is>
          <t>SKELLEFTEÅ</t>
        </is>
      </c>
      <c r="F86" t="inlineStr">
        <is>
          <t>Holmen skog AB</t>
        </is>
      </c>
      <c r="G86" t="n">
        <v>9.199999999999999</v>
      </c>
      <c r="H86" t="n">
        <v>1</v>
      </c>
      <c r="I86" t="n">
        <v>0</v>
      </c>
      <c r="J86" t="n">
        <v>3</v>
      </c>
      <c r="K86" t="n">
        <v>0</v>
      </c>
      <c r="L86" t="n">
        <v>0</v>
      </c>
      <c r="M86" t="n">
        <v>0</v>
      </c>
      <c r="N86" t="n">
        <v>0</v>
      </c>
      <c r="O86" t="n">
        <v>3</v>
      </c>
      <c r="P86" t="n">
        <v>0</v>
      </c>
      <c r="Q86" t="n">
        <v>3</v>
      </c>
      <c r="R86" s="2" t="inlineStr">
        <is>
          <t>Gammelgransskål
Garnlav
Videsparv</t>
        </is>
      </c>
      <c r="S86">
        <f>HYPERLINK("https://klasma.github.io/Logging_2482/artfynd/A 44152-2023 artfynd.xlsx", "A 44152-2023")</f>
        <v/>
      </c>
      <c r="T86">
        <f>HYPERLINK("https://klasma.github.io/Logging_2482/kartor/A 44152-2023 karta.png", "A 44152-2023")</f>
        <v/>
      </c>
      <c r="V86">
        <f>HYPERLINK("https://klasma.github.io/Logging_2482/klagomål/A 44152-2023 FSC-klagomål.docx", "A 44152-2023")</f>
        <v/>
      </c>
      <c r="W86">
        <f>HYPERLINK("https://klasma.github.io/Logging_2482/klagomålsmail/A 44152-2023 FSC-klagomål mail.docx", "A 44152-2023")</f>
        <v/>
      </c>
      <c r="X86">
        <f>HYPERLINK("https://klasma.github.io/Logging_2482/tillsyn/A 44152-2023 tillsynsbegäran.docx", "A 44152-2023")</f>
        <v/>
      </c>
      <c r="Y86">
        <f>HYPERLINK("https://klasma.github.io/Logging_2482/tillsynsmail/A 44152-2023 tillsynsbegäran mail.docx", "A 44152-2023")</f>
        <v/>
      </c>
      <c r="Z86">
        <f>HYPERLINK("https://klasma.github.io/Logging_2482/fåglar/A 44152-2023 prioriterade fågelarter.docx", "A 44152-2023")</f>
        <v/>
      </c>
    </row>
    <row r="87" ht="15" customHeight="1">
      <c r="A87" t="inlineStr">
        <is>
          <t>A 23299-2025</t>
        </is>
      </c>
      <c r="B87" s="1" t="n">
        <v>45791.59457175926</v>
      </c>
      <c r="C87" s="1" t="n">
        <v>45964</v>
      </c>
      <c r="D87" t="inlineStr">
        <is>
          <t>VÄSTERBOTTENS LÄN</t>
        </is>
      </c>
      <c r="E87" t="inlineStr">
        <is>
          <t>SKELLEFTEÅ</t>
        </is>
      </c>
      <c r="F87" t="inlineStr">
        <is>
          <t>Holmen skog AB</t>
        </is>
      </c>
      <c r="G87" t="n">
        <v>1.5</v>
      </c>
      <c r="H87" t="n">
        <v>1</v>
      </c>
      <c r="I87" t="n">
        <v>2</v>
      </c>
      <c r="J87" t="n">
        <v>1</v>
      </c>
      <c r="K87" t="n">
        <v>0</v>
      </c>
      <c r="L87" t="n">
        <v>0</v>
      </c>
      <c r="M87" t="n">
        <v>0</v>
      </c>
      <c r="N87" t="n">
        <v>0</v>
      </c>
      <c r="O87" t="n">
        <v>1</v>
      </c>
      <c r="P87" t="n">
        <v>0</v>
      </c>
      <c r="Q87" t="n">
        <v>3</v>
      </c>
      <c r="R87" s="2" t="inlineStr">
        <is>
          <t>Garnlav
Nästlav
Plattlummer</t>
        </is>
      </c>
      <c r="S87">
        <f>HYPERLINK("https://klasma.github.io/Logging_2482/artfynd/A 23299-2025 artfynd.xlsx", "A 23299-2025")</f>
        <v/>
      </c>
      <c r="T87">
        <f>HYPERLINK("https://klasma.github.io/Logging_2482/kartor/A 23299-2025 karta.png", "A 23299-2025")</f>
        <v/>
      </c>
      <c r="V87">
        <f>HYPERLINK("https://klasma.github.io/Logging_2482/klagomål/A 23299-2025 FSC-klagomål.docx", "A 23299-2025")</f>
        <v/>
      </c>
      <c r="W87">
        <f>HYPERLINK("https://klasma.github.io/Logging_2482/klagomålsmail/A 23299-2025 FSC-klagomål mail.docx", "A 23299-2025")</f>
        <v/>
      </c>
      <c r="X87">
        <f>HYPERLINK("https://klasma.github.io/Logging_2482/tillsyn/A 23299-2025 tillsynsbegäran.docx", "A 23299-2025")</f>
        <v/>
      </c>
      <c r="Y87">
        <f>HYPERLINK("https://klasma.github.io/Logging_2482/tillsynsmail/A 23299-2025 tillsynsbegäran mail.docx", "A 23299-2025")</f>
        <v/>
      </c>
    </row>
    <row r="88" ht="15" customHeight="1">
      <c r="A88" t="inlineStr">
        <is>
          <t>A 58525-2023</t>
        </is>
      </c>
      <c r="B88" s="1" t="n">
        <v>45251.38579861111</v>
      </c>
      <c r="C88" s="1" t="n">
        <v>45964</v>
      </c>
      <c r="D88" t="inlineStr">
        <is>
          <t>VÄSTERBOTTENS LÄN</t>
        </is>
      </c>
      <c r="E88" t="inlineStr">
        <is>
          <t>SKELLEFTEÅ</t>
        </is>
      </c>
      <c r="F88" t="inlineStr">
        <is>
          <t>Holmen skog AB</t>
        </is>
      </c>
      <c r="G88" t="n">
        <v>19.1</v>
      </c>
      <c r="H88" t="n">
        <v>1</v>
      </c>
      <c r="I88" t="n">
        <v>0</v>
      </c>
      <c r="J88" t="n">
        <v>3</v>
      </c>
      <c r="K88" t="n">
        <v>0</v>
      </c>
      <c r="L88" t="n">
        <v>0</v>
      </c>
      <c r="M88" t="n">
        <v>0</v>
      </c>
      <c r="N88" t="n">
        <v>0</v>
      </c>
      <c r="O88" t="n">
        <v>3</v>
      </c>
      <c r="P88" t="n">
        <v>0</v>
      </c>
      <c r="Q88" t="n">
        <v>3</v>
      </c>
      <c r="R88" s="2" t="inlineStr">
        <is>
          <t>Garnlav
Tretåig hackspett
Vedskivlav</t>
        </is>
      </c>
      <c r="S88">
        <f>HYPERLINK("https://klasma.github.io/Logging_2482/artfynd/A 58525-2023 artfynd.xlsx", "A 58525-2023")</f>
        <v/>
      </c>
      <c r="T88">
        <f>HYPERLINK("https://klasma.github.io/Logging_2482/kartor/A 58525-2023 karta.png", "A 58525-2023")</f>
        <v/>
      </c>
      <c r="V88">
        <f>HYPERLINK("https://klasma.github.io/Logging_2482/klagomål/A 58525-2023 FSC-klagomål.docx", "A 58525-2023")</f>
        <v/>
      </c>
      <c r="W88">
        <f>HYPERLINK("https://klasma.github.io/Logging_2482/klagomålsmail/A 58525-2023 FSC-klagomål mail.docx", "A 58525-2023")</f>
        <v/>
      </c>
      <c r="X88">
        <f>HYPERLINK("https://klasma.github.io/Logging_2482/tillsyn/A 58525-2023 tillsynsbegäran.docx", "A 58525-2023")</f>
        <v/>
      </c>
      <c r="Y88">
        <f>HYPERLINK("https://klasma.github.io/Logging_2482/tillsynsmail/A 58525-2023 tillsynsbegäran mail.docx", "A 58525-2023")</f>
        <v/>
      </c>
      <c r="Z88">
        <f>HYPERLINK("https://klasma.github.io/Logging_2482/fåglar/A 58525-2023 prioriterade fågelarter.docx", "A 58525-2023")</f>
        <v/>
      </c>
    </row>
    <row r="89" ht="15" customHeight="1">
      <c r="A89" t="inlineStr">
        <is>
          <t>A 23725-2025</t>
        </is>
      </c>
      <c r="B89" s="1" t="n">
        <v>45793.40694444445</v>
      </c>
      <c r="C89" s="1" t="n">
        <v>45964</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41099-2023</t>
        </is>
      </c>
      <c r="B90" s="1" t="n">
        <v>45173.68905092592</v>
      </c>
      <c r="C90" s="1" t="n">
        <v>45964</v>
      </c>
      <c r="D90" t="inlineStr">
        <is>
          <t>VÄSTERBOTTENS LÄN</t>
        </is>
      </c>
      <c r="E90" t="inlineStr">
        <is>
          <t>SKELLEFTEÅ</t>
        </is>
      </c>
      <c r="F90" t="inlineStr">
        <is>
          <t>Holmen skog AB</t>
        </is>
      </c>
      <c r="G90" t="n">
        <v>7.3</v>
      </c>
      <c r="H90" t="n">
        <v>0</v>
      </c>
      <c r="I90" t="n">
        <v>0</v>
      </c>
      <c r="J90" t="n">
        <v>3</v>
      </c>
      <c r="K90" t="n">
        <v>0</v>
      </c>
      <c r="L90" t="n">
        <v>0</v>
      </c>
      <c r="M90" t="n">
        <v>0</v>
      </c>
      <c r="N90" t="n">
        <v>0</v>
      </c>
      <c r="O90" t="n">
        <v>3</v>
      </c>
      <c r="P90" t="n">
        <v>0</v>
      </c>
      <c r="Q90" t="n">
        <v>3</v>
      </c>
      <c r="R90" s="2" t="inlineStr">
        <is>
          <t>Gammelgransskål
Garnlav
Lunglav</t>
        </is>
      </c>
      <c r="S90">
        <f>HYPERLINK("https://klasma.github.io/Logging_2482/artfynd/A 41099-2023 artfynd.xlsx", "A 41099-2023")</f>
        <v/>
      </c>
      <c r="T90">
        <f>HYPERLINK("https://klasma.github.io/Logging_2482/kartor/A 41099-2023 karta.png", "A 41099-2023")</f>
        <v/>
      </c>
      <c r="V90">
        <f>HYPERLINK("https://klasma.github.io/Logging_2482/klagomål/A 41099-2023 FSC-klagomål.docx", "A 41099-2023")</f>
        <v/>
      </c>
      <c r="W90">
        <f>HYPERLINK("https://klasma.github.io/Logging_2482/klagomålsmail/A 41099-2023 FSC-klagomål mail.docx", "A 41099-2023")</f>
        <v/>
      </c>
      <c r="X90">
        <f>HYPERLINK("https://klasma.github.io/Logging_2482/tillsyn/A 41099-2023 tillsynsbegäran.docx", "A 41099-2023")</f>
        <v/>
      </c>
      <c r="Y90">
        <f>HYPERLINK("https://klasma.github.io/Logging_2482/tillsynsmail/A 41099-2023 tillsynsbegäran mail.docx", "A 41099-2023")</f>
        <v/>
      </c>
    </row>
    <row r="91" ht="15" customHeight="1">
      <c r="A91" t="inlineStr">
        <is>
          <t>A 56435-2023</t>
        </is>
      </c>
      <c r="B91" s="1" t="n">
        <v>45243</v>
      </c>
      <c r="C91" s="1" t="n">
        <v>45964</v>
      </c>
      <c r="D91" t="inlineStr">
        <is>
          <t>VÄSTERBOTTENS LÄN</t>
        </is>
      </c>
      <c r="E91" t="inlineStr">
        <is>
          <t>SKELLEFTEÅ</t>
        </is>
      </c>
      <c r="G91" t="n">
        <v>4.1</v>
      </c>
      <c r="H91" t="n">
        <v>0</v>
      </c>
      <c r="I91" t="n">
        <v>0</v>
      </c>
      <c r="J91" t="n">
        <v>3</v>
      </c>
      <c r="K91" t="n">
        <v>0</v>
      </c>
      <c r="L91" t="n">
        <v>0</v>
      </c>
      <c r="M91" t="n">
        <v>0</v>
      </c>
      <c r="N91" t="n">
        <v>0</v>
      </c>
      <c r="O91" t="n">
        <v>3</v>
      </c>
      <c r="P91" t="n">
        <v>0</v>
      </c>
      <c r="Q91" t="n">
        <v>3</v>
      </c>
      <c r="R91" s="2" t="inlineStr">
        <is>
          <t>Lunglav
Ullticka
Violettgrå tagellav</t>
        </is>
      </c>
      <c r="S91">
        <f>HYPERLINK("https://klasma.github.io/Logging_2482/artfynd/A 56435-2023 artfynd.xlsx", "A 56435-2023")</f>
        <v/>
      </c>
      <c r="T91">
        <f>HYPERLINK("https://klasma.github.io/Logging_2482/kartor/A 56435-2023 karta.png", "A 56435-2023")</f>
        <v/>
      </c>
      <c r="V91">
        <f>HYPERLINK("https://klasma.github.io/Logging_2482/klagomål/A 56435-2023 FSC-klagomål.docx", "A 56435-2023")</f>
        <v/>
      </c>
      <c r="W91">
        <f>HYPERLINK("https://klasma.github.io/Logging_2482/klagomålsmail/A 56435-2023 FSC-klagomål mail.docx", "A 56435-2023")</f>
        <v/>
      </c>
      <c r="X91">
        <f>HYPERLINK("https://klasma.github.io/Logging_2482/tillsyn/A 56435-2023 tillsynsbegäran.docx", "A 56435-2023")</f>
        <v/>
      </c>
      <c r="Y91">
        <f>HYPERLINK("https://klasma.github.io/Logging_2482/tillsynsmail/A 56435-2023 tillsynsbegäran mail.docx", "A 56435-2023")</f>
        <v/>
      </c>
    </row>
    <row r="92" ht="15" customHeight="1">
      <c r="A92" t="inlineStr">
        <is>
          <t>A 32937-2025</t>
        </is>
      </c>
      <c r="B92" s="1" t="n">
        <v>45839.67740740741</v>
      </c>
      <c r="C92" s="1" t="n">
        <v>45964</v>
      </c>
      <c r="D92" t="inlineStr">
        <is>
          <t>VÄSTERBOTTENS LÄN</t>
        </is>
      </c>
      <c r="E92" t="inlineStr">
        <is>
          <t>SKELLEFTEÅ</t>
        </is>
      </c>
      <c r="F92" t="inlineStr">
        <is>
          <t>Holmen skog AB</t>
        </is>
      </c>
      <c r="G92" t="n">
        <v>24.3</v>
      </c>
      <c r="H92" t="n">
        <v>2</v>
      </c>
      <c r="I92" t="n">
        <v>0</v>
      </c>
      <c r="J92" t="n">
        <v>3</v>
      </c>
      <c r="K92" t="n">
        <v>0</v>
      </c>
      <c r="L92" t="n">
        <v>0</v>
      </c>
      <c r="M92" t="n">
        <v>0</v>
      </c>
      <c r="N92" t="n">
        <v>0</v>
      </c>
      <c r="O92" t="n">
        <v>3</v>
      </c>
      <c r="P92" t="n">
        <v>0</v>
      </c>
      <c r="Q92" t="n">
        <v>3</v>
      </c>
      <c r="R92" s="2" t="inlineStr">
        <is>
          <t>Garnlav
Spillkråka
Talltita</t>
        </is>
      </c>
      <c r="S92">
        <f>HYPERLINK("https://klasma.github.io/Logging_2482/artfynd/A 32937-2025 artfynd.xlsx", "A 32937-2025")</f>
        <v/>
      </c>
      <c r="T92">
        <f>HYPERLINK("https://klasma.github.io/Logging_2482/kartor/A 32937-2025 karta.png", "A 32937-2025")</f>
        <v/>
      </c>
      <c r="V92">
        <f>HYPERLINK("https://klasma.github.io/Logging_2482/klagomål/A 32937-2025 FSC-klagomål.docx", "A 32937-2025")</f>
        <v/>
      </c>
      <c r="W92">
        <f>HYPERLINK("https://klasma.github.io/Logging_2482/klagomålsmail/A 32937-2025 FSC-klagomål mail.docx", "A 32937-2025")</f>
        <v/>
      </c>
      <c r="X92">
        <f>HYPERLINK("https://klasma.github.io/Logging_2482/tillsyn/A 32937-2025 tillsynsbegäran.docx", "A 32937-2025")</f>
        <v/>
      </c>
      <c r="Y92">
        <f>HYPERLINK("https://klasma.github.io/Logging_2482/tillsynsmail/A 32937-2025 tillsynsbegäran mail.docx", "A 32937-2025")</f>
        <v/>
      </c>
      <c r="Z92">
        <f>HYPERLINK("https://klasma.github.io/Logging_2482/fåglar/A 32937-2025 prioriterade fågelarter.docx", "A 32937-2025")</f>
        <v/>
      </c>
    </row>
    <row r="93" ht="15" customHeight="1">
      <c r="A93" t="inlineStr">
        <is>
          <t>A 35159-2025</t>
        </is>
      </c>
      <c r="B93" s="1" t="n">
        <v>45852</v>
      </c>
      <c r="C93" s="1" t="n">
        <v>45964</v>
      </c>
      <c r="D93" t="inlineStr">
        <is>
          <t>VÄSTERBOTTENS LÄN</t>
        </is>
      </c>
      <c r="E93" t="inlineStr">
        <is>
          <t>SKELLEFTEÅ</t>
        </is>
      </c>
      <c r="G93" t="n">
        <v>3.3</v>
      </c>
      <c r="H93" t="n">
        <v>1</v>
      </c>
      <c r="I93" t="n">
        <v>0</v>
      </c>
      <c r="J93" t="n">
        <v>2</v>
      </c>
      <c r="K93" t="n">
        <v>0</v>
      </c>
      <c r="L93" t="n">
        <v>0</v>
      </c>
      <c r="M93" t="n">
        <v>0</v>
      </c>
      <c r="N93" t="n">
        <v>0</v>
      </c>
      <c r="O93" t="n">
        <v>3</v>
      </c>
      <c r="P93" t="n">
        <v>0</v>
      </c>
      <c r="Q93" t="n">
        <v>3</v>
      </c>
      <c r="R93" s="2" t="inlineStr">
        <is>
          <t>Granticka
Talltita
Postia balsamina</t>
        </is>
      </c>
      <c r="S93">
        <f>HYPERLINK("https://klasma.github.io/Logging_2482/artfynd/A 35159-2025 artfynd.xlsx", "A 35159-2025")</f>
        <v/>
      </c>
      <c r="T93">
        <f>HYPERLINK("https://klasma.github.io/Logging_2482/kartor/A 35159-2025 karta.png", "A 35159-2025")</f>
        <v/>
      </c>
      <c r="V93">
        <f>HYPERLINK("https://klasma.github.io/Logging_2482/klagomål/A 35159-2025 FSC-klagomål.docx", "A 35159-2025")</f>
        <v/>
      </c>
      <c r="W93">
        <f>HYPERLINK("https://klasma.github.io/Logging_2482/klagomålsmail/A 35159-2025 FSC-klagomål mail.docx", "A 35159-2025")</f>
        <v/>
      </c>
      <c r="X93">
        <f>HYPERLINK("https://klasma.github.io/Logging_2482/tillsyn/A 35159-2025 tillsynsbegäran.docx", "A 35159-2025")</f>
        <v/>
      </c>
      <c r="Y93">
        <f>HYPERLINK("https://klasma.github.io/Logging_2482/tillsynsmail/A 35159-2025 tillsynsbegäran mail.docx", "A 35159-2025")</f>
        <v/>
      </c>
      <c r="Z93">
        <f>HYPERLINK("https://klasma.github.io/Logging_2482/fåglar/A 35159-2025 prioriterade fågelarter.docx", "A 35159-2025")</f>
        <v/>
      </c>
    </row>
    <row r="94" ht="15" customHeight="1">
      <c r="A94" t="inlineStr">
        <is>
          <t>A 14498-2022</t>
        </is>
      </c>
      <c r="B94" s="1" t="n">
        <v>44655</v>
      </c>
      <c r="C94" s="1" t="n">
        <v>45964</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29725-2021</t>
        </is>
      </c>
      <c r="B95" s="1" t="n">
        <v>44362.44362268518</v>
      </c>
      <c r="C95" s="1" t="n">
        <v>45964</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41412-2022</t>
        </is>
      </c>
      <c r="B96" s="1" t="n">
        <v>44826</v>
      </c>
      <c r="C96" s="1" t="n">
        <v>45964</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38401-2025</t>
        </is>
      </c>
      <c r="B97" s="1" t="n">
        <v>45883.58827546296</v>
      </c>
      <c r="C97" s="1" t="n">
        <v>45964</v>
      </c>
      <c r="D97" t="inlineStr">
        <is>
          <t>VÄSTERBOTTENS LÄN</t>
        </is>
      </c>
      <c r="E97" t="inlineStr">
        <is>
          <t>SKELLEFTEÅ</t>
        </is>
      </c>
      <c r="F97" t="inlineStr">
        <is>
          <t>Holmen skog AB</t>
        </is>
      </c>
      <c r="G97" t="n">
        <v>9.5</v>
      </c>
      <c r="H97" t="n">
        <v>0</v>
      </c>
      <c r="I97" t="n">
        <v>1</v>
      </c>
      <c r="J97" t="n">
        <v>2</v>
      </c>
      <c r="K97" t="n">
        <v>0</v>
      </c>
      <c r="L97" t="n">
        <v>0</v>
      </c>
      <c r="M97" t="n">
        <v>0</v>
      </c>
      <c r="N97" t="n">
        <v>0</v>
      </c>
      <c r="O97" t="n">
        <v>2</v>
      </c>
      <c r="P97" t="n">
        <v>0</v>
      </c>
      <c r="Q97" t="n">
        <v>3</v>
      </c>
      <c r="R97" s="2" t="inlineStr">
        <is>
          <t>Ullticka
Violettgrå tagellav
Ögonpyrola</t>
        </is>
      </c>
      <c r="S97">
        <f>HYPERLINK("https://klasma.github.io/Logging_2482/artfynd/A 38401-2025 artfynd.xlsx", "A 38401-2025")</f>
        <v/>
      </c>
      <c r="T97">
        <f>HYPERLINK("https://klasma.github.io/Logging_2482/kartor/A 38401-2025 karta.png", "A 38401-2025")</f>
        <v/>
      </c>
      <c r="V97">
        <f>HYPERLINK("https://klasma.github.io/Logging_2482/klagomål/A 38401-2025 FSC-klagomål.docx", "A 38401-2025")</f>
        <v/>
      </c>
      <c r="W97">
        <f>HYPERLINK("https://klasma.github.io/Logging_2482/klagomålsmail/A 38401-2025 FSC-klagomål mail.docx", "A 38401-2025")</f>
        <v/>
      </c>
      <c r="X97">
        <f>HYPERLINK("https://klasma.github.io/Logging_2482/tillsyn/A 38401-2025 tillsynsbegäran.docx", "A 38401-2025")</f>
        <v/>
      </c>
      <c r="Y97">
        <f>HYPERLINK("https://klasma.github.io/Logging_2482/tillsynsmail/A 38401-2025 tillsynsbegäran mail.docx", "A 38401-2025")</f>
        <v/>
      </c>
    </row>
    <row r="98" ht="15" customHeight="1">
      <c r="A98" t="inlineStr">
        <is>
          <t>A 58661-2021</t>
        </is>
      </c>
      <c r="B98" s="1" t="n">
        <v>44489.40372685185</v>
      </c>
      <c r="C98" s="1" t="n">
        <v>45964</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45964</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53422-2024</t>
        </is>
      </c>
      <c r="B100" s="1" t="n">
        <v>45614.51167824074</v>
      </c>
      <c r="C100" s="1" t="n">
        <v>45964</v>
      </c>
      <c r="D100" t="inlineStr">
        <is>
          <t>VÄSTERBOTTENS LÄN</t>
        </is>
      </c>
      <c r="E100" t="inlineStr">
        <is>
          <t>SKELLEFTEÅ</t>
        </is>
      </c>
      <c r="G100" t="n">
        <v>1.6</v>
      </c>
      <c r="H100" t="n">
        <v>1</v>
      </c>
      <c r="I100" t="n">
        <v>0</v>
      </c>
      <c r="J100" t="n">
        <v>2</v>
      </c>
      <c r="K100" t="n">
        <v>0</v>
      </c>
      <c r="L100" t="n">
        <v>0</v>
      </c>
      <c r="M100" t="n">
        <v>0</v>
      </c>
      <c r="N100" t="n">
        <v>0</v>
      </c>
      <c r="O100" t="n">
        <v>2</v>
      </c>
      <c r="P100" t="n">
        <v>0</v>
      </c>
      <c r="Q100" t="n">
        <v>2</v>
      </c>
      <c r="R100" s="2" t="inlineStr">
        <is>
          <t>Järpe
Talltaggsvamp</t>
        </is>
      </c>
      <c r="S100">
        <f>HYPERLINK("https://klasma.github.io/Logging_2482/artfynd/A 53422-2024 artfynd.xlsx", "A 53422-2024")</f>
        <v/>
      </c>
      <c r="T100">
        <f>HYPERLINK("https://klasma.github.io/Logging_2482/kartor/A 53422-2024 karta.png", "A 53422-2024")</f>
        <v/>
      </c>
      <c r="V100">
        <f>HYPERLINK("https://klasma.github.io/Logging_2482/klagomål/A 53422-2024 FSC-klagomål.docx", "A 53422-2024")</f>
        <v/>
      </c>
      <c r="W100">
        <f>HYPERLINK("https://klasma.github.io/Logging_2482/klagomålsmail/A 53422-2024 FSC-klagomål mail.docx", "A 53422-2024")</f>
        <v/>
      </c>
      <c r="X100">
        <f>HYPERLINK("https://klasma.github.io/Logging_2482/tillsyn/A 53422-2024 tillsynsbegäran.docx", "A 53422-2024")</f>
        <v/>
      </c>
      <c r="Y100">
        <f>HYPERLINK("https://klasma.github.io/Logging_2482/tillsynsmail/A 53422-2024 tillsynsbegäran mail.docx", "A 53422-2024")</f>
        <v/>
      </c>
      <c r="Z100">
        <f>HYPERLINK("https://klasma.github.io/Logging_2482/fåglar/A 53422-2024 prioriterade fågelarter.docx", "A 53422-2024")</f>
        <v/>
      </c>
    </row>
    <row r="101" ht="15" customHeight="1">
      <c r="A101" t="inlineStr">
        <is>
          <t>A 58701-2023</t>
        </is>
      </c>
      <c r="B101" s="1" t="n">
        <v>45247</v>
      </c>
      <c r="C101" s="1" t="n">
        <v>45964</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57851-2024</t>
        </is>
      </c>
      <c r="B102" s="1" t="n">
        <v>45631</v>
      </c>
      <c r="C102" s="1" t="n">
        <v>45964</v>
      </c>
      <c r="D102" t="inlineStr">
        <is>
          <t>VÄSTERBOTTENS LÄN</t>
        </is>
      </c>
      <c r="E102" t="inlineStr">
        <is>
          <t>SKELLEFTEÅ</t>
        </is>
      </c>
      <c r="F102" t="inlineStr">
        <is>
          <t>Sveaskog</t>
        </is>
      </c>
      <c r="G102" t="n">
        <v>15.7</v>
      </c>
      <c r="H102" t="n">
        <v>2</v>
      </c>
      <c r="I102" t="n">
        <v>0</v>
      </c>
      <c r="J102" t="n">
        <v>0</v>
      </c>
      <c r="K102" t="n">
        <v>0</v>
      </c>
      <c r="L102" t="n">
        <v>0</v>
      </c>
      <c r="M102" t="n">
        <v>0</v>
      </c>
      <c r="N102" t="n">
        <v>0</v>
      </c>
      <c r="O102" t="n">
        <v>0</v>
      </c>
      <c r="P102" t="n">
        <v>0</v>
      </c>
      <c r="Q102" t="n">
        <v>2</v>
      </c>
      <c r="R102" s="2" t="inlineStr">
        <is>
          <t>Fläcknycklar
Revlummer</t>
        </is>
      </c>
      <c r="S102">
        <f>HYPERLINK("https://klasma.github.io/Logging_2482/artfynd/A 57851-2024 artfynd.xlsx", "A 57851-2024")</f>
        <v/>
      </c>
      <c r="T102">
        <f>HYPERLINK("https://klasma.github.io/Logging_2482/kartor/A 57851-2024 karta.png", "A 57851-2024")</f>
        <v/>
      </c>
      <c r="V102">
        <f>HYPERLINK("https://klasma.github.io/Logging_2482/klagomål/A 57851-2024 FSC-klagomål.docx", "A 57851-2024")</f>
        <v/>
      </c>
      <c r="W102">
        <f>HYPERLINK("https://klasma.github.io/Logging_2482/klagomålsmail/A 57851-2024 FSC-klagomål mail.docx", "A 57851-2024")</f>
        <v/>
      </c>
      <c r="X102">
        <f>HYPERLINK("https://klasma.github.io/Logging_2482/tillsyn/A 57851-2024 tillsynsbegäran.docx", "A 57851-2024")</f>
        <v/>
      </c>
      <c r="Y102">
        <f>HYPERLINK("https://klasma.github.io/Logging_2482/tillsynsmail/A 57851-2024 tillsynsbegäran mail.docx", "A 57851-2024")</f>
        <v/>
      </c>
    </row>
    <row r="103" ht="15" customHeight="1">
      <c r="A103" t="inlineStr">
        <is>
          <t>A 53271-2024</t>
        </is>
      </c>
      <c r="B103" s="1" t="n">
        <v>45614.36726851852</v>
      </c>
      <c r="C103" s="1" t="n">
        <v>45964</v>
      </c>
      <c r="D103" t="inlineStr">
        <is>
          <t>VÄSTERBOTTENS LÄN</t>
        </is>
      </c>
      <c r="E103" t="inlineStr">
        <is>
          <t>SKELLEFTEÅ</t>
        </is>
      </c>
      <c r="F103" t="inlineStr">
        <is>
          <t>Holmen skog AB</t>
        </is>
      </c>
      <c r="G103" t="n">
        <v>11.1</v>
      </c>
      <c r="H103" t="n">
        <v>0</v>
      </c>
      <c r="I103" t="n">
        <v>1</v>
      </c>
      <c r="J103" t="n">
        <v>1</v>
      </c>
      <c r="K103" t="n">
        <v>0</v>
      </c>
      <c r="L103" t="n">
        <v>0</v>
      </c>
      <c r="M103" t="n">
        <v>0</v>
      </c>
      <c r="N103" t="n">
        <v>0</v>
      </c>
      <c r="O103" t="n">
        <v>1</v>
      </c>
      <c r="P103" t="n">
        <v>0</v>
      </c>
      <c r="Q103" t="n">
        <v>2</v>
      </c>
      <c r="R103" s="2" t="inlineStr">
        <is>
          <t>Orange taggsvamp
Ögonpyrola</t>
        </is>
      </c>
      <c r="S103">
        <f>HYPERLINK("https://klasma.github.io/Logging_2482/artfynd/A 53271-2024 artfynd.xlsx", "A 53271-2024")</f>
        <v/>
      </c>
      <c r="T103">
        <f>HYPERLINK("https://klasma.github.io/Logging_2482/kartor/A 53271-2024 karta.png", "A 53271-2024")</f>
        <v/>
      </c>
      <c r="V103">
        <f>HYPERLINK("https://klasma.github.io/Logging_2482/klagomål/A 53271-2024 FSC-klagomål.docx", "A 53271-2024")</f>
        <v/>
      </c>
      <c r="W103">
        <f>HYPERLINK("https://klasma.github.io/Logging_2482/klagomålsmail/A 53271-2024 FSC-klagomål mail.docx", "A 53271-2024")</f>
        <v/>
      </c>
      <c r="X103">
        <f>HYPERLINK("https://klasma.github.io/Logging_2482/tillsyn/A 53271-2024 tillsynsbegäran.docx", "A 53271-2024")</f>
        <v/>
      </c>
      <c r="Y103">
        <f>HYPERLINK("https://klasma.github.io/Logging_2482/tillsynsmail/A 53271-2024 tillsynsbegäran mail.docx", "A 53271-2024")</f>
        <v/>
      </c>
    </row>
    <row r="104" ht="15" customHeight="1">
      <c r="A104" t="inlineStr">
        <is>
          <t>A 55198-2024</t>
        </is>
      </c>
      <c r="B104" s="1" t="n">
        <v>45620</v>
      </c>
      <c r="C104" s="1" t="n">
        <v>45964</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43250-2023</t>
        </is>
      </c>
      <c r="B105" s="1" t="n">
        <v>45180</v>
      </c>
      <c r="C105" s="1" t="n">
        <v>45964</v>
      </c>
      <c r="D105" t="inlineStr">
        <is>
          <t>VÄSTERBOTTENS LÄN</t>
        </is>
      </c>
      <c r="E105" t="inlineStr">
        <is>
          <t>SKELLEFTEÅ</t>
        </is>
      </c>
      <c r="G105" t="n">
        <v>3.3</v>
      </c>
      <c r="H105" t="n">
        <v>1</v>
      </c>
      <c r="I105" t="n">
        <v>0</v>
      </c>
      <c r="J105" t="n">
        <v>1</v>
      </c>
      <c r="K105" t="n">
        <v>1</v>
      </c>
      <c r="L105" t="n">
        <v>0</v>
      </c>
      <c r="M105" t="n">
        <v>0</v>
      </c>
      <c r="N105" t="n">
        <v>0</v>
      </c>
      <c r="O105" t="n">
        <v>2</v>
      </c>
      <c r="P105" t="n">
        <v>1</v>
      </c>
      <c r="Q105" t="n">
        <v>2</v>
      </c>
      <c r="R105" s="2" t="inlineStr">
        <is>
          <t>Knärot
Gammelgransskål</t>
        </is>
      </c>
      <c r="S105">
        <f>HYPERLINK("https://klasma.github.io/Logging_2482/artfynd/A 43250-2023 artfynd.xlsx", "A 43250-2023")</f>
        <v/>
      </c>
      <c r="T105">
        <f>HYPERLINK("https://klasma.github.io/Logging_2482/kartor/A 43250-2023 karta.png", "A 43250-2023")</f>
        <v/>
      </c>
      <c r="U105">
        <f>HYPERLINK("https://klasma.github.io/Logging_2482/knärot/A 43250-2023 karta knärot.png", "A 43250-2023")</f>
        <v/>
      </c>
      <c r="V105">
        <f>HYPERLINK("https://klasma.github.io/Logging_2482/klagomål/A 43250-2023 FSC-klagomål.docx", "A 43250-2023")</f>
        <v/>
      </c>
      <c r="W105">
        <f>HYPERLINK("https://klasma.github.io/Logging_2482/klagomålsmail/A 43250-2023 FSC-klagomål mail.docx", "A 43250-2023")</f>
        <v/>
      </c>
      <c r="X105">
        <f>HYPERLINK("https://klasma.github.io/Logging_2482/tillsyn/A 43250-2023 tillsynsbegäran.docx", "A 43250-2023")</f>
        <v/>
      </c>
      <c r="Y105">
        <f>HYPERLINK("https://klasma.github.io/Logging_2482/tillsynsmail/A 43250-2023 tillsynsbegäran mail.docx", "A 43250-2023")</f>
        <v/>
      </c>
    </row>
    <row r="106" ht="15" customHeight="1">
      <c r="A106" t="inlineStr">
        <is>
          <t>A 901-2023</t>
        </is>
      </c>
      <c r="B106" s="1" t="n">
        <v>44931.92556712963</v>
      </c>
      <c r="C106" s="1" t="n">
        <v>45964</v>
      </c>
      <c r="D106" t="inlineStr">
        <is>
          <t>VÄSTERBOTTENS LÄN</t>
        </is>
      </c>
      <c r="E106" t="inlineStr">
        <is>
          <t>SKELLEFTEÅ</t>
        </is>
      </c>
      <c r="G106" t="n">
        <v>7.7</v>
      </c>
      <c r="H106" t="n">
        <v>0</v>
      </c>
      <c r="I106" t="n">
        <v>0</v>
      </c>
      <c r="J106" t="n">
        <v>2</v>
      </c>
      <c r="K106" t="n">
        <v>0</v>
      </c>
      <c r="L106" t="n">
        <v>0</v>
      </c>
      <c r="M106" t="n">
        <v>0</v>
      </c>
      <c r="N106" t="n">
        <v>0</v>
      </c>
      <c r="O106" t="n">
        <v>2</v>
      </c>
      <c r="P106" t="n">
        <v>0</v>
      </c>
      <c r="Q106" t="n">
        <v>2</v>
      </c>
      <c r="R106" s="2" t="inlineStr">
        <is>
          <t>Garnlav
Skogshare</t>
        </is>
      </c>
      <c r="S106">
        <f>HYPERLINK("https://klasma.github.io/Logging_2482/artfynd/A 901-2023 artfynd.xlsx", "A 901-2023")</f>
        <v/>
      </c>
      <c r="T106">
        <f>HYPERLINK("https://klasma.github.io/Logging_2482/kartor/A 901-2023 karta.png", "A 901-2023")</f>
        <v/>
      </c>
      <c r="V106">
        <f>HYPERLINK("https://klasma.github.io/Logging_2482/klagomål/A 901-2023 FSC-klagomål.docx", "A 901-2023")</f>
        <v/>
      </c>
      <c r="W106">
        <f>HYPERLINK("https://klasma.github.io/Logging_2482/klagomålsmail/A 901-2023 FSC-klagomål mail.docx", "A 901-2023")</f>
        <v/>
      </c>
      <c r="X106">
        <f>HYPERLINK("https://klasma.github.io/Logging_2482/tillsyn/A 901-2023 tillsynsbegäran.docx", "A 901-2023")</f>
        <v/>
      </c>
      <c r="Y106">
        <f>HYPERLINK("https://klasma.github.io/Logging_2482/tillsynsmail/A 901-2023 tillsynsbegäran mail.docx", "A 901-2023")</f>
        <v/>
      </c>
    </row>
    <row r="107" ht="15" customHeight="1">
      <c r="A107" t="inlineStr">
        <is>
          <t>A 43743-2024</t>
        </is>
      </c>
      <c r="B107" s="1" t="n">
        <v>45569.66039351852</v>
      </c>
      <c r="C107" s="1" t="n">
        <v>45964</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5110-2025</t>
        </is>
      </c>
      <c r="B108" s="1" t="n">
        <v>45691</v>
      </c>
      <c r="C108" s="1" t="n">
        <v>45964</v>
      </c>
      <c r="D108" t="inlineStr">
        <is>
          <t>VÄSTERBOTTENS LÄN</t>
        </is>
      </c>
      <c r="E108" t="inlineStr">
        <is>
          <t>SKELLEFTEÅ</t>
        </is>
      </c>
      <c r="G108" t="n">
        <v>3.5</v>
      </c>
      <c r="H108" t="n">
        <v>0</v>
      </c>
      <c r="I108" t="n">
        <v>0</v>
      </c>
      <c r="J108" t="n">
        <v>2</v>
      </c>
      <c r="K108" t="n">
        <v>0</v>
      </c>
      <c r="L108" t="n">
        <v>0</v>
      </c>
      <c r="M108" t="n">
        <v>0</v>
      </c>
      <c r="N108" t="n">
        <v>0</v>
      </c>
      <c r="O108" t="n">
        <v>2</v>
      </c>
      <c r="P108" t="n">
        <v>0</v>
      </c>
      <c r="Q108" t="n">
        <v>2</v>
      </c>
      <c r="R108" s="2" t="inlineStr">
        <is>
          <t>Gammelgransskål
Harticka</t>
        </is>
      </c>
      <c r="S108">
        <f>HYPERLINK("https://klasma.github.io/Logging_2482/artfynd/A 5110-2025 artfynd.xlsx", "A 5110-2025")</f>
        <v/>
      </c>
      <c r="T108">
        <f>HYPERLINK("https://klasma.github.io/Logging_2482/kartor/A 5110-2025 karta.png", "A 5110-2025")</f>
        <v/>
      </c>
      <c r="V108">
        <f>HYPERLINK("https://klasma.github.io/Logging_2482/klagomål/A 5110-2025 FSC-klagomål.docx", "A 5110-2025")</f>
        <v/>
      </c>
      <c r="W108">
        <f>HYPERLINK("https://klasma.github.io/Logging_2482/klagomålsmail/A 5110-2025 FSC-klagomål mail.docx", "A 5110-2025")</f>
        <v/>
      </c>
      <c r="X108">
        <f>HYPERLINK("https://klasma.github.io/Logging_2482/tillsyn/A 5110-2025 tillsynsbegäran.docx", "A 5110-2025")</f>
        <v/>
      </c>
      <c r="Y108">
        <f>HYPERLINK("https://klasma.github.io/Logging_2482/tillsynsmail/A 5110-2025 tillsynsbegäran mail.docx", "A 5110-2025")</f>
        <v/>
      </c>
    </row>
    <row r="109" ht="15" customHeight="1">
      <c r="A109" t="inlineStr">
        <is>
          <t>A 57222-2024</t>
        </is>
      </c>
      <c r="B109" s="1" t="n">
        <v>45629.52625</v>
      </c>
      <c r="C109" s="1" t="n">
        <v>45964</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11627-2023</t>
        </is>
      </c>
      <c r="B110" s="1" t="n">
        <v>44994</v>
      </c>
      <c r="C110" s="1" t="n">
        <v>45964</v>
      </c>
      <c r="D110" t="inlineStr">
        <is>
          <t>VÄSTERBOTTENS LÄN</t>
        </is>
      </c>
      <c r="E110" t="inlineStr">
        <is>
          <t>SKELLEFTEÅ</t>
        </is>
      </c>
      <c r="G110" t="n">
        <v>16.6</v>
      </c>
      <c r="H110" t="n">
        <v>1</v>
      </c>
      <c r="I110" t="n">
        <v>1</v>
      </c>
      <c r="J110" t="n">
        <v>0</v>
      </c>
      <c r="K110" t="n">
        <v>0</v>
      </c>
      <c r="L110" t="n">
        <v>0</v>
      </c>
      <c r="M110" t="n">
        <v>0</v>
      </c>
      <c r="N110" t="n">
        <v>0</v>
      </c>
      <c r="O110" t="n">
        <v>0</v>
      </c>
      <c r="P110" t="n">
        <v>0</v>
      </c>
      <c r="Q110" t="n">
        <v>2</v>
      </c>
      <c r="R110" s="2" t="inlineStr">
        <is>
          <t>Norrlandslav
Revlummer</t>
        </is>
      </c>
      <c r="S110">
        <f>HYPERLINK("https://klasma.github.io/Logging_2482/artfynd/A 11627-2023 artfynd.xlsx", "A 11627-2023")</f>
        <v/>
      </c>
      <c r="T110">
        <f>HYPERLINK("https://klasma.github.io/Logging_2482/kartor/A 11627-2023 karta.png", "A 11627-2023")</f>
        <v/>
      </c>
      <c r="V110">
        <f>HYPERLINK("https://klasma.github.io/Logging_2482/klagomål/A 11627-2023 FSC-klagomål.docx", "A 11627-2023")</f>
        <v/>
      </c>
      <c r="W110">
        <f>HYPERLINK("https://klasma.github.io/Logging_2482/klagomålsmail/A 11627-2023 FSC-klagomål mail.docx", "A 11627-2023")</f>
        <v/>
      </c>
      <c r="X110">
        <f>HYPERLINK("https://klasma.github.io/Logging_2482/tillsyn/A 11627-2023 tillsynsbegäran.docx", "A 11627-2023")</f>
        <v/>
      </c>
      <c r="Y110">
        <f>HYPERLINK("https://klasma.github.io/Logging_2482/tillsynsmail/A 11627-2023 tillsynsbegäran mail.docx", "A 11627-2023")</f>
        <v/>
      </c>
    </row>
    <row r="111" ht="15" customHeight="1">
      <c r="A111" t="inlineStr">
        <is>
          <t>A 23329-2025</t>
        </is>
      </c>
      <c r="B111" s="1" t="n">
        <v>45791.64069444445</v>
      </c>
      <c r="C111" s="1" t="n">
        <v>45964</v>
      </c>
      <c r="D111" t="inlineStr">
        <is>
          <t>VÄSTERBOTTENS LÄN</t>
        </is>
      </c>
      <c r="E111" t="inlineStr">
        <is>
          <t>SKELLEFTEÅ</t>
        </is>
      </c>
      <c r="F111" t="inlineStr">
        <is>
          <t>Holmen skog AB</t>
        </is>
      </c>
      <c r="G111" t="n">
        <v>3.3</v>
      </c>
      <c r="H111" t="n">
        <v>0</v>
      </c>
      <c r="I111" t="n">
        <v>1</v>
      </c>
      <c r="J111" t="n">
        <v>1</v>
      </c>
      <c r="K111" t="n">
        <v>0</v>
      </c>
      <c r="L111" t="n">
        <v>0</v>
      </c>
      <c r="M111" t="n">
        <v>0</v>
      </c>
      <c r="N111" t="n">
        <v>0</v>
      </c>
      <c r="O111" t="n">
        <v>1</v>
      </c>
      <c r="P111" t="n">
        <v>0</v>
      </c>
      <c r="Q111" t="n">
        <v>2</v>
      </c>
      <c r="R111" s="2" t="inlineStr">
        <is>
          <t>Garnlav
Dropptaggsvamp</t>
        </is>
      </c>
      <c r="S111">
        <f>HYPERLINK("https://klasma.github.io/Logging_2482/artfynd/A 23329-2025 artfynd.xlsx", "A 23329-2025")</f>
        <v/>
      </c>
      <c r="T111">
        <f>HYPERLINK("https://klasma.github.io/Logging_2482/kartor/A 23329-2025 karta.png", "A 23329-2025")</f>
        <v/>
      </c>
      <c r="V111">
        <f>HYPERLINK("https://klasma.github.io/Logging_2482/klagomål/A 23329-2025 FSC-klagomål.docx", "A 23329-2025")</f>
        <v/>
      </c>
      <c r="W111">
        <f>HYPERLINK("https://klasma.github.io/Logging_2482/klagomålsmail/A 23329-2025 FSC-klagomål mail.docx", "A 23329-2025")</f>
        <v/>
      </c>
      <c r="X111">
        <f>HYPERLINK("https://klasma.github.io/Logging_2482/tillsyn/A 23329-2025 tillsynsbegäran.docx", "A 23329-2025")</f>
        <v/>
      </c>
      <c r="Y111">
        <f>HYPERLINK("https://klasma.github.io/Logging_2482/tillsynsmail/A 23329-2025 tillsynsbegäran mail.docx", "A 23329-2025")</f>
        <v/>
      </c>
    </row>
    <row r="112" ht="15" customHeight="1">
      <c r="A112" t="inlineStr">
        <is>
          <t>A 787-2023</t>
        </is>
      </c>
      <c r="B112" s="1" t="n">
        <v>44931</v>
      </c>
      <c r="C112" s="1" t="n">
        <v>45964</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26962-2025</t>
        </is>
      </c>
      <c r="B113" s="1" t="n">
        <v>45811.46348379629</v>
      </c>
      <c r="C113" s="1" t="n">
        <v>45964</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52525-2024</t>
        </is>
      </c>
      <c r="B114" s="1" t="n">
        <v>45609</v>
      </c>
      <c r="C114" s="1" t="n">
        <v>45964</v>
      </c>
      <c r="D114" t="inlineStr">
        <is>
          <t>VÄSTERBOTTENS LÄN</t>
        </is>
      </c>
      <c r="E114" t="inlineStr">
        <is>
          <t>SKELLEFTEÅ</t>
        </is>
      </c>
      <c r="G114" t="n">
        <v>8.6</v>
      </c>
      <c r="H114" t="n">
        <v>0</v>
      </c>
      <c r="I114" t="n">
        <v>1</v>
      </c>
      <c r="J114" t="n">
        <v>1</v>
      </c>
      <c r="K114" t="n">
        <v>0</v>
      </c>
      <c r="L114" t="n">
        <v>0</v>
      </c>
      <c r="M114" t="n">
        <v>0</v>
      </c>
      <c r="N114" t="n">
        <v>0</v>
      </c>
      <c r="O114" t="n">
        <v>1</v>
      </c>
      <c r="P114" t="n">
        <v>0</v>
      </c>
      <c r="Q114" t="n">
        <v>2</v>
      </c>
      <c r="R114" s="2" t="inlineStr">
        <is>
          <t>Lunglav
Stuplav</t>
        </is>
      </c>
      <c r="S114">
        <f>HYPERLINK("https://klasma.github.io/Logging_2482/artfynd/A 52525-2024 artfynd.xlsx", "A 52525-2024")</f>
        <v/>
      </c>
      <c r="T114">
        <f>HYPERLINK("https://klasma.github.io/Logging_2482/kartor/A 52525-2024 karta.png", "A 52525-2024")</f>
        <v/>
      </c>
      <c r="V114">
        <f>HYPERLINK("https://klasma.github.io/Logging_2482/klagomål/A 52525-2024 FSC-klagomål.docx", "A 52525-2024")</f>
        <v/>
      </c>
      <c r="W114">
        <f>HYPERLINK("https://klasma.github.io/Logging_2482/klagomålsmail/A 52525-2024 FSC-klagomål mail.docx", "A 52525-2024")</f>
        <v/>
      </c>
      <c r="X114">
        <f>HYPERLINK("https://klasma.github.io/Logging_2482/tillsyn/A 52525-2024 tillsynsbegäran.docx", "A 52525-2024")</f>
        <v/>
      </c>
      <c r="Y114">
        <f>HYPERLINK("https://klasma.github.io/Logging_2482/tillsynsmail/A 52525-2024 tillsynsbegäran mail.docx", "A 52525-2024")</f>
        <v/>
      </c>
    </row>
    <row r="115" ht="15" customHeight="1">
      <c r="A115" t="inlineStr">
        <is>
          <t>A 28061-2025</t>
        </is>
      </c>
      <c r="B115" s="1" t="n">
        <v>45817.66739583333</v>
      </c>
      <c r="C115" s="1" t="n">
        <v>45964</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35733-2021</t>
        </is>
      </c>
      <c r="B116" s="1" t="n">
        <v>44385</v>
      </c>
      <c r="C116" s="1" t="n">
        <v>45964</v>
      </c>
      <c r="D116" t="inlineStr">
        <is>
          <t>VÄSTERBOTTENS LÄN</t>
        </is>
      </c>
      <c r="E116" t="inlineStr">
        <is>
          <t>SKELLEFTEÅ</t>
        </is>
      </c>
      <c r="G116" t="n">
        <v>0.9</v>
      </c>
      <c r="H116" t="n">
        <v>2</v>
      </c>
      <c r="I116" t="n">
        <v>0</v>
      </c>
      <c r="J116" t="n">
        <v>1</v>
      </c>
      <c r="K116" t="n">
        <v>0</v>
      </c>
      <c r="L116" t="n">
        <v>0</v>
      </c>
      <c r="M116" t="n">
        <v>0</v>
      </c>
      <c r="N116" t="n">
        <v>0</v>
      </c>
      <c r="O116" t="n">
        <v>1</v>
      </c>
      <c r="P116" t="n">
        <v>0</v>
      </c>
      <c r="Q116" t="n">
        <v>2</v>
      </c>
      <c r="R116" s="2" t="inlineStr">
        <is>
          <t>Spillkråka
Tjäder</t>
        </is>
      </c>
      <c r="S116">
        <f>HYPERLINK("https://klasma.github.io/Logging_2482/artfynd/A 35733-2021 artfynd.xlsx", "A 35733-2021")</f>
        <v/>
      </c>
      <c r="T116">
        <f>HYPERLINK("https://klasma.github.io/Logging_2482/kartor/A 35733-2021 karta.png", "A 35733-2021")</f>
        <v/>
      </c>
      <c r="V116">
        <f>HYPERLINK("https://klasma.github.io/Logging_2482/klagomål/A 35733-2021 FSC-klagomål.docx", "A 35733-2021")</f>
        <v/>
      </c>
      <c r="W116">
        <f>HYPERLINK("https://klasma.github.io/Logging_2482/klagomålsmail/A 35733-2021 FSC-klagomål mail.docx", "A 35733-2021")</f>
        <v/>
      </c>
      <c r="X116">
        <f>HYPERLINK("https://klasma.github.io/Logging_2482/tillsyn/A 35733-2021 tillsynsbegäran.docx", "A 35733-2021")</f>
        <v/>
      </c>
      <c r="Y116">
        <f>HYPERLINK("https://klasma.github.io/Logging_2482/tillsynsmail/A 35733-2021 tillsynsbegäran mail.docx", "A 35733-2021")</f>
        <v/>
      </c>
      <c r="Z116">
        <f>HYPERLINK("https://klasma.github.io/Logging_2482/fåglar/A 35733-2021 prioriterade fågelarter.docx", "A 35733-2021")</f>
        <v/>
      </c>
    </row>
    <row r="117" ht="15" customHeight="1">
      <c r="A117" t="inlineStr">
        <is>
          <t>A 59706-2021</t>
        </is>
      </c>
      <c r="B117" s="1" t="n">
        <v>44494</v>
      </c>
      <c r="C117" s="1" t="n">
        <v>45964</v>
      </c>
      <c r="D117" t="inlineStr">
        <is>
          <t>VÄSTERBOTTENS LÄN</t>
        </is>
      </c>
      <c r="E117" t="inlineStr">
        <is>
          <t>SKELLEFTEÅ</t>
        </is>
      </c>
      <c r="F117" t="inlineStr">
        <is>
          <t>Sveaskog</t>
        </is>
      </c>
      <c r="G117" t="n">
        <v>2.5</v>
      </c>
      <c r="H117" t="n">
        <v>0</v>
      </c>
      <c r="I117" t="n">
        <v>0</v>
      </c>
      <c r="J117" t="n">
        <v>2</v>
      </c>
      <c r="K117" t="n">
        <v>0</v>
      </c>
      <c r="L117" t="n">
        <v>0</v>
      </c>
      <c r="M117" t="n">
        <v>0</v>
      </c>
      <c r="N117" t="n">
        <v>0</v>
      </c>
      <c r="O117" t="n">
        <v>2</v>
      </c>
      <c r="P117" t="n">
        <v>0</v>
      </c>
      <c r="Q117" t="n">
        <v>2</v>
      </c>
      <c r="R117" s="2" t="inlineStr">
        <is>
          <t>Garnlav
Violettgrå tagellav</t>
        </is>
      </c>
      <c r="S117">
        <f>HYPERLINK("https://klasma.github.io/Logging_2482/artfynd/A 59706-2021 artfynd.xlsx", "A 59706-2021")</f>
        <v/>
      </c>
      <c r="T117">
        <f>HYPERLINK("https://klasma.github.io/Logging_2482/kartor/A 59706-2021 karta.png", "A 59706-2021")</f>
        <v/>
      </c>
      <c r="V117">
        <f>HYPERLINK("https://klasma.github.io/Logging_2482/klagomål/A 59706-2021 FSC-klagomål.docx", "A 59706-2021")</f>
        <v/>
      </c>
      <c r="W117">
        <f>HYPERLINK("https://klasma.github.io/Logging_2482/klagomålsmail/A 59706-2021 FSC-klagomål mail.docx", "A 59706-2021")</f>
        <v/>
      </c>
      <c r="X117">
        <f>HYPERLINK("https://klasma.github.io/Logging_2482/tillsyn/A 59706-2021 tillsynsbegäran.docx", "A 59706-2021")</f>
        <v/>
      </c>
      <c r="Y117">
        <f>HYPERLINK("https://klasma.github.io/Logging_2482/tillsynsmail/A 59706-2021 tillsynsbegäran mail.docx", "A 59706-2021")</f>
        <v/>
      </c>
    </row>
    <row r="118" ht="15" customHeight="1">
      <c r="A118" t="inlineStr">
        <is>
          <t>A 40742-2023</t>
        </is>
      </c>
      <c r="B118" s="1" t="n">
        <v>45170</v>
      </c>
      <c r="C118" s="1" t="n">
        <v>45964</v>
      </c>
      <c r="D118" t="inlineStr">
        <is>
          <t>VÄSTERBOTTENS LÄN</t>
        </is>
      </c>
      <c r="E118" t="inlineStr">
        <is>
          <t>SKELLEFTEÅ</t>
        </is>
      </c>
      <c r="F118" t="inlineStr">
        <is>
          <t>Sveaskog</t>
        </is>
      </c>
      <c r="G118" t="n">
        <v>13.6</v>
      </c>
      <c r="H118" t="n">
        <v>0</v>
      </c>
      <c r="I118" t="n">
        <v>1</v>
      </c>
      <c r="J118" t="n">
        <v>1</v>
      </c>
      <c r="K118" t="n">
        <v>0</v>
      </c>
      <c r="L118" t="n">
        <v>0</v>
      </c>
      <c r="M118" t="n">
        <v>0</v>
      </c>
      <c r="N118" t="n">
        <v>0</v>
      </c>
      <c r="O118" t="n">
        <v>1</v>
      </c>
      <c r="P118" t="n">
        <v>0</v>
      </c>
      <c r="Q118" t="n">
        <v>2</v>
      </c>
      <c r="R118" s="2" t="inlineStr">
        <is>
          <t>Kolflarnlav
Stuplav</t>
        </is>
      </c>
      <c r="S118">
        <f>HYPERLINK("https://klasma.github.io/Logging_2482/artfynd/A 40742-2023 artfynd.xlsx", "A 40742-2023")</f>
        <v/>
      </c>
      <c r="T118">
        <f>HYPERLINK("https://klasma.github.io/Logging_2482/kartor/A 40742-2023 karta.png", "A 40742-2023")</f>
        <v/>
      </c>
      <c r="V118">
        <f>HYPERLINK("https://klasma.github.io/Logging_2482/klagomål/A 40742-2023 FSC-klagomål.docx", "A 40742-2023")</f>
        <v/>
      </c>
      <c r="W118">
        <f>HYPERLINK("https://klasma.github.io/Logging_2482/klagomålsmail/A 40742-2023 FSC-klagomål mail.docx", "A 40742-2023")</f>
        <v/>
      </c>
      <c r="X118">
        <f>HYPERLINK("https://klasma.github.io/Logging_2482/tillsyn/A 40742-2023 tillsynsbegäran.docx", "A 40742-2023")</f>
        <v/>
      </c>
      <c r="Y118">
        <f>HYPERLINK("https://klasma.github.io/Logging_2482/tillsynsmail/A 40742-2023 tillsynsbegäran mail.docx", "A 40742-2023")</f>
        <v/>
      </c>
    </row>
    <row r="119" ht="15" customHeight="1">
      <c r="A119" t="inlineStr">
        <is>
          <t>A 35956-2025</t>
        </is>
      </c>
      <c r="B119" s="1" t="n">
        <v>45863.32681712963</v>
      </c>
      <c r="C119" s="1" t="n">
        <v>45964</v>
      </c>
      <c r="D119" t="inlineStr">
        <is>
          <t>VÄSTERBOTTENS LÄN</t>
        </is>
      </c>
      <c r="E119" t="inlineStr">
        <is>
          <t>SKELLEFTEÅ</t>
        </is>
      </c>
      <c r="F119" t="inlineStr">
        <is>
          <t>Holmen skog AB</t>
        </is>
      </c>
      <c r="G119" t="n">
        <v>3.1</v>
      </c>
      <c r="H119" t="n">
        <v>1</v>
      </c>
      <c r="I119" t="n">
        <v>0</v>
      </c>
      <c r="J119" t="n">
        <v>1</v>
      </c>
      <c r="K119" t="n">
        <v>0</v>
      </c>
      <c r="L119" t="n">
        <v>0</v>
      </c>
      <c r="M119" t="n">
        <v>0</v>
      </c>
      <c r="N119" t="n">
        <v>0</v>
      </c>
      <c r="O119" t="n">
        <v>1</v>
      </c>
      <c r="P119" t="n">
        <v>0</v>
      </c>
      <c r="Q119" t="n">
        <v>2</v>
      </c>
      <c r="R119" s="2" t="inlineStr">
        <is>
          <t>Gammelgransskål
Fläcknycklar</t>
        </is>
      </c>
      <c r="S119">
        <f>HYPERLINK("https://klasma.github.io/Logging_2482/artfynd/A 35956-2025 artfynd.xlsx", "A 35956-2025")</f>
        <v/>
      </c>
      <c r="T119">
        <f>HYPERLINK("https://klasma.github.io/Logging_2482/kartor/A 35956-2025 karta.png", "A 35956-2025")</f>
        <v/>
      </c>
      <c r="V119">
        <f>HYPERLINK("https://klasma.github.io/Logging_2482/klagomål/A 35956-2025 FSC-klagomål.docx", "A 35956-2025")</f>
        <v/>
      </c>
      <c r="W119">
        <f>HYPERLINK("https://klasma.github.io/Logging_2482/klagomålsmail/A 35956-2025 FSC-klagomål mail.docx", "A 35956-2025")</f>
        <v/>
      </c>
      <c r="X119">
        <f>HYPERLINK("https://klasma.github.io/Logging_2482/tillsyn/A 35956-2025 tillsynsbegäran.docx", "A 35956-2025")</f>
        <v/>
      </c>
      <c r="Y119">
        <f>HYPERLINK("https://klasma.github.io/Logging_2482/tillsynsmail/A 35956-2025 tillsynsbegäran mail.docx", "A 35956-2025")</f>
        <v/>
      </c>
    </row>
    <row r="120" ht="15" customHeight="1">
      <c r="A120" t="inlineStr">
        <is>
          <t>A 20367-2025</t>
        </is>
      </c>
      <c r="B120" s="1" t="n">
        <v>45775.40958333333</v>
      </c>
      <c r="C120" s="1" t="n">
        <v>45964</v>
      </c>
      <c r="D120" t="inlineStr">
        <is>
          <t>VÄSTERBOTTENS LÄN</t>
        </is>
      </c>
      <c r="E120" t="inlineStr">
        <is>
          <t>SKELLEFTEÅ</t>
        </is>
      </c>
      <c r="G120" t="n">
        <v>3</v>
      </c>
      <c r="H120" t="n">
        <v>1</v>
      </c>
      <c r="I120" t="n">
        <v>0</v>
      </c>
      <c r="J120" t="n">
        <v>1</v>
      </c>
      <c r="K120" t="n">
        <v>1</v>
      </c>
      <c r="L120" t="n">
        <v>0</v>
      </c>
      <c r="M120" t="n">
        <v>0</v>
      </c>
      <c r="N120" t="n">
        <v>0</v>
      </c>
      <c r="O120" t="n">
        <v>2</v>
      </c>
      <c r="P120" t="n">
        <v>1</v>
      </c>
      <c r="Q120" t="n">
        <v>2</v>
      </c>
      <c r="R120" s="2" t="inlineStr">
        <is>
          <t>Knärot
Ullticka</t>
        </is>
      </c>
      <c r="S120">
        <f>HYPERLINK("https://klasma.github.io/Logging_2482/artfynd/A 20367-2025 artfynd.xlsx", "A 20367-2025")</f>
        <v/>
      </c>
      <c r="T120">
        <f>HYPERLINK("https://klasma.github.io/Logging_2482/kartor/A 20367-2025 karta.png", "A 20367-2025")</f>
        <v/>
      </c>
      <c r="U120">
        <f>HYPERLINK("https://klasma.github.io/Logging_2482/knärot/A 20367-2025 karta knärot.png", "A 20367-2025")</f>
        <v/>
      </c>
      <c r="V120">
        <f>HYPERLINK("https://klasma.github.io/Logging_2482/klagomål/A 20367-2025 FSC-klagomål.docx", "A 20367-2025")</f>
        <v/>
      </c>
      <c r="W120">
        <f>HYPERLINK("https://klasma.github.io/Logging_2482/klagomålsmail/A 20367-2025 FSC-klagomål mail.docx", "A 20367-2025")</f>
        <v/>
      </c>
      <c r="X120">
        <f>HYPERLINK("https://klasma.github.io/Logging_2482/tillsyn/A 20367-2025 tillsynsbegäran.docx", "A 20367-2025")</f>
        <v/>
      </c>
      <c r="Y120">
        <f>HYPERLINK("https://klasma.github.io/Logging_2482/tillsynsmail/A 20367-2025 tillsynsbegäran mail.docx", "A 20367-2025")</f>
        <v/>
      </c>
    </row>
    <row r="121" ht="15" customHeight="1">
      <c r="A121" t="inlineStr">
        <is>
          <t>A 37985-2025</t>
        </is>
      </c>
      <c r="B121" s="1" t="n">
        <v>45881.70010416667</v>
      </c>
      <c r="C121" s="1" t="n">
        <v>45964</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49440-2022</t>
        </is>
      </c>
      <c r="B122" s="1" t="n">
        <v>44859</v>
      </c>
      <c r="C122" s="1" t="n">
        <v>45964</v>
      </c>
      <c r="D122" t="inlineStr">
        <is>
          <t>VÄSTERBOTTENS LÄN</t>
        </is>
      </c>
      <c r="E122" t="inlineStr">
        <is>
          <t>SKELLEFTEÅ</t>
        </is>
      </c>
      <c r="G122" t="n">
        <v>1.5</v>
      </c>
      <c r="H122" t="n">
        <v>0</v>
      </c>
      <c r="I122" t="n">
        <v>0</v>
      </c>
      <c r="J122" t="n">
        <v>2</v>
      </c>
      <c r="K122" t="n">
        <v>0</v>
      </c>
      <c r="L122" t="n">
        <v>0</v>
      </c>
      <c r="M122" t="n">
        <v>0</v>
      </c>
      <c r="N122" t="n">
        <v>0</v>
      </c>
      <c r="O122" t="n">
        <v>2</v>
      </c>
      <c r="P122" t="n">
        <v>0</v>
      </c>
      <c r="Q122" t="n">
        <v>2</v>
      </c>
      <c r="R122" s="2" t="inlineStr">
        <is>
          <t>Gränsticka
Ullticka</t>
        </is>
      </c>
      <c r="S122">
        <f>HYPERLINK("https://klasma.github.io/Logging_2482/artfynd/A 49440-2022 artfynd.xlsx", "A 49440-2022")</f>
        <v/>
      </c>
      <c r="T122">
        <f>HYPERLINK("https://klasma.github.io/Logging_2482/kartor/A 49440-2022 karta.png", "A 49440-2022")</f>
        <v/>
      </c>
      <c r="V122">
        <f>HYPERLINK("https://klasma.github.io/Logging_2482/klagomål/A 49440-2022 FSC-klagomål.docx", "A 49440-2022")</f>
        <v/>
      </c>
      <c r="W122">
        <f>HYPERLINK("https://klasma.github.io/Logging_2482/klagomålsmail/A 49440-2022 FSC-klagomål mail.docx", "A 49440-2022")</f>
        <v/>
      </c>
      <c r="X122">
        <f>HYPERLINK("https://klasma.github.io/Logging_2482/tillsyn/A 49440-2022 tillsynsbegäran.docx", "A 49440-2022")</f>
        <v/>
      </c>
      <c r="Y122">
        <f>HYPERLINK("https://klasma.github.io/Logging_2482/tillsynsmail/A 49440-2022 tillsynsbegäran mail.docx", "A 49440-2022")</f>
        <v/>
      </c>
    </row>
    <row r="123" ht="15" customHeight="1">
      <c r="A123" t="inlineStr">
        <is>
          <t>A 1259-2024</t>
        </is>
      </c>
      <c r="B123" s="1" t="n">
        <v>45302</v>
      </c>
      <c r="C123" s="1" t="n">
        <v>45964</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14391-2025</t>
        </is>
      </c>
      <c r="B124" s="1" t="n">
        <v>45741.42979166667</v>
      </c>
      <c r="C124" s="1" t="n">
        <v>45964</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42328-2025</t>
        </is>
      </c>
      <c r="B125" s="1" t="n">
        <v>45904</v>
      </c>
      <c r="C125" s="1" t="n">
        <v>45964</v>
      </c>
      <c r="D125" t="inlineStr">
        <is>
          <t>VÄSTERBOTTENS LÄN</t>
        </is>
      </c>
      <c r="E125" t="inlineStr">
        <is>
          <t>SKELLEFTEÅ</t>
        </is>
      </c>
      <c r="G125" t="n">
        <v>7.5</v>
      </c>
      <c r="H125" t="n">
        <v>2</v>
      </c>
      <c r="I125" t="n">
        <v>0</v>
      </c>
      <c r="J125" t="n">
        <v>1</v>
      </c>
      <c r="K125" t="n">
        <v>0</v>
      </c>
      <c r="L125" t="n">
        <v>0</v>
      </c>
      <c r="M125" t="n">
        <v>0</v>
      </c>
      <c r="N125" t="n">
        <v>0</v>
      </c>
      <c r="O125" t="n">
        <v>1</v>
      </c>
      <c r="P125" t="n">
        <v>0</v>
      </c>
      <c r="Q125" t="n">
        <v>2</v>
      </c>
      <c r="R125" s="2" t="inlineStr">
        <is>
          <t>Rödvingetrast
Enkelbeckasin</t>
        </is>
      </c>
      <c r="S125">
        <f>HYPERLINK("https://klasma.github.io/Logging_2482/artfynd/A 42328-2025 artfynd.xlsx", "A 42328-2025")</f>
        <v/>
      </c>
      <c r="T125">
        <f>HYPERLINK("https://klasma.github.io/Logging_2482/kartor/A 42328-2025 karta.png", "A 42328-2025")</f>
        <v/>
      </c>
      <c r="V125">
        <f>HYPERLINK("https://klasma.github.io/Logging_2482/klagomål/A 42328-2025 FSC-klagomål.docx", "A 42328-2025")</f>
        <v/>
      </c>
      <c r="W125">
        <f>HYPERLINK("https://klasma.github.io/Logging_2482/klagomålsmail/A 42328-2025 FSC-klagomål mail.docx", "A 42328-2025")</f>
        <v/>
      </c>
      <c r="X125">
        <f>HYPERLINK("https://klasma.github.io/Logging_2482/tillsyn/A 42328-2025 tillsynsbegäran.docx", "A 42328-2025")</f>
        <v/>
      </c>
      <c r="Y125">
        <f>HYPERLINK("https://klasma.github.io/Logging_2482/tillsynsmail/A 42328-2025 tillsynsbegäran mail.docx", "A 42328-2025")</f>
        <v/>
      </c>
      <c r="Z125">
        <f>HYPERLINK("https://klasma.github.io/Logging_2482/fåglar/A 42328-2025 prioriterade fågelarter.docx", "A 42328-2025")</f>
        <v/>
      </c>
    </row>
    <row r="126" ht="15" customHeight="1">
      <c r="A126" t="inlineStr">
        <is>
          <t>A 51285-2025</t>
        </is>
      </c>
      <c r="B126" s="1" t="n">
        <v>45950.34473379629</v>
      </c>
      <c r="C126" s="1" t="n">
        <v>45964</v>
      </c>
      <c r="D126" t="inlineStr">
        <is>
          <t>VÄSTERBOTTENS LÄN</t>
        </is>
      </c>
      <c r="E126" t="inlineStr">
        <is>
          <t>SKELLEFTEÅ</t>
        </is>
      </c>
      <c r="F126" t="inlineStr">
        <is>
          <t>SCA</t>
        </is>
      </c>
      <c r="G126" t="n">
        <v>2.4</v>
      </c>
      <c r="H126" t="n">
        <v>0</v>
      </c>
      <c r="I126" t="n">
        <v>1</v>
      </c>
      <c r="J126" t="n">
        <v>1</v>
      </c>
      <c r="K126" t="n">
        <v>0</v>
      </c>
      <c r="L126" t="n">
        <v>0</v>
      </c>
      <c r="M126" t="n">
        <v>0</v>
      </c>
      <c r="N126" t="n">
        <v>0</v>
      </c>
      <c r="O126" t="n">
        <v>1</v>
      </c>
      <c r="P126" t="n">
        <v>0</v>
      </c>
      <c r="Q126" t="n">
        <v>2</v>
      </c>
      <c r="R126" s="2" t="inlineStr">
        <is>
          <t>Blå taggsvamp
Skarp dropptaggsvamp</t>
        </is>
      </c>
      <c r="S126">
        <f>HYPERLINK("https://klasma.github.io/Logging_2482/artfynd/A 51285-2025 artfynd.xlsx", "A 51285-2025")</f>
        <v/>
      </c>
      <c r="T126">
        <f>HYPERLINK("https://klasma.github.io/Logging_2482/kartor/A 51285-2025 karta.png", "A 51285-2025")</f>
        <v/>
      </c>
      <c r="V126">
        <f>HYPERLINK("https://klasma.github.io/Logging_2482/klagomål/A 51285-2025 FSC-klagomål.docx", "A 51285-2025")</f>
        <v/>
      </c>
      <c r="W126">
        <f>HYPERLINK("https://klasma.github.io/Logging_2482/klagomålsmail/A 51285-2025 FSC-klagomål mail.docx", "A 51285-2025")</f>
        <v/>
      </c>
      <c r="X126">
        <f>HYPERLINK("https://klasma.github.io/Logging_2482/tillsyn/A 51285-2025 tillsynsbegäran.docx", "A 51285-2025")</f>
        <v/>
      </c>
      <c r="Y126">
        <f>HYPERLINK("https://klasma.github.io/Logging_2482/tillsynsmail/A 51285-2025 tillsynsbegäran mail.docx", "A 51285-2025")</f>
        <v/>
      </c>
    </row>
    <row r="127" ht="15" customHeight="1">
      <c r="A127" t="inlineStr">
        <is>
          <t>A 52630-2025</t>
        </is>
      </c>
      <c r="B127" s="1" t="n">
        <v>45953</v>
      </c>
      <c r="C127" s="1" t="n">
        <v>45964</v>
      </c>
      <c r="D127" t="inlineStr">
        <is>
          <t>VÄSTERBOTTENS LÄN</t>
        </is>
      </c>
      <c r="E127" t="inlineStr">
        <is>
          <t>SKELLEFTEÅ</t>
        </is>
      </c>
      <c r="G127" t="n">
        <v>3.9</v>
      </c>
      <c r="H127" t="n">
        <v>2</v>
      </c>
      <c r="I127" t="n">
        <v>0</v>
      </c>
      <c r="J127" t="n">
        <v>1</v>
      </c>
      <c r="K127" t="n">
        <v>1</v>
      </c>
      <c r="L127" t="n">
        <v>0</v>
      </c>
      <c r="M127" t="n">
        <v>0</v>
      </c>
      <c r="N127" t="n">
        <v>0</v>
      </c>
      <c r="O127" t="n">
        <v>2</v>
      </c>
      <c r="P127" t="n">
        <v>1</v>
      </c>
      <c r="Q127" t="n">
        <v>2</v>
      </c>
      <c r="R127" s="2" t="inlineStr">
        <is>
          <t>Knärot
Spillkråka</t>
        </is>
      </c>
      <c r="S127">
        <f>HYPERLINK("https://klasma.github.io/Logging_2482/artfynd/A 52630-2025 artfynd.xlsx", "A 52630-2025")</f>
        <v/>
      </c>
      <c r="T127">
        <f>HYPERLINK("https://klasma.github.io/Logging_2482/kartor/A 52630-2025 karta.png", "A 52630-2025")</f>
        <v/>
      </c>
      <c r="U127">
        <f>HYPERLINK("https://klasma.github.io/Logging_2482/knärot/A 52630-2025 karta knärot.png", "A 52630-2025")</f>
        <v/>
      </c>
      <c r="V127">
        <f>HYPERLINK("https://klasma.github.io/Logging_2482/klagomål/A 52630-2025 FSC-klagomål.docx", "A 52630-2025")</f>
        <v/>
      </c>
      <c r="W127">
        <f>HYPERLINK("https://klasma.github.io/Logging_2482/klagomålsmail/A 52630-2025 FSC-klagomål mail.docx", "A 52630-2025")</f>
        <v/>
      </c>
      <c r="X127">
        <f>HYPERLINK("https://klasma.github.io/Logging_2482/tillsyn/A 52630-2025 tillsynsbegäran.docx", "A 52630-2025")</f>
        <v/>
      </c>
      <c r="Y127">
        <f>HYPERLINK("https://klasma.github.io/Logging_2482/tillsynsmail/A 52630-2025 tillsynsbegäran mail.docx", "A 52630-2025")</f>
        <v/>
      </c>
      <c r="Z127">
        <f>HYPERLINK("https://klasma.github.io/Logging_2482/fåglar/A 52630-2025 prioriterade fågelarter.docx", "A 52630-2025")</f>
        <v/>
      </c>
    </row>
    <row r="128" ht="15" customHeight="1">
      <c r="A128" t="inlineStr">
        <is>
          <t>A 14857-2021</t>
        </is>
      </c>
      <c r="B128" s="1" t="n">
        <v>44280</v>
      </c>
      <c r="C128" s="1" t="n">
        <v>45964</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45964</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41993-2021</t>
        </is>
      </c>
      <c r="B130" s="1" t="n">
        <v>44426.47770833333</v>
      </c>
      <c r="C130" s="1" t="n">
        <v>45964</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36628-2023</t>
        </is>
      </c>
      <c r="B131" s="1" t="n">
        <v>45153</v>
      </c>
      <c r="C131" s="1" t="n">
        <v>45964</v>
      </c>
      <c r="D131" t="inlineStr">
        <is>
          <t>VÄSTERBOTTENS LÄN</t>
        </is>
      </c>
      <c r="E131" t="inlineStr">
        <is>
          <t>SKELLEFTEÅ</t>
        </is>
      </c>
      <c r="F131" t="inlineStr">
        <is>
          <t>Holmen skog AB</t>
        </is>
      </c>
      <c r="G131" t="n">
        <v>4.6</v>
      </c>
      <c r="H131" t="n">
        <v>0</v>
      </c>
      <c r="I131" t="n">
        <v>0</v>
      </c>
      <c r="J131" t="n">
        <v>1</v>
      </c>
      <c r="K131" t="n">
        <v>0</v>
      </c>
      <c r="L131" t="n">
        <v>0</v>
      </c>
      <c r="M131" t="n">
        <v>0</v>
      </c>
      <c r="N131" t="n">
        <v>0</v>
      </c>
      <c r="O131" t="n">
        <v>1</v>
      </c>
      <c r="P131" t="n">
        <v>0</v>
      </c>
      <c r="Q131" t="n">
        <v>1</v>
      </c>
      <c r="R131" s="2" t="inlineStr">
        <is>
          <t>Gultoppig fingersvamp</t>
        </is>
      </c>
      <c r="S131">
        <f>HYPERLINK("https://klasma.github.io/Logging_2482/artfynd/A 36628-2023 artfynd.xlsx", "A 36628-2023")</f>
        <v/>
      </c>
      <c r="T131">
        <f>HYPERLINK("https://klasma.github.io/Logging_2482/kartor/A 36628-2023 karta.png", "A 36628-2023")</f>
        <v/>
      </c>
      <c r="V131">
        <f>HYPERLINK("https://klasma.github.io/Logging_2482/klagomål/A 36628-2023 FSC-klagomål.docx", "A 36628-2023")</f>
        <v/>
      </c>
      <c r="W131">
        <f>HYPERLINK("https://klasma.github.io/Logging_2482/klagomålsmail/A 36628-2023 FSC-klagomål mail.docx", "A 36628-2023")</f>
        <v/>
      </c>
      <c r="X131">
        <f>HYPERLINK("https://klasma.github.io/Logging_2482/tillsyn/A 36628-2023 tillsynsbegäran.docx", "A 36628-2023")</f>
        <v/>
      </c>
      <c r="Y131">
        <f>HYPERLINK("https://klasma.github.io/Logging_2482/tillsynsmail/A 36628-2023 tillsynsbegäran mail.docx", "A 36628-2023")</f>
        <v/>
      </c>
    </row>
    <row r="132" ht="15" customHeight="1">
      <c r="A132" t="inlineStr">
        <is>
          <t>A 57851-2022</t>
        </is>
      </c>
      <c r="B132" s="1" t="n">
        <v>44898</v>
      </c>
      <c r="C132" s="1" t="n">
        <v>45964</v>
      </c>
      <c r="D132" t="inlineStr">
        <is>
          <t>VÄSTERBOTTENS LÄN</t>
        </is>
      </c>
      <c r="E132" t="inlineStr">
        <is>
          <t>SKELLEFTEÅ</t>
        </is>
      </c>
      <c r="F132" t="inlineStr">
        <is>
          <t>Holmen skog AB</t>
        </is>
      </c>
      <c r="G132" t="n">
        <v>4.6</v>
      </c>
      <c r="H132" t="n">
        <v>1</v>
      </c>
      <c r="I132" t="n">
        <v>0</v>
      </c>
      <c r="J132" t="n">
        <v>1</v>
      </c>
      <c r="K132" t="n">
        <v>0</v>
      </c>
      <c r="L132" t="n">
        <v>0</v>
      </c>
      <c r="M132" t="n">
        <v>0</v>
      </c>
      <c r="N132" t="n">
        <v>0</v>
      </c>
      <c r="O132" t="n">
        <v>1</v>
      </c>
      <c r="P132" t="n">
        <v>0</v>
      </c>
      <c r="Q132" t="n">
        <v>1</v>
      </c>
      <c r="R132" s="2" t="inlineStr">
        <is>
          <t>Utter</t>
        </is>
      </c>
      <c r="S132">
        <f>HYPERLINK("https://klasma.github.io/Logging_2482/artfynd/A 57851-2022 artfynd.xlsx", "A 57851-2022")</f>
        <v/>
      </c>
      <c r="T132">
        <f>HYPERLINK("https://klasma.github.io/Logging_2482/kartor/A 57851-2022 karta.png", "A 57851-2022")</f>
        <v/>
      </c>
      <c r="V132">
        <f>HYPERLINK("https://klasma.github.io/Logging_2482/klagomål/A 57851-2022 FSC-klagomål.docx", "A 57851-2022")</f>
        <v/>
      </c>
      <c r="W132">
        <f>HYPERLINK("https://klasma.github.io/Logging_2482/klagomålsmail/A 57851-2022 FSC-klagomål mail.docx", "A 57851-2022")</f>
        <v/>
      </c>
      <c r="X132">
        <f>HYPERLINK("https://klasma.github.io/Logging_2482/tillsyn/A 57851-2022 tillsynsbegäran.docx", "A 57851-2022")</f>
        <v/>
      </c>
      <c r="Y132">
        <f>HYPERLINK("https://klasma.github.io/Logging_2482/tillsynsmail/A 57851-2022 tillsynsbegäran mail.docx", "A 57851-2022")</f>
        <v/>
      </c>
    </row>
    <row r="133" ht="15" customHeight="1">
      <c r="A133" t="inlineStr">
        <is>
          <t>A 2436-2025</t>
        </is>
      </c>
      <c r="B133" s="1" t="n">
        <v>45673</v>
      </c>
      <c r="C133" s="1" t="n">
        <v>45964</v>
      </c>
      <c r="D133" t="inlineStr">
        <is>
          <t>VÄSTERBOTTENS LÄN</t>
        </is>
      </c>
      <c r="E133" t="inlineStr">
        <is>
          <t>SKELLEFTEÅ</t>
        </is>
      </c>
      <c r="G133" t="n">
        <v>5</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2436-2025 artfynd.xlsx", "A 2436-2025")</f>
        <v/>
      </c>
      <c r="T133">
        <f>HYPERLINK("https://klasma.github.io/Logging_2482/kartor/A 2436-2025 karta.png", "A 2436-2025")</f>
        <v/>
      </c>
      <c r="V133">
        <f>HYPERLINK("https://klasma.github.io/Logging_2482/klagomål/A 2436-2025 FSC-klagomål.docx", "A 2436-2025")</f>
        <v/>
      </c>
      <c r="W133">
        <f>HYPERLINK("https://klasma.github.io/Logging_2482/klagomålsmail/A 2436-2025 FSC-klagomål mail.docx", "A 2436-2025")</f>
        <v/>
      </c>
      <c r="X133">
        <f>HYPERLINK("https://klasma.github.io/Logging_2482/tillsyn/A 2436-2025 tillsynsbegäran.docx", "A 2436-2025")</f>
        <v/>
      </c>
      <c r="Y133">
        <f>HYPERLINK("https://klasma.github.io/Logging_2482/tillsynsmail/A 2436-2025 tillsynsbegäran mail.docx", "A 2436-2025")</f>
        <v/>
      </c>
      <c r="Z133">
        <f>HYPERLINK("https://klasma.github.io/Logging_2482/fåglar/A 2436-2025 prioriterade fågelarter.docx", "A 2436-2025")</f>
        <v/>
      </c>
    </row>
    <row r="134" ht="15" customHeight="1">
      <c r="A134" t="inlineStr">
        <is>
          <t>A 737-2025</t>
        </is>
      </c>
      <c r="B134" s="1" t="n">
        <v>45665</v>
      </c>
      <c r="C134" s="1" t="n">
        <v>45964</v>
      </c>
      <c r="D134" t="inlineStr">
        <is>
          <t>VÄSTERBOTTENS LÄN</t>
        </is>
      </c>
      <c r="E134" t="inlineStr">
        <is>
          <t>SKELLEFTEÅ</t>
        </is>
      </c>
      <c r="G134" t="n">
        <v>14.8</v>
      </c>
      <c r="H134" t="n">
        <v>0</v>
      </c>
      <c r="I134" t="n">
        <v>0</v>
      </c>
      <c r="J134" t="n">
        <v>0</v>
      </c>
      <c r="K134" t="n">
        <v>1</v>
      </c>
      <c r="L134" t="n">
        <v>0</v>
      </c>
      <c r="M134" t="n">
        <v>0</v>
      </c>
      <c r="N134" t="n">
        <v>0</v>
      </c>
      <c r="O134" t="n">
        <v>1</v>
      </c>
      <c r="P134" t="n">
        <v>1</v>
      </c>
      <c r="Q134" t="n">
        <v>1</v>
      </c>
      <c r="R134" s="2" t="inlineStr">
        <is>
          <t>Goliatmusseron</t>
        </is>
      </c>
      <c r="S134">
        <f>HYPERLINK("https://klasma.github.io/Logging_2482/artfynd/A 737-2025 artfynd.xlsx", "A 737-2025")</f>
        <v/>
      </c>
      <c r="T134">
        <f>HYPERLINK("https://klasma.github.io/Logging_2482/kartor/A 737-2025 karta.png", "A 737-2025")</f>
        <v/>
      </c>
      <c r="V134">
        <f>HYPERLINK("https://klasma.github.io/Logging_2482/klagomål/A 737-2025 FSC-klagomål.docx", "A 737-2025")</f>
        <v/>
      </c>
      <c r="W134">
        <f>HYPERLINK("https://klasma.github.io/Logging_2482/klagomålsmail/A 737-2025 FSC-klagomål mail.docx", "A 737-2025")</f>
        <v/>
      </c>
      <c r="X134">
        <f>HYPERLINK("https://klasma.github.io/Logging_2482/tillsyn/A 737-2025 tillsynsbegäran.docx", "A 737-2025")</f>
        <v/>
      </c>
      <c r="Y134">
        <f>HYPERLINK("https://klasma.github.io/Logging_2482/tillsynsmail/A 737-2025 tillsynsbegäran mail.docx", "A 737-2025")</f>
        <v/>
      </c>
    </row>
    <row r="135" ht="15" customHeight="1">
      <c r="A135" t="inlineStr">
        <is>
          <t>A 32566-2023</t>
        </is>
      </c>
      <c r="B135" s="1" t="n">
        <v>45121</v>
      </c>
      <c r="C135" s="1" t="n">
        <v>45964</v>
      </c>
      <c r="D135" t="inlineStr">
        <is>
          <t>VÄSTERBOTTENS LÄN</t>
        </is>
      </c>
      <c r="E135" t="inlineStr">
        <is>
          <t>SKELLEFTEÅ</t>
        </is>
      </c>
      <c r="F135" t="inlineStr">
        <is>
          <t>Holmen skog AB</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HYPERLINK("https://klasma.github.io/Logging_2482/artfynd/A 32566-2023 artfynd.xlsx", "A 32566-2023")</f>
        <v/>
      </c>
      <c r="T135">
        <f>HYPERLINK("https://klasma.github.io/Logging_2482/kartor/A 32566-2023 karta.png", "A 32566-2023")</f>
        <v/>
      </c>
      <c r="V135">
        <f>HYPERLINK("https://klasma.github.io/Logging_2482/klagomål/A 32566-2023 FSC-klagomål.docx", "A 32566-2023")</f>
        <v/>
      </c>
      <c r="W135">
        <f>HYPERLINK("https://klasma.github.io/Logging_2482/klagomålsmail/A 32566-2023 FSC-klagomål mail.docx", "A 32566-2023")</f>
        <v/>
      </c>
      <c r="X135">
        <f>HYPERLINK("https://klasma.github.io/Logging_2482/tillsyn/A 32566-2023 tillsynsbegäran.docx", "A 32566-2023")</f>
        <v/>
      </c>
      <c r="Y135">
        <f>HYPERLINK("https://klasma.github.io/Logging_2482/tillsynsmail/A 32566-2023 tillsynsbegäran mail.docx", "A 32566-2023")</f>
        <v/>
      </c>
    </row>
    <row r="136" ht="15" customHeight="1">
      <c r="A136" t="inlineStr">
        <is>
          <t>A 9446-2025</t>
        </is>
      </c>
      <c r="B136" s="1" t="n">
        <v>45715.42019675926</v>
      </c>
      <c r="C136" s="1" t="n">
        <v>45964</v>
      </c>
      <c r="D136" t="inlineStr">
        <is>
          <t>VÄSTERBOTTENS LÄN</t>
        </is>
      </c>
      <c r="E136" t="inlineStr">
        <is>
          <t>SKELLEFTEÅ</t>
        </is>
      </c>
      <c r="G136" t="n">
        <v>1.8</v>
      </c>
      <c r="H136" t="n">
        <v>0</v>
      </c>
      <c r="I136" t="n">
        <v>1</v>
      </c>
      <c r="J136" t="n">
        <v>0</v>
      </c>
      <c r="K136" t="n">
        <v>0</v>
      </c>
      <c r="L136" t="n">
        <v>0</v>
      </c>
      <c r="M136" t="n">
        <v>0</v>
      </c>
      <c r="N136" t="n">
        <v>0</v>
      </c>
      <c r="O136" t="n">
        <v>0</v>
      </c>
      <c r="P136" t="n">
        <v>0</v>
      </c>
      <c r="Q136" t="n">
        <v>1</v>
      </c>
      <c r="R136" s="2" t="inlineStr">
        <is>
          <t>Vedticka</t>
        </is>
      </c>
      <c r="S136">
        <f>HYPERLINK("https://klasma.github.io/Logging_2482/artfynd/A 9446-2025 artfynd.xlsx", "A 9446-2025")</f>
        <v/>
      </c>
      <c r="T136">
        <f>HYPERLINK("https://klasma.github.io/Logging_2482/kartor/A 9446-2025 karta.png", "A 9446-2025")</f>
        <v/>
      </c>
      <c r="V136">
        <f>HYPERLINK("https://klasma.github.io/Logging_2482/klagomål/A 9446-2025 FSC-klagomål.docx", "A 9446-2025")</f>
        <v/>
      </c>
      <c r="W136">
        <f>HYPERLINK("https://klasma.github.io/Logging_2482/klagomålsmail/A 9446-2025 FSC-klagomål mail.docx", "A 9446-2025")</f>
        <v/>
      </c>
      <c r="X136">
        <f>HYPERLINK("https://klasma.github.io/Logging_2482/tillsyn/A 9446-2025 tillsynsbegäran.docx", "A 9446-2025")</f>
        <v/>
      </c>
      <c r="Y136">
        <f>HYPERLINK("https://klasma.github.io/Logging_2482/tillsynsmail/A 9446-2025 tillsynsbegäran mail.docx", "A 9446-2025")</f>
        <v/>
      </c>
    </row>
    <row r="137" ht="15" customHeight="1">
      <c r="A137" t="inlineStr">
        <is>
          <t>A 53071-2022</t>
        </is>
      </c>
      <c r="B137" s="1" t="n">
        <v>44873</v>
      </c>
      <c r="C137" s="1" t="n">
        <v>45964</v>
      </c>
      <c r="D137" t="inlineStr">
        <is>
          <t>VÄSTERBOTTENS LÄN</t>
        </is>
      </c>
      <c r="E137" t="inlineStr">
        <is>
          <t>SKELLEFTEÅ</t>
        </is>
      </c>
      <c r="G137" t="n">
        <v>10.6</v>
      </c>
      <c r="H137" t="n">
        <v>0</v>
      </c>
      <c r="I137" t="n">
        <v>0</v>
      </c>
      <c r="J137" t="n">
        <v>1</v>
      </c>
      <c r="K137" t="n">
        <v>0</v>
      </c>
      <c r="L137" t="n">
        <v>0</v>
      </c>
      <c r="M137" t="n">
        <v>0</v>
      </c>
      <c r="N137" t="n">
        <v>0</v>
      </c>
      <c r="O137" t="n">
        <v>1</v>
      </c>
      <c r="P137" t="n">
        <v>0</v>
      </c>
      <c r="Q137" t="n">
        <v>1</v>
      </c>
      <c r="R137" s="2" t="inlineStr">
        <is>
          <t>Granticka</t>
        </is>
      </c>
      <c r="S137">
        <f>HYPERLINK("https://klasma.github.io/Logging_2482/artfynd/A 53071-2022 artfynd.xlsx", "A 53071-2022")</f>
        <v/>
      </c>
      <c r="T137">
        <f>HYPERLINK("https://klasma.github.io/Logging_2482/kartor/A 53071-2022 karta.png", "A 53071-2022")</f>
        <v/>
      </c>
      <c r="V137">
        <f>HYPERLINK("https://klasma.github.io/Logging_2482/klagomål/A 53071-2022 FSC-klagomål.docx", "A 53071-2022")</f>
        <v/>
      </c>
      <c r="W137">
        <f>HYPERLINK("https://klasma.github.io/Logging_2482/klagomålsmail/A 53071-2022 FSC-klagomål mail.docx", "A 53071-2022")</f>
        <v/>
      </c>
      <c r="X137">
        <f>HYPERLINK("https://klasma.github.io/Logging_2482/tillsyn/A 53071-2022 tillsynsbegäran.docx", "A 53071-2022")</f>
        <v/>
      </c>
      <c r="Y137">
        <f>HYPERLINK("https://klasma.github.io/Logging_2482/tillsynsmail/A 53071-2022 tillsynsbegäran mail.docx", "A 53071-2022")</f>
        <v/>
      </c>
    </row>
    <row r="138" ht="15" customHeight="1">
      <c r="A138" t="inlineStr">
        <is>
          <t>A 41087-2023</t>
        </is>
      </c>
      <c r="B138" s="1" t="n">
        <v>45173</v>
      </c>
      <c r="C138" s="1" t="n">
        <v>45964</v>
      </c>
      <c r="D138" t="inlineStr">
        <is>
          <t>VÄSTERBOTTENS LÄN</t>
        </is>
      </c>
      <c r="E138" t="inlineStr">
        <is>
          <t>SKELLEFTEÅ</t>
        </is>
      </c>
      <c r="F138" t="inlineStr">
        <is>
          <t>Holmen skog AB</t>
        </is>
      </c>
      <c r="G138" t="n">
        <v>10</v>
      </c>
      <c r="H138" t="n">
        <v>0</v>
      </c>
      <c r="I138" t="n">
        <v>0</v>
      </c>
      <c r="J138" t="n">
        <v>0</v>
      </c>
      <c r="K138" t="n">
        <v>0</v>
      </c>
      <c r="L138" t="n">
        <v>1</v>
      </c>
      <c r="M138" t="n">
        <v>0</v>
      </c>
      <c r="N138" t="n">
        <v>0</v>
      </c>
      <c r="O138" t="n">
        <v>1</v>
      </c>
      <c r="P138" t="n">
        <v>1</v>
      </c>
      <c r="Q138" t="n">
        <v>1</v>
      </c>
      <c r="R138" s="2" t="inlineStr">
        <is>
          <t>Flodpärlmussla</t>
        </is>
      </c>
      <c r="S138">
        <f>HYPERLINK("https://klasma.github.io/Logging_2482/artfynd/A 41087-2023 artfynd.xlsx", "A 41087-2023")</f>
        <v/>
      </c>
      <c r="T138">
        <f>HYPERLINK("https://klasma.github.io/Logging_2482/kartor/A 41087-2023 karta.png", "A 41087-2023")</f>
        <v/>
      </c>
      <c r="V138">
        <f>HYPERLINK("https://klasma.github.io/Logging_2482/klagomål/A 41087-2023 FSC-klagomål.docx", "A 41087-2023")</f>
        <v/>
      </c>
      <c r="W138">
        <f>HYPERLINK("https://klasma.github.io/Logging_2482/klagomålsmail/A 41087-2023 FSC-klagomål mail.docx", "A 41087-2023")</f>
        <v/>
      </c>
      <c r="X138">
        <f>HYPERLINK("https://klasma.github.io/Logging_2482/tillsyn/A 41087-2023 tillsynsbegäran.docx", "A 41087-2023")</f>
        <v/>
      </c>
      <c r="Y138">
        <f>HYPERLINK("https://klasma.github.io/Logging_2482/tillsynsmail/A 41087-2023 tillsynsbegäran mail.docx", "A 41087-2023")</f>
        <v/>
      </c>
    </row>
    <row r="139" ht="15" customHeight="1">
      <c r="A139" t="inlineStr">
        <is>
          <t>A 36531-2022</t>
        </is>
      </c>
      <c r="B139" s="1" t="n">
        <v>44804</v>
      </c>
      <c r="C139" s="1" t="n">
        <v>45964</v>
      </c>
      <c r="D139" t="inlineStr">
        <is>
          <t>VÄSTERBOTTENS LÄN</t>
        </is>
      </c>
      <c r="E139" t="inlineStr">
        <is>
          <t>SKELLEFTEÅ</t>
        </is>
      </c>
      <c r="F139" t="inlineStr">
        <is>
          <t>Kommuner</t>
        </is>
      </c>
      <c r="G139" t="n">
        <v>3.1</v>
      </c>
      <c r="H139" t="n">
        <v>0</v>
      </c>
      <c r="I139" t="n">
        <v>1</v>
      </c>
      <c r="J139" t="n">
        <v>0</v>
      </c>
      <c r="K139" t="n">
        <v>0</v>
      </c>
      <c r="L139" t="n">
        <v>0</v>
      </c>
      <c r="M139" t="n">
        <v>0</v>
      </c>
      <c r="N139" t="n">
        <v>0</v>
      </c>
      <c r="O139" t="n">
        <v>0</v>
      </c>
      <c r="P139" t="n">
        <v>0</v>
      </c>
      <c r="Q139" t="n">
        <v>1</v>
      </c>
      <c r="R139" s="2" t="inlineStr">
        <is>
          <t>Dropptaggsvamp</t>
        </is>
      </c>
      <c r="S139">
        <f>HYPERLINK("https://klasma.github.io/Logging_2482/artfynd/A 36531-2022 artfynd.xlsx", "A 36531-2022")</f>
        <v/>
      </c>
      <c r="T139">
        <f>HYPERLINK("https://klasma.github.io/Logging_2482/kartor/A 36531-2022 karta.png", "A 36531-2022")</f>
        <v/>
      </c>
      <c r="V139">
        <f>HYPERLINK("https://klasma.github.io/Logging_2482/klagomål/A 36531-2022 FSC-klagomål.docx", "A 36531-2022")</f>
        <v/>
      </c>
      <c r="W139">
        <f>HYPERLINK("https://klasma.github.io/Logging_2482/klagomålsmail/A 36531-2022 FSC-klagomål mail.docx", "A 36531-2022")</f>
        <v/>
      </c>
      <c r="X139">
        <f>HYPERLINK("https://klasma.github.io/Logging_2482/tillsyn/A 36531-2022 tillsynsbegäran.docx", "A 36531-2022")</f>
        <v/>
      </c>
      <c r="Y139">
        <f>HYPERLINK("https://klasma.github.io/Logging_2482/tillsynsmail/A 36531-2022 tillsynsbegäran mail.docx", "A 36531-2022")</f>
        <v/>
      </c>
    </row>
    <row r="140" ht="15" customHeight="1">
      <c r="A140" t="inlineStr">
        <is>
          <t>A 24885-2022</t>
        </is>
      </c>
      <c r="B140" s="1" t="n">
        <v>44728</v>
      </c>
      <c r="C140" s="1" t="n">
        <v>45964</v>
      </c>
      <c r="D140" t="inlineStr">
        <is>
          <t>VÄSTERBOTTENS LÄN</t>
        </is>
      </c>
      <c r="E140" t="inlineStr">
        <is>
          <t>SKELLEFTEÅ</t>
        </is>
      </c>
      <c r="F140" t="inlineStr">
        <is>
          <t>Holmen skog AB</t>
        </is>
      </c>
      <c r="G140" t="n">
        <v>2.7</v>
      </c>
      <c r="H140" t="n">
        <v>0</v>
      </c>
      <c r="I140" t="n">
        <v>0</v>
      </c>
      <c r="J140" t="n">
        <v>1</v>
      </c>
      <c r="K140" t="n">
        <v>0</v>
      </c>
      <c r="L140" t="n">
        <v>0</v>
      </c>
      <c r="M140" t="n">
        <v>0</v>
      </c>
      <c r="N140" t="n">
        <v>0</v>
      </c>
      <c r="O140" t="n">
        <v>1</v>
      </c>
      <c r="P140" t="n">
        <v>0</v>
      </c>
      <c r="Q140" t="n">
        <v>1</v>
      </c>
      <c r="R140" s="2" t="inlineStr">
        <is>
          <t>Lunglav</t>
        </is>
      </c>
      <c r="S140">
        <f>HYPERLINK("https://klasma.github.io/Logging_2482/artfynd/A 24885-2022 artfynd.xlsx", "A 24885-2022")</f>
        <v/>
      </c>
      <c r="T140">
        <f>HYPERLINK("https://klasma.github.io/Logging_2482/kartor/A 24885-2022 karta.png", "A 24885-2022")</f>
        <v/>
      </c>
      <c r="V140">
        <f>HYPERLINK("https://klasma.github.io/Logging_2482/klagomål/A 24885-2022 FSC-klagomål.docx", "A 24885-2022")</f>
        <v/>
      </c>
      <c r="W140">
        <f>HYPERLINK("https://klasma.github.io/Logging_2482/klagomålsmail/A 24885-2022 FSC-klagomål mail.docx", "A 24885-2022")</f>
        <v/>
      </c>
      <c r="X140">
        <f>HYPERLINK("https://klasma.github.io/Logging_2482/tillsyn/A 24885-2022 tillsynsbegäran.docx", "A 24885-2022")</f>
        <v/>
      </c>
      <c r="Y140">
        <f>HYPERLINK("https://klasma.github.io/Logging_2482/tillsynsmail/A 24885-2022 tillsynsbegäran mail.docx", "A 24885-2022")</f>
        <v/>
      </c>
    </row>
    <row r="141" ht="15" customHeight="1">
      <c r="A141" t="inlineStr">
        <is>
          <t>A 58766-2021</t>
        </is>
      </c>
      <c r="B141" s="1" t="n">
        <v>44489</v>
      </c>
      <c r="C141" s="1" t="n">
        <v>45964</v>
      </c>
      <c r="D141" t="inlineStr">
        <is>
          <t>VÄSTERBOTTENS LÄN</t>
        </is>
      </c>
      <c r="E141" t="inlineStr">
        <is>
          <t>SKELLEFTEÅ</t>
        </is>
      </c>
      <c r="G141" t="n">
        <v>5.5</v>
      </c>
      <c r="H141" t="n">
        <v>0</v>
      </c>
      <c r="I141" t="n">
        <v>0</v>
      </c>
      <c r="J141" t="n">
        <v>1</v>
      </c>
      <c r="K141" t="n">
        <v>0</v>
      </c>
      <c r="L141" t="n">
        <v>0</v>
      </c>
      <c r="M141" t="n">
        <v>0</v>
      </c>
      <c r="N141" t="n">
        <v>0</v>
      </c>
      <c r="O141" t="n">
        <v>1</v>
      </c>
      <c r="P141" t="n">
        <v>0</v>
      </c>
      <c r="Q141" t="n">
        <v>1</v>
      </c>
      <c r="R141" s="2" t="inlineStr">
        <is>
          <t>Stjärntagging</t>
        </is>
      </c>
      <c r="S141">
        <f>HYPERLINK("https://klasma.github.io/Logging_2482/artfynd/A 58766-2021 artfynd.xlsx", "A 58766-2021")</f>
        <v/>
      </c>
      <c r="T141">
        <f>HYPERLINK("https://klasma.github.io/Logging_2482/kartor/A 58766-2021 karta.png", "A 58766-2021")</f>
        <v/>
      </c>
      <c r="V141">
        <f>HYPERLINK("https://klasma.github.io/Logging_2482/klagomål/A 58766-2021 FSC-klagomål.docx", "A 58766-2021")</f>
        <v/>
      </c>
      <c r="W141">
        <f>HYPERLINK("https://klasma.github.io/Logging_2482/klagomålsmail/A 58766-2021 FSC-klagomål mail.docx", "A 58766-2021")</f>
        <v/>
      </c>
      <c r="X141">
        <f>HYPERLINK("https://klasma.github.io/Logging_2482/tillsyn/A 58766-2021 tillsynsbegäran.docx", "A 58766-2021")</f>
        <v/>
      </c>
      <c r="Y141">
        <f>HYPERLINK("https://klasma.github.io/Logging_2482/tillsynsmail/A 58766-2021 tillsynsbegäran mail.docx", "A 58766-2021")</f>
        <v/>
      </c>
    </row>
    <row r="142" ht="15" customHeight="1">
      <c r="A142" t="inlineStr">
        <is>
          <t>A 32964-2021</t>
        </is>
      </c>
      <c r="B142" s="1" t="n">
        <v>44376</v>
      </c>
      <c r="C142" s="1" t="n">
        <v>45964</v>
      </c>
      <c r="D142" t="inlineStr">
        <is>
          <t>VÄSTERBOTTENS LÄN</t>
        </is>
      </c>
      <c r="E142" t="inlineStr">
        <is>
          <t>SKELLEFTEÅ</t>
        </is>
      </c>
      <c r="G142" t="n">
        <v>16</v>
      </c>
      <c r="H142" t="n">
        <v>0</v>
      </c>
      <c r="I142" t="n">
        <v>0</v>
      </c>
      <c r="J142" t="n">
        <v>1</v>
      </c>
      <c r="K142" t="n">
        <v>0</v>
      </c>
      <c r="L142" t="n">
        <v>0</v>
      </c>
      <c r="M142" t="n">
        <v>0</v>
      </c>
      <c r="N142" t="n">
        <v>0</v>
      </c>
      <c r="O142" t="n">
        <v>1</v>
      </c>
      <c r="P142" t="n">
        <v>0</v>
      </c>
      <c r="Q142" t="n">
        <v>1</v>
      </c>
      <c r="R142" s="2" t="inlineStr">
        <is>
          <t>Kådvaxskinn</t>
        </is>
      </c>
      <c r="S142">
        <f>HYPERLINK("https://klasma.github.io/Logging_2482/artfynd/A 32964-2021 artfynd.xlsx", "A 32964-2021")</f>
        <v/>
      </c>
      <c r="T142">
        <f>HYPERLINK("https://klasma.github.io/Logging_2482/kartor/A 32964-2021 karta.png", "A 32964-2021")</f>
        <v/>
      </c>
      <c r="V142">
        <f>HYPERLINK("https://klasma.github.io/Logging_2482/klagomål/A 32964-2021 FSC-klagomål.docx", "A 32964-2021")</f>
        <v/>
      </c>
      <c r="W142">
        <f>HYPERLINK("https://klasma.github.io/Logging_2482/klagomålsmail/A 32964-2021 FSC-klagomål mail.docx", "A 32964-2021")</f>
        <v/>
      </c>
      <c r="X142">
        <f>HYPERLINK("https://klasma.github.io/Logging_2482/tillsyn/A 32964-2021 tillsynsbegäran.docx", "A 32964-2021")</f>
        <v/>
      </c>
      <c r="Y142">
        <f>HYPERLINK("https://klasma.github.io/Logging_2482/tillsynsmail/A 32964-2021 tillsynsbegäran mail.docx", "A 32964-2021")</f>
        <v/>
      </c>
    </row>
    <row r="143" ht="15" customHeight="1">
      <c r="A143" t="inlineStr">
        <is>
          <t>A 32724-2024</t>
        </is>
      </c>
      <c r="B143" s="1" t="n">
        <v>45516.40765046296</v>
      </c>
      <c r="C143" s="1" t="n">
        <v>45964</v>
      </c>
      <c r="D143" t="inlineStr">
        <is>
          <t>VÄSTERBOTTENS LÄN</t>
        </is>
      </c>
      <c r="E143" t="inlineStr">
        <is>
          <t>SKELLEFTEÅ</t>
        </is>
      </c>
      <c r="F143" t="inlineStr">
        <is>
          <t>Holmen skog AB</t>
        </is>
      </c>
      <c r="G143" t="n">
        <v>4.4</v>
      </c>
      <c r="H143" t="n">
        <v>0</v>
      </c>
      <c r="I143" t="n">
        <v>0</v>
      </c>
      <c r="J143" t="n">
        <v>1</v>
      </c>
      <c r="K143" t="n">
        <v>0</v>
      </c>
      <c r="L143" t="n">
        <v>0</v>
      </c>
      <c r="M143" t="n">
        <v>0</v>
      </c>
      <c r="N143" t="n">
        <v>0</v>
      </c>
      <c r="O143" t="n">
        <v>1</v>
      </c>
      <c r="P143" t="n">
        <v>0</v>
      </c>
      <c r="Q143" t="n">
        <v>1</v>
      </c>
      <c r="R143" s="2" t="inlineStr">
        <is>
          <t>Lunglav</t>
        </is>
      </c>
      <c r="S143">
        <f>HYPERLINK("https://klasma.github.io/Logging_2482/artfynd/A 32724-2024 artfynd.xlsx", "A 32724-2024")</f>
        <v/>
      </c>
      <c r="T143">
        <f>HYPERLINK("https://klasma.github.io/Logging_2482/kartor/A 32724-2024 karta.png", "A 32724-2024")</f>
        <v/>
      </c>
      <c r="V143">
        <f>HYPERLINK("https://klasma.github.io/Logging_2482/klagomål/A 32724-2024 FSC-klagomål.docx", "A 32724-2024")</f>
        <v/>
      </c>
      <c r="W143">
        <f>HYPERLINK("https://klasma.github.io/Logging_2482/klagomålsmail/A 32724-2024 FSC-klagomål mail.docx", "A 32724-2024")</f>
        <v/>
      </c>
      <c r="X143">
        <f>HYPERLINK("https://klasma.github.io/Logging_2482/tillsyn/A 32724-2024 tillsynsbegäran.docx", "A 32724-2024")</f>
        <v/>
      </c>
      <c r="Y143">
        <f>HYPERLINK("https://klasma.github.io/Logging_2482/tillsynsmail/A 32724-2024 tillsynsbegäran mail.docx", "A 32724-2024")</f>
        <v/>
      </c>
    </row>
    <row r="144" ht="15" customHeight="1">
      <c r="A144" t="inlineStr">
        <is>
          <t>A 6156-2025</t>
        </is>
      </c>
      <c r="B144" s="1" t="n">
        <v>45695</v>
      </c>
      <c r="C144" s="1" t="n">
        <v>45964</v>
      </c>
      <c r="D144" t="inlineStr">
        <is>
          <t>VÄSTERBOTTENS LÄN</t>
        </is>
      </c>
      <c r="E144" t="inlineStr">
        <is>
          <t>SKELLEFTEÅ</t>
        </is>
      </c>
      <c r="G144" t="n">
        <v>5.1</v>
      </c>
      <c r="H144" t="n">
        <v>0</v>
      </c>
      <c r="I144" t="n">
        <v>0</v>
      </c>
      <c r="J144" t="n">
        <v>1</v>
      </c>
      <c r="K144" t="n">
        <v>0</v>
      </c>
      <c r="L144" t="n">
        <v>0</v>
      </c>
      <c r="M144" t="n">
        <v>0</v>
      </c>
      <c r="N144" t="n">
        <v>0</v>
      </c>
      <c r="O144" t="n">
        <v>1</v>
      </c>
      <c r="P144" t="n">
        <v>0</v>
      </c>
      <c r="Q144" t="n">
        <v>1</v>
      </c>
      <c r="R144" s="2" t="inlineStr">
        <is>
          <t>Gammelgransskål</t>
        </is>
      </c>
      <c r="S144">
        <f>HYPERLINK("https://klasma.github.io/Logging_2482/artfynd/A 6156-2025 artfynd.xlsx", "A 6156-2025")</f>
        <v/>
      </c>
      <c r="T144">
        <f>HYPERLINK("https://klasma.github.io/Logging_2482/kartor/A 6156-2025 karta.png", "A 6156-2025")</f>
        <v/>
      </c>
      <c r="V144">
        <f>HYPERLINK("https://klasma.github.io/Logging_2482/klagomål/A 6156-2025 FSC-klagomål.docx", "A 6156-2025")</f>
        <v/>
      </c>
      <c r="W144">
        <f>HYPERLINK("https://klasma.github.io/Logging_2482/klagomålsmail/A 6156-2025 FSC-klagomål mail.docx", "A 6156-2025")</f>
        <v/>
      </c>
      <c r="X144">
        <f>HYPERLINK("https://klasma.github.io/Logging_2482/tillsyn/A 6156-2025 tillsynsbegäran.docx", "A 6156-2025")</f>
        <v/>
      </c>
      <c r="Y144">
        <f>HYPERLINK("https://klasma.github.io/Logging_2482/tillsynsmail/A 6156-2025 tillsynsbegäran mail.docx", "A 6156-2025")</f>
        <v/>
      </c>
    </row>
    <row r="145" ht="15" customHeight="1">
      <c r="A145" t="inlineStr">
        <is>
          <t>A 8302-2025</t>
        </is>
      </c>
      <c r="B145" s="1" t="n">
        <v>45708</v>
      </c>
      <c r="C145" s="1" t="n">
        <v>45964</v>
      </c>
      <c r="D145" t="inlineStr">
        <is>
          <t>VÄSTERBOTTENS LÄN</t>
        </is>
      </c>
      <c r="E145" t="inlineStr">
        <is>
          <t>SKELLEFTEÅ</t>
        </is>
      </c>
      <c r="G145" t="n">
        <v>9.800000000000001</v>
      </c>
      <c r="H145" t="n">
        <v>1</v>
      </c>
      <c r="I145" t="n">
        <v>0</v>
      </c>
      <c r="J145" t="n">
        <v>0</v>
      </c>
      <c r="K145" t="n">
        <v>0</v>
      </c>
      <c r="L145" t="n">
        <v>0</v>
      </c>
      <c r="M145" t="n">
        <v>0</v>
      </c>
      <c r="N145" t="n">
        <v>0</v>
      </c>
      <c r="O145" t="n">
        <v>0</v>
      </c>
      <c r="P145" t="n">
        <v>0</v>
      </c>
      <c r="Q145" t="n">
        <v>1</v>
      </c>
      <c r="R145" s="2" t="inlineStr">
        <is>
          <t>Mattlummer</t>
        </is>
      </c>
      <c r="S145">
        <f>HYPERLINK("https://klasma.github.io/Logging_2482/artfynd/A 8302-2025 artfynd.xlsx", "A 8302-2025")</f>
        <v/>
      </c>
      <c r="T145">
        <f>HYPERLINK("https://klasma.github.io/Logging_2482/kartor/A 8302-2025 karta.png", "A 8302-2025")</f>
        <v/>
      </c>
      <c r="V145">
        <f>HYPERLINK("https://klasma.github.io/Logging_2482/klagomål/A 8302-2025 FSC-klagomål.docx", "A 8302-2025")</f>
        <v/>
      </c>
      <c r="W145">
        <f>HYPERLINK("https://klasma.github.io/Logging_2482/klagomålsmail/A 8302-2025 FSC-klagomål mail.docx", "A 8302-2025")</f>
        <v/>
      </c>
      <c r="X145">
        <f>HYPERLINK("https://klasma.github.io/Logging_2482/tillsyn/A 8302-2025 tillsynsbegäran.docx", "A 8302-2025")</f>
        <v/>
      </c>
      <c r="Y145">
        <f>HYPERLINK("https://klasma.github.io/Logging_2482/tillsynsmail/A 8302-2025 tillsynsbegäran mail.docx", "A 8302-2025")</f>
        <v/>
      </c>
    </row>
    <row r="146" ht="15" customHeight="1">
      <c r="A146" t="inlineStr">
        <is>
          <t>A 19924-2025</t>
        </is>
      </c>
      <c r="B146" s="1" t="n">
        <v>45771</v>
      </c>
      <c r="C146" s="1" t="n">
        <v>45964</v>
      </c>
      <c r="D146" t="inlineStr">
        <is>
          <t>VÄSTERBOTTENS LÄN</t>
        </is>
      </c>
      <c r="E146" t="inlineStr">
        <is>
          <t>SKELLEFTEÅ</t>
        </is>
      </c>
      <c r="F146" t="inlineStr">
        <is>
          <t>Holmen skog AB</t>
        </is>
      </c>
      <c r="G146" t="n">
        <v>2.1</v>
      </c>
      <c r="H146" t="n">
        <v>0</v>
      </c>
      <c r="I146" t="n">
        <v>1</v>
      </c>
      <c r="J146" t="n">
        <v>0</v>
      </c>
      <c r="K146" t="n">
        <v>0</v>
      </c>
      <c r="L146" t="n">
        <v>0</v>
      </c>
      <c r="M146" t="n">
        <v>0</v>
      </c>
      <c r="N146" t="n">
        <v>0</v>
      </c>
      <c r="O146" t="n">
        <v>0</v>
      </c>
      <c r="P146" t="n">
        <v>0</v>
      </c>
      <c r="Q146" t="n">
        <v>1</v>
      </c>
      <c r="R146" s="2" t="inlineStr">
        <is>
          <t>Tibast</t>
        </is>
      </c>
      <c r="S146">
        <f>HYPERLINK("https://klasma.github.io/Logging_2482/artfynd/A 19924-2025 artfynd.xlsx", "A 19924-2025")</f>
        <v/>
      </c>
      <c r="T146">
        <f>HYPERLINK("https://klasma.github.io/Logging_2482/kartor/A 19924-2025 karta.png", "A 19924-2025")</f>
        <v/>
      </c>
      <c r="V146">
        <f>HYPERLINK("https://klasma.github.io/Logging_2482/klagomål/A 19924-2025 FSC-klagomål.docx", "A 19924-2025")</f>
        <v/>
      </c>
      <c r="W146">
        <f>HYPERLINK("https://klasma.github.io/Logging_2482/klagomålsmail/A 19924-2025 FSC-klagomål mail.docx", "A 19924-2025")</f>
        <v/>
      </c>
      <c r="X146">
        <f>HYPERLINK("https://klasma.github.io/Logging_2482/tillsyn/A 19924-2025 tillsynsbegäran.docx", "A 19924-2025")</f>
        <v/>
      </c>
      <c r="Y146">
        <f>HYPERLINK("https://klasma.github.io/Logging_2482/tillsynsmail/A 19924-2025 tillsynsbegäran mail.docx", "A 19924-2025")</f>
        <v/>
      </c>
    </row>
    <row r="147" ht="15" customHeight="1">
      <c r="A147" t="inlineStr">
        <is>
          <t>A 28860-2025</t>
        </is>
      </c>
      <c r="B147" s="1" t="n">
        <v>45820.59178240741</v>
      </c>
      <c r="C147" s="1" t="n">
        <v>45964</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60586-2022</t>
        </is>
      </c>
      <c r="B148" s="1" t="n">
        <v>44911</v>
      </c>
      <c r="C148" s="1" t="n">
        <v>45964</v>
      </c>
      <c r="D148" t="inlineStr">
        <is>
          <t>VÄSTERBOTTENS LÄN</t>
        </is>
      </c>
      <c r="E148" t="inlineStr">
        <is>
          <t>SKELLEFTEÅ</t>
        </is>
      </c>
      <c r="F148" t="inlineStr">
        <is>
          <t>Sveaskog</t>
        </is>
      </c>
      <c r="G148" t="n">
        <v>10.8</v>
      </c>
      <c r="H148" t="n">
        <v>0</v>
      </c>
      <c r="I148" t="n">
        <v>0</v>
      </c>
      <c r="J148" t="n">
        <v>1</v>
      </c>
      <c r="K148" t="n">
        <v>0</v>
      </c>
      <c r="L148" t="n">
        <v>0</v>
      </c>
      <c r="M148" t="n">
        <v>0</v>
      </c>
      <c r="N148" t="n">
        <v>0</v>
      </c>
      <c r="O148" t="n">
        <v>1</v>
      </c>
      <c r="P148" t="n">
        <v>0</v>
      </c>
      <c r="Q148" t="n">
        <v>1</v>
      </c>
      <c r="R148" s="2" t="inlineStr">
        <is>
          <t>Garnlav</t>
        </is>
      </c>
      <c r="S148">
        <f>HYPERLINK("https://klasma.github.io/Logging_2482/artfynd/A 60586-2022 artfynd.xlsx", "A 60586-2022")</f>
        <v/>
      </c>
      <c r="T148">
        <f>HYPERLINK("https://klasma.github.io/Logging_2482/kartor/A 60586-2022 karta.png", "A 60586-2022")</f>
        <v/>
      </c>
      <c r="V148">
        <f>HYPERLINK("https://klasma.github.io/Logging_2482/klagomål/A 60586-2022 FSC-klagomål.docx", "A 60586-2022")</f>
        <v/>
      </c>
      <c r="W148">
        <f>HYPERLINK("https://klasma.github.io/Logging_2482/klagomålsmail/A 60586-2022 FSC-klagomål mail.docx", "A 60586-2022")</f>
        <v/>
      </c>
      <c r="X148">
        <f>HYPERLINK("https://klasma.github.io/Logging_2482/tillsyn/A 60586-2022 tillsynsbegäran.docx", "A 60586-2022")</f>
        <v/>
      </c>
      <c r="Y148">
        <f>HYPERLINK("https://klasma.github.io/Logging_2482/tillsynsmail/A 60586-2022 tillsynsbegäran mail.docx", "A 60586-2022")</f>
        <v/>
      </c>
    </row>
    <row r="149" ht="15" customHeight="1">
      <c r="A149" t="inlineStr">
        <is>
          <t>A 28448-2023</t>
        </is>
      </c>
      <c r="B149" s="1" t="n">
        <v>45103</v>
      </c>
      <c r="C149" s="1" t="n">
        <v>45964</v>
      </c>
      <c r="D149" t="inlineStr">
        <is>
          <t>VÄSTERBOTTENS LÄN</t>
        </is>
      </c>
      <c r="E149" t="inlineStr">
        <is>
          <t>SKELLEFTEÅ</t>
        </is>
      </c>
      <c r="F149" t="inlineStr">
        <is>
          <t>Kyrkan</t>
        </is>
      </c>
      <c r="G149" t="n">
        <v>9.4</v>
      </c>
      <c r="H149" t="n">
        <v>0</v>
      </c>
      <c r="I149" t="n">
        <v>0</v>
      </c>
      <c r="J149" t="n">
        <v>1</v>
      </c>
      <c r="K149" t="n">
        <v>0</v>
      </c>
      <c r="L149" t="n">
        <v>0</v>
      </c>
      <c r="M149" t="n">
        <v>0</v>
      </c>
      <c r="N149" t="n">
        <v>0</v>
      </c>
      <c r="O149" t="n">
        <v>1</v>
      </c>
      <c r="P149" t="n">
        <v>0</v>
      </c>
      <c r="Q149" t="n">
        <v>1</v>
      </c>
      <c r="R149" s="2" t="inlineStr">
        <is>
          <t>Tallriska</t>
        </is>
      </c>
      <c r="S149">
        <f>HYPERLINK("https://klasma.github.io/Logging_2482/artfynd/A 28448-2023 artfynd.xlsx", "A 28448-2023")</f>
        <v/>
      </c>
      <c r="T149">
        <f>HYPERLINK("https://klasma.github.io/Logging_2482/kartor/A 28448-2023 karta.png", "A 28448-2023")</f>
        <v/>
      </c>
      <c r="V149">
        <f>HYPERLINK("https://klasma.github.io/Logging_2482/klagomål/A 28448-2023 FSC-klagomål.docx", "A 28448-2023")</f>
        <v/>
      </c>
      <c r="W149">
        <f>HYPERLINK("https://klasma.github.io/Logging_2482/klagomålsmail/A 28448-2023 FSC-klagomål mail.docx", "A 28448-2023")</f>
        <v/>
      </c>
      <c r="X149">
        <f>HYPERLINK("https://klasma.github.io/Logging_2482/tillsyn/A 28448-2023 tillsynsbegäran.docx", "A 28448-2023")</f>
        <v/>
      </c>
      <c r="Y149">
        <f>HYPERLINK("https://klasma.github.io/Logging_2482/tillsynsmail/A 28448-2023 tillsynsbegäran mail.docx", "A 28448-2023")</f>
        <v/>
      </c>
    </row>
    <row r="150" ht="15" customHeight="1">
      <c r="A150" t="inlineStr">
        <is>
          <t>A 1694-2025</t>
        </is>
      </c>
      <c r="B150" s="1" t="n">
        <v>45670</v>
      </c>
      <c r="C150" s="1" t="n">
        <v>45964</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45964</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64409-2021</t>
        </is>
      </c>
      <c r="B152" s="1" t="n">
        <v>44510</v>
      </c>
      <c r="C152" s="1" t="n">
        <v>45964</v>
      </c>
      <c r="D152" t="inlineStr">
        <is>
          <t>VÄSTERBOTTENS LÄN</t>
        </is>
      </c>
      <c r="E152" t="inlineStr">
        <is>
          <t>SKELLEFTEÅ</t>
        </is>
      </c>
      <c r="G152" t="n">
        <v>1.3</v>
      </c>
      <c r="H152" t="n">
        <v>0</v>
      </c>
      <c r="I152" t="n">
        <v>0</v>
      </c>
      <c r="J152" t="n">
        <v>1</v>
      </c>
      <c r="K152" t="n">
        <v>0</v>
      </c>
      <c r="L152" t="n">
        <v>0</v>
      </c>
      <c r="M152" t="n">
        <v>0</v>
      </c>
      <c r="N152" t="n">
        <v>0</v>
      </c>
      <c r="O152" t="n">
        <v>1</v>
      </c>
      <c r="P152" t="n">
        <v>0</v>
      </c>
      <c r="Q152" t="n">
        <v>1</v>
      </c>
      <c r="R152" s="2" t="inlineStr">
        <is>
          <t>Igelkott</t>
        </is>
      </c>
      <c r="S152">
        <f>HYPERLINK("https://klasma.github.io/Logging_2482/artfynd/A 64409-2021 artfynd.xlsx", "A 64409-2021")</f>
        <v/>
      </c>
      <c r="T152">
        <f>HYPERLINK("https://klasma.github.io/Logging_2482/kartor/A 64409-2021 karta.png", "A 64409-2021")</f>
        <v/>
      </c>
      <c r="V152">
        <f>HYPERLINK("https://klasma.github.io/Logging_2482/klagomål/A 64409-2021 FSC-klagomål.docx", "A 64409-2021")</f>
        <v/>
      </c>
      <c r="W152">
        <f>HYPERLINK("https://klasma.github.io/Logging_2482/klagomålsmail/A 64409-2021 FSC-klagomål mail.docx", "A 64409-2021")</f>
        <v/>
      </c>
      <c r="X152">
        <f>HYPERLINK("https://klasma.github.io/Logging_2482/tillsyn/A 64409-2021 tillsynsbegäran.docx", "A 64409-2021")</f>
        <v/>
      </c>
      <c r="Y152">
        <f>HYPERLINK("https://klasma.github.io/Logging_2482/tillsynsmail/A 64409-2021 tillsynsbegäran mail.docx", "A 64409-2021")</f>
        <v/>
      </c>
    </row>
    <row r="153" ht="15" customHeight="1">
      <c r="A153" t="inlineStr">
        <is>
          <t>A 54058-2022</t>
        </is>
      </c>
      <c r="B153" s="1" t="n">
        <v>44881</v>
      </c>
      <c r="C153" s="1" t="n">
        <v>45964</v>
      </c>
      <c r="D153" t="inlineStr">
        <is>
          <t>VÄSTERBOTTENS LÄN</t>
        </is>
      </c>
      <c r="E153" t="inlineStr">
        <is>
          <t>SKELLEFTEÅ</t>
        </is>
      </c>
      <c r="F153" t="inlineStr">
        <is>
          <t>Sveaskog</t>
        </is>
      </c>
      <c r="G153" t="n">
        <v>1.2</v>
      </c>
      <c r="H153" t="n">
        <v>0</v>
      </c>
      <c r="I153" t="n">
        <v>1</v>
      </c>
      <c r="J153" t="n">
        <v>0</v>
      </c>
      <c r="K153" t="n">
        <v>0</v>
      </c>
      <c r="L153" t="n">
        <v>0</v>
      </c>
      <c r="M153" t="n">
        <v>0</v>
      </c>
      <c r="N153" t="n">
        <v>0</v>
      </c>
      <c r="O153" t="n">
        <v>0</v>
      </c>
      <c r="P153" t="n">
        <v>0</v>
      </c>
      <c r="Q153" t="n">
        <v>1</v>
      </c>
      <c r="R153" s="2" t="inlineStr">
        <is>
          <t>Luddlav</t>
        </is>
      </c>
      <c r="S153">
        <f>HYPERLINK("https://klasma.github.io/Logging_2482/artfynd/A 54058-2022 artfynd.xlsx", "A 54058-2022")</f>
        <v/>
      </c>
      <c r="T153">
        <f>HYPERLINK("https://klasma.github.io/Logging_2482/kartor/A 54058-2022 karta.png", "A 54058-2022")</f>
        <v/>
      </c>
      <c r="V153">
        <f>HYPERLINK("https://klasma.github.io/Logging_2482/klagomål/A 54058-2022 FSC-klagomål.docx", "A 54058-2022")</f>
        <v/>
      </c>
      <c r="W153">
        <f>HYPERLINK("https://klasma.github.io/Logging_2482/klagomålsmail/A 54058-2022 FSC-klagomål mail.docx", "A 54058-2022")</f>
        <v/>
      </c>
      <c r="X153">
        <f>HYPERLINK("https://klasma.github.io/Logging_2482/tillsyn/A 54058-2022 tillsynsbegäran.docx", "A 54058-2022")</f>
        <v/>
      </c>
      <c r="Y153">
        <f>HYPERLINK("https://klasma.github.io/Logging_2482/tillsynsmail/A 54058-2022 tillsynsbegäran mail.docx", "A 54058-2022")</f>
        <v/>
      </c>
    </row>
    <row r="154" ht="15" customHeight="1">
      <c r="A154" t="inlineStr">
        <is>
          <t>A 57568-2024</t>
        </is>
      </c>
      <c r="B154" s="1" t="n">
        <v>45630.46457175926</v>
      </c>
      <c r="C154" s="1" t="n">
        <v>45964</v>
      </c>
      <c r="D154" t="inlineStr">
        <is>
          <t>VÄSTERBOTTENS LÄN</t>
        </is>
      </c>
      <c r="E154" t="inlineStr">
        <is>
          <t>SKELLEFTEÅ</t>
        </is>
      </c>
      <c r="F154" t="inlineStr">
        <is>
          <t>Sveaskog</t>
        </is>
      </c>
      <c r="G154" t="n">
        <v>7.3</v>
      </c>
      <c r="H154" t="n">
        <v>0</v>
      </c>
      <c r="I154" t="n">
        <v>0</v>
      </c>
      <c r="J154" t="n">
        <v>1</v>
      </c>
      <c r="K154" t="n">
        <v>0</v>
      </c>
      <c r="L154" t="n">
        <v>0</v>
      </c>
      <c r="M154" t="n">
        <v>0</v>
      </c>
      <c r="N154" t="n">
        <v>0</v>
      </c>
      <c r="O154" t="n">
        <v>1</v>
      </c>
      <c r="P154" t="n">
        <v>0</v>
      </c>
      <c r="Q154" t="n">
        <v>1</v>
      </c>
      <c r="R154" s="2" t="inlineStr">
        <is>
          <t>Stjärntagging</t>
        </is>
      </c>
      <c r="S154">
        <f>HYPERLINK("https://klasma.github.io/Logging_2482/artfynd/A 57568-2024 artfynd.xlsx", "A 57568-2024")</f>
        <v/>
      </c>
      <c r="T154">
        <f>HYPERLINK("https://klasma.github.io/Logging_2482/kartor/A 57568-2024 karta.png", "A 57568-2024")</f>
        <v/>
      </c>
      <c r="V154">
        <f>HYPERLINK("https://klasma.github.io/Logging_2482/klagomål/A 57568-2024 FSC-klagomål.docx", "A 57568-2024")</f>
        <v/>
      </c>
      <c r="W154">
        <f>HYPERLINK("https://klasma.github.io/Logging_2482/klagomålsmail/A 57568-2024 FSC-klagomål mail.docx", "A 57568-2024")</f>
        <v/>
      </c>
      <c r="X154">
        <f>HYPERLINK("https://klasma.github.io/Logging_2482/tillsyn/A 57568-2024 tillsynsbegäran.docx", "A 57568-2024")</f>
        <v/>
      </c>
      <c r="Y154">
        <f>HYPERLINK("https://klasma.github.io/Logging_2482/tillsynsmail/A 57568-2024 tillsynsbegäran mail.docx", "A 57568-2024")</f>
        <v/>
      </c>
    </row>
    <row r="155" ht="15" customHeight="1">
      <c r="A155" t="inlineStr">
        <is>
          <t>A 35910-2025</t>
        </is>
      </c>
      <c r="B155" s="1" t="n">
        <v>45862.5197800926</v>
      </c>
      <c r="C155" s="1" t="n">
        <v>45964</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41055-2023</t>
        </is>
      </c>
      <c r="B156" s="1" t="n">
        <v>45173</v>
      </c>
      <c r="C156" s="1" t="n">
        <v>45964</v>
      </c>
      <c r="D156" t="inlineStr">
        <is>
          <t>VÄSTERBOTTENS LÄN</t>
        </is>
      </c>
      <c r="E156" t="inlineStr">
        <is>
          <t>SKELLEFTEÅ</t>
        </is>
      </c>
      <c r="F156" t="inlineStr">
        <is>
          <t>Holmen skog AB</t>
        </is>
      </c>
      <c r="G156" t="n">
        <v>4.4</v>
      </c>
      <c r="H156" t="n">
        <v>0</v>
      </c>
      <c r="I156" t="n">
        <v>0</v>
      </c>
      <c r="J156" t="n">
        <v>0</v>
      </c>
      <c r="K156" t="n">
        <v>0</v>
      </c>
      <c r="L156" t="n">
        <v>1</v>
      </c>
      <c r="M156" t="n">
        <v>0</v>
      </c>
      <c r="N156" t="n">
        <v>0</v>
      </c>
      <c r="O156" t="n">
        <v>1</v>
      </c>
      <c r="P156" t="n">
        <v>1</v>
      </c>
      <c r="Q156" t="n">
        <v>1</v>
      </c>
      <c r="R156" s="2" t="inlineStr">
        <is>
          <t>Flodpärlmussla</t>
        </is>
      </c>
      <c r="S156">
        <f>HYPERLINK("https://klasma.github.io/Logging_2482/artfynd/A 41055-2023 artfynd.xlsx", "A 41055-2023")</f>
        <v/>
      </c>
      <c r="T156">
        <f>HYPERLINK("https://klasma.github.io/Logging_2482/kartor/A 41055-2023 karta.png", "A 41055-2023")</f>
        <v/>
      </c>
      <c r="V156">
        <f>HYPERLINK("https://klasma.github.io/Logging_2482/klagomål/A 41055-2023 FSC-klagomål.docx", "A 41055-2023")</f>
        <v/>
      </c>
      <c r="W156">
        <f>HYPERLINK("https://klasma.github.io/Logging_2482/klagomålsmail/A 41055-2023 FSC-klagomål mail.docx", "A 41055-2023")</f>
        <v/>
      </c>
      <c r="X156">
        <f>HYPERLINK("https://klasma.github.io/Logging_2482/tillsyn/A 41055-2023 tillsynsbegäran.docx", "A 41055-2023")</f>
        <v/>
      </c>
      <c r="Y156">
        <f>HYPERLINK("https://klasma.github.io/Logging_2482/tillsynsmail/A 41055-2023 tillsynsbegäran mail.docx", "A 41055-2023")</f>
        <v/>
      </c>
    </row>
    <row r="157" ht="15" customHeight="1">
      <c r="A157" t="inlineStr">
        <is>
          <t>A 46731-2025</t>
        </is>
      </c>
      <c r="B157" s="1" t="n">
        <v>45926.59231481481</v>
      </c>
      <c r="C157" s="1" t="n">
        <v>45964</v>
      </c>
      <c r="D157" t="inlineStr">
        <is>
          <t>VÄSTERBOTTENS LÄN</t>
        </is>
      </c>
      <c r="E157" t="inlineStr">
        <is>
          <t>SKELLEFTEÅ</t>
        </is>
      </c>
      <c r="F157" t="inlineStr">
        <is>
          <t>Sveaskog</t>
        </is>
      </c>
      <c r="G157" t="n">
        <v>17</v>
      </c>
      <c r="H157" t="n">
        <v>0</v>
      </c>
      <c r="I157" t="n">
        <v>0</v>
      </c>
      <c r="J157" t="n">
        <v>1</v>
      </c>
      <c r="K157" t="n">
        <v>0</v>
      </c>
      <c r="L157" t="n">
        <v>0</v>
      </c>
      <c r="M157" t="n">
        <v>0</v>
      </c>
      <c r="N157" t="n">
        <v>0</v>
      </c>
      <c r="O157" t="n">
        <v>1</v>
      </c>
      <c r="P157" t="n">
        <v>0</v>
      </c>
      <c r="Q157" t="n">
        <v>1</v>
      </c>
      <c r="R157" s="2" t="inlineStr">
        <is>
          <t>Garnlav</t>
        </is>
      </c>
      <c r="S157">
        <f>HYPERLINK("https://klasma.github.io/Logging_2482/artfynd/A 46731-2025 artfynd.xlsx", "A 46731-2025")</f>
        <v/>
      </c>
      <c r="T157">
        <f>HYPERLINK("https://klasma.github.io/Logging_2482/kartor/A 46731-2025 karta.png", "A 46731-2025")</f>
        <v/>
      </c>
      <c r="V157">
        <f>HYPERLINK("https://klasma.github.io/Logging_2482/klagomål/A 46731-2025 FSC-klagomål.docx", "A 46731-2025")</f>
        <v/>
      </c>
      <c r="W157">
        <f>HYPERLINK("https://klasma.github.io/Logging_2482/klagomålsmail/A 46731-2025 FSC-klagomål mail.docx", "A 46731-2025")</f>
        <v/>
      </c>
      <c r="X157">
        <f>HYPERLINK("https://klasma.github.io/Logging_2482/tillsyn/A 46731-2025 tillsynsbegäran.docx", "A 46731-2025")</f>
        <v/>
      </c>
      <c r="Y157">
        <f>HYPERLINK("https://klasma.github.io/Logging_2482/tillsynsmail/A 46731-2025 tillsynsbegäran mail.docx", "A 46731-2025")</f>
        <v/>
      </c>
    </row>
    <row r="158" ht="15" customHeight="1">
      <c r="A158" t="inlineStr">
        <is>
          <t>A 47354-2025</t>
        </is>
      </c>
      <c r="B158" s="1" t="n">
        <v>45930.57769675926</v>
      </c>
      <c r="C158" s="1" t="n">
        <v>45964</v>
      </c>
      <c r="D158" t="inlineStr">
        <is>
          <t>VÄSTERBOTTENS LÄN</t>
        </is>
      </c>
      <c r="E158" t="inlineStr">
        <is>
          <t>SKELLEFTEÅ</t>
        </is>
      </c>
      <c r="G158" t="n">
        <v>0.5</v>
      </c>
      <c r="H158" t="n">
        <v>1</v>
      </c>
      <c r="I158" t="n">
        <v>0</v>
      </c>
      <c r="J158" t="n">
        <v>0</v>
      </c>
      <c r="K158" t="n">
        <v>0</v>
      </c>
      <c r="L158" t="n">
        <v>0</v>
      </c>
      <c r="M158" t="n">
        <v>0</v>
      </c>
      <c r="N158" t="n">
        <v>0</v>
      </c>
      <c r="O158" t="n">
        <v>0</v>
      </c>
      <c r="P158" t="n">
        <v>0</v>
      </c>
      <c r="Q158" t="n">
        <v>1</v>
      </c>
      <c r="R158" s="2" t="inlineStr">
        <is>
          <t>Mindre vattensalamander</t>
        </is>
      </c>
      <c r="S158">
        <f>HYPERLINK("https://klasma.github.io/Logging_2482/artfynd/A 47354-2025 artfynd.xlsx", "A 47354-2025")</f>
        <v/>
      </c>
      <c r="T158">
        <f>HYPERLINK("https://klasma.github.io/Logging_2482/kartor/A 47354-2025 karta.png", "A 47354-2025")</f>
        <v/>
      </c>
      <c r="V158">
        <f>HYPERLINK("https://klasma.github.io/Logging_2482/klagomål/A 47354-2025 FSC-klagomål.docx", "A 47354-2025")</f>
        <v/>
      </c>
      <c r="W158">
        <f>HYPERLINK("https://klasma.github.io/Logging_2482/klagomålsmail/A 47354-2025 FSC-klagomål mail.docx", "A 47354-2025")</f>
        <v/>
      </c>
      <c r="X158">
        <f>HYPERLINK("https://klasma.github.io/Logging_2482/tillsyn/A 47354-2025 tillsynsbegäran.docx", "A 47354-2025")</f>
        <v/>
      </c>
      <c r="Y158">
        <f>HYPERLINK("https://klasma.github.io/Logging_2482/tillsynsmail/A 47354-2025 tillsynsbegäran mail.docx", "A 47354-2025")</f>
        <v/>
      </c>
    </row>
    <row r="159" ht="15" customHeight="1">
      <c r="A159" t="inlineStr">
        <is>
          <t>A 37254-2025</t>
        </is>
      </c>
      <c r="B159" s="1" t="n">
        <v>45875</v>
      </c>
      <c r="C159" s="1" t="n">
        <v>45964</v>
      </c>
      <c r="D159" t="inlineStr">
        <is>
          <t>VÄSTERBOTTENS LÄN</t>
        </is>
      </c>
      <c r="E159" t="inlineStr">
        <is>
          <t>SKELLEFTEÅ</t>
        </is>
      </c>
      <c r="G159" t="n">
        <v>11.4</v>
      </c>
      <c r="H159" t="n">
        <v>0</v>
      </c>
      <c r="I159" t="n">
        <v>0</v>
      </c>
      <c r="J159" t="n">
        <v>1</v>
      </c>
      <c r="K159" t="n">
        <v>0</v>
      </c>
      <c r="L159" t="n">
        <v>0</v>
      </c>
      <c r="M159" t="n">
        <v>0</v>
      </c>
      <c r="N159" t="n">
        <v>0</v>
      </c>
      <c r="O159" t="n">
        <v>1</v>
      </c>
      <c r="P159" t="n">
        <v>0</v>
      </c>
      <c r="Q159" t="n">
        <v>1</v>
      </c>
      <c r="R159" s="2" t="inlineStr">
        <is>
          <t>Äggvaxskivling</t>
        </is>
      </c>
      <c r="S159">
        <f>HYPERLINK("https://klasma.github.io/Logging_2482/artfynd/A 37254-2025 artfynd.xlsx", "A 37254-2025")</f>
        <v/>
      </c>
      <c r="T159">
        <f>HYPERLINK("https://klasma.github.io/Logging_2482/kartor/A 37254-2025 karta.png", "A 37254-2025")</f>
        <v/>
      </c>
      <c r="V159">
        <f>HYPERLINK("https://klasma.github.io/Logging_2482/klagomål/A 37254-2025 FSC-klagomål.docx", "A 37254-2025")</f>
        <v/>
      </c>
      <c r="W159">
        <f>HYPERLINK("https://klasma.github.io/Logging_2482/klagomålsmail/A 37254-2025 FSC-klagomål mail.docx", "A 37254-2025")</f>
        <v/>
      </c>
      <c r="X159">
        <f>HYPERLINK("https://klasma.github.io/Logging_2482/tillsyn/A 37254-2025 tillsynsbegäran.docx", "A 37254-2025")</f>
        <v/>
      </c>
      <c r="Y159">
        <f>HYPERLINK("https://klasma.github.io/Logging_2482/tillsynsmail/A 37254-2025 tillsynsbegäran mail.docx", "A 37254-2025")</f>
        <v/>
      </c>
    </row>
    <row r="160" ht="15" customHeight="1">
      <c r="A160" t="inlineStr">
        <is>
          <t>A 60231-2022</t>
        </is>
      </c>
      <c r="B160" s="1" t="n">
        <v>44910</v>
      </c>
      <c r="C160" s="1" t="n">
        <v>45964</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8729-2025</t>
        </is>
      </c>
      <c r="B161" s="1" t="n">
        <v>45712.53144675926</v>
      </c>
      <c r="C161" s="1" t="n">
        <v>45964</v>
      </c>
      <c r="D161" t="inlineStr">
        <is>
          <t>VÄSTERBOTTENS LÄN</t>
        </is>
      </c>
      <c r="E161" t="inlineStr">
        <is>
          <t>SKELLEFTEÅ</t>
        </is>
      </c>
      <c r="G161" t="n">
        <v>12.2</v>
      </c>
      <c r="H161" t="n">
        <v>0</v>
      </c>
      <c r="I161" t="n">
        <v>0</v>
      </c>
      <c r="J161" t="n">
        <v>1</v>
      </c>
      <c r="K161" t="n">
        <v>0</v>
      </c>
      <c r="L161" t="n">
        <v>0</v>
      </c>
      <c r="M161" t="n">
        <v>0</v>
      </c>
      <c r="N161" t="n">
        <v>0</v>
      </c>
      <c r="O161" t="n">
        <v>1</v>
      </c>
      <c r="P161" t="n">
        <v>0</v>
      </c>
      <c r="Q161" t="n">
        <v>1</v>
      </c>
      <c r="R161" s="2" t="inlineStr">
        <is>
          <t>Granticka</t>
        </is>
      </c>
      <c r="S161">
        <f>HYPERLINK("https://klasma.github.io/Logging_2482/artfynd/A 8729-2025 artfynd.xlsx", "A 8729-2025")</f>
        <v/>
      </c>
      <c r="T161">
        <f>HYPERLINK("https://klasma.github.io/Logging_2482/kartor/A 8729-2025 karta.png", "A 8729-2025")</f>
        <v/>
      </c>
      <c r="V161">
        <f>HYPERLINK("https://klasma.github.io/Logging_2482/klagomål/A 8729-2025 FSC-klagomål.docx", "A 8729-2025")</f>
        <v/>
      </c>
      <c r="W161">
        <f>HYPERLINK("https://klasma.github.io/Logging_2482/klagomålsmail/A 8729-2025 FSC-klagomål mail.docx", "A 8729-2025")</f>
        <v/>
      </c>
      <c r="X161">
        <f>HYPERLINK("https://klasma.github.io/Logging_2482/tillsyn/A 8729-2025 tillsynsbegäran.docx", "A 8729-2025")</f>
        <v/>
      </c>
      <c r="Y161">
        <f>HYPERLINK("https://klasma.github.io/Logging_2482/tillsynsmail/A 8729-2025 tillsynsbegäran mail.docx", "A 8729-2025")</f>
        <v/>
      </c>
    </row>
    <row r="162" ht="15" customHeight="1">
      <c r="A162" t="inlineStr">
        <is>
          <t>A 45376-2024</t>
        </is>
      </c>
      <c r="B162" s="1" t="n">
        <v>45576.51907407407</v>
      </c>
      <c r="C162" s="1" t="n">
        <v>45964</v>
      </c>
      <c r="D162" t="inlineStr">
        <is>
          <t>VÄSTERBOTTENS LÄN</t>
        </is>
      </c>
      <c r="E162" t="inlineStr">
        <is>
          <t>SKELLEFTEÅ</t>
        </is>
      </c>
      <c r="G162" t="n">
        <v>1.2</v>
      </c>
      <c r="H162" t="n">
        <v>1</v>
      </c>
      <c r="I162" t="n">
        <v>0</v>
      </c>
      <c r="J162" t="n">
        <v>0</v>
      </c>
      <c r="K162" t="n">
        <v>0</v>
      </c>
      <c r="L162" t="n">
        <v>0</v>
      </c>
      <c r="M162" t="n">
        <v>0</v>
      </c>
      <c r="N162" t="n">
        <v>0</v>
      </c>
      <c r="O162" t="n">
        <v>0</v>
      </c>
      <c r="P162" t="n">
        <v>0</v>
      </c>
      <c r="Q162" t="n">
        <v>1</v>
      </c>
      <c r="R162" s="2" t="inlineStr">
        <is>
          <t>Fläcknycklar</t>
        </is>
      </c>
      <c r="S162">
        <f>HYPERLINK("https://klasma.github.io/Logging_2482/artfynd/A 45376-2024 artfynd.xlsx", "A 45376-2024")</f>
        <v/>
      </c>
      <c r="T162">
        <f>HYPERLINK("https://klasma.github.io/Logging_2482/kartor/A 45376-2024 karta.png", "A 45376-2024")</f>
        <v/>
      </c>
      <c r="V162">
        <f>HYPERLINK("https://klasma.github.io/Logging_2482/klagomål/A 45376-2024 FSC-klagomål.docx", "A 45376-2024")</f>
        <v/>
      </c>
      <c r="W162">
        <f>HYPERLINK("https://klasma.github.io/Logging_2482/klagomålsmail/A 45376-2024 FSC-klagomål mail.docx", "A 45376-2024")</f>
        <v/>
      </c>
      <c r="X162">
        <f>HYPERLINK("https://klasma.github.io/Logging_2482/tillsyn/A 45376-2024 tillsynsbegäran.docx", "A 45376-2024")</f>
        <v/>
      </c>
      <c r="Y162">
        <f>HYPERLINK("https://klasma.github.io/Logging_2482/tillsynsmail/A 45376-2024 tillsynsbegäran mail.docx", "A 45376-2024")</f>
        <v/>
      </c>
    </row>
    <row r="163" ht="15" customHeight="1">
      <c r="A163" t="inlineStr">
        <is>
          <t>A 41409-2025</t>
        </is>
      </c>
      <c r="B163" s="1" t="n">
        <v>45901.34798611111</v>
      </c>
      <c r="C163" s="1" t="n">
        <v>45964</v>
      </c>
      <c r="D163" t="inlineStr">
        <is>
          <t>VÄSTERBOTTENS LÄN</t>
        </is>
      </c>
      <c r="E163" t="inlineStr">
        <is>
          <t>SKELLEFTEÅ</t>
        </is>
      </c>
      <c r="F163" t="inlineStr">
        <is>
          <t>Kommuner</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HYPERLINK("https://klasma.github.io/Logging_2482/artfynd/A 41409-2025 artfynd.xlsx", "A 41409-2025")</f>
        <v/>
      </c>
      <c r="T163">
        <f>HYPERLINK("https://klasma.github.io/Logging_2482/kartor/A 41409-2025 karta.png", "A 41409-2025")</f>
        <v/>
      </c>
      <c r="V163">
        <f>HYPERLINK("https://klasma.github.io/Logging_2482/klagomål/A 41409-2025 FSC-klagomål.docx", "A 41409-2025")</f>
        <v/>
      </c>
      <c r="W163">
        <f>HYPERLINK("https://klasma.github.io/Logging_2482/klagomålsmail/A 41409-2025 FSC-klagomål mail.docx", "A 41409-2025")</f>
        <v/>
      </c>
      <c r="X163">
        <f>HYPERLINK("https://klasma.github.io/Logging_2482/tillsyn/A 41409-2025 tillsynsbegäran.docx", "A 41409-2025")</f>
        <v/>
      </c>
      <c r="Y163">
        <f>HYPERLINK("https://klasma.github.io/Logging_2482/tillsynsmail/A 41409-2025 tillsynsbegäran mail.docx", "A 41409-2025")</f>
        <v/>
      </c>
    </row>
    <row r="164" ht="15" customHeight="1">
      <c r="A164" t="inlineStr">
        <is>
          <t>A 51288-2025</t>
        </is>
      </c>
      <c r="B164" s="1" t="n">
        <v>45950.34547453704</v>
      </c>
      <c r="C164" s="1" t="n">
        <v>45964</v>
      </c>
      <c r="D164" t="inlineStr">
        <is>
          <t>VÄSTERBOTTENS LÄN</t>
        </is>
      </c>
      <c r="E164" t="inlineStr">
        <is>
          <t>SKELLEFTEÅ</t>
        </is>
      </c>
      <c r="F164" t="inlineStr">
        <is>
          <t>SCA</t>
        </is>
      </c>
      <c r="G164" t="n">
        <v>6.5</v>
      </c>
      <c r="H164" t="n">
        <v>0</v>
      </c>
      <c r="I164" t="n">
        <v>0</v>
      </c>
      <c r="J164" t="n">
        <v>1</v>
      </c>
      <c r="K164" t="n">
        <v>0</v>
      </c>
      <c r="L164" t="n">
        <v>0</v>
      </c>
      <c r="M164" t="n">
        <v>0</v>
      </c>
      <c r="N164" t="n">
        <v>0</v>
      </c>
      <c r="O164" t="n">
        <v>1</v>
      </c>
      <c r="P164" t="n">
        <v>0</v>
      </c>
      <c r="Q164" t="n">
        <v>1</v>
      </c>
      <c r="R164" s="2" t="inlineStr">
        <is>
          <t>Blå taggsvamp</t>
        </is>
      </c>
      <c r="S164">
        <f>HYPERLINK("https://klasma.github.io/Logging_2482/artfynd/A 51288-2025 artfynd.xlsx", "A 51288-2025")</f>
        <v/>
      </c>
      <c r="T164">
        <f>HYPERLINK("https://klasma.github.io/Logging_2482/kartor/A 51288-2025 karta.png", "A 51288-2025")</f>
        <v/>
      </c>
      <c r="V164">
        <f>HYPERLINK("https://klasma.github.io/Logging_2482/klagomål/A 51288-2025 FSC-klagomål.docx", "A 51288-2025")</f>
        <v/>
      </c>
      <c r="W164">
        <f>HYPERLINK("https://klasma.github.io/Logging_2482/klagomålsmail/A 51288-2025 FSC-klagomål mail.docx", "A 51288-2025")</f>
        <v/>
      </c>
      <c r="X164">
        <f>HYPERLINK("https://klasma.github.io/Logging_2482/tillsyn/A 51288-2025 tillsynsbegäran.docx", "A 51288-2025")</f>
        <v/>
      </c>
      <c r="Y164">
        <f>HYPERLINK("https://klasma.github.io/Logging_2482/tillsynsmail/A 51288-2025 tillsynsbegäran mail.docx", "A 51288-2025")</f>
        <v/>
      </c>
    </row>
    <row r="165" ht="15" customHeight="1">
      <c r="A165" t="inlineStr">
        <is>
          <t>A 43228-2025</t>
        </is>
      </c>
      <c r="B165" s="1" t="n">
        <v>45910.49400462963</v>
      </c>
      <c r="C165" s="1" t="n">
        <v>45964</v>
      </c>
      <c r="D165" t="inlineStr">
        <is>
          <t>VÄSTERBOTTENS LÄN</t>
        </is>
      </c>
      <c r="E165" t="inlineStr">
        <is>
          <t>SKELLEFTEÅ</t>
        </is>
      </c>
      <c r="G165" t="n">
        <v>2.9</v>
      </c>
      <c r="H165" t="n">
        <v>0</v>
      </c>
      <c r="I165" t="n">
        <v>0</v>
      </c>
      <c r="J165" t="n">
        <v>1</v>
      </c>
      <c r="K165" t="n">
        <v>0</v>
      </c>
      <c r="L165" t="n">
        <v>0</v>
      </c>
      <c r="M165" t="n">
        <v>0</v>
      </c>
      <c r="N165" t="n">
        <v>0</v>
      </c>
      <c r="O165" t="n">
        <v>1</v>
      </c>
      <c r="P165" t="n">
        <v>0</v>
      </c>
      <c r="Q165" t="n">
        <v>1</v>
      </c>
      <c r="R165" s="2" t="inlineStr">
        <is>
          <t>Ullticka</t>
        </is>
      </c>
      <c r="S165">
        <f>HYPERLINK("https://klasma.github.io/Logging_2482/artfynd/A 43228-2025 artfynd.xlsx", "A 43228-2025")</f>
        <v/>
      </c>
      <c r="T165">
        <f>HYPERLINK("https://klasma.github.io/Logging_2482/kartor/A 43228-2025 karta.png", "A 43228-2025")</f>
        <v/>
      </c>
      <c r="V165">
        <f>HYPERLINK("https://klasma.github.io/Logging_2482/klagomål/A 43228-2025 FSC-klagomål.docx", "A 43228-2025")</f>
        <v/>
      </c>
      <c r="W165">
        <f>HYPERLINK("https://klasma.github.io/Logging_2482/klagomålsmail/A 43228-2025 FSC-klagomål mail.docx", "A 43228-2025")</f>
        <v/>
      </c>
      <c r="X165">
        <f>HYPERLINK("https://klasma.github.io/Logging_2482/tillsyn/A 43228-2025 tillsynsbegäran.docx", "A 43228-2025")</f>
        <v/>
      </c>
      <c r="Y165">
        <f>HYPERLINK("https://klasma.github.io/Logging_2482/tillsynsmail/A 43228-2025 tillsynsbegäran mail.docx", "A 43228-2025")</f>
        <v/>
      </c>
    </row>
    <row r="166" ht="15" customHeight="1">
      <c r="A166" t="inlineStr">
        <is>
          <t>A 8820-2025</t>
        </is>
      </c>
      <c r="B166" s="1" t="n">
        <v>45712.77329861111</v>
      </c>
      <c r="C166" s="1" t="n">
        <v>45964</v>
      </c>
      <c r="D166" t="inlineStr">
        <is>
          <t>VÄSTERBOTTENS LÄN</t>
        </is>
      </c>
      <c r="E166" t="inlineStr">
        <is>
          <t>SKELLEFTEÅ</t>
        </is>
      </c>
      <c r="G166" t="n">
        <v>2.5</v>
      </c>
      <c r="H166" t="n">
        <v>1</v>
      </c>
      <c r="I166" t="n">
        <v>0</v>
      </c>
      <c r="J166" t="n">
        <v>0</v>
      </c>
      <c r="K166" t="n">
        <v>1</v>
      </c>
      <c r="L166" t="n">
        <v>0</v>
      </c>
      <c r="M166" t="n">
        <v>0</v>
      </c>
      <c r="N166" t="n">
        <v>0</v>
      </c>
      <c r="O166" t="n">
        <v>1</v>
      </c>
      <c r="P166" t="n">
        <v>1</v>
      </c>
      <c r="Q166" t="n">
        <v>1</v>
      </c>
      <c r="R166" s="2" t="inlineStr">
        <is>
          <t>Knärot</t>
        </is>
      </c>
      <c r="S166">
        <f>HYPERLINK("https://klasma.github.io/Logging_2482/artfynd/A 8820-2025 artfynd.xlsx", "A 8820-2025")</f>
        <v/>
      </c>
      <c r="T166">
        <f>HYPERLINK("https://klasma.github.io/Logging_2482/kartor/A 8820-2025 karta.png", "A 8820-2025")</f>
        <v/>
      </c>
      <c r="U166">
        <f>HYPERLINK("https://klasma.github.io/Logging_2482/knärot/A 8820-2025 karta knärot.png", "A 8820-2025")</f>
        <v/>
      </c>
      <c r="V166">
        <f>HYPERLINK("https://klasma.github.io/Logging_2482/klagomål/A 8820-2025 FSC-klagomål.docx", "A 8820-2025")</f>
        <v/>
      </c>
      <c r="W166">
        <f>HYPERLINK("https://klasma.github.io/Logging_2482/klagomålsmail/A 8820-2025 FSC-klagomål mail.docx", "A 8820-2025")</f>
        <v/>
      </c>
      <c r="X166">
        <f>HYPERLINK("https://klasma.github.io/Logging_2482/tillsyn/A 8820-2025 tillsynsbegäran.docx", "A 8820-2025")</f>
        <v/>
      </c>
      <c r="Y166">
        <f>HYPERLINK("https://klasma.github.io/Logging_2482/tillsynsmail/A 8820-2025 tillsynsbegäran mail.docx", "A 8820-2025")</f>
        <v/>
      </c>
    </row>
    <row r="167" ht="15" customHeight="1">
      <c r="A167" t="inlineStr">
        <is>
          <t>A 44809-2025</t>
        </is>
      </c>
      <c r="B167" s="1" t="n">
        <v>45918.36953703704</v>
      </c>
      <c r="C167" s="1" t="n">
        <v>45964</v>
      </c>
      <c r="D167" t="inlineStr">
        <is>
          <t>VÄSTERBOTTENS LÄN</t>
        </is>
      </c>
      <c r="E167" t="inlineStr">
        <is>
          <t>SKELLEFTEÅ</t>
        </is>
      </c>
      <c r="F167" t="inlineStr">
        <is>
          <t>Holmen skog AB</t>
        </is>
      </c>
      <c r="G167" t="n">
        <v>1.9</v>
      </c>
      <c r="H167" t="n">
        <v>1</v>
      </c>
      <c r="I167" t="n">
        <v>0</v>
      </c>
      <c r="J167" t="n">
        <v>1</v>
      </c>
      <c r="K167" t="n">
        <v>0</v>
      </c>
      <c r="L167" t="n">
        <v>0</v>
      </c>
      <c r="M167" t="n">
        <v>0</v>
      </c>
      <c r="N167" t="n">
        <v>0</v>
      </c>
      <c r="O167" t="n">
        <v>1</v>
      </c>
      <c r="P167" t="n">
        <v>0</v>
      </c>
      <c r="Q167" t="n">
        <v>1</v>
      </c>
      <c r="R167" s="2" t="inlineStr">
        <is>
          <t>Utter</t>
        </is>
      </c>
      <c r="S167">
        <f>HYPERLINK("https://klasma.github.io/Logging_2482/artfynd/A 44809-2025 artfynd.xlsx", "A 44809-2025")</f>
        <v/>
      </c>
      <c r="T167">
        <f>HYPERLINK("https://klasma.github.io/Logging_2482/kartor/A 44809-2025 karta.png", "A 44809-2025")</f>
        <v/>
      </c>
      <c r="V167">
        <f>HYPERLINK("https://klasma.github.io/Logging_2482/klagomål/A 44809-2025 FSC-klagomål.docx", "A 44809-2025")</f>
        <v/>
      </c>
      <c r="W167">
        <f>HYPERLINK("https://klasma.github.io/Logging_2482/klagomålsmail/A 44809-2025 FSC-klagomål mail.docx", "A 44809-2025")</f>
        <v/>
      </c>
      <c r="X167">
        <f>HYPERLINK("https://klasma.github.io/Logging_2482/tillsyn/A 44809-2025 tillsynsbegäran.docx", "A 44809-2025")</f>
        <v/>
      </c>
      <c r="Y167">
        <f>HYPERLINK("https://klasma.github.io/Logging_2482/tillsynsmail/A 44809-2025 tillsynsbegäran mail.docx", "A 44809-2025")</f>
        <v/>
      </c>
    </row>
    <row r="168" ht="15" customHeight="1">
      <c r="A168" t="inlineStr">
        <is>
          <t>A 20856-2021</t>
        </is>
      </c>
      <c r="B168" s="1" t="n">
        <v>44319</v>
      </c>
      <c r="C168" s="1" t="n">
        <v>45964</v>
      </c>
      <c r="D168" t="inlineStr">
        <is>
          <t>VÄSTERBOTTENS LÄN</t>
        </is>
      </c>
      <c r="E168" t="inlineStr">
        <is>
          <t>SKELLEFTEÅ</t>
        </is>
      </c>
      <c r="G168" t="n">
        <v>0.6</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45964</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64316-2021</t>
        </is>
      </c>
      <c r="B170" s="1" t="n">
        <v>44510</v>
      </c>
      <c r="C170" s="1" t="n">
        <v>45964</v>
      </c>
      <c r="D170" t="inlineStr">
        <is>
          <t>VÄSTERBOTTENS LÄN</t>
        </is>
      </c>
      <c r="E170" t="inlineStr">
        <is>
          <t>SKELLEFTEÅ</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45964</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45964</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45964</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58844-2021</t>
        </is>
      </c>
      <c r="B174" s="1" t="n">
        <v>44489.61810185185</v>
      </c>
      <c r="C174" s="1" t="n">
        <v>45964</v>
      </c>
      <c r="D174" t="inlineStr">
        <is>
          <t>VÄSTERBOTTENS LÄN</t>
        </is>
      </c>
      <c r="E174" t="inlineStr">
        <is>
          <t>SKELLEFTEÅ</t>
        </is>
      </c>
      <c r="F174" t="inlineStr">
        <is>
          <t>Sveaskog</t>
        </is>
      </c>
      <c r="G174" t="n">
        <v>5.5</v>
      </c>
      <c r="H174" t="n">
        <v>0</v>
      </c>
      <c r="I174" t="n">
        <v>0</v>
      </c>
      <c r="J174" t="n">
        <v>0</v>
      </c>
      <c r="K174" t="n">
        <v>0</v>
      </c>
      <c r="L174" t="n">
        <v>0</v>
      </c>
      <c r="M174" t="n">
        <v>0</v>
      </c>
      <c r="N174" t="n">
        <v>0</v>
      </c>
      <c r="O174" t="n">
        <v>0</v>
      </c>
      <c r="P174" t="n">
        <v>0</v>
      </c>
      <c r="Q174" t="n">
        <v>0</v>
      </c>
      <c r="R174" s="2" t="inlineStr"/>
    </row>
    <row r="175" ht="15" customHeight="1">
      <c r="A175" t="inlineStr">
        <is>
          <t>A 56001-2021</t>
        </is>
      </c>
      <c r="B175" s="1" t="n">
        <v>44477</v>
      </c>
      <c r="C175" s="1" t="n">
        <v>45964</v>
      </c>
      <c r="D175" t="inlineStr">
        <is>
          <t>VÄSTERBOTTENS LÄN</t>
        </is>
      </c>
      <c r="E175" t="inlineStr">
        <is>
          <t>SKELLEFTEÅ</t>
        </is>
      </c>
      <c r="G175" t="n">
        <v>7.6</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45964</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45964</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36723-2022</t>
        </is>
      </c>
      <c r="B178" s="1" t="n">
        <v>44804</v>
      </c>
      <c r="C178" s="1" t="n">
        <v>45964</v>
      </c>
      <c r="D178" t="inlineStr">
        <is>
          <t>VÄSTERBOTTENS LÄN</t>
        </is>
      </c>
      <c r="E178" t="inlineStr">
        <is>
          <t>SKELLEFTEÅ</t>
        </is>
      </c>
      <c r="G178" t="n">
        <v>2.8</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45964</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7823-2021</t>
        </is>
      </c>
      <c r="B180" s="1" t="n">
        <v>44242</v>
      </c>
      <c r="C180" s="1" t="n">
        <v>45964</v>
      </c>
      <c r="D180" t="inlineStr">
        <is>
          <t>VÄSTERBOTTENS LÄN</t>
        </is>
      </c>
      <c r="E180" t="inlineStr">
        <is>
          <t>SKELLEFTEÅ</t>
        </is>
      </c>
      <c r="G180" t="n">
        <v>1</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45964</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45964</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45964</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45964</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45964</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45964</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45964</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45964</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45964</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45964</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45964</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45964</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45964</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33236-2021</t>
        </is>
      </c>
      <c r="B194" s="1" t="n">
        <v>44376</v>
      </c>
      <c r="C194" s="1" t="n">
        <v>45964</v>
      </c>
      <c r="D194" t="inlineStr">
        <is>
          <t>VÄSTERBOTTENS LÄN</t>
        </is>
      </c>
      <c r="E194" t="inlineStr">
        <is>
          <t>SKELLEFTEÅ</t>
        </is>
      </c>
      <c r="G194" t="n">
        <v>5.4</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45964</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70229-2021</t>
        </is>
      </c>
      <c r="B196" s="1" t="n">
        <v>44533</v>
      </c>
      <c r="C196" s="1" t="n">
        <v>45964</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45964</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45964</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45964</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45964</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46005-2021</t>
        </is>
      </c>
      <c r="B201" s="1" t="n">
        <v>44441.85534722222</v>
      </c>
      <c r="C201" s="1" t="n">
        <v>45964</v>
      </c>
      <c r="D201" t="inlineStr">
        <is>
          <t>VÄSTERBOTTENS LÄN</t>
        </is>
      </c>
      <c r="E201" t="inlineStr">
        <is>
          <t>SKELLEFTEÅ</t>
        </is>
      </c>
      <c r="G201" t="n">
        <v>2.9</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45964</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45964</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45964</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45964</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45964</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39986-2022</t>
        </is>
      </c>
      <c r="B207" s="1" t="n">
        <v>44820.34625</v>
      </c>
      <c r="C207" s="1" t="n">
        <v>45964</v>
      </c>
      <c r="D207" t="inlineStr">
        <is>
          <t>VÄSTERBOTTENS LÄN</t>
        </is>
      </c>
      <c r="E207" t="inlineStr">
        <is>
          <t>SKELLEFTEÅ</t>
        </is>
      </c>
      <c r="G207" t="n">
        <v>4.3</v>
      </c>
      <c r="H207" t="n">
        <v>0</v>
      </c>
      <c r="I207" t="n">
        <v>0</v>
      </c>
      <c r="J207" t="n">
        <v>0</v>
      </c>
      <c r="K207" t="n">
        <v>0</v>
      </c>
      <c r="L207" t="n">
        <v>0</v>
      </c>
      <c r="M207" t="n">
        <v>0</v>
      </c>
      <c r="N207" t="n">
        <v>0</v>
      </c>
      <c r="O207" t="n">
        <v>0</v>
      </c>
      <c r="P207" t="n">
        <v>0</v>
      </c>
      <c r="Q207" t="n">
        <v>0</v>
      </c>
      <c r="R207" s="2" t="inlineStr"/>
    </row>
    <row r="208" ht="15" customHeight="1">
      <c r="A208" t="inlineStr">
        <is>
          <t>A 39998-2022</t>
        </is>
      </c>
      <c r="B208" s="1" t="n">
        <v>44820.35803240741</v>
      </c>
      <c r="C208" s="1" t="n">
        <v>45964</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45964</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43078-2022</t>
        </is>
      </c>
      <c r="B210" s="1" t="n">
        <v>44833.64483796297</v>
      </c>
      <c r="C210" s="1" t="n">
        <v>45964</v>
      </c>
      <c r="D210" t="inlineStr">
        <is>
          <t>VÄSTERBOTTENS LÄN</t>
        </is>
      </c>
      <c r="E210" t="inlineStr">
        <is>
          <t>SKELLEFTEÅ</t>
        </is>
      </c>
      <c r="F210" t="inlineStr">
        <is>
          <t>Sveaskog</t>
        </is>
      </c>
      <c r="G210" t="n">
        <v>19.6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45964</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45964</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36609-2021</t>
        </is>
      </c>
      <c r="B213" s="1" t="n">
        <v>44391</v>
      </c>
      <c r="C213" s="1" t="n">
        <v>45964</v>
      </c>
      <c r="D213" t="inlineStr">
        <is>
          <t>VÄSTERBOTTENS LÄN</t>
        </is>
      </c>
      <c r="E213" t="inlineStr">
        <is>
          <t>SKELLEFTEÅ</t>
        </is>
      </c>
      <c r="G213" t="n">
        <v>10.6</v>
      </c>
      <c r="H213" t="n">
        <v>0</v>
      </c>
      <c r="I213" t="n">
        <v>0</v>
      </c>
      <c r="J213" t="n">
        <v>0</v>
      </c>
      <c r="K213" t="n">
        <v>0</v>
      </c>
      <c r="L213" t="n">
        <v>0</v>
      </c>
      <c r="M213" t="n">
        <v>0</v>
      </c>
      <c r="N213" t="n">
        <v>0</v>
      </c>
      <c r="O213" t="n">
        <v>0</v>
      </c>
      <c r="P213" t="n">
        <v>0</v>
      </c>
      <c r="Q213" t="n">
        <v>0</v>
      </c>
      <c r="R213" s="2" t="inlineStr"/>
    </row>
    <row r="214" ht="15" customHeight="1">
      <c r="A214" t="inlineStr">
        <is>
          <t>A 44621-2022</t>
        </is>
      </c>
      <c r="B214" s="1" t="n">
        <v>44838</v>
      </c>
      <c r="C214" s="1" t="n">
        <v>45964</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45964</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45964</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45964</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45964</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45964</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45964</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45964</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45964</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45964</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45964</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45964</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45964</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45964</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45964</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45964</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45964</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45964</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45964</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45964</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8456-2022</t>
        </is>
      </c>
      <c r="B234" s="1" t="n">
        <v>44612.92121527778</v>
      </c>
      <c r="C234" s="1" t="n">
        <v>45964</v>
      </c>
      <c r="D234" t="inlineStr">
        <is>
          <t>VÄSTERBOTTENS LÄN</t>
        </is>
      </c>
      <c r="E234" t="inlineStr">
        <is>
          <t>SKELLEFTEÅ</t>
        </is>
      </c>
      <c r="G234" t="n">
        <v>0.6</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45964</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45964</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45964</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45964</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45964</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24663-2022</t>
        </is>
      </c>
      <c r="B240" s="1" t="n">
        <v>44728</v>
      </c>
      <c r="C240" s="1" t="n">
        <v>45964</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45964</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58427-2020</t>
        </is>
      </c>
      <c r="B242" s="1" t="n">
        <v>44141</v>
      </c>
      <c r="C242" s="1" t="n">
        <v>45964</v>
      </c>
      <c r="D242" t="inlineStr">
        <is>
          <t>VÄSTERBOTTENS LÄN</t>
        </is>
      </c>
      <c r="E242" t="inlineStr">
        <is>
          <t>SKELLEFTEÅ</t>
        </is>
      </c>
      <c r="G242" t="n">
        <v>5.5</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45964</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45964</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45964</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45964</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45964</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47410-2022</t>
        </is>
      </c>
      <c r="B248" s="1" t="n">
        <v>44853.53674768518</v>
      </c>
      <c r="C248" s="1" t="n">
        <v>45964</v>
      </c>
      <c r="D248" t="inlineStr">
        <is>
          <t>VÄSTERBOTTENS LÄN</t>
        </is>
      </c>
      <c r="E248" t="inlineStr">
        <is>
          <t>SKELLEFTEÅ</t>
        </is>
      </c>
      <c r="G248" t="n">
        <v>2.8</v>
      </c>
      <c r="H248" t="n">
        <v>0</v>
      </c>
      <c r="I248" t="n">
        <v>0</v>
      </c>
      <c r="J248" t="n">
        <v>0</v>
      </c>
      <c r="K248" t="n">
        <v>0</v>
      </c>
      <c r="L248" t="n">
        <v>0</v>
      </c>
      <c r="M248" t="n">
        <v>0</v>
      </c>
      <c r="N248" t="n">
        <v>0</v>
      </c>
      <c r="O248" t="n">
        <v>0</v>
      </c>
      <c r="P248" t="n">
        <v>0</v>
      </c>
      <c r="Q248" t="n">
        <v>0</v>
      </c>
      <c r="R248" s="2" t="inlineStr"/>
    </row>
    <row r="249" ht="15" customHeight="1">
      <c r="A249" t="inlineStr">
        <is>
          <t>A 34547-2022</t>
        </is>
      </c>
      <c r="B249" s="1" t="n">
        <v>44793.9403587963</v>
      </c>
      <c r="C249" s="1" t="n">
        <v>45964</v>
      </c>
      <c r="D249" t="inlineStr">
        <is>
          <t>VÄSTERBOTTENS LÄN</t>
        </is>
      </c>
      <c r="E249" t="inlineStr">
        <is>
          <t>SKELLEFTEÅ</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45964</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45964</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5603-2021</t>
        </is>
      </c>
      <c r="B252" s="1" t="n">
        <v>44230</v>
      </c>
      <c r="C252" s="1" t="n">
        <v>45964</v>
      </c>
      <c r="D252" t="inlineStr">
        <is>
          <t>VÄSTERBOTTENS LÄN</t>
        </is>
      </c>
      <c r="E252" t="inlineStr">
        <is>
          <t>SKELLEFTEÅ</t>
        </is>
      </c>
      <c r="G252" t="n">
        <v>2.6</v>
      </c>
      <c r="H252" t="n">
        <v>0</v>
      </c>
      <c r="I252" t="n">
        <v>0</v>
      </c>
      <c r="J252" t="n">
        <v>0</v>
      </c>
      <c r="K252" t="n">
        <v>0</v>
      </c>
      <c r="L252" t="n">
        <v>0</v>
      </c>
      <c r="M252" t="n">
        <v>0</v>
      </c>
      <c r="N252" t="n">
        <v>0</v>
      </c>
      <c r="O252" t="n">
        <v>0</v>
      </c>
      <c r="P252" t="n">
        <v>0</v>
      </c>
      <c r="Q252" t="n">
        <v>0</v>
      </c>
      <c r="R252" s="2" t="inlineStr"/>
    </row>
    <row r="253" ht="15" customHeight="1">
      <c r="A253" t="inlineStr">
        <is>
          <t>A 3934-2021</t>
        </is>
      </c>
      <c r="B253" s="1" t="n">
        <v>44221</v>
      </c>
      <c r="C253" s="1" t="n">
        <v>45964</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45964</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45964</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45964</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45964</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71019-2021</t>
        </is>
      </c>
      <c r="B258" s="1" t="n">
        <v>44538.64574074074</v>
      </c>
      <c r="C258" s="1" t="n">
        <v>45964</v>
      </c>
      <c r="D258" t="inlineStr">
        <is>
          <t>VÄSTERBOTTENS LÄN</t>
        </is>
      </c>
      <c r="E258" t="inlineStr">
        <is>
          <t>SKELLEFTEÅ</t>
        </is>
      </c>
      <c r="G258" t="n">
        <v>7.3</v>
      </c>
      <c r="H258" t="n">
        <v>0</v>
      </c>
      <c r="I258" t="n">
        <v>0</v>
      </c>
      <c r="J258" t="n">
        <v>0</v>
      </c>
      <c r="K258" t="n">
        <v>0</v>
      </c>
      <c r="L258" t="n">
        <v>0</v>
      </c>
      <c r="M258" t="n">
        <v>0</v>
      </c>
      <c r="N258" t="n">
        <v>0</v>
      </c>
      <c r="O258" t="n">
        <v>0</v>
      </c>
      <c r="P258" t="n">
        <v>0</v>
      </c>
      <c r="Q258" t="n">
        <v>0</v>
      </c>
      <c r="R258" s="2" t="inlineStr"/>
    </row>
    <row r="259" ht="15" customHeight="1">
      <c r="A259" t="inlineStr">
        <is>
          <t>A 32657-2022</t>
        </is>
      </c>
      <c r="B259" s="1" t="n">
        <v>44783.51591435185</v>
      </c>
      <c r="C259" s="1" t="n">
        <v>45964</v>
      </c>
      <c r="D259" t="inlineStr">
        <is>
          <t>VÄSTERBOTTENS LÄN</t>
        </is>
      </c>
      <c r="E259" t="inlineStr">
        <is>
          <t>SKELLEFTEÅ</t>
        </is>
      </c>
      <c r="F259" t="inlineStr">
        <is>
          <t>Sveaskog</t>
        </is>
      </c>
      <c r="G259" t="n">
        <v>7.5</v>
      </c>
      <c r="H259" t="n">
        <v>0</v>
      </c>
      <c r="I259" t="n">
        <v>0</v>
      </c>
      <c r="J259" t="n">
        <v>0</v>
      </c>
      <c r="K259" t="n">
        <v>0</v>
      </c>
      <c r="L259" t="n">
        <v>0</v>
      </c>
      <c r="M259" t="n">
        <v>0</v>
      </c>
      <c r="N259" t="n">
        <v>0</v>
      </c>
      <c r="O259" t="n">
        <v>0</v>
      </c>
      <c r="P259" t="n">
        <v>0</v>
      </c>
      <c r="Q259" t="n">
        <v>0</v>
      </c>
      <c r="R259" s="2" t="inlineStr"/>
    </row>
    <row r="260" ht="15" customHeight="1">
      <c r="A260" t="inlineStr">
        <is>
          <t>A 62763-2020</t>
        </is>
      </c>
      <c r="B260" s="1" t="n">
        <v>44160</v>
      </c>
      <c r="C260" s="1" t="n">
        <v>45964</v>
      </c>
      <c r="D260" t="inlineStr">
        <is>
          <t>VÄSTERBOTTENS LÄN</t>
        </is>
      </c>
      <c r="E260" t="inlineStr">
        <is>
          <t>SKELLEFTEÅ</t>
        </is>
      </c>
      <c r="G260" t="n">
        <v>1.1</v>
      </c>
      <c r="H260" t="n">
        <v>0</v>
      </c>
      <c r="I260" t="n">
        <v>0</v>
      </c>
      <c r="J260" t="n">
        <v>0</v>
      </c>
      <c r="K260" t="n">
        <v>0</v>
      </c>
      <c r="L260" t="n">
        <v>0</v>
      </c>
      <c r="M260" t="n">
        <v>0</v>
      </c>
      <c r="N260" t="n">
        <v>0</v>
      </c>
      <c r="O260" t="n">
        <v>0</v>
      </c>
      <c r="P260" t="n">
        <v>0</v>
      </c>
      <c r="Q260" t="n">
        <v>0</v>
      </c>
      <c r="R260" s="2" t="inlineStr"/>
    </row>
    <row r="261" ht="15" customHeight="1">
      <c r="A261" t="inlineStr">
        <is>
          <t>A 52589-2022</t>
        </is>
      </c>
      <c r="B261" s="1" t="n">
        <v>44874.63079861111</v>
      </c>
      <c r="C261" s="1" t="n">
        <v>45964</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32344-2022</t>
        </is>
      </c>
      <c r="B262" s="1" t="n">
        <v>44781.88997685185</v>
      </c>
      <c r="C262" s="1" t="n">
        <v>45964</v>
      </c>
      <c r="D262" t="inlineStr">
        <is>
          <t>VÄSTERBOTTENS LÄN</t>
        </is>
      </c>
      <c r="E262" t="inlineStr">
        <is>
          <t>SKELLEFTEÅ</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61958-2020</t>
        </is>
      </c>
      <c r="B263" s="1" t="n">
        <v>44155</v>
      </c>
      <c r="C263" s="1" t="n">
        <v>45964</v>
      </c>
      <c r="D263" t="inlineStr">
        <is>
          <t>VÄSTERBOTTENS LÄN</t>
        </is>
      </c>
      <c r="E263" t="inlineStr">
        <is>
          <t>SKELLEFTEÅ</t>
        </is>
      </c>
      <c r="G263" t="n">
        <v>2.2</v>
      </c>
      <c r="H263" t="n">
        <v>0</v>
      </c>
      <c r="I263" t="n">
        <v>0</v>
      </c>
      <c r="J263" t="n">
        <v>0</v>
      </c>
      <c r="K263" t="n">
        <v>0</v>
      </c>
      <c r="L263" t="n">
        <v>0</v>
      </c>
      <c r="M263" t="n">
        <v>0</v>
      </c>
      <c r="N263" t="n">
        <v>0</v>
      </c>
      <c r="O263" t="n">
        <v>0</v>
      </c>
      <c r="P263" t="n">
        <v>0</v>
      </c>
      <c r="Q263" t="n">
        <v>0</v>
      </c>
      <c r="R263" s="2" t="inlineStr"/>
    </row>
    <row r="264" ht="15" customHeight="1">
      <c r="A264" t="inlineStr">
        <is>
          <t>A 26599-2021</t>
        </is>
      </c>
      <c r="B264" s="1" t="n">
        <v>44348</v>
      </c>
      <c r="C264" s="1" t="n">
        <v>45964</v>
      </c>
      <c r="D264" t="inlineStr">
        <is>
          <t>VÄSTERBOTTENS LÄN</t>
        </is>
      </c>
      <c r="E264" t="inlineStr">
        <is>
          <t>SKELLEFTEÅ</t>
        </is>
      </c>
      <c r="G264" t="n">
        <v>1.4</v>
      </c>
      <c r="H264" t="n">
        <v>0</v>
      </c>
      <c r="I264" t="n">
        <v>0</v>
      </c>
      <c r="J264" t="n">
        <v>0</v>
      </c>
      <c r="K264" t="n">
        <v>0</v>
      </c>
      <c r="L264" t="n">
        <v>0</v>
      </c>
      <c r="M264" t="n">
        <v>0</v>
      </c>
      <c r="N264" t="n">
        <v>0</v>
      </c>
      <c r="O264" t="n">
        <v>0</v>
      </c>
      <c r="P264" t="n">
        <v>0</v>
      </c>
      <c r="Q264" t="n">
        <v>0</v>
      </c>
      <c r="R264" s="2" t="inlineStr"/>
    </row>
    <row r="265" ht="15" customHeight="1">
      <c r="A265" t="inlineStr">
        <is>
          <t>A 72203-2021</t>
        </is>
      </c>
      <c r="B265" s="1" t="n">
        <v>44543</v>
      </c>
      <c r="C265" s="1" t="n">
        <v>45964</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45964</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45964</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45964</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30449-2021</t>
        </is>
      </c>
      <c r="B269" s="1" t="n">
        <v>44364</v>
      </c>
      <c r="C269" s="1" t="n">
        <v>45964</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37937-2021</t>
        </is>
      </c>
      <c r="B270" s="1" t="n">
        <v>44403</v>
      </c>
      <c r="C270" s="1" t="n">
        <v>45964</v>
      </c>
      <c r="D270" t="inlineStr">
        <is>
          <t>VÄSTERBOTTENS LÄN</t>
        </is>
      </c>
      <c r="E270" t="inlineStr">
        <is>
          <t>SKELLEFTEÅ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36564-2021</t>
        </is>
      </c>
      <c r="B271" s="1" t="n">
        <v>44391</v>
      </c>
      <c r="C271" s="1" t="n">
        <v>45964</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38932-2022</t>
        </is>
      </c>
      <c r="B272" s="1" t="n">
        <v>44816</v>
      </c>
      <c r="C272" s="1" t="n">
        <v>45964</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53152-2021</t>
        </is>
      </c>
      <c r="B273" s="1" t="n">
        <v>44468.3399537037</v>
      </c>
      <c r="C273" s="1" t="n">
        <v>45964</v>
      </c>
      <c r="D273" t="inlineStr">
        <is>
          <t>VÄSTERBOTTENS LÄN</t>
        </is>
      </c>
      <c r="E273" t="inlineStr">
        <is>
          <t>SKELLEFTEÅ</t>
        </is>
      </c>
      <c r="G273" t="n">
        <v>3.7</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45964</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45964</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59748-2021</t>
        </is>
      </c>
      <c r="B276" s="1" t="n">
        <v>44494.44873842593</v>
      </c>
      <c r="C276" s="1" t="n">
        <v>45964</v>
      </c>
      <c r="D276" t="inlineStr">
        <is>
          <t>VÄSTERBOTTENS LÄN</t>
        </is>
      </c>
      <c r="E276" t="inlineStr">
        <is>
          <t>SKELLEFTEÅ</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41464-2021</t>
        </is>
      </c>
      <c r="B277" s="1" t="n">
        <v>44424.87716435185</v>
      </c>
      <c r="C277" s="1" t="n">
        <v>45964</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45964</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45964</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45964</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45964</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45964</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45964</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45964</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45964</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45964</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45964</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45964</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45964</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45964</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45964</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45964</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62486-2021</t>
        </is>
      </c>
      <c r="B293" s="1" t="n">
        <v>44503</v>
      </c>
      <c r="C293" s="1" t="n">
        <v>45964</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22568-2021</t>
        </is>
      </c>
      <c r="B294" s="1" t="n">
        <v>44322</v>
      </c>
      <c r="C294" s="1" t="n">
        <v>45964</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23801-2021</t>
        </is>
      </c>
      <c r="B295" s="1" t="n">
        <v>44334</v>
      </c>
      <c r="C295" s="1" t="n">
        <v>45964</v>
      </c>
      <c r="D295" t="inlineStr">
        <is>
          <t>VÄSTERBOTTENS LÄN</t>
        </is>
      </c>
      <c r="E295" t="inlineStr">
        <is>
          <t>SKELLEFTEÅ</t>
        </is>
      </c>
      <c r="G295" t="n">
        <v>2.8</v>
      </c>
      <c r="H295" t="n">
        <v>0</v>
      </c>
      <c r="I295" t="n">
        <v>0</v>
      </c>
      <c r="J295" t="n">
        <v>0</v>
      </c>
      <c r="K295" t="n">
        <v>0</v>
      </c>
      <c r="L295" t="n">
        <v>0</v>
      </c>
      <c r="M295" t="n">
        <v>0</v>
      </c>
      <c r="N295" t="n">
        <v>0</v>
      </c>
      <c r="O295" t="n">
        <v>0</v>
      </c>
      <c r="P295" t="n">
        <v>0</v>
      </c>
      <c r="Q295" t="n">
        <v>0</v>
      </c>
      <c r="R295" s="2" t="inlineStr"/>
    </row>
    <row r="296" ht="15" customHeight="1">
      <c r="A296" t="inlineStr">
        <is>
          <t>A 24606-2021</t>
        </is>
      </c>
      <c r="B296" s="1" t="n">
        <v>44319</v>
      </c>
      <c r="C296" s="1" t="n">
        <v>45964</v>
      </c>
      <c r="D296" t="inlineStr">
        <is>
          <t>VÄSTERBOTTENS LÄN</t>
        </is>
      </c>
      <c r="E296" t="inlineStr">
        <is>
          <t>SKELLEFTEÅ</t>
        </is>
      </c>
      <c r="G296" t="n">
        <v>2.4</v>
      </c>
      <c r="H296" t="n">
        <v>0</v>
      </c>
      <c r="I296" t="n">
        <v>0</v>
      </c>
      <c r="J296" t="n">
        <v>0</v>
      </c>
      <c r="K296" t="n">
        <v>0</v>
      </c>
      <c r="L296" t="n">
        <v>0</v>
      </c>
      <c r="M296" t="n">
        <v>0</v>
      </c>
      <c r="N296" t="n">
        <v>0</v>
      </c>
      <c r="O296" t="n">
        <v>0</v>
      </c>
      <c r="P296" t="n">
        <v>0</v>
      </c>
      <c r="Q296" t="n">
        <v>0</v>
      </c>
      <c r="R296" s="2" t="inlineStr"/>
    </row>
    <row r="297" ht="15" customHeight="1">
      <c r="A297" t="inlineStr">
        <is>
          <t>A 49906-2022</t>
        </is>
      </c>
      <c r="B297" s="1" t="n">
        <v>44864</v>
      </c>
      <c r="C297" s="1" t="n">
        <v>45964</v>
      </c>
      <c r="D297" t="inlineStr">
        <is>
          <t>VÄSTERBOTTENS LÄN</t>
        </is>
      </c>
      <c r="E297" t="inlineStr">
        <is>
          <t>SKELLEFTEÅ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38873-2022</t>
        </is>
      </c>
      <c r="B298" s="1" t="n">
        <v>44816</v>
      </c>
      <c r="C298" s="1" t="n">
        <v>45964</v>
      </c>
      <c r="D298" t="inlineStr">
        <is>
          <t>VÄSTERBOTTENS LÄN</t>
        </is>
      </c>
      <c r="E298" t="inlineStr">
        <is>
          <t>SKELLEFTEÅ</t>
        </is>
      </c>
      <c r="G298" t="n">
        <v>0.2</v>
      </c>
      <c r="H298" t="n">
        <v>0</v>
      </c>
      <c r="I298" t="n">
        <v>0</v>
      </c>
      <c r="J298" t="n">
        <v>0</v>
      </c>
      <c r="K298" t="n">
        <v>0</v>
      </c>
      <c r="L298" t="n">
        <v>0</v>
      </c>
      <c r="M298" t="n">
        <v>0</v>
      </c>
      <c r="N298" t="n">
        <v>0</v>
      </c>
      <c r="O298" t="n">
        <v>0</v>
      </c>
      <c r="P298" t="n">
        <v>0</v>
      </c>
      <c r="Q298" t="n">
        <v>0</v>
      </c>
      <c r="R298" s="2" t="inlineStr"/>
    </row>
    <row r="299" ht="15" customHeight="1">
      <c r="A299" t="inlineStr">
        <is>
          <t>A 38876-2022</t>
        </is>
      </c>
      <c r="B299" s="1" t="n">
        <v>44816</v>
      </c>
      <c r="C299" s="1" t="n">
        <v>45964</v>
      </c>
      <c r="D299" t="inlineStr">
        <is>
          <t>VÄSTERBOTTENS LÄN</t>
        </is>
      </c>
      <c r="E299" t="inlineStr">
        <is>
          <t>SKELLEFTEÅ</t>
        </is>
      </c>
      <c r="G299" t="n">
        <v>0.3</v>
      </c>
      <c r="H299" t="n">
        <v>0</v>
      </c>
      <c r="I299" t="n">
        <v>0</v>
      </c>
      <c r="J299" t="n">
        <v>0</v>
      </c>
      <c r="K299" t="n">
        <v>0</v>
      </c>
      <c r="L299" t="n">
        <v>0</v>
      </c>
      <c r="M299" t="n">
        <v>0</v>
      </c>
      <c r="N299" t="n">
        <v>0</v>
      </c>
      <c r="O299" t="n">
        <v>0</v>
      </c>
      <c r="P299" t="n">
        <v>0</v>
      </c>
      <c r="Q299" t="n">
        <v>0</v>
      </c>
      <c r="R299" s="2" t="inlineStr"/>
    </row>
    <row r="300" ht="15" customHeight="1">
      <c r="A300" t="inlineStr">
        <is>
          <t>A 9045-2021</t>
        </is>
      </c>
      <c r="B300" s="1" t="n">
        <v>44249</v>
      </c>
      <c r="C300" s="1" t="n">
        <v>45964</v>
      </c>
      <c r="D300" t="inlineStr">
        <is>
          <t>VÄSTERBOTTENS LÄN</t>
        </is>
      </c>
      <c r="E300" t="inlineStr">
        <is>
          <t>SKELLEFTEÅ</t>
        </is>
      </c>
      <c r="G300" t="n">
        <v>3.8</v>
      </c>
      <c r="H300" t="n">
        <v>0</v>
      </c>
      <c r="I300" t="n">
        <v>0</v>
      </c>
      <c r="J300" t="n">
        <v>0</v>
      </c>
      <c r="K300" t="n">
        <v>0</v>
      </c>
      <c r="L300" t="n">
        <v>0</v>
      </c>
      <c r="M300" t="n">
        <v>0</v>
      </c>
      <c r="N300" t="n">
        <v>0</v>
      </c>
      <c r="O300" t="n">
        <v>0</v>
      </c>
      <c r="P300" t="n">
        <v>0</v>
      </c>
      <c r="Q300" t="n">
        <v>0</v>
      </c>
      <c r="R300" s="2" t="inlineStr"/>
    </row>
    <row r="301" ht="15" customHeight="1">
      <c r="A301" t="inlineStr">
        <is>
          <t>A 24242-2022</t>
        </is>
      </c>
      <c r="B301" s="1" t="n">
        <v>44725.66059027778</v>
      </c>
      <c r="C301" s="1" t="n">
        <v>45964</v>
      </c>
      <c r="D301" t="inlineStr">
        <is>
          <t>VÄSTERBOTTENS LÄN</t>
        </is>
      </c>
      <c r="E301" t="inlineStr">
        <is>
          <t>SKELLEFTEÅ</t>
        </is>
      </c>
      <c r="F301" t="inlineStr">
        <is>
          <t>Övriga Aktiebolag</t>
        </is>
      </c>
      <c r="G301" t="n">
        <v>2.3</v>
      </c>
      <c r="H301" t="n">
        <v>0</v>
      </c>
      <c r="I301" t="n">
        <v>0</v>
      </c>
      <c r="J301" t="n">
        <v>0</v>
      </c>
      <c r="K301" t="n">
        <v>0</v>
      </c>
      <c r="L301" t="n">
        <v>0</v>
      </c>
      <c r="M301" t="n">
        <v>0</v>
      </c>
      <c r="N301" t="n">
        <v>0</v>
      </c>
      <c r="O301" t="n">
        <v>0</v>
      </c>
      <c r="P301" t="n">
        <v>0</v>
      </c>
      <c r="Q301" t="n">
        <v>0</v>
      </c>
      <c r="R301" s="2" t="inlineStr"/>
    </row>
    <row r="302" ht="15" customHeight="1">
      <c r="A302" t="inlineStr">
        <is>
          <t>A 51919-2022</t>
        </is>
      </c>
      <c r="B302" s="1" t="n">
        <v>44872.63363425926</v>
      </c>
      <c r="C302" s="1" t="n">
        <v>45964</v>
      </c>
      <c r="D302" t="inlineStr">
        <is>
          <t>VÄSTERBOTTENS LÄN</t>
        </is>
      </c>
      <c r="E302" t="inlineStr">
        <is>
          <t>SKELLEFTEÅ</t>
        </is>
      </c>
      <c r="F302" t="inlineStr">
        <is>
          <t>Holmen skog AB</t>
        </is>
      </c>
      <c r="G302" t="n">
        <v>5.2</v>
      </c>
      <c r="H302" t="n">
        <v>0</v>
      </c>
      <c r="I302" t="n">
        <v>0</v>
      </c>
      <c r="J302" t="n">
        <v>0</v>
      </c>
      <c r="K302" t="n">
        <v>0</v>
      </c>
      <c r="L302" t="n">
        <v>0</v>
      </c>
      <c r="M302" t="n">
        <v>0</v>
      </c>
      <c r="N302" t="n">
        <v>0</v>
      </c>
      <c r="O302" t="n">
        <v>0</v>
      </c>
      <c r="P302" t="n">
        <v>0</v>
      </c>
      <c r="Q302" t="n">
        <v>0</v>
      </c>
      <c r="R302" s="2" t="inlineStr"/>
    </row>
    <row r="303" ht="15" customHeight="1">
      <c r="A303" t="inlineStr">
        <is>
          <t>A 71410-2021</t>
        </is>
      </c>
      <c r="B303" s="1" t="n">
        <v>44540.36674768518</v>
      </c>
      <c r="C303" s="1" t="n">
        <v>45964</v>
      </c>
      <c r="D303" t="inlineStr">
        <is>
          <t>VÄSTERBOTTENS LÄN</t>
        </is>
      </c>
      <c r="E303" t="inlineStr">
        <is>
          <t>SKELLEFTEÅ</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22661-2022</t>
        </is>
      </c>
      <c r="B304" s="1" t="n">
        <v>44714</v>
      </c>
      <c r="C304" s="1" t="n">
        <v>45964</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32436-2022</t>
        </is>
      </c>
      <c r="B305" s="1" t="n">
        <v>44782</v>
      </c>
      <c r="C305" s="1" t="n">
        <v>45964</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17197-2022</t>
        </is>
      </c>
      <c r="B306" s="1" t="n">
        <v>44677.75340277778</v>
      </c>
      <c r="C306" s="1" t="n">
        <v>45964</v>
      </c>
      <c r="D306" t="inlineStr">
        <is>
          <t>VÄSTERBOTTENS LÄN</t>
        </is>
      </c>
      <c r="E306" t="inlineStr">
        <is>
          <t>SKELLEFTEÅ</t>
        </is>
      </c>
      <c r="G306" t="n">
        <v>5.8</v>
      </c>
      <c r="H306" t="n">
        <v>0</v>
      </c>
      <c r="I306" t="n">
        <v>0</v>
      </c>
      <c r="J306" t="n">
        <v>0</v>
      </c>
      <c r="K306" t="n">
        <v>0</v>
      </c>
      <c r="L306" t="n">
        <v>0</v>
      </c>
      <c r="M306" t="n">
        <v>0</v>
      </c>
      <c r="N306" t="n">
        <v>0</v>
      </c>
      <c r="O306" t="n">
        <v>0</v>
      </c>
      <c r="P306" t="n">
        <v>0</v>
      </c>
      <c r="Q306" t="n">
        <v>0</v>
      </c>
      <c r="R306" s="2" t="inlineStr"/>
    </row>
    <row r="307" ht="15" customHeight="1">
      <c r="A307" t="inlineStr">
        <is>
          <t>A 39732-2022</t>
        </is>
      </c>
      <c r="B307" s="1" t="n">
        <v>44819.34829861111</v>
      </c>
      <c r="C307" s="1" t="n">
        <v>45964</v>
      </c>
      <c r="D307" t="inlineStr">
        <is>
          <t>VÄSTERBOTTENS LÄN</t>
        </is>
      </c>
      <c r="E307" t="inlineStr">
        <is>
          <t>SKELLEFTEÅ</t>
        </is>
      </c>
      <c r="F307" t="inlineStr">
        <is>
          <t>Holmen skog AB</t>
        </is>
      </c>
      <c r="G307" t="n">
        <v>3.1</v>
      </c>
      <c r="H307" t="n">
        <v>0</v>
      </c>
      <c r="I307" t="n">
        <v>0</v>
      </c>
      <c r="J307" t="n">
        <v>0</v>
      </c>
      <c r="K307" t="n">
        <v>0</v>
      </c>
      <c r="L307" t="n">
        <v>0</v>
      </c>
      <c r="M307" t="n">
        <v>0</v>
      </c>
      <c r="N307" t="n">
        <v>0</v>
      </c>
      <c r="O307" t="n">
        <v>0</v>
      </c>
      <c r="P307" t="n">
        <v>0</v>
      </c>
      <c r="Q307" t="n">
        <v>0</v>
      </c>
      <c r="R307" s="2" t="inlineStr"/>
    </row>
    <row r="308" ht="15" customHeight="1">
      <c r="A308" t="inlineStr">
        <is>
          <t>A 31197-2021</t>
        </is>
      </c>
      <c r="B308" s="1" t="n">
        <v>44368</v>
      </c>
      <c r="C308" s="1" t="n">
        <v>45964</v>
      </c>
      <c r="D308" t="inlineStr">
        <is>
          <t>VÄSTERBOTTENS LÄN</t>
        </is>
      </c>
      <c r="E308" t="inlineStr">
        <is>
          <t>SKELLEFTEÅ</t>
        </is>
      </c>
      <c r="G308" t="n">
        <v>2.2</v>
      </c>
      <c r="H308" t="n">
        <v>0</v>
      </c>
      <c r="I308" t="n">
        <v>0</v>
      </c>
      <c r="J308" t="n">
        <v>0</v>
      </c>
      <c r="K308" t="n">
        <v>0</v>
      </c>
      <c r="L308" t="n">
        <v>0</v>
      </c>
      <c r="M308" t="n">
        <v>0</v>
      </c>
      <c r="N308" t="n">
        <v>0</v>
      </c>
      <c r="O308" t="n">
        <v>0</v>
      </c>
      <c r="P308" t="n">
        <v>0</v>
      </c>
      <c r="Q308" t="n">
        <v>0</v>
      </c>
      <c r="R308" s="2" t="inlineStr"/>
    </row>
    <row r="309" ht="15" customHeight="1">
      <c r="A309" t="inlineStr">
        <is>
          <t>A 37823-2022</t>
        </is>
      </c>
      <c r="B309" s="1" t="n">
        <v>44810.92642361111</v>
      </c>
      <c r="C309" s="1" t="n">
        <v>45964</v>
      </c>
      <c r="D309" t="inlineStr">
        <is>
          <t>VÄSTERBOTTENS LÄN</t>
        </is>
      </c>
      <c r="E309" t="inlineStr">
        <is>
          <t>SKELLEFTEÅ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45985-2022</t>
        </is>
      </c>
      <c r="B310" s="1" t="n">
        <v>44844</v>
      </c>
      <c r="C310" s="1" t="n">
        <v>45964</v>
      </c>
      <c r="D310" t="inlineStr">
        <is>
          <t>VÄSTERBOTTENS LÄN</t>
        </is>
      </c>
      <c r="E310" t="inlineStr">
        <is>
          <t>SKELLEFTEÅ</t>
        </is>
      </c>
      <c r="G310" t="n">
        <v>0.7</v>
      </c>
      <c r="H310" t="n">
        <v>0</v>
      </c>
      <c r="I310" t="n">
        <v>0</v>
      </c>
      <c r="J310" t="n">
        <v>0</v>
      </c>
      <c r="K310" t="n">
        <v>0</v>
      </c>
      <c r="L310" t="n">
        <v>0</v>
      </c>
      <c r="M310" t="n">
        <v>0</v>
      </c>
      <c r="N310" t="n">
        <v>0</v>
      </c>
      <c r="O310" t="n">
        <v>0</v>
      </c>
      <c r="P310" t="n">
        <v>0</v>
      </c>
      <c r="Q310" t="n">
        <v>0</v>
      </c>
      <c r="R310" s="2" t="inlineStr"/>
    </row>
    <row r="311" ht="15" customHeight="1">
      <c r="A311" t="inlineStr">
        <is>
          <t>A 21843-2022</t>
        </is>
      </c>
      <c r="B311" s="1" t="n">
        <v>44711</v>
      </c>
      <c r="C311" s="1" t="n">
        <v>45964</v>
      </c>
      <c r="D311" t="inlineStr">
        <is>
          <t>VÄSTERBOTTENS LÄN</t>
        </is>
      </c>
      <c r="E311" t="inlineStr">
        <is>
          <t>SKELLEFTEÅ</t>
        </is>
      </c>
      <c r="G311" t="n">
        <v>4.7</v>
      </c>
      <c r="H311" t="n">
        <v>0</v>
      </c>
      <c r="I311" t="n">
        <v>0</v>
      </c>
      <c r="J311" t="n">
        <v>0</v>
      </c>
      <c r="K311" t="n">
        <v>0</v>
      </c>
      <c r="L311" t="n">
        <v>0</v>
      </c>
      <c r="M311" t="n">
        <v>0</v>
      </c>
      <c r="N311" t="n">
        <v>0</v>
      </c>
      <c r="O311" t="n">
        <v>0</v>
      </c>
      <c r="P311" t="n">
        <v>0</v>
      </c>
      <c r="Q311" t="n">
        <v>0</v>
      </c>
      <c r="R311" s="2" t="inlineStr"/>
    </row>
    <row r="312" ht="15" customHeight="1">
      <c r="A312" t="inlineStr">
        <is>
          <t>A 39019-2022</t>
        </is>
      </c>
      <c r="B312" s="1" t="n">
        <v>44817</v>
      </c>
      <c r="C312" s="1" t="n">
        <v>45964</v>
      </c>
      <c r="D312" t="inlineStr">
        <is>
          <t>VÄSTERBOTTENS LÄN</t>
        </is>
      </c>
      <c r="E312" t="inlineStr">
        <is>
          <t>SKELLEFTEÅ</t>
        </is>
      </c>
      <c r="G312" t="n">
        <v>1</v>
      </c>
      <c r="H312" t="n">
        <v>0</v>
      </c>
      <c r="I312" t="n">
        <v>0</v>
      </c>
      <c r="J312" t="n">
        <v>0</v>
      </c>
      <c r="K312" t="n">
        <v>0</v>
      </c>
      <c r="L312" t="n">
        <v>0</v>
      </c>
      <c r="M312" t="n">
        <v>0</v>
      </c>
      <c r="N312" t="n">
        <v>0</v>
      </c>
      <c r="O312" t="n">
        <v>0</v>
      </c>
      <c r="P312" t="n">
        <v>0</v>
      </c>
      <c r="Q312" t="n">
        <v>0</v>
      </c>
      <c r="R312" s="2" t="inlineStr"/>
    </row>
    <row r="313" ht="15" customHeight="1">
      <c r="A313" t="inlineStr">
        <is>
          <t>A 32438-2021</t>
        </is>
      </c>
      <c r="B313" s="1" t="n">
        <v>44371</v>
      </c>
      <c r="C313" s="1" t="n">
        <v>45964</v>
      </c>
      <c r="D313" t="inlineStr">
        <is>
          <t>VÄSTERBOTTENS LÄN</t>
        </is>
      </c>
      <c r="E313" t="inlineStr">
        <is>
          <t>SKELLEFTEÅ</t>
        </is>
      </c>
      <c r="G313" t="n">
        <v>4.7</v>
      </c>
      <c r="H313" t="n">
        <v>0</v>
      </c>
      <c r="I313" t="n">
        <v>0</v>
      </c>
      <c r="J313" t="n">
        <v>0</v>
      </c>
      <c r="K313" t="n">
        <v>0</v>
      </c>
      <c r="L313" t="n">
        <v>0</v>
      </c>
      <c r="M313" t="n">
        <v>0</v>
      </c>
      <c r="N313" t="n">
        <v>0</v>
      </c>
      <c r="O313" t="n">
        <v>0</v>
      </c>
      <c r="P313" t="n">
        <v>0</v>
      </c>
      <c r="Q313" t="n">
        <v>0</v>
      </c>
      <c r="R313" s="2" t="inlineStr"/>
    </row>
    <row r="314" ht="15" customHeight="1">
      <c r="A314" t="inlineStr">
        <is>
          <t>A 40219-2022</t>
        </is>
      </c>
      <c r="B314" s="1" t="n">
        <v>44820</v>
      </c>
      <c r="C314" s="1" t="n">
        <v>45964</v>
      </c>
      <c r="D314" t="inlineStr">
        <is>
          <t>VÄSTERBOTTENS LÄN</t>
        </is>
      </c>
      <c r="E314" t="inlineStr">
        <is>
          <t>SKELLEFTEÅ</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60152-2020</t>
        </is>
      </c>
      <c r="B315" s="1" t="n">
        <v>44151</v>
      </c>
      <c r="C315" s="1" t="n">
        <v>45964</v>
      </c>
      <c r="D315" t="inlineStr">
        <is>
          <t>VÄSTERBOTTENS LÄN</t>
        </is>
      </c>
      <c r="E315" t="inlineStr">
        <is>
          <t>SKELLEFTEÅ</t>
        </is>
      </c>
      <c r="G315" t="n">
        <v>1.2</v>
      </c>
      <c r="H315" t="n">
        <v>0</v>
      </c>
      <c r="I315" t="n">
        <v>0</v>
      </c>
      <c r="J315" t="n">
        <v>0</v>
      </c>
      <c r="K315" t="n">
        <v>0</v>
      </c>
      <c r="L315" t="n">
        <v>0</v>
      </c>
      <c r="M315" t="n">
        <v>0</v>
      </c>
      <c r="N315" t="n">
        <v>0</v>
      </c>
      <c r="O315" t="n">
        <v>0</v>
      </c>
      <c r="P315" t="n">
        <v>0</v>
      </c>
      <c r="Q315" t="n">
        <v>0</v>
      </c>
      <c r="R315" s="2" t="inlineStr"/>
    </row>
    <row r="316" ht="15" customHeight="1">
      <c r="A316" t="inlineStr">
        <is>
          <t>A 44722-2022</t>
        </is>
      </c>
      <c r="B316" s="1" t="n">
        <v>44840.90104166666</v>
      </c>
      <c r="C316" s="1" t="n">
        <v>45964</v>
      </c>
      <c r="D316" t="inlineStr">
        <is>
          <t>VÄSTERBOTTENS LÄN</t>
        </is>
      </c>
      <c r="E316" t="inlineStr">
        <is>
          <t>SKELLEFTEÅ</t>
        </is>
      </c>
      <c r="G316" t="n">
        <v>1.2</v>
      </c>
      <c r="H316" t="n">
        <v>0</v>
      </c>
      <c r="I316" t="n">
        <v>0</v>
      </c>
      <c r="J316" t="n">
        <v>0</v>
      </c>
      <c r="K316" t="n">
        <v>0</v>
      </c>
      <c r="L316" t="n">
        <v>0</v>
      </c>
      <c r="M316" t="n">
        <v>0</v>
      </c>
      <c r="N316" t="n">
        <v>0</v>
      </c>
      <c r="O316" t="n">
        <v>0</v>
      </c>
      <c r="P316" t="n">
        <v>0</v>
      </c>
      <c r="Q316" t="n">
        <v>0</v>
      </c>
      <c r="R316" s="2" t="inlineStr"/>
    </row>
    <row r="317" ht="15" customHeight="1">
      <c r="A317" t="inlineStr">
        <is>
          <t>A 18073-2021</t>
        </is>
      </c>
      <c r="B317" s="1" t="n">
        <v>44302.44858796296</v>
      </c>
      <c r="C317" s="1" t="n">
        <v>45964</v>
      </c>
      <c r="D317" t="inlineStr">
        <is>
          <t>VÄSTERBOTTENS LÄN</t>
        </is>
      </c>
      <c r="E317" t="inlineStr">
        <is>
          <t>SKELLEFTEÅ</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18182-2021</t>
        </is>
      </c>
      <c r="B318" s="1" t="n">
        <v>44302</v>
      </c>
      <c r="C318" s="1" t="n">
        <v>45964</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30754-2021</t>
        </is>
      </c>
      <c r="B319" s="1" t="n">
        <v>44365.46270833333</v>
      </c>
      <c r="C319" s="1" t="n">
        <v>45964</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50055-2022</t>
        </is>
      </c>
      <c r="B320" s="1" t="n">
        <v>44865.47516203704</v>
      </c>
      <c r="C320" s="1" t="n">
        <v>45964</v>
      </c>
      <c r="D320" t="inlineStr">
        <is>
          <t>VÄSTERBOTTENS LÄN</t>
        </is>
      </c>
      <c r="E320" t="inlineStr">
        <is>
          <t>SKELLEFTEÅ</t>
        </is>
      </c>
      <c r="F320" t="inlineStr">
        <is>
          <t>Holmen skog AB</t>
        </is>
      </c>
      <c r="G320" t="n">
        <v>1.7</v>
      </c>
      <c r="H320" t="n">
        <v>0</v>
      </c>
      <c r="I320" t="n">
        <v>0</v>
      </c>
      <c r="J320" t="n">
        <v>0</v>
      </c>
      <c r="K320" t="n">
        <v>0</v>
      </c>
      <c r="L320" t="n">
        <v>0</v>
      </c>
      <c r="M320" t="n">
        <v>0</v>
      </c>
      <c r="N320" t="n">
        <v>0</v>
      </c>
      <c r="O320" t="n">
        <v>0</v>
      </c>
      <c r="P320" t="n">
        <v>0</v>
      </c>
      <c r="Q320" t="n">
        <v>0</v>
      </c>
      <c r="R320" s="2" t="inlineStr"/>
    </row>
    <row r="321" ht="15" customHeight="1">
      <c r="A321" t="inlineStr">
        <is>
          <t>A 73614-2021</t>
        </is>
      </c>
      <c r="B321" s="1" t="n">
        <v>44551</v>
      </c>
      <c r="C321" s="1" t="n">
        <v>45964</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65455-2021</t>
        </is>
      </c>
      <c r="B322" s="1" t="n">
        <v>44516.28991898148</v>
      </c>
      <c r="C322" s="1" t="n">
        <v>45964</v>
      </c>
      <c r="D322" t="inlineStr">
        <is>
          <t>VÄSTERBOTTENS LÄN</t>
        </is>
      </c>
      <c r="E322" t="inlineStr">
        <is>
          <t>SKELLEFTEÅ</t>
        </is>
      </c>
      <c r="G322" t="n">
        <v>0.9</v>
      </c>
      <c r="H322" t="n">
        <v>0</v>
      </c>
      <c r="I322" t="n">
        <v>0</v>
      </c>
      <c r="J322" t="n">
        <v>0</v>
      </c>
      <c r="K322" t="n">
        <v>0</v>
      </c>
      <c r="L322" t="n">
        <v>0</v>
      </c>
      <c r="M322" t="n">
        <v>0</v>
      </c>
      <c r="N322" t="n">
        <v>0</v>
      </c>
      <c r="O322" t="n">
        <v>0</v>
      </c>
      <c r="P322" t="n">
        <v>0</v>
      </c>
      <c r="Q322" t="n">
        <v>0</v>
      </c>
      <c r="R322" s="2" t="inlineStr"/>
    </row>
    <row r="323" ht="15" customHeight="1">
      <c r="A323" t="inlineStr">
        <is>
          <t>A 58808-2021</t>
        </is>
      </c>
      <c r="B323" s="1" t="n">
        <v>44489</v>
      </c>
      <c r="C323" s="1" t="n">
        <v>45964</v>
      </c>
      <c r="D323" t="inlineStr">
        <is>
          <t>VÄSTERBOTTENS LÄN</t>
        </is>
      </c>
      <c r="E323" t="inlineStr">
        <is>
          <t>SKELLEFTEÅ</t>
        </is>
      </c>
      <c r="F323" t="inlineStr">
        <is>
          <t>Sveaskog</t>
        </is>
      </c>
      <c r="G323" t="n">
        <v>15.5</v>
      </c>
      <c r="H323" t="n">
        <v>0</v>
      </c>
      <c r="I323" t="n">
        <v>0</v>
      </c>
      <c r="J323" t="n">
        <v>0</v>
      </c>
      <c r="K323" t="n">
        <v>0</v>
      </c>
      <c r="L323" t="n">
        <v>0</v>
      </c>
      <c r="M323" t="n">
        <v>0</v>
      </c>
      <c r="N323" t="n">
        <v>0</v>
      </c>
      <c r="O323" t="n">
        <v>0</v>
      </c>
      <c r="P323" t="n">
        <v>0</v>
      </c>
      <c r="Q323" t="n">
        <v>0</v>
      </c>
      <c r="R323" s="2" t="inlineStr"/>
    </row>
    <row r="324" ht="15" customHeight="1">
      <c r="A324" t="inlineStr">
        <is>
          <t>A 27637-2022</t>
        </is>
      </c>
      <c r="B324" s="1" t="n">
        <v>44743</v>
      </c>
      <c r="C324" s="1" t="n">
        <v>45964</v>
      </c>
      <c r="D324" t="inlineStr">
        <is>
          <t>VÄSTERBOTTENS LÄN</t>
        </is>
      </c>
      <c r="E324" t="inlineStr">
        <is>
          <t>SKELLEFTEÅ</t>
        </is>
      </c>
      <c r="G324" t="n">
        <v>5.4</v>
      </c>
      <c r="H324" t="n">
        <v>0</v>
      </c>
      <c r="I324" t="n">
        <v>0</v>
      </c>
      <c r="J324" t="n">
        <v>0</v>
      </c>
      <c r="K324" t="n">
        <v>0</v>
      </c>
      <c r="L324" t="n">
        <v>0</v>
      </c>
      <c r="M324" t="n">
        <v>0</v>
      </c>
      <c r="N324" t="n">
        <v>0</v>
      </c>
      <c r="O324" t="n">
        <v>0</v>
      </c>
      <c r="P324" t="n">
        <v>0</v>
      </c>
      <c r="Q324" t="n">
        <v>0</v>
      </c>
      <c r="R324" s="2" t="inlineStr"/>
    </row>
    <row r="325" ht="15" customHeight="1">
      <c r="A325" t="inlineStr">
        <is>
          <t>A 58811-2021</t>
        </is>
      </c>
      <c r="B325" s="1" t="n">
        <v>44489</v>
      </c>
      <c r="C325" s="1" t="n">
        <v>45964</v>
      </c>
      <c r="D325" t="inlineStr">
        <is>
          <t>VÄSTERBOTTENS LÄN</t>
        </is>
      </c>
      <c r="E325" t="inlineStr">
        <is>
          <t>SKELLEFTEÅ</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22828-2022</t>
        </is>
      </c>
      <c r="B326" s="1" t="n">
        <v>44714</v>
      </c>
      <c r="C326" s="1" t="n">
        <v>45964</v>
      </c>
      <c r="D326" t="inlineStr">
        <is>
          <t>VÄSTERBOTTENS LÄN</t>
        </is>
      </c>
      <c r="E326" t="inlineStr">
        <is>
          <t>SKELLEFTEÅ</t>
        </is>
      </c>
      <c r="G326" t="n">
        <v>0.6</v>
      </c>
      <c r="H326" t="n">
        <v>0</v>
      </c>
      <c r="I326" t="n">
        <v>0</v>
      </c>
      <c r="J326" t="n">
        <v>0</v>
      </c>
      <c r="K326" t="n">
        <v>0</v>
      </c>
      <c r="L326" t="n">
        <v>0</v>
      </c>
      <c r="M326" t="n">
        <v>0</v>
      </c>
      <c r="N326" t="n">
        <v>0</v>
      </c>
      <c r="O326" t="n">
        <v>0</v>
      </c>
      <c r="P326" t="n">
        <v>0</v>
      </c>
      <c r="Q326" t="n">
        <v>0</v>
      </c>
      <c r="R326" s="2" t="inlineStr"/>
    </row>
    <row r="327" ht="15" customHeight="1">
      <c r="A327" t="inlineStr">
        <is>
          <t>A 23513-2022</t>
        </is>
      </c>
      <c r="B327" s="1" t="n">
        <v>44721.39010416667</v>
      </c>
      <c r="C327" s="1" t="n">
        <v>45964</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45554-2022</t>
        </is>
      </c>
      <c r="B328" s="1" t="n">
        <v>44845</v>
      </c>
      <c r="C328" s="1" t="n">
        <v>45964</v>
      </c>
      <c r="D328" t="inlineStr">
        <is>
          <t>VÄSTERBOTTENS LÄN</t>
        </is>
      </c>
      <c r="E328" t="inlineStr">
        <is>
          <t>SKELLEFTEÅ</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66250-2021</t>
        </is>
      </c>
      <c r="B329" s="1" t="n">
        <v>44518.42975694445</v>
      </c>
      <c r="C329" s="1" t="n">
        <v>45964</v>
      </c>
      <c r="D329" t="inlineStr">
        <is>
          <t>VÄSTERBOTTENS LÄN</t>
        </is>
      </c>
      <c r="E329" t="inlineStr">
        <is>
          <t>SKELLEFTEÅ</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40851-2022</t>
        </is>
      </c>
      <c r="B330" s="1" t="n">
        <v>44825.26050925926</v>
      </c>
      <c r="C330" s="1" t="n">
        <v>45964</v>
      </c>
      <c r="D330" t="inlineStr">
        <is>
          <t>VÄSTERBOTTENS LÄN</t>
        </is>
      </c>
      <c r="E330" t="inlineStr">
        <is>
          <t>SKELLEFTEÅ</t>
        </is>
      </c>
      <c r="G330" t="n">
        <v>2.6</v>
      </c>
      <c r="H330" t="n">
        <v>0</v>
      </c>
      <c r="I330" t="n">
        <v>0</v>
      </c>
      <c r="J330" t="n">
        <v>0</v>
      </c>
      <c r="K330" t="n">
        <v>0</v>
      </c>
      <c r="L330" t="n">
        <v>0</v>
      </c>
      <c r="M330" t="n">
        <v>0</v>
      </c>
      <c r="N330" t="n">
        <v>0</v>
      </c>
      <c r="O330" t="n">
        <v>0</v>
      </c>
      <c r="P330" t="n">
        <v>0</v>
      </c>
      <c r="Q330" t="n">
        <v>0</v>
      </c>
      <c r="R330" s="2" t="inlineStr"/>
    </row>
    <row r="331" ht="15" customHeight="1">
      <c r="A331" t="inlineStr">
        <is>
          <t>A 11102-2021</t>
        </is>
      </c>
      <c r="B331" s="1" t="n">
        <v>44259</v>
      </c>
      <c r="C331" s="1" t="n">
        <v>45964</v>
      </c>
      <c r="D331" t="inlineStr">
        <is>
          <t>VÄSTERBOTTENS LÄN</t>
        </is>
      </c>
      <c r="E331" t="inlineStr">
        <is>
          <t>SKELLEFTEÅ</t>
        </is>
      </c>
      <c r="G331" t="n">
        <v>2.1</v>
      </c>
      <c r="H331" t="n">
        <v>0</v>
      </c>
      <c r="I331" t="n">
        <v>0</v>
      </c>
      <c r="J331" t="n">
        <v>0</v>
      </c>
      <c r="K331" t="n">
        <v>0</v>
      </c>
      <c r="L331" t="n">
        <v>0</v>
      </c>
      <c r="M331" t="n">
        <v>0</v>
      </c>
      <c r="N331" t="n">
        <v>0</v>
      </c>
      <c r="O331" t="n">
        <v>0</v>
      </c>
      <c r="P331" t="n">
        <v>0</v>
      </c>
      <c r="Q331" t="n">
        <v>0</v>
      </c>
      <c r="R331" s="2" t="inlineStr"/>
    </row>
    <row r="332" ht="15" customHeight="1">
      <c r="A332" t="inlineStr">
        <is>
          <t>A 39985-2022</t>
        </is>
      </c>
      <c r="B332" s="1" t="n">
        <v>44820.34109953704</v>
      </c>
      <c r="C332" s="1" t="n">
        <v>45964</v>
      </c>
      <c r="D332" t="inlineStr">
        <is>
          <t>VÄSTERBOTTENS LÄN</t>
        </is>
      </c>
      <c r="E332" t="inlineStr">
        <is>
          <t>SKELLEFTEÅ</t>
        </is>
      </c>
      <c r="G332" t="n">
        <v>2</v>
      </c>
      <c r="H332" t="n">
        <v>0</v>
      </c>
      <c r="I332" t="n">
        <v>0</v>
      </c>
      <c r="J332" t="n">
        <v>0</v>
      </c>
      <c r="K332" t="n">
        <v>0</v>
      </c>
      <c r="L332" t="n">
        <v>0</v>
      </c>
      <c r="M332" t="n">
        <v>0</v>
      </c>
      <c r="N332" t="n">
        <v>0</v>
      </c>
      <c r="O332" t="n">
        <v>0</v>
      </c>
      <c r="P332" t="n">
        <v>0</v>
      </c>
      <c r="Q332" t="n">
        <v>0</v>
      </c>
      <c r="R332" s="2" t="inlineStr"/>
    </row>
    <row r="333" ht="15" customHeight="1">
      <c r="A333" t="inlineStr">
        <is>
          <t>A 64485-2020</t>
        </is>
      </c>
      <c r="B333" s="1" t="n">
        <v>44168</v>
      </c>
      <c r="C333" s="1" t="n">
        <v>45964</v>
      </c>
      <c r="D333" t="inlineStr">
        <is>
          <t>VÄSTERBOTTENS LÄN</t>
        </is>
      </c>
      <c r="E333" t="inlineStr">
        <is>
          <t>SKELLEFTEÅ</t>
        </is>
      </c>
      <c r="G333" t="n">
        <v>35.4</v>
      </c>
      <c r="H333" t="n">
        <v>0</v>
      </c>
      <c r="I333" t="n">
        <v>0</v>
      </c>
      <c r="J333" t="n">
        <v>0</v>
      </c>
      <c r="K333" t="n">
        <v>0</v>
      </c>
      <c r="L333" t="n">
        <v>0</v>
      </c>
      <c r="M333" t="n">
        <v>0</v>
      </c>
      <c r="N333" t="n">
        <v>0</v>
      </c>
      <c r="O333" t="n">
        <v>0</v>
      </c>
      <c r="P333" t="n">
        <v>0</v>
      </c>
      <c r="Q333" t="n">
        <v>0</v>
      </c>
      <c r="R333" s="2" t="inlineStr"/>
    </row>
    <row r="334" ht="15" customHeight="1">
      <c r="A334" t="inlineStr">
        <is>
          <t>A 42609-2021</t>
        </is>
      </c>
      <c r="B334" s="1" t="n">
        <v>44428.39925925926</v>
      </c>
      <c r="C334" s="1" t="n">
        <v>45964</v>
      </c>
      <c r="D334" t="inlineStr">
        <is>
          <t>VÄSTERBOTTENS LÄN</t>
        </is>
      </c>
      <c r="E334" t="inlineStr">
        <is>
          <t>SKELLEFTEÅ</t>
        </is>
      </c>
      <c r="G334" t="n">
        <v>0.7</v>
      </c>
      <c r="H334" t="n">
        <v>0</v>
      </c>
      <c r="I334" t="n">
        <v>0</v>
      </c>
      <c r="J334" t="n">
        <v>0</v>
      </c>
      <c r="K334" t="n">
        <v>0</v>
      </c>
      <c r="L334" t="n">
        <v>0</v>
      </c>
      <c r="M334" t="n">
        <v>0</v>
      </c>
      <c r="N334" t="n">
        <v>0</v>
      </c>
      <c r="O334" t="n">
        <v>0</v>
      </c>
      <c r="P334" t="n">
        <v>0</v>
      </c>
      <c r="Q334" t="n">
        <v>0</v>
      </c>
      <c r="R334" s="2" t="inlineStr"/>
    </row>
    <row r="335" ht="15" customHeight="1">
      <c r="A335" t="inlineStr">
        <is>
          <t>A 48082-2022</t>
        </is>
      </c>
      <c r="B335" s="1" t="n">
        <v>44855.94578703704</v>
      </c>
      <c r="C335" s="1" t="n">
        <v>45964</v>
      </c>
      <c r="D335" t="inlineStr">
        <is>
          <t>VÄSTERBOTTENS LÄN</t>
        </is>
      </c>
      <c r="E335" t="inlineStr">
        <is>
          <t>SKELLEFTEÅ</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10471-2021</t>
        </is>
      </c>
      <c r="B336" s="1" t="n">
        <v>44257</v>
      </c>
      <c r="C336" s="1" t="n">
        <v>45964</v>
      </c>
      <c r="D336" t="inlineStr">
        <is>
          <t>VÄSTERBOTTENS LÄN</t>
        </is>
      </c>
      <c r="E336" t="inlineStr">
        <is>
          <t>SKELLEFTEÅ</t>
        </is>
      </c>
      <c r="G336" t="n">
        <v>1.7</v>
      </c>
      <c r="H336" t="n">
        <v>0</v>
      </c>
      <c r="I336" t="n">
        <v>0</v>
      </c>
      <c r="J336" t="n">
        <v>0</v>
      </c>
      <c r="K336" t="n">
        <v>0</v>
      </c>
      <c r="L336" t="n">
        <v>0</v>
      </c>
      <c r="M336" t="n">
        <v>0</v>
      </c>
      <c r="N336" t="n">
        <v>0</v>
      </c>
      <c r="O336" t="n">
        <v>0</v>
      </c>
      <c r="P336" t="n">
        <v>0</v>
      </c>
      <c r="Q336" t="n">
        <v>0</v>
      </c>
      <c r="R336" s="2" t="inlineStr"/>
    </row>
    <row r="337" ht="15" customHeight="1">
      <c r="A337" t="inlineStr">
        <is>
          <t>A 29092-2022</t>
        </is>
      </c>
      <c r="B337" s="1" t="n">
        <v>44750</v>
      </c>
      <c r="C337" s="1" t="n">
        <v>45964</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37498-2021</t>
        </is>
      </c>
      <c r="B338" s="1" t="n">
        <v>44399</v>
      </c>
      <c r="C338" s="1" t="n">
        <v>45964</v>
      </c>
      <c r="D338" t="inlineStr">
        <is>
          <t>VÄSTERBOTTENS LÄN</t>
        </is>
      </c>
      <c r="E338" t="inlineStr">
        <is>
          <t>SKELLEFTEÅ</t>
        </is>
      </c>
      <c r="G338" t="n">
        <v>12.8</v>
      </c>
      <c r="H338" t="n">
        <v>0</v>
      </c>
      <c r="I338" t="n">
        <v>0</v>
      </c>
      <c r="J338" t="n">
        <v>0</v>
      </c>
      <c r="K338" t="n">
        <v>0</v>
      </c>
      <c r="L338" t="n">
        <v>0</v>
      </c>
      <c r="M338" t="n">
        <v>0</v>
      </c>
      <c r="N338" t="n">
        <v>0</v>
      </c>
      <c r="O338" t="n">
        <v>0</v>
      </c>
      <c r="P338" t="n">
        <v>0</v>
      </c>
      <c r="Q338" t="n">
        <v>0</v>
      </c>
      <c r="R338" s="2" t="inlineStr"/>
    </row>
    <row r="339" ht="15" customHeight="1">
      <c r="A339" t="inlineStr">
        <is>
          <t>A 3844-2021</t>
        </is>
      </c>
      <c r="B339" s="1" t="n">
        <v>44216</v>
      </c>
      <c r="C339" s="1" t="n">
        <v>45964</v>
      </c>
      <c r="D339" t="inlineStr">
        <is>
          <t>VÄSTERBOTTENS LÄN</t>
        </is>
      </c>
      <c r="E339" t="inlineStr">
        <is>
          <t>SKELLEFTEÅ</t>
        </is>
      </c>
      <c r="G339" t="n">
        <v>3.7</v>
      </c>
      <c r="H339" t="n">
        <v>0</v>
      </c>
      <c r="I339" t="n">
        <v>0</v>
      </c>
      <c r="J339" t="n">
        <v>0</v>
      </c>
      <c r="K339" t="n">
        <v>0</v>
      </c>
      <c r="L339" t="n">
        <v>0</v>
      </c>
      <c r="M339" t="n">
        <v>0</v>
      </c>
      <c r="N339" t="n">
        <v>0</v>
      </c>
      <c r="O339" t="n">
        <v>0</v>
      </c>
      <c r="P339" t="n">
        <v>0</v>
      </c>
      <c r="Q339" t="n">
        <v>0</v>
      </c>
      <c r="R339" s="2" t="inlineStr"/>
    </row>
    <row r="340" ht="15" customHeight="1">
      <c r="A340" t="inlineStr">
        <is>
          <t>A 25674-2022</t>
        </is>
      </c>
      <c r="B340" s="1" t="n">
        <v>44732</v>
      </c>
      <c r="C340" s="1" t="n">
        <v>45964</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19679-2021</t>
        </is>
      </c>
      <c r="B341" s="1" t="n">
        <v>44312</v>
      </c>
      <c r="C341" s="1" t="n">
        <v>45964</v>
      </c>
      <c r="D341" t="inlineStr">
        <is>
          <t>VÄSTERBOTTENS LÄN</t>
        </is>
      </c>
      <c r="E341" t="inlineStr">
        <is>
          <t>SKELLEFTEÅ</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58847-2021</t>
        </is>
      </c>
      <c r="B342" s="1" t="n">
        <v>44489.62116898148</v>
      </c>
      <c r="C342" s="1" t="n">
        <v>45964</v>
      </c>
      <c r="D342" t="inlineStr">
        <is>
          <t>VÄSTERBOTTENS LÄN</t>
        </is>
      </c>
      <c r="E342" t="inlineStr">
        <is>
          <t>SKELLEFTEÅ</t>
        </is>
      </c>
      <c r="F342" t="inlineStr">
        <is>
          <t>Sveaskog</t>
        </is>
      </c>
      <c r="G342" t="n">
        <v>2.5</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45964</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71445-2021</t>
        </is>
      </c>
      <c r="B344" s="1" t="n">
        <v>44540.45789351852</v>
      </c>
      <c r="C344" s="1" t="n">
        <v>45964</v>
      </c>
      <c r="D344" t="inlineStr">
        <is>
          <t>VÄSTERBOTTENS LÄN</t>
        </is>
      </c>
      <c r="E344" t="inlineStr">
        <is>
          <t>SKELLEFTEÅ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71434-2021</t>
        </is>
      </c>
      <c r="B345" s="1" t="n">
        <v>44540.44325231481</v>
      </c>
      <c r="C345" s="1" t="n">
        <v>45964</v>
      </c>
      <c r="D345" t="inlineStr">
        <is>
          <t>VÄSTERBOTTENS LÄN</t>
        </is>
      </c>
      <c r="E345" t="inlineStr">
        <is>
          <t>SKELLEFTEÅ</t>
        </is>
      </c>
      <c r="F345" t="inlineStr">
        <is>
          <t>Sveaskog</t>
        </is>
      </c>
      <c r="G345" t="n">
        <v>13.2</v>
      </c>
      <c r="H345" t="n">
        <v>0</v>
      </c>
      <c r="I345" t="n">
        <v>0</v>
      </c>
      <c r="J345" t="n">
        <v>0</v>
      </c>
      <c r="K345" t="n">
        <v>0</v>
      </c>
      <c r="L345" t="n">
        <v>0</v>
      </c>
      <c r="M345" t="n">
        <v>0</v>
      </c>
      <c r="N345" t="n">
        <v>0</v>
      </c>
      <c r="O345" t="n">
        <v>0</v>
      </c>
      <c r="P345" t="n">
        <v>0</v>
      </c>
      <c r="Q345" t="n">
        <v>0</v>
      </c>
      <c r="R345" s="2" t="inlineStr"/>
    </row>
    <row r="346" ht="15" customHeight="1">
      <c r="A346" t="inlineStr">
        <is>
          <t>A 31251-2021</t>
        </is>
      </c>
      <c r="B346" s="1" t="n">
        <v>44368</v>
      </c>
      <c r="C346" s="1" t="n">
        <v>45964</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2607-2022</t>
        </is>
      </c>
      <c r="B347" s="1" t="n">
        <v>44580</v>
      </c>
      <c r="C347" s="1" t="n">
        <v>45964</v>
      </c>
      <c r="D347" t="inlineStr">
        <is>
          <t>VÄSTERBOTTENS LÄN</t>
        </is>
      </c>
      <c r="E347" t="inlineStr">
        <is>
          <t>SKELLEFTEÅ</t>
        </is>
      </c>
      <c r="G347" t="n">
        <v>0.5</v>
      </c>
      <c r="H347" t="n">
        <v>0</v>
      </c>
      <c r="I347" t="n">
        <v>0</v>
      </c>
      <c r="J347" t="n">
        <v>0</v>
      </c>
      <c r="K347" t="n">
        <v>0</v>
      </c>
      <c r="L347" t="n">
        <v>0</v>
      </c>
      <c r="M347" t="n">
        <v>0</v>
      </c>
      <c r="N347" t="n">
        <v>0</v>
      </c>
      <c r="O347" t="n">
        <v>0</v>
      </c>
      <c r="P347" t="n">
        <v>0</v>
      </c>
      <c r="Q347" t="n">
        <v>0</v>
      </c>
      <c r="R347" s="2" t="inlineStr"/>
    </row>
    <row r="348" ht="15" customHeight="1">
      <c r="A348" t="inlineStr">
        <is>
          <t>A 43917-2022</t>
        </is>
      </c>
      <c r="B348" s="1" t="n">
        <v>44838.51583333333</v>
      </c>
      <c r="C348" s="1" t="n">
        <v>45964</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49757-2022</t>
        </is>
      </c>
      <c r="B349" s="1" t="n">
        <v>44862.59038194444</v>
      </c>
      <c r="C349" s="1" t="n">
        <v>45964</v>
      </c>
      <c r="D349" t="inlineStr">
        <is>
          <t>VÄSTERBOTTENS LÄN</t>
        </is>
      </c>
      <c r="E349" t="inlineStr">
        <is>
          <t>SKELLEFTEÅ</t>
        </is>
      </c>
      <c r="F349" t="inlineStr">
        <is>
          <t>Holmen skog AB</t>
        </is>
      </c>
      <c r="G349" t="n">
        <v>4.1</v>
      </c>
      <c r="H349" t="n">
        <v>0</v>
      </c>
      <c r="I349" t="n">
        <v>0</v>
      </c>
      <c r="J349" t="n">
        <v>0</v>
      </c>
      <c r="K349" t="n">
        <v>0</v>
      </c>
      <c r="L349" t="n">
        <v>0</v>
      </c>
      <c r="M349" t="n">
        <v>0</v>
      </c>
      <c r="N349" t="n">
        <v>0</v>
      </c>
      <c r="O349" t="n">
        <v>0</v>
      </c>
      <c r="P349" t="n">
        <v>0</v>
      </c>
      <c r="Q349" t="n">
        <v>0</v>
      </c>
      <c r="R349" s="2" t="inlineStr"/>
    </row>
    <row r="350" ht="15" customHeight="1">
      <c r="A350" t="inlineStr">
        <is>
          <t>A 1834-2022</t>
        </is>
      </c>
      <c r="B350" s="1" t="n">
        <v>44574.67953703704</v>
      </c>
      <c r="C350" s="1" t="n">
        <v>45964</v>
      </c>
      <c r="D350" t="inlineStr">
        <is>
          <t>VÄSTERBOTTENS LÄN</t>
        </is>
      </c>
      <c r="E350" t="inlineStr">
        <is>
          <t>SKELLEFTEÅ</t>
        </is>
      </c>
      <c r="G350" t="n">
        <v>9.9</v>
      </c>
      <c r="H350" t="n">
        <v>0</v>
      </c>
      <c r="I350" t="n">
        <v>0</v>
      </c>
      <c r="J350" t="n">
        <v>0</v>
      </c>
      <c r="K350" t="n">
        <v>0</v>
      </c>
      <c r="L350" t="n">
        <v>0</v>
      </c>
      <c r="M350" t="n">
        <v>0</v>
      </c>
      <c r="N350" t="n">
        <v>0</v>
      </c>
      <c r="O350" t="n">
        <v>0</v>
      </c>
      <c r="P350" t="n">
        <v>0</v>
      </c>
      <c r="Q350" t="n">
        <v>0</v>
      </c>
      <c r="R350" s="2" t="inlineStr"/>
    </row>
    <row r="351" ht="15" customHeight="1">
      <c r="A351" t="inlineStr">
        <is>
          <t>A 11087-2021</t>
        </is>
      </c>
      <c r="B351" s="1" t="n">
        <v>44259</v>
      </c>
      <c r="C351" s="1" t="n">
        <v>45964</v>
      </c>
      <c r="D351" t="inlineStr">
        <is>
          <t>VÄSTERBOTTENS LÄN</t>
        </is>
      </c>
      <c r="E351" t="inlineStr">
        <is>
          <t>SKELLEFTEÅ</t>
        </is>
      </c>
      <c r="G351" t="n">
        <v>4.6</v>
      </c>
      <c r="H351" t="n">
        <v>0</v>
      </c>
      <c r="I351" t="n">
        <v>0</v>
      </c>
      <c r="J351" t="n">
        <v>0</v>
      </c>
      <c r="K351" t="n">
        <v>0</v>
      </c>
      <c r="L351" t="n">
        <v>0</v>
      </c>
      <c r="M351" t="n">
        <v>0</v>
      </c>
      <c r="N351" t="n">
        <v>0</v>
      </c>
      <c r="O351" t="n">
        <v>0</v>
      </c>
      <c r="P351" t="n">
        <v>0</v>
      </c>
      <c r="Q351" t="n">
        <v>0</v>
      </c>
      <c r="R351" s="2" t="inlineStr"/>
    </row>
    <row r="352" ht="15" customHeight="1">
      <c r="A352" t="inlineStr">
        <is>
          <t>A 23885-2021</t>
        </is>
      </c>
      <c r="B352" s="1" t="n">
        <v>44335</v>
      </c>
      <c r="C352" s="1" t="n">
        <v>45964</v>
      </c>
      <c r="D352" t="inlineStr">
        <is>
          <t>VÄSTERBOTTENS LÄN</t>
        </is>
      </c>
      <c r="E352" t="inlineStr">
        <is>
          <t>SKELLEFTEÅ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19538-2021</t>
        </is>
      </c>
      <c r="B353" s="1" t="n">
        <v>44309</v>
      </c>
      <c r="C353" s="1" t="n">
        <v>45964</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26130-2021</t>
        </is>
      </c>
      <c r="B354" s="1" t="n">
        <v>44345.93436342593</v>
      </c>
      <c r="C354" s="1" t="n">
        <v>45964</v>
      </c>
      <c r="D354" t="inlineStr">
        <is>
          <t>VÄSTERBOTTENS LÄN</t>
        </is>
      </c>
      <c r="E354" t="inlineStr">
        <is>
          <t>SKELLEFTEÅ</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59659-2021</t>
        </is>
      </c>
      <c r="B355" s="1" t="n">
        <v>44491</v>
      </c>
      <c r="C355" s="1" t="n">
        <v>45964</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7038-2021</t>
        </is>
      </c>
      <c r="B356" s="1" t="n">
        <v>44237</v>
      </c>
      <c r="C356" s="1" t="n">
        <v>45964</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58544-2020</t>
        </is>
      </c>
      <c r="B357" s="1" t="n">
        <v>44145</v>
      </c>
      <c r="C357" s="1" t="n">
        <v>45964</v>
      </c>
      <c r="D357" t="inlineStr">
        <is>
          <t>VÄSTERBOTTENS LÄN</t>
        </is>
      </c>
      <c r="E357" t="inlineStr">
        <is>
          <t>SKELLEFTEÅ</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17251-2022</t>
        </is>
      </c>
      <c r="B358" s="1" t="n">
        <v>44678</v>
      </c>
      <c r="C358" s="1" t="n">
        <v>45964</v>
      </c>
      <c r="D358" t="inlineStr">
        <is>
          <t>VÄSTERBOTTENS LÄN</t>
        </is>
      </c>
      <c r="E358" t="inlineStr">
        <is>
          <t>SKELLEFTEÅ</t>
        </is>
      </c>
      <c r="G358" t="n">
        <v>5.4</v>
      </c>
      <c r="H358" t="n">
        <v>0</v>
      </c>
      <c r="I358" t="n">
        <v>0</v>
      </c>
      <c r="J358" t="n">
        <v>0</v>
      </c>
      <c r="K358" t="n">
        <v>0</v>
      </c>
      <c r="L358" t="n">
        <v>0</v>
      </c>
      <c r="M358" t="n">
        <v>0</v>
      </c>
      <c r="N358" t="n">
        <v>0</v>
      </c>
      <c r="O358" t="n">
        <v>0</v>
      </c>
      <c r="P358" t="n">
        <v>0</v>
      </c>
      <c r="Q358" t="n">
        <v>0</v>
      </c>
      <c r="R358" s="2" t="inlineStr"/>
    </row>
    <row r="359" ht="15" customHeight="1">
      <c r="A359" t="inlineStr">
        <is>
          <t>A 55814-2021</t>
        </is>
      </c>
      <c r="B359" s="1" t="n">
        <v>44476.59821759259</v>
      </c>
      <c r="C359" s="1" t="n">
        <v>45964</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1076-2021</t>
        </is>
      </c>
      <c r="B360" s="1" t="n">
        <v>44207</v>
      </c>
      <c r="C360" s="1" t="n">
        <v>45964</v>
      </c>
      <c r="D360" t="inlineStr">
        <is>
          <t>VÄSTERBOTTENS LÄN</t>
        </is>
      </c>
      <c r="E360" t="inlineStr">
        <is>
          <t>SKELLEFTEÅ</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42026-2021</t>
        </is>
      </c>
      <c r="B361" s="1" t="n">
        <v>44426.5275925926</v>
      </c>
      <c r="C361" s="1" t="n">
        <v>45964</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63171-2021</t>
        </is>
      </c>
      <c r="B362" s="1" t="n">
        <v>44506</v>
      </c>
      <c r="C362" s="1" t="n">
        <v>45964</v>
      </c>
      <c r="D362" t="inlineStr">
        <is>
          <t>VÄSTERBOTTENS LÄN</t>
        </is>
      </c>
      <c r="E362" t="inlineStr">
        <is>
          <t>SKELLEFTEÅ</t>
        </is>
      </c>
      <c r="G362" t="n">
        <v>0.8</v>
      </c>
      <c r="H362" t="n">
        <v>0</v>
      </c>
      <c r="I362" t="n">
        <v>0</v>
      </c>
      <c r="J362" t="n">
        <v>0</v>
      </c>
      <c r="K362" t="n">
        <v>0</v>
      </c>
      <c r="L362" t="n">
        <v>0</v>
      </c>
      <c r="M362" t="n">
        <v>0</v>
      </c>
      <c r="N362" t="n">
        <v>0</v>
      </c>
      <c r="O362" t="n">
        <v>0</v>
      </c>
      <c r="P362" t="n">
        <v>0</v>
      </c>
      <c r="Q362" t="n">
        <v>0</v>
      </c>
      <c r="R362" s="2" t="inlineStr"/>
    </row>
    <row r="363" ht="15" customHeight="1">
      <c r="A363" t="inlineStr">
        <is>
          <t>A 42099-2022</t>
        </is>
      </c>
      <c r="B363" s="1" t="n">
        <v>44827</v>
      </c>
      <c r="C363" s="1" t="n">
        <v>45964</v>
      </c>
      <c r="D363" t="inlineStr">
        <is>
          <t>VÄSTERBOTTENS LÄN</t>
        </is>
      </c>
      <c r="E363" t="inlineStr">
        <is>
          <t>SKELLEFTEÅ</t>
        </is>
      </c>
      <c r="G363" t="n">
        <v>1.7</v>
      </c>
      <c r="H363" t="n">
        <v>0</v>
      </c>
      <c r="I363" t="n">
        <v>0</v>
      </c>
      <c r="J363" t="n">
        <v>0</v>
      </c>
      <c r="K363" t="n">
        <v>0</v>
      </c>
      <c r="L363" t="n">
        <v>0</v>
      </c>
      <c r="M363" t="n">
        <v>0</v>
      </c>
      <c r="N363" t="n">
        <v>0</v>
      </c>
      <c r="O363" t="n">
        <v>0</v>
      </c>
      <c r="P363" t="n">
        <v>0</v>
      </c>
      <c r="Q363" t="n">
        <v>0</v>
      </c>
      <c r="R363" s="2" t="inlineStr"/>
    </row>
    <row r="364" ht="15" customHeight="1">
      <c r="A364" t="inlineStr">
        <is>
          <t>A 3575-2021</t>
        </is>
      </c>
      <c r="B364" s="1" t="n">
        <v>44218</v>
      </c>
      <c r="C364" s="1" t="n">
        <v>45964</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40013-2022</t>
        </is>
      </c>
      <c r="B365" s="1" t="n">
        <v>44820.3971875</v>
      </c>
      <c r="C365" s="1" t="n">
        <v>45964</v>
      </c>
      <c r="D365" t="inlineStr">
        <is>
          <t>VÄSTERBOTTENS LÄN</t>
        </is>
      </c>
      <c r="E365" t="inlineStr">
        <is>
          <t>SKELLEFTEÅ</t>
        </is>
      </c>
      <c r="G365" t="n">
        <v>4.8</v>
      </c>
      <c r="H365" t="n">
        <v>0</v>
      </c>
      <c r="I365" t="n">
        <v>0</v>
      </c>
      <c r="J365" t="n">
        <v>0</v>
      </c>
      <c r="K365" t="n">
        <v>0</v>
      </c>
      <c r="L365" t="n">
        <v>0</v>
      </c>
      <c r="M365" t="n">
        <v>0</v>
      </c>
      <c r="N365" t="n">
        <v>0</v>
      </c>
      <c r="O365" t="n">
        <v>0</v>
      </c>
      <c r="P365" t="n">
        <v>0</v>
      </c>
      <c r="Q365" t="n">
        <v>0</v>
      </c>
      <c r="R365" s="2" t="inlineStr"/>
    </row>
    <row r="366" ht="15" customHeight="1">
      <c r="A366" t="inlineStr">
        <is>
          <t>A 36539-2022</t>
        </is>
      </c>
      <c r="B366" s="1" t="n">
        <v>44804</v>
      </c>
      <c r="C366" s="1" t="n">
        <v>45964</v>
      </c>
      <c r="D366" t="inlineStr">
        <is>
          <t>VÄSTERBOTTENS LÄN</t>
        </is>
      </c>
      <c r="E366" t="inlineStr">
        <is>
          <t>SKELLEFTEÅ</t>
        </is>
      </c>
      <c r="F366" t="inlineStr">
        <is>
          <t>Kommuner</t>
        </is>
      </c>
      <c r="G366" t="n">
        <v>2.7</v>
      </c>
      <c r="H366" t="n">
        <v>0</v>
      </c>
      <c r="I366" t="n">
        <v>0</v>
      </c>
      <c r="J366" t="n">
        <v>0</v>
      </c>
      <c r="K366" t="n">
        <v>0</v>
      </c>
      <c r="L366" t="n">
        <v>0</v>
      </c>
      <c r="M366" t="n">
        <v>0</v>
      </c>
      <c r="N366" t="n">
        <v>0</v>
      </c>
      <c r="O366" t="n">
        <v>0</v>
      </c>
      <c r="P366" t="n">
        <v>0</v>
      </c>
      <c r="Q366" t="n">
        <v>0</v>
      </c>
      <c r="R366" s="2" t="inlineStr"/>
    </row>
    <row r="367" ht="15" customHeight="1">
      <c r="A367" t="inlineStr">
        <is>
          <t>A 2575-2021</t>
        </is>
      </c>
      <c r="B367" s="1" t="n">
        <v>44214</v>
      </c>
      <c r="C367" s="1" t="n">
        <v>45964</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29276-2021</t>
        </is>
      </c>
      <c r="B368" s="1" t="n">
        <v>44361</v>
      </c>
      <c r="C368" s="1" t="n">
        <v>45964</v>
      </c>
      <c r="D368" t="inlineStr">
        <is>
          <t>VÄSTERBOTTENS LÄN</t>
        </is>
      </c>
      <c r="E368" t="inlineStr">
        <is>
          <t>SKELLEFTEÅ</t>
        </is>
      </c>
      <c r="G368" t="n">
        <v>2.1</v>
      </c>
      <c r="H368" t="n">
        <v>0</v>
      </c>
      <c r="I368" t="n">
        <v>0</v>
      </c>
      <c r="J368" t="n">
        <v>0</v>
      </c>
      <c r="K368" t="n">
        <v>0</v>
      </c>
      <c r="L368" t="n">
        <v>0</v>
      </c>
      <c r="M368" t="n">
        <v>0</v>
      </c>
      <c r="N368" t="n">
        <v>0</v>
      </c>
      <c r="O368" t="n">
        <v>0</v>
      </c>
      <c r="P368" t="n">
        <v>0</v>
      </c>
      <c r="Q368" t="n">
        <v>0</v>
      </c>
      <c r="R368" s="2" t="inlineStr"/>
    </row>
    <row r="369" ht="15" customHeight="1">
      <c r="A369" t="inlineStr">
        <is>
          <t>A 3362-2022</t>
        </is>
      </c>
      <c r="B369" s="1" t="n">
        <v>44585</v>
      </c>
      <c r="C369" s="1" t="n">
        <v>45964</v>
      </c>
      <c r="D369" t="inlineStr">
        <is>
          <t>VÄSTERBOTTENS LÄN</t>
        </is>
      </c>
      <c r="E369" t="inlineStr">
        <is>
          <t>SKELLEFTEÅ</t>
        </is>
      </c>
      <c r="G369" t="n">
        <v>0.2</v>
      </c>
      <c r="H369" t="n">
        <v>0</v>
      </c>
      <c r="I369" t="n">
        <v>0</v>
      </c>
      <c r="J369" t="n">
        <v>0</v>
      </c>
      <c r="K369" t="n">
        <v>0</v>
      </c>
      <c r="L369" t="n">
        <v>0</v>
      </c>
      <c r="M369" t="n">
        <v>0</v>
      </c>
      <c r="N369" t="n">
        <v>0</v>
      </c>
      <c r="O369" t="n">
        <v>0</v>
      </c>
      <c r="P369" t="n">
        <v>0</v>
      </c>
      <c r="Q369" t="n">
        <v>0</v>
      </c>
      <c r="R369" s="2" t="inlineStr"/>
    </row>
    <row r="370" ht="15" customHeight="1">
      <c r="A370" t="inlineStr">
        <is>
          <t>A 6723-2024</t>
        </is>
      </c>
      <c r="B370" s="1" t="n">
        <v>45342.37591435185</v>
      </c>
      <c r="C370" s="1" t="n">
        <v>45964</v>
      </c>
      <c r="D370" t="inlineStr">
        <is>
          <t>VÄSTERBOTTENS LÄN</t>
        </is>
      </c>
      <c r="E370" t="inlineStr">
        <is>
          <t>SKELLEFTEÅ</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70703-2021</t>
        </is>
      </c>
      <c r="B371" s="1" t="n">
        <v>44536</v>
      </c>
      <c r="C371" s="1" t="n">
        <v>45964</v>
      </c>
      <c r="D371" t="inlineStr">
        <is>
          <t>VÄSTERBOTTENS LÄN</t>
        </is>
      </c>
      <c r="E371" t="inlineStr">
        <is>
          <t>SKELLEFTEÅ</t>
        </is>
      </c>
      <c r="G371" t="n">
        <v>0.6</v>
      </c>
      <c r="H371" t="n">
        <v>0</v>
      </c>
      <c r="I371" t="n">
        <v>0</v>
      </c>
      <c r="J371" t="n">
        <v>0</v>
      </c>
      <c r="K371" t="n">
        <v>0</v>
      </c>
      <c r="L371" t="n">
        <v>0</v>
      </c>
      <c r="M371" t="n">
        <v>0</v>
      </c>
      <c r="N371" t="n">
        <v>0</v>
      </c>
      <c r="O371" t="n">
        <v>0</v>
      </c>
      <c r="P371" t="n">
        <v>0</v>
      </c>
      <c r="Q371" t="n">
        <v>0</v>
      </c>
      <c r="R371" s="2" t="inlineStr"/>
    </row>
    <row r="372" ht="15" customHeight="1">
      <c r="A372" t="inlineStr">
        <is>
          <t>A 6666-2022</t>
        </is>
      </c>
      <c r="B372" s="1" t="n">
        <v>44602.37965277778</v>
      </c>
      <c r="C372" s="1" t="n">
        <v>45964</v>
      </c>
      <c r="D372" t="inlineStr">
        <is>
          <t>VÄSTERBOTTENS LÄN</t>
        </is>
      </c>
      <c r="E372" t="inlineStr">
        <is>
          <t>SKELLEFTEÅ</t>
        </is>
      </c>
      <c r="G372" t="n">
        <v>2.1</v>
      </c>
      <c r="H372" t="n">
        <v>0</v>
      </c>
      <c r="I372" t="n">
        <v>0</v>
      </c>
      <c r="J372" t="n">
        <v>0</v>
      </c>
      <c r="K372" t="n">
        <v>0</v>
      </c>
      <c r="L372" t="n">
        <v>0</v>
      </c>
      <c r="M372" t="n">
        <v>0</v>
      </c>
      <c r="N372" t="n">
        <v>0</v>
      </c>
      <c r="O372" t="n">
        <v>0</v>
      </c>
      <c r="P372" t="n">
        <v>0</v>
      </c>
      <c r="Q372" t="n">
        <v>0</v>
      </c>
      <c r="R372" s="2" t="inlineStr"/>
    </row>
    <row r="373" ht="15" customHeight="1">
      <c r="A373" t="inlineStr">
        <is>
          <t>A 13330-2024</t>
        </is>
      </c>
      <c r="B373" s="1" t="n">
        <v>45386.89378472222</v>
      </c>
      <c r="C373" s="1" t="n">
        <v>45964</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73956-2021</t>
        </is>
      </c>
      <c r="B374" s="1" t="n">
        <v>44553</v>
      </c>
      <c r="C374" s="1" t="n">
        <v>45964</v>
      </c>
      <c r="D374" t="inlineStr">
        <is>
          <t>VÄSTERBOTTENS LÄN</t>
        </is>
      </c>
      <c r="E374" t="inlineStr">
        <is>
          <t>SKELLEFTEÅ</t>
        </is>
      </c>
      <c r="G374" t="n">
        <v>1</v>
      </c>
      <c r="H374" t="n">
        <v>0</v>
      </c>
      <c r="I374" t="n">
        <v>0</v>
      </c>
      <c r="J374" t="n">
        <v>0</v>
      </c>
      <c r="K374" t="n">
        <v>0</v>
      </c>
      <c r="L374" t="n">
        <v>0</v>
      </c>
      <c r="M374" t="n">
        <v>0</v>
      </c>
      <c r="N374" t="n">
        <v>0</v>
      </c>
      <c r="O374" t="n">
        <v>0</v>
      </c>
      <c r="P374" t="n">
        <v>0</v>
      </c>
      <c r="Q374" t="n">
        <v>0</v>
      </c>
      <c r="R374" s="2" t="inlineStr"/>
    </row>
    <row r="375" ht="15" customHeight="1">
      <c r="A375" t="inlineStr">
        <is>
          <t>A 5095-2021</t>
        </is>
      </c>
      <c r="B375" s="1" t="n">
        <v>44224</v>
      </c>
      <c r="C375" s="1" t="n">
        <v>45964</v>
      </c>
      <c r="D375" t="inlineStr">
        <is>
          <t>VÄSTERBOTTENS LÄN</t>
        </is>
      </c>
      <c r="E375" t="inlineStr">
        <is>
          <t>SKELLEFTEÅ</t>
        </is>
      </c>
      <c r="G375" t="n">
        <v>5.6</v>
      </c>
      <c r="H375" t="n">
        <v>0</v>
      </c>
      <c r="I375" t="n">
        <v>0</v>
      </c>
      <c r="J375" t="n">
        <v>0</v>
      </c>
      <c r="K375" t="n">
        <v>0</v>
      </c>
      <c r="L375" t="n">
        <v>0</v>
      </c>
      <c r="M375" t="n">
        <v>0</v>
      </c>
      <c r="N375" t="n">
        <v>0</v>
      </c>
      <c r="O375" t="n">
        <v>0</v>
      </c>
      <c r="P375" t="n">
        <v>0</v>
      </c>
      <c r="Q375" t="n">
        <v>0</v>
      </c>
      <c r="R375" s="2" t="inlineStr"/>
    </row>
    <row r="376" ht="15" customHeight="1">
      <c r="A376" t="inlineStr">
        <is>
          <t>A 16977-2024</t>
        </is>
      </c>
      <c r="B376" s="1" t="n">
        <v>45412.02377314815</v>
      </c>
      <c r="C376" s="1" t="n">
        <v>45964</v>
      </c>
      <c r="D376" t="inlineStr">
        <is>
          <t>VÄSTERBOTTENS LÄN</t>
        </is>
      </c>
      <c r="E376" t="inlineStr">
        <is>
          <t>SKELLEFTEÅ</t>
        </is>
      </c>
      <c r="F376" t="inlineStr">
        <is>
          <t>SCA</t>
        </is>
      </c>
      <c r="G376" t="n">
        <v>16.8</v>
      </c>
      <c r="H376" t="n">
        <v>0</v>
      </c>
      <c r="I376" t="n">
        <v>0</v>
      </c>
      <c r="J376" t="n">
        <v>0</v>
      </c>
      <c r="K376" t="n">
        <v>0</v>
      </c>
      <c r="L376" t="n">
        <v>0</v>
      </c>
      <c r="M376" t="n">
        <v>0</v>
      </c>
      <c r="N376" t="n">
        <v>0</v>
      </c>
      <c r="O376" t="n">
        <v>0</v>
      </c>
      <c r="P376" t="n">
        <v>0</v>
      </c>
      <c r="Q376" t="n">
        <v>0</v>
      </c>
      <c r="R376" s="2" t="inlineStr"/>
    </row>
    <row r="377" ht="15" customHeight="1">
      <c r="A377" t="inlineStr">
        <is>
          <t>A 35888-2022</t>
        </is>
      </c>
      <c r="B377" s="1" t="n">
        <v>44803</v>
      </c>
      <c r="C377" s="1" t="n">
        <v>45964</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4645-2025</t>
        </is>
      </c>
      <c r="B378" s="1" t="n">
        <v>45687</v>
      </c>
      <c r="C378" s="1" t="n">
        <v>45964</v>
      </c>
      <c r="D378" t="inlineStr">
        <is>
          <t>VÄSTERBOTTENS LÄN</t>
        </is>
      </c>
      <c r="E378" t="inlineStr">
        <is>
          <t>SKELLEFTEÅ</t>
        </is>
      </c>
      <c r="G378" t="n">
        <v>6.7</v>
      </c>
      <c r="H378" t="n">
        <v>0</v>
      </c>
      <c r="I378" t="n">
        <v>0</v>
      </c>
      <c r="J378" t="n">
        <v>0</v>
      </c>
      <c r="K378" t="n">
        <v>0</v>
      </c>
      <c r="L378" t="n">
        <v>0</v>
      </c>
      <c r="M378" t="n">
        <v>0</v>
      </c>
      <c r="N378" t="n">
        <v>0</v>
      </c>
      <c r="O378" t="n">
        <v>0</v>
      </c>
      <c r="P378" t="n">
        <v>0</v>
      </c>
      <c r="Q378" t="n">
        <v>0</v>
      </c>
      <c r="R378" s="2" t="inlineStr"/>
    </row>
    <row r="379" ht="15" customHeight="1">
      <c r="A379" t="inlineStr">
        <is>
          <t>A 37474-2023</t>
        </is>
      </c>
      <c r="B379" s="1" t="n">
        <v>45156.92446759259</v>
      </c>
      <c r="C379" s="1" t="n">
        <v>45964</v>
      </c>
      <c r="D379" t="inlineStr">
        <is>
          <t>VÄSTERBOTTENS LÄN</t>
        </is>
      </c>
      <c r="E379" t="inlineStr">
        <is>
          <t>SKELLEFTEÅ</t>
        </is>
      </c>
      <c r="G379" t="n">
        <v>4.1</v>
      </c>
      <c r="H379" t="n">
        <v>0</v>
      </c>
      <c r="I379" t="n">
        <v>0</v>
      </c>
      <c r="J379" t="n">
        <v>0</v>
      </c>
      <c r="K379" t="n">
        <v>0</v>
      </c>
      <c r="L379" t="n">
        <v>0</v>
      </c>
      <c r="M379" t="n">
        <v>0</v>
      </c>
      <c r="N379" t="n">
        <v>0</v>
      </c>
      <c r="O379" t="n">
        <v>0</v>
      </c>
      <c r="P379" t="n">
        <v>0</v>
      </c>
      <c r="Q379" t="n">
        <v>0</v>
      </c>
      <c r="R379" s="2" t="inlineStr"/>
    </row>
    <row r="380" ht="15" customHeight="1">
      <c r="A380" t="inlineStr">
        <is>
          <t>A 16261-2025</t>
        </is>
      </c>
      <c r="B380" s="1" t="n">
        <v>45750.74388888889</v>
      </c>
      <c r="C380" s="1" t="n">
        <v>45964</v>
      </c>
      <c r="D380" t="inlineStr">
        <is>
          <t>VÄSTERBOTTENS LÄN</t>
        </is>
      </c>
      <c r="E380" t="inlineStr">
        <is>
          <t>SKELLEFTEÅ</t>
        </is>
      </c>
      <c r="G380" t="n">
        <v>5.3</v>
      </c>
      <c r="H380" t="n">
        <v>0</v>
      </c>
      <c r="I380" t="n">
        <v>0</v>
      </c>
      <c r="J380" t="n">
        <v>0</v>
      </c>
      <c r="K380" t="n">
        <v>0</v>
      </c>
      <c r="L380" t="n">
        <v>0</v>
      </c>
      <c r="M380" t="n">
        <v>0</v>
      </c>
      <c r="N380" t="n">
        <v>0</v>
      </c>
      <c r="O380" t="n">
        <v>0</v>
      </c>
      <c r="P380" t="n">
        <v>0</v>
      </c>
      <c r="Q380" t="n">
        <v>0</v>
      </c>
      <c r="R380" s="2" t="inlineStr"/>
    </row>
    <row r="381" ht="15" customHeight="1">
      <c r="A381" t="inlineStr">
        <is>
          <t>A 45111-2024</t>
        </is>
      </c>
      <c r="B381" s="1" t="n">
        <v>45575</v>
      </c>
      <c r="C381" s="1" t="n">
        <v>45964</v>
      </c>
      <c r="D381" t="inlineStr">
        <is>
          <t>VÄSTERBOTTENS LÄN</t>
        </is>
      </c>
      <c r="E381" t="inlineStr">
        <is>
          <t>SKELLEFTEÅ</t>
        </is>
      </c>
      <c r="G381" t="n">
        <v>4.4</v>
      </c>
      <c r="H381" t="n">
        <v>0</v>
      </c>
      <c r="I381" t="n">
        <v>0</v>
      </c>
      <c r="J381" t="n">
        <v>0</v>
      </c>
      <c r="K381" t="n">
        <v>0</v>
      </c>
      <c r="L381" t="n">
        <v>0</v>
      </c>
      <c r="M381" t="n">
        <v>0</v>
      </c>
      <c r="N381" t="n">
        <v>0</v>
      </c>
      <c r="O381" t="n">
        <v>0</v>
      </c>
      <c r="P381" t="n">
        <v>0</v>
      </c>
      <c r="Q381" t="n">
        <v>0</v>
      </c>
      <c r="R381" s="2" t="inlineStr"/>
    </row>
    <row r="382" ht="15" customHeight="1">
      <c r="A382" t="inlineStr">
        <is>
          <t>A 15479-2023</t>
        </is>
      </c>
      <c r="B382" s="1" t="n">
        <v>45020.45726851852</v>
      </c>
      <c r="C382" s="1" t="n">
        <v>45964</v>
      </c>
      <c r="D382" t="inlineStr">
        <is>
          <t>VÄSTERBOTTENS LÄN</t>
        </is>
      </c>
      <c r="E382" t="inlineStr">
        <is>
          <t>SKELLEFTEÅ</t>
        </is>
      </c>
      <c r="F382" t="inlineStr">
        <is>
          <t>Sveaskog</t>
        </is>
      </c>
      <c r="G382" t="n">
        <v>11.4</v>
      </c>
      <c r="H382" t="n">
        <v>0</v>
      </c>
      <c r="I382" t="n">
        <v>0</v>
      </c>
      <c r="J382" t="n">
        <v>0</v>
      </c>
      <c r="K382" t="n">
        <v>0</v>
      </c>
      <c r="L382" t="n">
        <v>0</v>
      </c>
      <c r="M382" t="n">
        <v>0</v>
      </c>
      <c r="N382" t="n">
        <v>0</v>
      </c>
      <c r="O382" t="n">
        <v>0</v>
      </c>
      <c r="P382" t="n">
        <v>0</v>
      </c>
      <c r="Q382" t="n">
        <v>0</v>
      </c>
      <c r="R382" s="2" t="inlineStr"/>
    </row>
    <row r="383" ht="15" customHeight="1">
      <c r="A383" t="inlineStr">
        <is>
          <t>A 67893-2021</t>
        </is>
      </c>
      <c r="B383" s="1" t="n">
        <v>44525</v>
      </c>
      <c r="C383" s="1" t="n">
        <v>45964</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1233-2025</t>
        </is>
      </c>
      <c r="B384" s="1" t="n">
        <v>45667.44528935185</v>
      </c>
      <c r="C384" s="1" t="n">
        <v>45964</v>
      </c>
      <c r="D384" t="inlineStr">
        <is>
          <t>VÄSTERBOTTENS LÄN</t>
        </is>
      </c>
      <c r="E384" t="inlineStr">
        <is>
          <t>SKELLEFTEÅ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14096-2022</t>
        </is>
      </c>
      <c r="B385" s="1" t="n">
        <v>44651</v>
      </c>
      <c r="C385" s="1" t="n">
        <v>45964</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23709-2023</t>
        </is>
      </c>
      <c r="B386" s="1" t="n">
        <v>45075</v>
      </c>
      <c r="C386" s="1" t="n">
        <v>45964</v>
      </c>
      <c r="D386" t="inlineStr">
        <is>
          <t>VÄSTERBOTTENS LÄN</t>
        </is>
      </c>
      <c r="E386" t="inlineStr">
        <is>
          <t>SKELLEFTEÅ</t>
        </is>
      </c>
      <c r="G386" t="n">
        <v>1.2</v>
      </c>
      <c r="H386" t="n">
        <v>0</v>
      </c>
      <c r="I386" t="n">
        <v>0</v>
      </c>
      <c r="J386" t="n">
        <v>0</v>
      </c>
      <c r="K386" t="n">
        <v>0</v>
      </c>
      <c r="L386" t="n">
        <v>0</v>
      </c>
      <c r="M386" t="n">
        <v>0</v>
      </c>
      <c r="N386" t="n">
        <v>0</v>
      </c>
      <c r="O386" t="n">
        <v>0</v>
      </c>
      <c r="P386" t="n">
        <v>0</v>
      </c>
      <c r="Q386" t="n">
        <v>0</v>
      </c>
      <c r="R386" s="2" t="inlineStr"/>
    </row>
    <row r="387" ht="15" customHeight="1">
      <c r="A387" t="inlineStr">
        <is>
          <t>A 23760-2023</t>
        </is>
      </c>
      <c r="B387" s="1" t="n">
        <v>45077</v>
      </c>
      <c r="C387" s="1" t="n">
        <v>45964</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23761-2023</t>
        </is>
      </c>
      <c r="B388" s="1" t="n">
        <v>45077</v>
      </c>
      <c r="C388" s="1" t="n">
        <v>45964</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7745-2024</t>
        </is>
      </c>
      <c r="B389" s="1" t="n">
        <v>45348</v>
      </c>
      <c r="C389" s="1" t="n">
        <v>45964</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11629-2023</t>
        </is>
      </c>
      <c r="B390" s="1" t="n">
        <v>44994.43855324074</v>
      </c>
      <c r="C390" s="1" t="n">
        <v>45964</v>
      </c>
      <c r="D390" t="inlineStr">
        <is>
          <t>VÄSTERBOTTENS LÄN</t>
        </is>
      </c>
      <c r="E390" t="inlineStr">
        <is>
          <t>SKELLEFTEÅ</t>
        </is>
      </c>
      <c r="G390" t="n">
        <v>4.5</v>
      </c>
      <c r="H390" t="n">
        <v>0</v>
      </c>
      <c r="I390" t="n">
        <v>0</v>
      </c>
      <c r="J390" t="n">
        <v>0</v>
      </c>
      <c r="K390" t="n">
        <v>0</v>
      </c>
      <c r="L390" t="n">
        <v>0</v>
      </c>
      <c r="M390" t="n">
        <v>0</v>
      </c>
      <c r="N390" t="n">
        <v>0</v>
      </c>
      <c r="O390" t="n">
        <v>0</v>
      </c>
      <c r="P390" t="n">
        <v>0</v>
      </c>
      <c r="Q390" t="n">
        <v>0</v>
      </c>
      <c r="R390" s="2" t="inlineStr"/>
    </row>
    <row r="391" ht="15" customHeight="1">
      <c r="A391" t="inlineStr">
        <is>
          <t>A 11642-2023</t>
        </is>
      </c>
      <c r="B391" s="1" t="n">
        <v>44994.45225694445</v>
      </c>
      <c r="C391" s="1" t="n">
        <v>45964</v>
      </c>
      <c r="D391" t="inlineStr">
        <is>
          <t>VÄSTERBOTTENS LÄN</t>
        </is>
      </c>
      <c r="E391" t="inlineStr">
        <is>
          <t>SKELLEFTEÅ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57131-2024</t>
        </is>
      </c>
      <c r="B392" s="1" t="n">
        <v>45629.38340277778</v>
      </c>
      <c r="C392" s="1" t="n">
        <v>45964</v>
      </c>
      <c r="D392" t="inlineStr">
        <is>
          <t>VÄSTERBOTTENS LÄN</t>
        </is>
      </c>
      <c r="E392" t="inlineStr">
        <is>
          <t>SKELLEFTEÅ</t>
        </is>
      </c>
      <c r="F392" t="inlineStr">
        <is>
          <t>Holmen skog AB</t>
        </is>
      </c>
      <c r="G392" t="n">
        <v>5.9</v>
      </c>
      <c r="H392" t="n">
        <v>0</v>
      </c>
      <c r="I392" t="n">
        <v>0</v>
      </c>
      <c r="J392" t="n">
        <v>0</v>
      </c>
      <c r="K392" t="n">
        <v>0</v>
      </c>
      <c r="L392" t="n">
        <v>0</v>
      </c>
      <c r="M392" t="n">
        <v>0</v>
      </c>
      <c r="N392" t="n">
        <v>0</v>
      </c>
      <c r="O392" t="n">
        <v>0</v>
      </c>
      <c r="P392" t="n">
        <v>0</v>
      </c>
      <c r="Q392" t="n">
        <v>0</v>
      </c>
      <c r="R392" s="2" t="inlineStr"/>
    </row>
    <row r="393" ht="15" customHeight="1">
      <c r="A393" t="inlineStr">
        <is>
          <t>A 9466-2024</t>
        </is>
      </c>
      <c r="B393" s="1" t="n">
        <v>45359</v>
      </c>
      <c r="C393" s="1" t="n">
        <v>45964</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41297-2024</t>
        </is>
      </c>
      <c r="B394" s="1" t="n">
        <v>45559.61015046296</v>
      </c>
      <c r="C394" s="1" t="n">
        <v>45964</v>
      </c>
      <c r="D394" t="inlineStr">
        <is>
          <t>VÄSTERBOTTENS LÄN</t>
        </is>
      </c>
      <c r="E394" t="inlineStr">
        <is>
          <t>SKELLEFTEÅ</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72692-2021</t>
        </is>
      </c>
      <c r="B395" s="1" t="n">
        <v>44545</v>
      </c>
      <c r="C395" s="1" t="n">
        <v>45964</v>
      </c>
      <c r="D395" t="inlineStr">
        <is>
          <t>VÄSTERBOTTENS LÄN</t>
        </is>
      </c>
      <c r="E395" t="inlineStr">
        <is>
          <t>SKELLEFTEÅ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53420-2024</t>
        </is>
      </c>
      <c r="B396" s="1" t="n">
        <v>45614.51158564815</v>
      </c>
      <c r="C396" s="1" t="n">
        <v>45964</v>
      </c>
      <c r="D396" t="inlineStr">
        <is>
          <t>VÄSTERBOTTENS LÄN</t>
        </is>
      </c>
      <c r="E396" t="inlineStr">
        <is>
          <t>SKELLEFTEÅ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39192-2021</t>
        </is>
      </c>
      <c r="B397" s="1" t="n">
        <v>44413.34373842592</v>
      </c>
      <c r="C397" s="1" t="n">
        <v>45964</v>
      </c>
      <c r="D397" t="inlineStr">
        <is>
          <t>VÄSTERBOTTENS LÄN</t>
        </is>
      </c>
      <c r="E397" t="inlineStr">
        <is>
          <t>SKELLEFTEÅ</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26462-2023</t>
        </is>
      </c>
      <c r="B398" s="1" t="n">
        <v>45092.4658449074</v>
      </c>
      <c r="C398" s="1" t="n">
        <v>45964</v>
      </c>
      <c r="D398" t="inlineStr">
        <is>
          <t>VÄSTERBOTTENS LÄN</t>
        </is>
      </c>
      <c r="E398" t="inlineStr">
        <is>
          <t>SKELLEFTEÅ</t>
        </is>
      </c>
      <c r="F398" t="inlineStr">
        <is>
          <t>Holmen skog AB</t>
        </is>
      </c>
      <c r="G398" t="n">
        <v>4.4</v>
      </c>
      <c r="H398" t="n">
        <v>0</v>
      </c>
      <c r="I398" t="n">
        <v>0</v>
      </c>
      <c r="J398" t="n">
        <v>0</v>
      </c>
      <c r="K398" t="n">
        <v>0</v>
      </c>
      <c r="L398" t="n">
        <v>0</v>
      </c>
      <c r="M398" t="n">
        <v>0</v>
      </c>
      <c r="N398" t="n">
        <v>0</v>
      </c>
      <c r="O398" t="n">
        <v>0</v>
      </c>
      <c r="P398" t="n">
        <v>0</v>
      </c>
      <c r="Q398" t="n">
        <v>0</v>
      </c>
      <c r="R398" s="2" t="inlineStr"/>
    </row>
    <row r="399" ht="15" customHeight="1">
      <c r="A399" t="inlineStr">
        <is>
          <t>A 61937-2020</t>
        </is>
      </c>
      <c r="B399" s="1" t="n">
        <v>44155</v>
      </c>
      <c r="C399" s="1" t="n">
        <v>45964</v>
      </c>
      <c r="D399" t="inlineStr">
        <is>
          <t>VÄSTERBOTTENS LÄN</t>
        </is>
      </c>
      <c r="E399" t="inlineStr">
        <is>
          <t>SKELLEFTEÅ</t>
        </is>
      </c>
      <c r="G399" t="n">
        <v>1.4</v>
      </c>
      <c r="H399" t="n">
        <v>0</v>
      </c>
      <c r="I399" t="n">
        <v>0</v>
      </c>
      <c r="J399" t="n">
        <v>0</v>
      </c>
      <c r="K399" t="n">
        <v>0</v>
      </c>
      <c r="L399" t="n">
        <v>0</v>
      </c>
      <c r="M399" t="n">
        <v>0</v>
      </c>
      <c r="N399" t="n">
        <v>0</v>
      </c>
      <c r="O399" t="n">
        <v>0</v>
      </c>
      <c r="P399" t="n">
        <v>0</v>
      </c>
      <c r="Q399" t="n">
        <v>0</v>
      </c>
      <c r="R399" s="2" t="inlineStr"/>
    </row>
    <row r="400" ht="15" customHeight="1">
      <c r="A400" t="inlineStr">
        <is>
          <t>A 37796-2023</t>
        </is>
      </c>
      <c r="B400" s="1" t="n">
        <v>45159.92447916666</v>
      </c>
      <c r="C400" s="1" t="n">
        <v>45964</v>
      </c>
      <c r="D400" t="inlineStr">
        <is>
          <t>VÄSTERBOTTENS LÄN</t>
        </is>
      </c>
      <c r="E400" t="inlineStr">
        <is>
          <t>SKELLEFTEÅ</t>
        </is>
      </c>
      <c r="G400" t="n">
        <v>3.3</v>
      </c>
      <c r="H400" t="n">
        <v>0</v>
      </c>
      <c r="I400" t="n">
        <v>0</v>
      </c>
      <c r="J400" t="n">
        <v>0</v>
      </c>
      <c r="K400" t="n">
        <v>0</v>
      </c>
      <c r="L400" t="n">
        <v>0</v>
      </c>
      <c r="M400" t="n">
        <v>0</v>
      </c>
      <c r="N400" t="n">
        <v>0</v>
      </c>
      <c r="O400" t="n">
        <v>0</v>
      </c>
      <c r="P400" t="n">
        <v>0</v>
      </c>
      <c r="Q400" t="n">
        <v>0</v>
      </c>
      <c r="R400" s="2" t="inlineStr"/>
    </row>
    <row r="401" ht="15" customHeight="1">
      <c r="A401" t="inlineStr">
        <is>
          <t>A 13693-2022</t>
        </is>
      </c>
      <c r="B401" s="1" t="n">
        <v>44648</v>
      </c>
      <c r="C401" s="1" t="n">
        <v>45964</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32593-2024</t>
        </is>
      </c>
      <c r="B402" s="1" t="n">
        <v>45513.60165509259</v>
      </c>
      <c r="C402" s="1" t="n">
        <v>45964</v>
      </c>
      <c r="D402" t="inlineStr">
        <is>
          <t>VÄSTERBOTTENS LÄN</t>
        </is>
      </c>
      <c r="E402" t="inlineStr">
        <is>
          <t>SKELLEFTEÅ</t>
        </is>
      </c>
      <c r="F402" t="inlineStr">
        <is>
          <t>Holmen skog AB</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39156-2023</t>
        </is>
      </c>
      <c r="B403" s="1" t="n">
        <v>45166</v>
      </c>
      <c r="C403" s="1" t="n">
        <v>45964</v>
      </c>
      <c r="D403" t="inlineStr">
        <is>
          <t>VÄSTERBOTTENS LÄN</t>
        </is>
      </c>
      <c r="E403" t="inlineStr">
        <is>
          <t>SKELLEFTEÅ</t>
        </is>
      </c>
      <c r="F403" t="inlineStr">
        <is>
          <t>Sveaskog</t>
        </is>
      </c>
      <c r="G403" t="n">
        <v>43.7</v>
      </c>
      <c r="H403" t="n">
        <v>0</v>
      </c>
      <c r="I403" t="n">
        <v>0</v>
      </c>
      <c r="J403" t="n">
        <v>0</v>
      </c>
      <c r="K403" t="n">
        <v>0</v>
      </c>
      <c r="L403" t="n">
        <v>0</v>
      </c>
      <c r="M403" t="n">
        <v>0</v>
      </c>
      <c r="N403" t="n">
        <v>0</v>
      </c>
      <c r="O403" t="n">
        <v>0</v>
      </c>
      <c r="P403" t="n">
        <v>0</v>
      </c>
      <c r="Q403" t="n">
        <v>0</v>
      </c>
      <c r="R403" s="2" t="inlineStr"/>
    </row>
    <row r="404" ht="15" customHeight="1">
      <c r="A404" t="inlineStr">
        <is>
          <t>A 42764-2024</t>
        </is>
      </c>
      <c r="B404" s="1" t="n">
        <v>45566.50524305556</v>
      </c>
      <c r="C404" s="1" t="n">
        <v>45964</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51332-2024</t>
        </is>
      </c>
      <c r="B405" s="1" t="n">
        <v>45604.34377314815</v>
      </c>
      <c r="C405" s="1" t="n">
        <v>45964</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43701-2024</t>
        </is>
      </c>
      <c r="B406" s="1" t="n">
        <v>45569</v>
      </c>
      <c r="C406" s="1" t="n">
        <v>45964</v>
      </c>
      <c r="D406" t="inlineStr">
        <is>
          <t>VÄSTERBOTTENS LÄN</t>
        </is>
      </c>
      <c r="E406" t="inlineStr">
        <is>
          <t>SKELLEFTEÅ</t>
        </is>
      </c>
      <c r="F406" t="inlineStr">
        <is>
          <t>Kommuner</t>
        </is>
      </c>
      <c r="G406" t="n">
        <v>2.8</v>
      </c>
      <c r="H406" t="n">
        <v>0</v>
      </c>
      <c r="I406" t="n">
        <v>0</v>
      </c>
      <c r="J406" t="n">
        <v>0</v>
      </c>
      <c r="K406" t="n">
        <v>0</v>
      </c>
      <c r="L406" t="n">
        <v>0</v>
      </c>
      <c r="M406" t="n">
        <v>0</v>
      </c>
      <c r="N406" t="n">
        <v>0</v>
      </c>
      <c r="O406" t="n">
        <v>0</v>
      </c>
      <c r="P406" t="n">
        <v>0</v>
      </c>
      <c r="Q406" t="n">
        <v>0</v>
      </c>
      <c r="R406" s="2" t="inlineStr"/>
    </row>
    <row r="407" ht="15" customHeight="1">
      <c r="A407" t="inlineStr">
        <is>
          <t>A 40798-2024</t>
        </is>
      </c>
      <c r="B407" s="1" t="n">
        <v>45558.52645833333</v>
      </c>
      <c r="C407" s="1" t="n">
        <v>45964</v>
      </c>
      <c r="D407" t="inlineStr">
        <is>
          <t>VÄSTERBOTTENS LÄN</t>
        </is>
      </c>
      <c r="E407" t="inlineStr">
        <is>
          <t>SKELLEFTEÅ</t>
        </is>
      </c>
      <c r="G407" t="n">
        <v>0.3</v>
      </c>
      <c r="H407" t="n">
        <v>0</v>
      </c>
      <c r="I407" t="n">
        <v>0</v>
      </c>
      <c r="J407" t="n">
        <v>0</v>
      </c>
      <c r="K407" t="n">
        <v>0</v>
      </c>
      <c r="L407" t="n">
        <v>0</v>
      </c>
      <c r="M407" t="n">
        <v>0</v>
      </c>
      <c r="N407" t="n">
        <v>0</v>
      </c>
      <c r="O407" t="n">
        <v>0</v>
      </c>
      <c r="P407" t="n">
        <v>0</v>
      </c>
      <c r="Q407" t="n">
        <v>0</v>
      </c>
      <c r="R407" s="2" t="inlineStr"/>
    </row>
    <row r="408" ht="15" customHeight="1">
      <c r="A408" t="inlineStr">
        <is>
          <t>A 27253-2024</t>
        </is>
      </c>
      <c r="B408" s="1" t="n">
        <v>45471.70609953703</v>
      </c>
      <c r="C408" s="1" t="n">
        <v>45964</v>
      </c>
      <c r="D408" t="inlineStr">
        <is>
          <t>VÄSTERBOTTENS LÄN</t>
        </is>
      </c>
      <c r="E408" t="inlineStr">
        <is>
          <t>SKELLEFTEÅ</t>
        </is>
      </c>
      <c r="F408" t="inlineStr">
        <is>
          <t>Holmen skog AB</t>
        </is>
      </c>
      <c r="G408" t="n">
        <v>12.5</v>
      </c>
      <c r="H408" t="n">
        <v>0</v>
      </c>
      <c r="I408" t="n">
        <v>0</v>
      </c>
      <c r="J408" t="n">
        <v>0</v>
      </c>
      <c r="K408" t="n">
        <v>0</v>
      </c>
      <c r="L408" t="n">
        <v>0</v>
      </c>
      <c r="M408" t="n">
        <v>0</v>
      </c>
      <c r="N408" t="n">
        <v>0</v>
      </c>
      <c r="O408" t="n">
        <v>0</v>
      </c>
      <c r="P408" t="n">
        <v>0</v>
      </c>
      <c r="Q408" t="n">
        <v>0</v>
      </c>
      <c r="R408" s="2" t="inlineStr"/>
    </row>
    <row r="409" ht="15" customHeight="1">
      <c r="A409" t="inlineStr">
        <is>
          <t>A 12137-2023</t>
        </is>
      </c>
      <c r="B409" s="1" t="n">
        <v>44995</v>
      </c>
      <c r="C409" s="1" t="n">
        <v>45964</v>
      </c>
      <c r="D409" t="inlineStr">
        <is>
          <t>VÄSTERBOTTENS LÄN</t>
        </is>
      </c>
      <c r="E409" t="inlineStr">
        <is>
          <t>SKELLEFTEÅ</t>
        </is>
      </c>
      <c r="G409" t="n">
        <v>2.4</v>
      </c>
      <c r="H409" t="n">
        <v>0</v>
      </c>
      <c r="I409" t="n">
        <v>0</v>
      </c>
      <c r="J409" t="n">
        <v>0</v>
      </c>
      <c r="K409" t="n">
        <v>0</v>
      </c>
      <c r="L409" t="n">
        <v>0</v>
      </c>
      <c r="M409" t="n">
        <v>0</v>
      </c>
      <c r="N409" t="n">
        <v>0</v>
      </c>
      <c r="O409" t="n">
        <v>0</v>
      </c>
      <c r="P409" t="n">
        <v>0</v>
      </c>
      <c r="Q409" t="n">
        <v>0</v>
      </c>
      <c r="R409" s="2" t="inlineStr"/>
    </row>
    <row r="410" ht="15" customHeight="1">
      <c r="A410" t="inlineStr">
        <is>
          <t>A 42248-2024</t>
        </is>
      </c>
      <c r="B410" s="1" t="n">
        <v>45562.57457175926</v>
      </c>
      <c r="C410" s="1" t="n">
        <v>45964</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59783-2024</t>
        </is>
      </c>
      <c r="B411" s="1" t="n">
        <v>45639.57982638889</v>
      </c>
      <c r="C411" s="1" t="n">
        <v>45964</v>
      </c>
      <c r="D411" t="inlineStr">
        <is>
          <t>VÄSTERBOTTENS LÄN</t>
        </is>
      </c>
      <c r="E411" t="inlineStr">
        <is>
          <t>SKELLEFTEÅ</t>
        </is>
      </c>
      <c r="G411" t="n">
        <v>4.1</v>
      </c>
      <c r="H411" t="n">
        <v>0</v>
      </c>
      <c r="I411" t="n">
        <v>0</v>
      </c>
      <c r="J411" t="n">
        <v>0</v>
      </c>
      <c r="K411" t="n">
        <v>0</v>
      </c>
      <c r="L411" t="n">
        <v>0</v>
      </c>
      <c r="M411" t="n">
        <v>0</v>
      </c>
      <c r="N411" t="n">
        <v>0</v>
      </c>
      <c r="O411" t="n">
        <v>0</v>
      </c>
      <c r="P411" t="n">
        <v>0</v>
      </c>
      <c r="Q411" t="n">
        <v>0</v>
      </c>
      <c r="R411" s="2" t="inlineStr"/>
    </row>
    <row r="412" ht="15" customHeight="1">
      <c r="A412" t="inlineStr">
        <is>
          <t>A 59404-2023</t>
        </is>
      </c>
      <c r="B412" s="1" t="n">
        <v>45253.9267824074</v>
      </c>
      <c r="C412" s="1" t="n">
        <v>45964</v>
      </c>
      <c r="D412" t="inlineStr">
        <is>
          <t>VÄSTERBOTTENS LÄN</t>
        </is>
      </c>
      <c r="E412" t="inlineStr">
        <is>
          <t>SKELLEFTEÅ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59405-2023</t>
        </is>
      </c>
      <c r="B413" s="1" t="n">
        <v>45253.9268287037</v>
      </c>
      <c r="C413" s="1" t="n">
        <v>45964</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52203-2023</t>
        </is>
      </c>
      <c r="B414" s="1" t="n">
        <v>45224.42537037037</v>
      </c>
      <c r="C414" s="1" t="n">
        <v>45964</v>
      </c>
      <c r="D414" t="inlineStr">
        <is>
          <t>VÄSTERBOTTENS LÄN</t>
        </is>
      </c>
      <c r="E414" t="inlineStr">
        <is>
          <t>SKELLEFTEÅ</t>
        </is>
      </c>
      <c r="F414" t="inlineStr">
        <is>
          <t>Sveaskog</t>
        </is>
      </c>
      <c r="G414" t="n">
        <v>4.1</v>
      </c>
      <c r="H414" t="n">
        <v>0</v>
      </c>
      <c r="I414" t="n">
        <v>0</v>
      </c>
      <c r="J414" t="n">
        <v>0</v>
      </c>
      <c r="K414" t="n">
        <v>0</v>
      </c>
      <c r="L414" t="n">
        <v>0</v>
      </c>
      <c r="M414" t="n">
        <v>0</v>
      </c>
      <c r="N414" t="n">
        <v>0</v>
      </c>
      <c r="O414" t="n">
        <v>0</v>
      </c>
      <c r="P414" t="n">
        <v>0</v>
      </c>
      <c r="Q414" t="n">
        <v>0</v>
      </c>
      <c r="R414" s="2" t="inlineStr"/>
    </row>
    <row r="415" ht="15" customHeight="1">
      <c r="A415" t="inlineStr">
        <is>
          <t>A 26690-2023</t>
        </is>
      </c>
      <c r="B415" s="1" t="n">
        <v>45093</v>
      </c>
      <c r="C415" s="1" t="n">
        <v>45964</v>
      </c>
      <c r="D415" t="inlineStr">
        <is>
          <t>VÄSTERBOTTENS LÄN</t>
        </is>
      </c>
      <c r="E415" t="inlineStr">
        <is>
          <t>SKELLEFTEÅ</t>
        </is>
      </c>
      <c r="F415" t="inlineStr">
        <is>
          <t>Kyrkan</t>
        </is>
      </c>
      <c r="G415" t="n">
        <v>7.5</v>
      </c>
      <c r="H415" t="n">
        <v>0</v>
      </c>
      <c r="I415" t="n">
        <v>0</v>
      </c>
      <c r="J415" t="n">
        <v>0</v>
      </c>
      <c r="K415" t="n">
        <v>0</v>
      </c>
      <c r="L415" t="n">
        <v>0</v>
      </c>
      <c r="M415" t="n">
        <v>0</v>
      </c>
      <c r="N415" t="n">
        <v>0</v>
      </c>
      <c r="O415" t="n">
        <v>0</v>
      </c>
      <c r="P415" t="n">
        <v>0</v>
      </c>
      <c r="Q415" t="n">
        <v>0</v>
      </c>
      <c r="R415" s="2" t="inlineStr"/>
    </row>
    <row r="416" ht="15" customHeight="1">
      <c r="A416" t="inlineStr">
        <is>
          <t>A 61105-2022</t>
        </is>
      </c>
      <c r="B416" s="1" t="n">
        <v>44915.41087962963</v>
      </c>
      <c r="C416" s="1" t="n">
        <v>45964</v>
      </c>
      <c r="D416" t="inlineStr">
        <is>
          <t>VÄSTERBOTTENS LÄN</t>
        </is>
      </c>
      <c r="E416" t="inlineStr">
        <is>
          <t>SKELLEFTEÅ</t>
        </is>
      </c>
      <c r="F416" t="inlineStr">
        <is>
          <t>Sveaskog</t>
        </is>
      </c>
      <c r="G416" t="n">
        <v>19.5</v>
      </c>
      <c r="H416" t="n">
        <v>0</v>
      </c>
      <c r="I416" t="n">
        <v>0</v>
      </c>
      <c r="J416" t="n">
        <v>0</v>
      </c>
      <c r="K416" t="n">
        <v>0</v>
      </c>
      <c r="L416" t="n">
        <v>0</v>
      </c>
      <c r="M416" t="n">
        <v>0</v>
      </c>
      <c r="N416" t="n">
        <v>0</v>
      </c>
      <c r="O416" t="n">
        <v>0</v>
      </c>
      <c r="P416" t="n">
        <v>0</v>
      </c>
      <c r="Q416" t="n">
        <v>0</v>
      </c>
      <c r="R416" s="2" t="inlineStr"/>
    </row>
    <row r="417" ht="15" customHeight="1">
      <c r="A417" t="inlineStr">
        <is>
          <t>A 61132-2022</t>
        </is>
      </c>
      <c r="B417" s="1" t="n">
        <v>44915.44849537037</v>
      </c>
      <c r="C417" s="1" t="n">
        <v>45964</v>
      </c>
      <c r="D417" t="inlineStr">
        <is>
          <t>VÄSTERBOTTENS LÄN</t>
        </is>
      </c>
      <c r="E417" t="inlineStr">
        <is>
          <t>SKELLEFTEÅ</t>
        </is>
      </c>
      <c r="F417" t="inlineStr">
        <is>
          <t>Sveaskog</t>
        </is>
      </c>
      <c r="G417" t="n">
        <v>14.5</v>
      </c>
      <c r="H417" t="n">
        <v>0</v>
      </c>
      <c r="I417" t="n">
        <v>0</v>
      </c>
      <c r="J417" t="n">
        <v>0</v>
      </c>
      <c r="K417" t="n">
        <v>0</v>
      </c>
      <c r="L417" t="n">
        <v>0</v>
      </c>
      <c r="M417" t="n">
        <v>0</v>
      </c>
      <c r="N417" t="n">
        <v>0</v>
      </c>
      <c r="O417" t="n">
        <v>0</v>
      </c>
      <c r="P417" t="n">
        <v>0</v>
      </c>
      <c r="Q417" t="n">
        <v>0</v>
      </c>
      <c r="R417" s="2" t="inlineStr"/>
    </row>
    <row r="418" ht="15" customHeight="1">
      <c r="A418" t="inlineStr">
        <is>
          <t>A 54662-2024</t>
        </is>
      </c>
      <c r="B418" s="1" t="n">
        <v>45618.31710648148</v>
      </c>
      <c r="C418" s="1" t="n">
        <v>45964</v>
      </c>
      <c r="D418" t="inlineStr">
        <is>
          <t>VÄSTERBOTTENS LÄN</t>
        </is>
      </c>
      <c r="E418" t="inlineStr">
        <is>
          <t>SKELLEFTEÅ</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54821-2023</t>
        </is>
      </c>
      <c r="B419" s="1" t="n">
        <v>45236</v>
      </c>
      <c r="C419" s="1" t="n">
        <v>45964</v>
      </c>
      <c r="D419" t="inlineStr">
        <is>
          <t>VÄSTERBOTTENS LÄN</t>
        </is>
      </c>
      <c r="E419" t="inlineStr">
        <is>
          <t>SKELLEFTEÅ</t>
        </is>
      </c>
      <c r="F419" t="inlineStr">
        <is>
          <t>Kommuner</t>
        </is>
      </c>
      <c r="G419" t="n">
        <v>8.9</v>
      </c>
      <c r="H419" t="n">
        <v>0</v>
      </c>
      <c r="I419" t="n">
        <v>0</v>
      </c>
      <c r="J419" t="n">
        <v>0</v>
      </c>
      <c r="K419" t="n">
        <v>0</v>
      </c>
      <c r="L419" t="n">
        <v>0</v>
      </c>
      <c r="M419" t="n">
        <v>0</v>
      </c>
      <c r="N419" t="n">
        <v>0</v>
      </c>
      <c r="O419" t="n">
        <v>0</v>
      </c>
      <c r="P419" t="n">
        <v>0</v>
      </c>
      <c r="Q419" t="n">
        <v>0</v>
      </c>
      <c r="R419" s="2" t="inlineStr"/>
    </row>
    <row r="420" ht="15" customHeight="1">
      <c r="A420" t="inlineStr">
        <is>
          <t>A 15899-2023</t>
        </is>
      </c>
      <c r="B420" s="1" t="n">
        <v>45021</v>
      </c>
      <c r="C420" s="1" t="n">
        <v>45964</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60209-2024</t>
        </is>
      </c>
      <c r="B421" s="1" t="n">
        <v>45642</v>
      </c>
      <c r="C421" s="1" t="n">
        <v>45964</v>
      </c>
      <c r="D421" t="inlineStr">
        <is>
          <t>VÄSTERBOTTENS LÄN</t>
        </is>
      </c>
      <c r="E421" t="inlineStr">
        <is>
          <t>SKELLEFTEÅ</t>
        </is>
      </c>
      <c r="G421" t="n">
        <v>0.5</v>
      </c>
      <c r="H421" t="n">
        <v>0</v>
      </c>
      <c r="I421" t="n">
        <v>0</v>
      </c>
      <c r="J421" t="n">
        <v>0</v>
      </c>
      <c r="K421" t="n">
        <v>0</v>
      </c>
      <c r="L421" t="n">
        <v>0</v>
      </c>
      <c r="M421" t="n">
        <v>0</v>
      </c>
      <c r="N421" t="n">
        <v>0</v>
      </c>
      <c r="O421" t="n">
        <v>0</v>
      </c>
      <c r="P421" t="n">
        <v>0</v>
      </c>
      <c r="Q421" t="n">
        <v>0</v>
      </c>
      <c r="R421" s="2" t="inlineStr"/>
    </row>
    <row r="422" ht="15" customHeight="1">
      <c r="A422" t="inlineStr">
        <is>
          <t>A 18700-2025</t>
        </is>
      </c>
      <c r="B422" s="1" t="n">
        <v>45763.62945601852</v>
      </c>
      <c r="C422" s="1" t="n">
        <v>45964</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54024-2023</t>
        </is>
      </c>
      <c r="B423" s="1" t="n">
        <v>45231</v>
      </c>
      <c r="C423" s="1" t="n">
        <v>45964</v>
      </c>
      <c r="D423" t="inlineStr">
        <is>
          <t>VÄSTERBOTTENS LÄN</t>
        </is>
      </c>
      <c r="E423" t="inlineStr">
        <is>
          <t>SKELLEFTEÅ</t>
        </is>
      </c>
      <c r="G423" t="n">
        <v>3.5</v>
      </c>
      <c r="H423" t="n">
        <v>0</v>
      </c>
      <c r="I423" t="n">
        <v>0</v>
      </c>
      <c r="J423" t="n">
        <v>0</v>
      </c>
      <c r="K423" t="n">
        <v>0</v>
      </c>
      <c r="L423" t="n">
        <v>0</v>
      </c>
      <c r="M423" t="n">
        <v>0</v>
      </c>
      <c r="N423" t="n">
        <v>0</v>
      </c>
      <c r="O423" t="n">
        <v>0</v>
      </c>
      <c r="P423" t="n">
        <v>0</v>
      </c>
      <c r="Q423" t="n">
        <v>0</v>
      </c>
      <c r="R423" s="2" t="inlineStr"/>
    </row>
    <row r="424" ht="15" customHeight="1">
      <c r="A424" t="inlineStr">
        <is>
          <t>A 14846-2025</t>
        </is>
      </c>
      <c r="B424" s="1" t="n">
        <v>45743.38820601852</v>
      </c>
      <c r="C424" s="1" t="n">
        <v>45964</v>
      </c>
      <c r="D424" t="inlineStr">
        <is>
          <t>VÄSTERBOTTENS LÄN</t>
        </is>
      </c>
      <c r="E424" t="inlineStr">
        <is>
          <t>SKELLEFTEÅ</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3616-2022</t>
        </is>
      </c>
      <c r="B425" s="1" t="n">
        <v>44586</v>
      </c>
      <c r="C425" s="1" t="n">
        <v>45964</v>
      </c>
      <c r="D425" t="inlineStr">
        <is>
          <t>VÄSTERBOTTENS LÄN</t>
        </is>
      </c>
      <c r="E425" t="inlineStr">
        <is>
          <t>SKELLEFTEÅ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6012-2023</t>
        </is>
      </c>
      <c r="B426" s="1" t="n">
        <v>44959</v>
      </c>
      <c r="C426" s="1" t="n">
        <v>45964</v>
      </c>
      <c r="D426" t="inlineStr">
        <is>
          <t>VÄSTERBOTTENS LÄN</t>
        </is>
      </c>
      <c r="E426" t="inlineStr">
        <is>
          <t>SKELLEFTEÅ</t>
        </is>
      </c>
      <c r="G426" t="n">
        <v>0.3</v>
      </c>
      <c r="H426" t="n">
        <v>0</v>
      </c>
      <c r="I426" t="n">
        <v>0</v>
      </c>
      <c r="J426" t="n">
        <v>0</v>
      </c>
      <c r="K426" t="n">
        <v>0</v>
      </c>
      <c r="L426" t="n">
        <v>0</v>
      </c>
      <c r="M426" t="n">
        <v>0</v>
      </c>
      <c r="N426" t="n">
        <v>0</v>
      </c>
      <c r="O426" t="n">
        <v>0</v>
      </c>
      <c r="P426" t="n">
        <v>0</v>
      </c>
      <c r="Q426" t="n">
        <v>0</v>
      </c>
      <c r="R426" s="2" t="inlineStr"/>
    </row>
    <row r="427" ht="15" customHeight="1">
      <c r="A427" t="inlineStr">
        <is>
          <t>A 22020-2023</t>
        </is>
      </c>
      <c r="B427" s="1" t="n">
        <v>45069</v>
      </c>
      <c r="C427" s="1" t="n">
        <v>45964</v>
      </c>
      <c r="D427" t="inlineStr">
        <is>
          <t>VÄSTERBOTTENS LÄN</t>
        </is>
      </c>
      <c r="E427" t="inlineStr">
        <is>
          <t>SKELLEFTEÅ</t>
        </is>
      </c>
      <c r="G427" t="n">
        <v>4</v>
      </c>
      <c r="H427" t="n">
        <v>0</v>
      </c>
      <c r="I427" t="n">
        <v>0</v>
      </c>
      <c r="J427" t="n">
        <v>0</v>
      </c>
      <c r="K427" t="n">
        <v>0</v>
      </c>
      <c r="L427" t="n">
        <v>0</v>
      </c>
      <c r="M427" t="n">
        <v>0</v>
      </c>
      <c r="N427" t="n">
        <v>0</v>
      </c>
      <c r="O427" t="n">
        <v>0</v>
      </c>
      <c r="P427" t="n">
        <v>0</v>
      </c>
      <c r="Q427" t="n">
        <v>0</v>
      </c>
      <c r="R427" s="2" t="inlineStr"/>
    </row>
    <row r="428" ht="15" customHeight="1">
      <c r="A428" t="inlineStr">
        <is>
          <t>A 5830-2025</t>
        </is>
      </c>
      <c r="B428" s="1" t="n">
        <v>45694</v>
      </c>
      <c r="C428" s="1" t="n">
        <v>45964</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5831-2025</t>
        </is>
      </c>
      <c r="B429" s="1" t="n">
        <v>45694</v>
      </c>
      <c r="C429" s="1" t="n">
        <v>45964</v>
      </c>
      <c r="D429" t="inlineStr">
        <is>
          <t>VÄSTERBOTTENS LÄN</t>
        </is>
      </c>
      <c r="E429" t="inlineStr">
        <is>
          <t>SKELLEFTEÅ</t>
        </is>
      </c>
      <c r="G429" t="n">
        <v>3.5</v>
      </c>
      <c r="H429" t="n">
        <v>0</v>
      </c>
      <c r="I429" t="n">
        <v>0</v>
      </c>
      <c r="J429" t="n">
        <v>0</v>
      </c>
      <c r="K429" t="n">
        <v>0</v>
      </c>
      <c r="L429" t="n">
        <v>0</v>
      </c>
      <c r="M429" t="n">
        <v>0</v>
      </c>
      <c r="N429" t="n">
        <v>0</v>
      </c>
      <c r="O429" t="n">
        <v>0</v>
      </c>
      <c r="P429" t="n">
        <v>0</v>
      </c>
      <c r="Q429" t="n">
        <v>0</v>
      </c>
      <c r="R429" s="2" t="inlineStr"/>
    </row>
    <row r="430" ht="15" customHeight="1">
      <c r="A430" t="inlineStr">
        <is>
          <t>A 12715-2022</t>
        </is>
      </c>
      <c r="B430" s="1" t="n">
        <v>44641</v>
      </c>
      <c r="C430" s="1" t="n">
        <v>45964</v>
      </c>
      <c r="D430" t="inlineStr">
        <is>
          <t>VÄSTERBOTTENS LÄN</t>
        </is>
      </c>
      <c r="E430" t="inlineStr">
        <is>
          <t>SKELLEFTEÅ</t>
        </is>
      </c>
      <c r="G430" t="n">
        <v>5</v>
      </c>
      <c r="H430" t="n">
        <v>0</v>
      </c>
      <c r="I430" t="n">
        <v>0</v>
      </c>
      <c r="J430" t="n">
        <v>0</v>
      </c>
      <c r="K430" t="n">
        <v>0</v>
      </c>
      <c r="L430" t="n">
        <v>0</v>
      </c>
      <c r="M430" t="n">
        <v>0</v>
      </c>
      <c r="N430" t="n">
        <v>0</v>
      </c>
      <c r="O430" t="n">
        <v>0</v>
      </c>
      <c r="P430" t="n">
        <v>0</v>
      </c>
      <c r="Q430" t="n">
        <v>0</v>
      </c>
      <c r="R430" s="2" t="inlineStr"/>
    </row>
    <row r="431" ht="15" customHeight="1">
      <c r="A431" t="inlineStr">
        <is>
          <t>A 62058-2024</t>
        </is>
      </c>
      <c r="B431" s="1" t="n">
        <v>45656.37960648148</v>
      </c>
      <c r="C431" s="1" t="n">
        <v>45964</v>
      </c>
      <c r="D431" t="inlineStr">
        <is>
          <t>VÄSTERBOTTENS LÄN</t>
        </is>
      </c>
      <c r="E431" t="inlineStr">
        <is>
          <t>SKELLEFTEÅ</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29125-2024</t>
        </is>
      </c>
      <c r="B432" s="1" t="n">
        <v>45481</v>
      </c>
      <c r="C432" s="1" t="n">
        <v>45964</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19107-2025</t>
        </is>
      </c>
      <c r="B433" s="1" t="n">
        <v>45768.37873842593</v>
      </c>
      <c r="C433" s="1" t="n">
        <v>45964</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53255-2023</t>
        </is>
      </c>
      <c r="B434" s="1" t="n">
        <v>45229.5280787037</v>
      </c>
      <c r="C434" s="1" t="n">
        <v>45964</v>
      </c>
      <c r="D434" t="inlineStr">
        <is>
          <t>VÄSTERBOTTENS LÄN</t>
        </is>
      </c>
      <c r="E434" t="inlineStr">
        <is>
          <t>SKELLEFTEÅ</t>
        </is>
      </c>
      <c r="F434" t="inlineStr">
        <is>
          <t>Sveaskog</t>
        </is>
      </c>
      <c r="G434" t="n">
        <v>7.4</v>
      </c>
      <c r="H434" t="n">
        <v>0</v>
      </c>
      <c r="I434" t="n">
        <v>0</v>
      </c>
      <c r="J434" t="n">
        <v>0</v>
      </c>
      <c r="K434" t="n">
        <v>0</v>
      </c>
      <c r="L434" t="n">
        <v>0</v>
      </c>
      <c r="M434" t="n">
        <v>0</v>
      </c>
      <c r="N434" t="n">
        <v>0</v>
      </c>
      <c r="O434" t="n">
        <v>0</v>
      </c>
      <c r="P434" t="n">
        <v>0</v>
      </c>
      <c r="Q434" t="n">
        <v>0</v>
      </c>
      <c r="R434" s="2" t="inlineStr"/>
    </row>
    <row r="435" ht="15" customHeight="1">
      <c r="A435" t="inlineStr">
        <is>
          <t>A 64323-2023</t>
        </is>
      </c>
      <c r="B435" s="1" t="n">
        <v>45280.40798611111</v>
      </c>
      <c r="C435" s="1" t="n">
        <v>45964</v>
      </c>
      <c r="D435" t="inlineStr">
        <is>
          <t>VÄSTERBOTTENS LÄN</t>
        </is>
      </c>
      <c r="E435" t="inlineStr">
        <is>
          <t>SKELLEFTEÅ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60356-2022</t>
        </is>
      </c>
      <c r="B436" s="1" t="n">
        <v>44904</v>
      </c>
      <c r="C436" s="1" t="n">
        <v>45964</v>
      </c>
      <c r="D436" t="inlineStr">
        <is>
          <t>VÄSTERBOTTENS LÄN</t>
        </is>
      </c>
      <c r="E436" t="inlineStr">
        <is>
          <t>SKELLEFTEÅ</t>
        </is>
      </c>
      <c r="G436" t="n">
        <v>3</v>
      </c>
      <c r="H436" t="n">
        <v>0</v>
      </c>
      <c r="I436" t="n">
        <v>0</v>
      </c>
      <c r="J436" t="n">
        <v>0</v>
      </c>
      <c r="K436" t="n">
        <v>0</v>
      </c>
      <c r="L436" t="n">
        <v>0</v>
      </c>
      <c r="M436" t="n">
        <v>0</v>
      </c>
      <c r="N436" t="n">
        <v>0</v>
      </c>
      <c r="O436" t="n">
        <v>0</v>
      </c>
      <c r="P436" t="n">
        <v>0</v>
      </c>
      <c r="Q436" t="n">
        <v>0</v>
      </c>
      <c r="R436" s="2" t="inlineStr"/>
    </row>
    <row r="437" ht="15" customHeight="1">
      <c r="A437" t="inlineStr">
        <is>
          <t>A 277-2025</t>
        </is>
      </c>
      <c r="B437" s="1" t="n">
        <v>45660.49072916667</v>
      </c>
      <c r="C437" s="1" t="n">
        <v>45964</v>
      </c>
      <c r="D437" t="inlineStr">
        <is>
          <t>VÄSTERBOTTENS LÄN</t>
        </is>
      </c>
      <c r="E437" t="inlineStr">
        <is>
          <t>SKELLEFTEÅ</t>
        </is>
      </c>
      <c r="G437" t="n">
        <v>17</v>
      </c>
      <c r="H437" t="n">
        <v>0</v>
      </c>
      <c r="I437" t="n">
        <v>0</v>
      </c>
      <c r="J437" t="n">
        <v>0</v>
      </c>
      <c r="K437" t="n">
        <v>0</v>
      </c>
      <c r="L437" t="n">
        <v>0</v>
      </c>
      <c r="M437" t="n">
        <v>0</v>
      </c>
      <c r="N437" t="n">
        <v>0</v>
      </c>
      <c r="O437" t="n">
        <v>0</v>
      </c>
      <c r="P437" t="n">
        <v>0</v>
      </c>
      <c r="Q437" t="n">
        <v>0</v>
      </c>
      <c r="R437" s="2" t="inlineStr"/>
    </row>
    <row r="438" ht="15" customHeight="1">
      <c r="A438" t="inlineStr">
        <is>
          <t>A 23458-2023</t>
        </is>
      </c>
      <c r="B438" s="1" t="n">
        <v>45076.61943287037</v>
      </c>
      <c r="C438" s="1" t="n">
        <v>45964</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53725-2024</t>
        </is>
      </c>
      <c r="B439" s="1" t="n">
        <v>45615.45043981481</v>
      </c>
      <c r="C439" s="1" t="n">
        <v>45964</v>
      </c>
      <c r="D439" t="inlineStr">
        <is>
          <t>VÄSTERBOTTENS LÄN</t>
        </is>
      </c>
      <c r="E439" t="inlineStr">
        <is>
          <t>SKELLEFTEÅ</t>
        </is>
      </c>
      <c r="G439" t="n">
        <v>6</v>
      </c>
      <c r="H439" t="n">
        <v>0</v>
      </c>
      <c r="I439" t="n">
        <v>0</v>
      </c>
      <c r="J439" t="n">
        <v>0</v>
      </c>
      <c r="K439" t="n">
        <v>0</v>
      </c>
      <c r="L439" t="n">
        <v>0</v>
      </c>
      <c r="M439" t="n">
        <v>0</v>
      </c>
      <c r="N439" t="n">
        <v>0</v>
      </c>
      <c r="O439" t="n">
        <v>0</v>
      </c>
      <c r="P439" t="n">
        <v>0</v>
      </c>
      <c r="Q439" t="n">
        <v>0</v>
      </c>
      <c r="R439" s="2" t="inlineStr"/>
    </row>
    <row r="440" ht="15" customHeight="1">
      <c r="A440" t="inlineStr">
        <is>
          <t>A 44025-2023</t>
        </is>
      </c>
      <c r="B440" s="1" t="n">
        <v>45182</v>
      </c>
      <c r="C440" s="1" t="n">
        <v>45964</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18975-2023</t>
        </is>
      </c>
      <c r="B441" s="1" t="n">
        <v>45044</v>
      </c>
      <c r="C441" s="1" t="n">
        <v>45964</v>
      </c>
      <c r="D441" t="inlineStr">
        <is>
          <t>VÄSTERBOTTENS LÄN</t>
        </is>
      </c>
      <c r="E441" t="inlineStr">
        <is>
          <t>SKELLEFTEÅ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52871-2022</t>
        </is>
      </c>
      <c r="B442" s="1" t="n">
        <v>44872</v>
      </c>
      <c r="C442" s="1" t="n">
        <v>45964</v>
      </c>
      <c r="D442" t="inlineStr">
        <is>
          <t>VÄSTERBOTTENS LÄN</t>
        </is>
      </c>
      <c r="E442" t="inlineStr">
        <is>
          <t>SKELLEFTEÅ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35435-2024</t>
        </is>
      </c>
      <c r="B443" s="1" t="n">
        <v>45531.41481481482</v>
      </c>
      <c r="C443" s="1" t="n">
        <v>45964</v>
      </c>
      <c r="D443" t="inlineStr">
        <is>
          <t>VÄSTERBOTTENS LÄN</t>
        </is>
      </c>
      <c r="E443" t="inlineStr">
        <is>
          <t>SKELLEFTEÅ</t>
        </is>
      </c>
      <c r="G443" t="n">
        <v>10.8</v>
      </c>
      <c r="H443" t="n">
        <v>0</v>
      </c>
      <c r="I443" t="n">
        <v>0</v>
      </c>
      <c r="J443" t="n">
        <v>0</v>
      </c>
      <c r="K443" t="n">
        <v>0</v>
      </c>
      <c r="L443" t="n">
        <v>0</v>
      </c>
      <c r="M443" t="n">
        <v>0</v>
      </c>
      <c r="N443" t="n">
        <v>0</v>
      </c>
      <c r="O443" t="n">
        <v>0</v>
      </c>
      <c r="P443" t="n">
        <v>0</v>
      </c>
      <c r="Q443" t="n">
        <v>0</v>
      </c>
      <c r="R443" s="2" t="inlineStr"/>
    </row>
    <row r="444" ht="15" customHeight="1">
      <c r="A444" t="inlineStr">
        <is>
          <t>A 15846-2024</t>
        </is>
      </c>
      <c r="B444" s="1" t="n">
        <v>45404.84630787037</v>
      </c>
      <c r="C444" s="1" t="n">
        <v>45964</v>
      </c>
      <c r="D444" t="inlineStr">
        <is>
          <t>VÄSTERBOTTENS LÄN</t>
        </is>
      </c>
      <c r="E444" t="inlineStr">
        <is>
          <t>SKELLEFTEÅ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15848-2024</t>
        </is>
      </c>
      <c r="B445" s="1" t="n">
        <v>45404</v>
      </c>
      <c r="C445" s="1" t="n">
        <v>45964</v>
      </c>
      <c r="D445" t="inlineStr">
        <is>
          <t>VÄSTERBOTTENS LÄN</t>
        </is>
      </c>
      <c r="E445" t="inlineStr">
        <is>
          <t>SKELLEFTEÅ</t>
        </is>
      </c>
      <c r="G445" t="n">
        <v>3.2</v>
      </c>
      <c r="H445" t="n">
        <v>0</v>
      </c>
      <c r="I445" t="n">
        <v>0</v>
      </c>
      <c r="J445" t="n">
        <v>0</v>
      </c>
      <c r="K445" t="n">
        <v>0</v>
      </c>
      <c r="L445" t="n">
        <v>0</v>
      </c>
      <c r="M445" t="n">
        <v>0</v>
      </c>
      <c r="N445" t="n">
        <v>0</v>
      </c>
      <c r="O445" t="n">
        <v>0</v>
      </c>
      <c r="P445" t="n">
        <v>0</v>
      </c>
      <c r="Q445" t="n">
        <v>0</v>
      </c>
      <c r="R445" s="2" t="inlineStr"/>
    </row>
    <row r="446" ht="15" customHeight="1">
      <c r="A446" t="inlineStr">
        <is>
          <t>A 52080-2021</t>
        </is>
      </c>
      <c r="B446" s="1" t="n">
        <v>44463</v>
      </c>
      <c r="C446" s="1" t="n">
        <v>45964</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3268-2022</t>
        </is>
      </c>
      <c r="B447" s="1" t="n">
        <v>44583.89641203704</v>
      </c>
      <c r="C447" s="1" t="n">
        <v>45964</v>
      </c>
      <c r="D447" t="inlineStr">
        <is>
          <t>VÄSTERBOTTENS LÄN</t>
        </is>
      </c>
      <c r="E447" t="inlineStr">
        <is>
          <t>SKELLEFTEÅ</t>
        </is>
      </c>
      <c r="G447" t="n">
        <v>3.5</v>
      </c>
      <c r="H447" t="n">
        <v>0</v>
      </c>
      <c r="I447" t="n">
        <v>0</v>
      </c>
      <c r="J447" t="n">
        <v>0</v>
      </c>
      <c r="K447" t="n">
        <v>0</v>
      </c>
      <c r="L447" t="n">
        <v>0</v>
      </c>
      <c r="M447" t="n">
        <v>0</v>
      </c>
      <c r="N447" t="n">
        <v>0</v>
      </c>
      <c r="O447" t="n">
        <v>0</v>
      </c>
      <c r="P447" t="n">
        <v>0</v>
      </c>
      <c r="Q447" t="n">
        <v>0</v>
      </c>
      <c r="R447" s="2" t="inlineStr"/>
    </row>
    <row r="448" ht="15" customHeight="1">
      <c r="A448" t="inlineStr">
        <is>
          <t>A 62708-2023</t>
        </is>
      </c>
      <c r="B448" s="1" t="n">
        <v>45271.55337962963</v>
      </c>
      <c r="C448" s="1" t="n">
        <v>45964</v>
      </c>
      <c r="D448" t="inlineStr">
        <is>
          <t>VÄSTERBOTTENS LÄN</t>
        </is>
      </c>
      <c r="E448" t="inlineStr">
        <is>
          <t>SKELLEFTEÅ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26253-2024</t>
        </is>
      </c>
      <c r="B449" s="1" t="n">
        <v>45468.64837962963</v>
      </c>
      <c r="C449" s="1" t="n">
        <v>45964</v>
      </c>
      <c r="D449" t="inlineStr">
        <is>
          <t>VÄSTERBOTTENS LÄN</t>
        </is>
      </c>
      <c r="E449" t="inlineStr">
        <is>
          <t>SKELLEFTEÅ</t>
        </is>
      </c>
      <c r="F449" t="inlineStr">
        <is>
          <t>Holmen skog AB</t>
        </is>
      </c>
      <c r="G449" t="n">
        <v>2.8</v>
      </c>
      <c r="H449" t="n">
        <v>0</v>
      </c>
      <c r="I449" t="n">
        <v>0</v>
      </c>
      <c r="J449" t="n">
        <v>0</v>
      </c>
      <c r="K449" t="n">
        <v>0</v>
      </c>
      <c r="L449" t="n">
        <v>0</v>
      </c>
      <c r="M449" t="n">
        <v>0</v>
      </c>
      <c r="N449" t="n">
        <v>0</v>
      </c>
      <c r="O449" t="n">
        <v>0</v>
      </c>
      <c r="P449" t="n">
        <v>0</v>
      </c>
      <c r="Q449" t="n">
        <v>0</v>
      </c>
      <c r="R449" s="2" t="inlineStr"/>
    </row>
    <row r="450" ht="15" customHeight="1">
      <c r="A450" t="inlineStr">
        <is>
          <t>A 28203-2023</t>
        </is>
      </c>
      <c r="B450" s="1" t="n">
        <v>45096</v>
      </c>
      <c r="C450" s="1" t="n">
        <v>45964</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5603-2024</t>
        </is>
      </c>
      <c r="B451" s="1" t="n">
        <v>45334</v>
      </c>
      <c r="C451" s="1" t="n">
        <v>45964</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64761-2021</t>
        </is>
      </c>
      <c r="B452" s="1" t="n">
        <v>44511</v>
      </c>
      <c r="C452" s="1" t="n">
        <v>45964</v>
      </c>
      <c r="D452" t="inlineStr">
        <is>
          <t>VÄSTERBOTTENS LÄN</t>
        </is>
      </c>
      <c r="E452" t="inlineStr">
        <is>
          <t>SKELLEFTEÅ</t>
        </is>
      </c>
      <c r="G452" t="n">
        <v>2.6</v>
      </c>
      <c r="H452" t="n">
        <v>0</v>
      </c>
      <c r="I452" t="n">
        <v>0</v>
      </c>
      <c r="J452" t="n">
        <v>0</v>
      </c>
      <c r="K452" t="n">
        <v>0</v>
      </c>
      <c r="L452" t="n">
        <v>0</v>
      </c>
      <c r="M452" t="n">
        <v>0</v>
      </c>
      <c r="N452" t="n">
        <v>0</v>
      </c>
      <c r="O452" t="n">
        <v>0</v>
      </c>
      <c r="P452" t="n">
        <v>0</v>
      </c>
      <c r="Q452" t="n">
        <v>0</v>
      </c>
      <c r="R452" s="2" t="inlineStr"/>
    </row>
    <row r="453" ht="15" customHeight="1">
      <c r="A453" t="inlineStr">
        <is>
          <t>A 30786-2023</t>
        </is>
      </c>
      <c r="B453" s="1" t="n">
        <v>45112</v>
      </c>
      <c r="C453" s="1" t="n">
        <v>45964</v>
      </c>
      <c r="D453" t="inlineStr">
        <is>
          <t>VÄSTERBOTTENS LÄN</t>
        </is>
      </c>
      <c r="E453" t="inlineStr">
        <is>
          <t>SKELLEFTEÅ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57278-2024</t>
        </is>
      </c>
      <c r="B454" s="1" t="n">
        <v>45629</v>
      </c>
      <c r="C454" s="1" t="n">
        <v>45964</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25404-2022</t>
        </is>
      </c>
      <c r="B455" s="1" t="n">
        <v>44732</v>
      </c>
      <c r="C455" s="1" t="n">
        <v>45964</v>
      </c>
      <c r="D455" t="inlineStr">
        <is>
          <t>VÄSTERBOTTENS LÄN</t>
        </is>
      </c>
      <c r="E455" t="inlineStr">
        <is>
          <t>SKELLEFTEÅ</t>
        </is>
      </c>
      <c r="G455" t="n">
        <v>2</v>
      </c>
      <c r="H455" t="n">
        <v>0</v>
      </c>
      <c r="I455" t="n">
        <v>0</v>
      </c>
      <c r="J455" t="n">
        <v>0</v>
      </c>
      <c r="K455" t="n">
        <v>0</v>
      </c>
      <c r="L455" t="n">
        <v>0</v>
      </c>
      <c r="M455" t="n">
        <v>0</v>
      </c>
      <c r="N455" t="n">
        <v>0</v>
      </c>
      <c r="O455" t="n">
        <v>0</v>
      </c>
      <c r="P455" t="n">
        <v>0</v>
      </c>
      <c r="Q455" t="n">
        <v>0</v>
      </c>
      <c r="R455" s="2" t="inlineStr"/>
    </row>
    <row r="456" ht="15" customHeight="1">
      <c r="A456" t="inlineStr">
        <is>
          <t>A 20084-2025</t>
        </is>
      </c>
      <c r="B456" s="1" t="n">
        <v>45772.45416666667</v>
      </c>
      <c r="C456" s="1" t="n">
        <v>45964</v>
      </c>
      <c r="D456" t="inlineStr">
        <is>
          <t>VÄSTERBOTTENS LÄN</t>
        </is>
      </c>
      <c r="E456" t="inlineStr">
        <is>
          <t>SKELLEFTEÅ</t>
        </is>
      </c>
      <c r="F456" t="inlineStr">
        <is>
          <t>Holmen skog AB</t>
        </is>
      </c>
      <c r="G456" t="n">
        <v>0.9</v>
      </c>
      <c r="H456" t="n">
        <v>0</v>
      </c>
      <c r="I456" t="n">
        <v>0</v>
      </c>
      <c r="J456" t="n">
        <v>0</v>
      </c>
      <c r="K456" t="n">
        <v>0</v>
      </c>
      <c r="L456" t="n">
        <v>0</v>
      </c>
      <c r="M456" t="n">
        <v>0</v>
      </c>
      <c r="N456" t="n">
        <v>0</v>
      </c>
      <c r="O456" t="n">
        <v>0</v>
      </c>
      <c r="P456" t="n">
        <v>0</v>
      </c>
      <c r="Q456" t="n">
        <v>0</v>
      </c>
      <c r="R456" s="2" t="inlineStr"/>
    </row>
    <row r="457" ht="15" customHeight="1">
      <c r="A457" t="inlineStr">
        <is>
          <t>A 3209-2025</t>
        </is>
      </c>
      <c r="B457" s="1" t="n">
        <v>45679.45376157408</v>
      </c>
      <c r="C457" s="1" t="n">
        <v>45964</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54456-2022</t>
        </is>
      </c>
      <c r="B458" s="1" t="n">
        <v>44880</v>
      </c>
      <c r="C458" s="1" t="n">
        <v>45964</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53117-2024</t>
        </is>
      </c>
      <c r="B459" s="1" t="n">
        <v>45611.58105324074</v>
      </c>
      <c r="C459" s="1" t="n">
        <v>45964</v>
      </c>
      <c r="D459" t="inlineStr">
        <is>
          <t>VÄSTERBOTTENS LÄN</t>
        </is>
      </c>
      <c r="E459" t="inlineStr">
        <is>
          <t>SKELLEFTEÅ</t>
        </is>
      </c>
      <c r="F459" t="inlineStr">
        <is>
          <t>Kommuner</t>
        </is>
      </c>
      <c r="G459" t="n">
        <v>7.4</v>
      </c>
      <c r="H459" t="n">
        <v>0</v>
      </c>
      <c r="I459" t="n">
        <v>0</v>
      </c>
      <c r="J459" t="n">
        <v>0</v>
      </c>
      <c r="K459" t="n">
        <v>0</v>
      </c>
      <c r="L459" t="n">
        <v>0</v>
      </c>
      <c r="M459" t="n">
        <v>0</v>
      </c>
      <c r="N459" t="n">
        <v>0</v>
      </c>
      <c r="O459" t="n">
        <v>0</v>
      </c>
      <c r="P459" t="n">
        <v>0</v>
      </c>
      <c r="Q459" t="n">
        <v>0</v>
      </c>
      <c r="R459" s="2" t="inlineStr"/>
    </row>
    <row r="460" ht="15" customHeight="1">
      <c r="A460" t="inlineStr">
        <is>
          <t>A 14013-2025</t>
        </is>
      </c>
      <c r="B460" s="1" t="n">
        <v>45740.31539351852</v>
      </c>
      <c r="C460" s="1" t="n">
        <v>45964</v>
      </c>
      <c r="D460" t="inlineStr">
        <is>
          <t>VÄSTERBOTTENS LÄN</t>
        </is>
      </c>
      <c r="E460" t="inlineStr">
        <is>
          <t>SKELLEFTEÅ</t>
        </is>
      </c>
      <c r="G460" t="n">
        <v>2.6</v>
      </c>
      <c r="H460" t="n">
        <v>0</v>
      </c>
      <c r="I460" t="n">
        <v>0</v>
      </c>
      <c r="J460" t="n">
        <v>0</v>
      </c>
      <c r="K460" t="n">
        <v>0</v>
      </c>
      <c r="L460" t="n">
        <v>0</v>
      </c>
      <c r="M460" t="n">
        <v>0</v>
      </c>
      <c r="N460" t="n">
        <v>0</v>
      </c>
      <c r="O460" t="n">
        <v>0</v>
      </c>
      <c r="P460" t="n">
        <v>0</v>
      </c>
      <c r="Q460" t="n">
        <v>0</v>
      </c>
      <c r="R460" s="2" t="inlineStr"/>
    </row>
    <row r="461" ht="15" customHeight="1">
      <c r="A461" t="inlineStr">
        <is>
          <t>A 10986-2025</t>
        </is>
      </c>
      <c r="B461" s="1" t="n">
        <v>45723.41918981481</v>
      </c>
      <c r="C461" s="1" t="n">
        <v>45964</v>
      </c>
      <c r="D461" t="inlineStr">
        <is>
          <t>VÄSTERBOTTENS LÄN</t>
        </is>
      </c>
      <c r="E461" t="inlineStr">
        <is>
          <t>SKELLEFTEÅ</t>
        </is>
      </c>
      <c r="G461" t="n">
        <v>5.5</v>
      </c>
      <c r="H461" t="n">
        <v>0</v>
      </c>
      <c r="I461" t="n">
        <v>0</v>
      </c>
      <c r="J461" t="n">
        <v>0</v>
      </c>
      <c r="K461" t="n">
        <v>0</v>
      </c>
      <c r="L461" t="n">
        <v>0</v>
      </c>
      <c r="M461" t="n">
        <v>0</v>
      </c>
      <c r="N461" t="n">
        <v>0</v>
      </c>
      <c r="O461" t="n">
        <v>0</v>
      </c>
      <c r="P461" t="n">
        <v>0</v>
      </c>
      <c r="Q461" t="n">
        <v>0</v>
      </c>
      <c r="R461" s="2" t="inlineStr"/>
    </row>
    <row r="462" ht="15" customHeight="1">
      <c r="A462" t="inlineStr">
        <is>
          <t>A 49429-2024</t>
        </is>
      </c>
      <c r="B462" s="1" t="n">
        <v>45595.80703703704</v>
      </c>
      <c r="C462" s="1" t="n">
        <v>45964</v>
      </c>
      <c r="D462" t="inlineStr">
        <is>
          <t>VÄSTERBOTTENS LÄN</t>
        </is>
      </c>
      <c r="E462" t="inlineStr">
        <is>
          <t>SKELLEFTEÅ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3600-2023</t>
        </is>
      </c>
      <c r="B463" s="1" t="n">
        <v>44946</v>
      </c>
      <c r="C463" s="1" t="n">
        <v>45964</v>
      </c>
      <c r="D463" t="inlineStr">
        <is>
          <t>VÄSTERBOTTENS LÄN</t>
        </is>
      </c>
      <c r="E463" t="inlineStr">
        <is>
          <t>SKELLEFTEÅ</t>
        </is>
      </c>
      <c r="G463" t="n">
        <v>0.9</v>
      </c>
      <c r="H463" t="n">
        <v>0</v>
      </c>
      <c r="I463" t="n">
        <v>0</v>
      </c>
      <c r="J463" t="n">
        <v>0</v>
      </c>
      <c r="K463" t="n">
        <v>0</v>
      </c>
      <c r="L463" t="n">
        <v>0</v>
      </c>
      <c r="M463" t="n">
        <v>0</v>
      </c>
      <c r="N463" t="n">
        <v>0</v>
      </c>
      <c r="O463" t="n">
        <v>0</v>
      </c>
      <c r="P463" t="n">
        <v>0</v>
      </c>
      <c r="Q463" t="n">
        <v>0</v>
      </c>
      <c r="R463" s="2" t="inlineStr"/>
    </row>
    <row r="464" ht="15" customHeight="1">
      <c r="A464" t="inlineStr">
        <is>
          <t>A 4617-2024</t>
        </is>
      </c>
      <c r="B464" s="1" t="n">
        <v>45327</v>
      </c>
      <c r="C464" s="1" t="n">
        <v>45964</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4656-2024</t>
        </is>
      </c>
      <c r="B465" s="1" t="n">
        <v>45327</v>
      </c>
      <c r="C465" s="1" t="n">
        <v>45964</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46557-2024</t>
        </is>
      </c>
      <c r="B466" s="1" t="n">
        <v>45582.67056712963</v>
      </c>
      <c r="C466" s="1" t="n">
        <v>45964</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28113-2023</t>
        </is>
      </c>
      <c r="B467" s="1" t="n">
        <v>45096</v>
      </c>
      <c r="C467" s="1" t="n">
        <v>45964</v>
      </c>
      <c r="D467" t="inlineStr">
        <is>
          <t>VÄSTERBOTTENS LÄN</t>
        </is>
      </c>
      <c r="E467" t="inlineStr">
        <is>
          <t>SKELLEFTEÅ</t>
        </is>
      </c>
      <c r="G467" t="n">
        <v>4.4</v>
      </c>
      <c r="H467" t="n">
        <v>0</v>
      </c>
      <c r="I467" t="n">
        <v>0</v>
      </c>
      <c r="J467" t="n">
        <v>0</v>
      </c>
      <c r="K467" t="n">
        <v>0</v>
      </c>
      <c r="L467" t="n">
        <v>0</v>
      </c>
      <c r="M467" t="n">
        <v>0</v>
      </c>
      <c r="N467" t="n">
        <v>0</v>
      </c>
      <c r="O467" t="n">
        <v>0</v>
      </c>
      <c r="P467" t="n">
        <v>0</v>
      </c>
      <c r="Q467" t="n">
        <v>0</v>
      </c>
      <c r="R467" s="2" t="inlineStr"/>
    </row>
    <row r="468" ht="15" customHeight="1">
      <c r="A468" t="inlineStr">
        <is>
          <t>A 51476-2021</t>
        </is>
      </c>
      <c r="B468" s="1" t="n">
        <v>44462</v>
      </c>
      <c r="C468" s="1" t="n">
        <v>45964</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21238-2023</t>
        </is>
      </c>
      <c r="B469" s="1" t="n">
        <v>45058</v>
      </c>
      <c r="C469" s="1" t="n">
        <v>45964</v>
      </c>
      <c r="D469" t="inlineStr">
        <is>
          <t>VÄSTERBOTTENS LÄN</t>
        </is>
      </c>
      <c r="E469" t="inlineStr">
        <is>
          <t>SKELLEFTEÅ</t>
        </is>
      </c>
      <c r="G469" t="n">
        <v>6</v>
      </c>
      <c r="H469" t="n">
        <v>0</v>
      </c>
      <c r="I469" t="n">
        <v>0</v>
      </c>
      <c r="J469" t="n">
        <v>0</v>
      </c>
      <c r="K469" t="n">
        <v>0</v>
      </c>
      <c r="L469" t="n">
        <v>0</v>
      </c>
      <c r="M469" t="n">
        <v>0</v>
      </c>
      <c r="N469" t="n">
        <v>0</v>
      </c>
      <c r="O469" t="n">
        <v>0</v>
      </c>
      <c r="P469" t="n">
        <v>0</v>
      </c>
      <c r="Q469" t="n">
        <v>0</v>
      </c>
      <c r="R469" s="2" t="inlineStr"/>
    </row>
    <row r="470" ht="15" customHeight="1">
      <c r="A470" t="inlineStr">
        <is>
          <t>A 1746-2025</t>
        </is>
      </c>
      <c r="B470" s="1" t="n">
        <v>45671.40643518518</v>
      </c>
      <c r="C470" s="1" t="n">
        <v>45964</v>
      </c>
      <c r="D470" t="inlineStr">
        <is>
          <t>VÄSTERBOTTENS LÄN</t>
        </is>
      </c>
      <c r="E470" t="inlineStr">
        <is>
          <t>SKELLEFTEÅ</t>
        </is>
      </c>
      <c r="G470" t="n">
        <v>2.3</v>
      </c>
      <c r="H470" t="n">
        <v>0</v>
      </c>
      <c r="I470" t="n">
        <v>0</v>
      </c>
      <c r="J470" t="n">
        <v>0</v>
      </c>
      <c r="K470" t="n">
        <v>0</v>
      </c>
      <c r="L470" t="n">
        <v>0</v>
      </c>
      <c r="M470" t="n">
        <v>0</v>
      </c>
      <c r="N470" t="n">
        <v>0</v>
      </c>
      <c r="O470" t="n">
        <v>0</v>
      </c>
      <c r="P470" t="n">
        <v>0</v>
      </c>
      <c r="Q470" t="n">
        <v>0</v>
      </c>
      <c r="R470" s="2" t="inlineStr"/>
    </row>
    <row r="471" ht="15" customHeight="1">
      <c r="A471" t="inlineStr">
        <is>
          <t>A 52497-2022</t>
        </is>
      </c>
      <c r="B471" s="1" t="n">
        <v>44869</v>
      </c>
      <c r="C471" s="1" t="n">
        <v>45964</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15806-2023</t>
        </is>
      </c>
      <c r="B472" s="1" t="n">
        <v>45021</v>
      </c>
      <c r="C472" s="1" t="n">
        <v>45964</v>
      </c>
      <c r="D472" t="inlineStr">
        <is>
          <t>VÄSTERBOTTENS LÄN</t>
        </is>
      </c>
      <c r="E472" t="inlineStr">
        <is>
          <t>SKELLEFTEÅ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33776-2024</t>
        </is>
      </c>
      <c r="B473" s="1" t="n">
        <v>45520.57944444445</v>
      </c>
      <c r="C473" s="1" t="n">
        <v>45964</v>
      </c>
      <c r="D473" t="inlineStr">
        <is>
          <t>VÄSTERBOTTENS LÄN</t>
        </is>
      </c>
      <c r="E473" t="inlineStr">
        <is>
          <t>SKELLEFTEÅ</t>
        </is>
      </c>
      <c r="F473" t="inlineStr">
        <is>
          <t>Sveaskog</t>
        </is>
      </c>
      <c r="G473" t="n">
        <v>16.4</v>
      </c>
      <c r="H473" t="n">
        <v>0</v>
      </c>
      <c r="I473" t="n">
        <v>0</v>
      </c>
      <c r="J473" t="n">
        <v>0</v>
      </c>
      <c r="K473" t="n">
        <v>0</v>
      </c>
      <c r="L473" t="n">
        <v>0</v>
      </c>
      <c r="M473" t="n">
        <v>0</v>
      </c>
      <c r="N473" t="n">
        <v>0</v>
      </c>
      <c r="O473" t="n">
        <v>0</v>
      </c>
      <c r="P473" t="n">
        <v>0</v>
      </c>
      <c r="Q473" t="n">
        <v>0</v>
      </c>
      <c r="R473" s="2" t="inlineStr"/>
    </row>
    <row r="474" ht="15" customHeight="1">
      <c r="A474" t="inlineStr">
        <is>
          <t>A 52869-2022</t>
        </is>
      </c>
      <c r="B474" s="1" t="n">
        <v>44875</v>
      </c>
      <c r="C474" s="1" t="n">
        <v>45964</v>
      </c>
      <c r="D474" t="inlineStr">
        <is>
          <t>VÄSTERBOTTENS LÄN</t>
        </is>
      </c>
      <c r="E474" t="inlineStr">
        <is>
          <t>SKELLEFTEÅ</t>
        </is>
      </c>
      <c r="G474" t="n">
        <v>4.6</v>
      </c>
      <c r="H474" t="n">
        <v>0</v>
      </c>
      <c r="I474" t="n">
        <v>0</v>
      </c>
      <c r="J474" t="n">
        <v>0</v>
      </c>
      <c r="K474" t="n">
        <v>0</v>
      </c>
      <c r="L474" t="n">
        <v>0</v>
      </c>
      <c r="M474" t="n">
        <v>0</v>
      </c>
      <c r="N474" t="n">
        <v>0</v>
      </c>
      <c r="O474" t="n">
        <v>0</v>
      </c>
      <c r="P474" t="n">
        <v>0</v>
      </c>
      <c r="Q474" t="n">
        <v>0</v>
      </c>
      <c r="R474" s="2" t="inlineStr"/>
    </row>
    <row r="475" ht="15" customHeight="1">
      <c r="A475" t="inlineStr">
        <is>
          <t>A 31872-2024</t>
        </is>
      </c>
      <c r="B475" s="1" t="n">
        <v>45509.9290625</v>
      </c>
      <c r="C475" s="1" t="n">
        <v>45964</v>
      </c>
      <c r="D475" t="inlineStr">
        <is>
          <t>VÄSTERBOTTENS LÄN</t>
        </is>
      </c>
      <c r="E475" t="inlineStr">
        <is>
          <t>SKELLEFTEÅ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10567-2023</t>
        </is>
      </c>
      <c r="B476" s="1" t="n">
        <v>44981</v>
      </c>
      <c r="C476" s="1" t="n">
        <v>45964</v>
      </c>
      <c r="D476" t="inlineStr">
        <is>
          <t>VÄSTERBOTTENS LÄN</t>
        </is>
      </c>
      <c r="E476" t="inlineStr">
        <is>
          <t>SKELLEFTEÅ</t>
        </is>
      </c>
      <c r="G476" t="n">
        <v>7.8</v>
      </c>
      <c r="H476" t="n">
        <v>0</v>
      </c>
      <c r="I476" t="n">
        <v>0</v>
      </c>
      <c r="J476" t="n">
        <v>0</v>
      </c>
      <c r="K476" t="n">
        <v>0</v>
      </c>
      <c r="L476" t="n">
        <v>0</v>
      </c>
      <c r="M476" t="n">
        <v>0</v>
      </c>
      <c r="N476" t="n">
        <v>0</v>
      </c>
      <c r="O476" t="n">
        <v>0</v>
      </c>
      <c r="P476" t="n">
        <v>0</v>
      </c>
      <c r="Q476" t="n">
        <v>0</v>
      </c>
      <c r="R476" s="2" t="inlineStr"/>
    </row>
    <row r="477" ht="15" customHeight="1">
      <c r="A477" t="inlineStr">
        <is>
          <t>A 18979-2024</t>
        </is>
      </c>
      <c r="B477" s="1" t="n">
        <v>45427</v>
      </c>
      <c r="C477" s="1" t="n">
        <v>45964</v>
      </c>
      <c r="D477" t="inlineStr">
        <is>
          <t>VÄSTERBOTTENS LÄN</t>
        </is>
      </c>
      <c r="E477" t="inlineStr">
        <is>
          <t>SKELLEFTEÅ</t>
        </is>
      </c>
      <c r="G477" t="n">
        <v>0.3</v>
      </c>
      <c r="H477" t="n">
        <v>0</v>
      </c>
      <c r="I477" t="n">
        <v>0</v>
      </c>
      <c r="J477" t="n">
        <v>0</v>
      </c>
      <c r="K477" t="n">
        <v>0</v>
      </c>
      <c r="L477" t="n">
        <v>0</v>
      </c>
      <c r="M477" t="n">
        <v>0</v>
      </c>
      <c r="N477" t="n">
        <v>0</v>
      </c>
      <c r="O477" t="n">
        <v>0</v>
      </c>
      <c r="P477" t="n">
        <v>0</v>
      </c>
      <c r="Q477" t="n">
        <v>0</v>
      </c>
      <c r="R477" s="2" t="inlineStr"/>
    </row>
    <row r="478" ht="15" customHeight="1">
      <c r="A478" t="inlineStr">
        <is>
          <t>A 52509-2024</t>
        </is>
      </c>
      <c r="B478" s="1" t="n">
        <v>45609.59239583334</v>
      </c>
      <c r="C478" s="1" t="n">
        <v>45964</v>
      </c>
      <c r="D478" t="inlineStr">
        <is>
          <t>VÄSTERBOTTENS LÄN</t>
        </is>
      </c>
      <c r="E478" t="inlineStr">
        <is>
          <t>SKELLEFTEÅ</t>
        </is>
      </c>
      <c r="G478" t="n">
        <v>3.8</v>
      </c>
      <c r="H478" t="n">
        <v>0</v>
      </c>
      <c r="I478" t="n">
        <v>0</v>
      </c>
      <c r="J478" t="n">
        <v>0</v>
      </c>
      <c r="K478" t="n">
        <v>0</v>
      </c>
      <c r="L478" t="n">
        <v>0</v>
      </c>
      <c r="M478" t="n">
        <v>0</v>
      </c>
      <c r="N478" t="n">
        <v>0</v>
      </c>
      <c r="O478" t="n">
        <v>0</v>
      </c>
      <c r="P478" t="n">
        <v>0</v>
      </c>
      <c r="Q478" t="n">
        <v>0</v>
      </c>
      <c r="R478" s="2" t="inlineStr"/>
    </row>
    <row r="479" ht="15" customHeight="1">
      <c r="A479" t="inlineStr">
        <is>
          <t>A 18497-2025</t>
        </is>
      </c>
      <c r="B479" s="1" t="n">
        <v>45763.35385416666</v>
      </c>
      <c r="C479" s="1" t="n">
        <v>45964</v>
      </c>
      <c r="D479" t="inlineStr">
        <is>
          <t>VÄSTERBOTTENS LÄN</t>
        </is>
      </c>
      <c r="E479" t="inlineStr">
        <is>
          <t>SKELLEFTEÅ</t>
        </is>
      </c>
      <c r="G479" t="n">
        <v>4.8</v>
      </c>
      <c r="H479" t="n">
        <v>0</v>
      </c>
      <c r="I479" t="n">
        <v>0</v>
      </c>
      <c r="J479" t="n">
        <v>0</v>
      </c>
      <c r="K479" t="n">
        <v>0</v>
      </c>
      <c r="L479" t="n">
        <v>0</v>
      </c>
      <c r="M479" t="n">
        <v>0</v>
      </c>
      <c r="N479" t="n">
        <v>0</v>
      </c>
      <c r="O479" t="n">
        <v>0</v>
      </c>
      <c r="P479" t="n">
        <v>0</v>
      </c>
      <c r="Q479" t="n">
        <v>0</v>
      </c>
      <c r="R479" s="2" t="inlineStr"/>
    </row>
    <row r="480" ht="15" customHeight="1">
      <c r="A480" t="inlineStr">
        <is>
          <t>A 57848-2022</t>
        </is>
      </c>
      <c r="B480" s="1" t="n">
        <v>44898.00032407408</v>
      </c>
      <c r="C480" s="1" t="n">
        <v>45964</v>
      </c>
      <c r="D480" t="inlineStr">
        <is>
          <t>VÄSTERBOTTENS LÄN</t>
        </is>
      </c>
      <c r="E480" t="inlineStr">
        <is>
          <t>SKELLEFTEÅ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1859-2023</t>
        </is>
      </c>
      <c r="B481" s="1" t="n">
        <v>44938.92320601852</v>
      </c>
      <c r="C481" s="1" t="n">
        <v>45964</v>
      </c>
      <c r="D481" t="inlineStr">
        <is>
          <t>VÄSTERBOTTENS LÄN</t>
        </is>
      </c>
      <c r="E481" t="inlineStr">
        <is>
          <t>SKELLEFTEÅ</t>
        </is>
      </c>
      <c r="G481" t="n">
        <v>2.8</v>
      </c>
      <c r="H481" t="n">
        <v>0</v>
      </c>
      <c r="I481" t="n">
        <v>0</v>
      </c>
      <c r="J481" t="n">
        <v>0</v>
      </c>
      <c r="K481" t="n">
        <v>0</v>
      </c>
      <c r="L481" t="n">
        <v>0</v>
      </c>
      <c r="M481" t="n">
        <v>0</v>
      </c>
      <c r="N481" t="n">
        <v>0</v>
      </c>
      <c r="O481" t="n">
        <v>0</v>
      </c>
      <c r="P481" t="n">
        <v>0</v>
      </c>
      <c r="Q481" t="n">
        <v>0</v>
      </c>
      <c r="R481" s="2" t="inlineStr"/>
    </row>
    <row r="482" ht="15" customHeight="1">
      <c r="A482" t="inlineStr">
        <is>
          <t>A 26154-2023</t>
        </is>
      </c>
      <c r="B482" s="1" t="n">
        <v>45091.50071759259</v>
      </c>
      <c r="C482" s="1" t="n">
        <v>45964</v>
      </c>
      <c r="D482" t="inlineStr">
        <is>
          <t>VÄSTERBOTTENS LÄN</t>
        </is>
      </c>
      <c r="E482" t="inlineStr">
        <is>
          <t>SKELLEFTEÅ</t>
        </is>
      </c>
      <c r="G482" t="n">
        <v>8.1</v>
      </c>
      <c r="H482" t="n">
        <v>0</v>
      </c>
      <c r="I482" t="n">
        <v>0</v>
      </c>
      <c r="J482" t="n">
        <v>0</v>
      </c>
      <c r="K482" t="n">
        <v>0</v>
      </c>
      <c r="L482" t="n">
        <v>0</v>
      </c>
      <c r="M482" t="n">
        <v>0</v>
      </c>
      <c r="N482" t="n">
        <v>0</v>
      </c>
      <c r="O482" t="n">
        <v>0</v>
      </c>
      <c r="P482" t="n">
        <v>0</v>
      </c>
      <c r="Q482" t="n">
        <v>0</v>
      </c>
      <c r="R482" s="2" t="inlineStr"/>
    </row>
    <row r="483" ht="15" customHeight="1">
      <c r="A483" t="inlineStr">
        <is>
          <t>A 5876-2025</t>
        </is>
      </c>
      <c r="B483" s="1" t="n">
        <v>45694</v>
      </c>
      <c r="C483" s="1" t="n">
        <v>45964</v>
      </c>
      <c r="D483" t="inlineStr">
        <is>
          <t>VÄSTERBOTTENS LÄN</t>
        </is>
      </c>
      <c r="E483" t="inlineStr">
        <is>
          <t>SKELLEFTEÅ</t>
        </is>
      </c>
      <c r="G483" t="n">
        <v>60.7</v>
      </c>
      <c r="H483" t="n">
        <v>0</v>
      </c>
      <c r="I483" t="n">
        <v>0</v>
      </c>
      <c r="J483" t="n">
        <v>0</v>
      </c>
      <c r="K483" t="n">
        <v>0</v>
      </c>
      <c r="L483" t="n">
        <v>0</v>
      </c>
      <c r="M483" t="n">
        <v>0</v>
      </c>
      <c r="N483" t="n">
        <v>0</v>
      </c>
      <c r="O483" t="n">
        <v>0</v>
      </c>
      <c r="P483" t="n">
        <v>0</v>
      </c>
      <c r="Q483" t="n">
        <v>0</v>
      </c>
      <c r="R483" s="2" t="inlineStr"/>
    </row>
    <row r="484" ht="15" customHeight="1">
      <c r="A484" t="inlineStr">
        <is>
          <t>A 28160-2023</t>
        </is>
      </c>
      <c r="B484" s="1" t="n">
        <v>45099.49787037037</v>
      </c>
      <c r="C484" s="1" t="n">
        <v>45964</v>
      </c>
      <c r="D484" t="inlineStr">
        <is>
          <t>VÄSTERBOTTENS LÄN</t>
        </is>
      </c>
      <c r="E484" t="inlineStr">
        <is>
          <t>SKELLEFTEÅ</t>
        </is>
      </c>
      <c r="G484" t="n">
        <v>1.5</v>
      </c>
      <c r="H484" t="n">
        <v>0</v>
      </c>
      <c r="I484" t="n">
        <v>0</v>
      </c>
      <c r="J484" t="n">
        <v>0</v>
      </c>
      <c r="K484" t="n">
        <v>0</v>
      </c>
      <c r="L484" t="n">
        <v>0</v>
      </c>
      <c r="M484" t="n">
        <v>0</v>
      </c>
      <c r="N484" t="n">
        <v>0</v>
      </c>
      <c r="O484" t="n">
        <v>0</v>
      </c>
      <c r="P484" t="n">
        <v>0</v>
      </c>
      <c r="Q484" t="n">
        <v>0</v>
      </c>
      <c r="R484" s="2" t="inlineStr"/>
    </row>
    <row r="485" ht="15" customHeight="1">
      <c r="A485" t="inlineStr">
        <is>
          <t>A 57057-2022</t>
        </is>
      </c>
      <c r="B485" s="1" t="n">
        <v>44895</v>
      </c>
      <c r="C485" s="1" t="n">
        <v>45964</v>
      </c>
      <c r="D485" t="inlineStr">
        <is>
          <t>VÄSTERBOTTENS LÄN</t>
        </is>
      </c>
      <c r="E485" t="inlineStr">
        <is>
          <t>SKELLEFTEÅ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15717-2023</t>
        </is>
      </c>
      <c r="B486" s="1" t="n">
        <v>45020</v>
      </c>
      <c r="C486" s="1" t="n">
        <v>45964</v>
      </c>
      <c r="D486" t="inlineStr">
        <is>
          <t>VÄSTERBOTTENS LÄN</t>
        </is>
      </c>
      <c r="E486" t="inlineStr">
        <is>
          <t>SKELLEFTEÅ</t>
        </is>
      </c>
      <c r="G486" t="n">
        <v>3.2</v>
      </c>
      <c r="H486" t="n">
        <v>0</v>
      </c>
      <c r="I486" t="n">
        <v>0</v>
      </c>
      <c r="J486" t="n">
        <v>0</v>
      </c>
      <c r="K486" t="n">
        <v>0</v>
      </c>
      <c r="L486" t="n">
        <v>0</v>
      </c>
      <c r="M486" t="n">
        <v>0</v>
      </c>
      <c r="N486" t="n">
        <v>0</v>
      </c>
      <c r="O486" t="n">
        <v>0</v>
      </c>
      <c r="P486" t="n">
        <v>0</v>
      </c>
      <c r="Q486" t="n">
        <v>0</v>
      </c>
      <c r="R486" s="2" t="inlineStr"/>
    </row>
    <row r="487" ht="15" customHeight="1">
      <c r="A487" t="inlineStr">
        <is>
          <t>A 28192-2023</t>
        </is>
      </c>
      <c r="B487" s="1" t="n">
        <v>45096</v>
      </c>
      <c r="C487" s="1" t="n">
        <v>45964</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49949-2023</t>
        </is>
      </c>
      <c r="B488" s="1" t="n">
        <v>45215.36532407408</v>
      </c>
      <c r="C488" s="1" t="n">
        <v>45964</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61700-2022</t>
        </is>
      </c>
      <c r="B489" s="1" t="n">
        <v>44911</v>
      </c>
      <c r="C489" s="1" t="n">
        <v>45964</v>
      </c>
      <c r="D489" t="inlineStr">
        <is>
          <t>VÄSTERBOTTENS LÄN</t>
        </is>
      </c>
      <c r="E489" t="inlineStr">
        <is>
          <t>SKELLEFTEÅ</t>
        </is>
      </c>
      <c r="G489" t="n">
        <v>2.4</v>
      </c>
      <c r="H489" t="n">
        <v>0</v>
      </c>
      <c r="I489" t="n">
        <v>0</v>
      </c>
      <c r="J489" t="n">
        <v>0</v>
      </c>
      <c r="K489" t="n">
        <v>0</v>
      </c>
      <c r="L489" t="n">
        <v>0</v>
      </c>
      <c r="M489" t="n">
        <v>0</v>
      </c>
      <c r="N489" t="n">
        <v>0</v>
      </c>
      <c r="O489" t="n">
        <v>0</v>
      </c>
      <c r="P489" t="n">
        <v>0</v>
      </c>
      <c r="Q489" t="n">
        <v>0</v>
      </c>
      <c r="R489" s="2" t="inlineStr"/>
    </row>
    <row r="490" ht="15" customHeight="1">
      <c r="A490" t="inlineStr">
        <is>
          <t>A 55032-2021</t>
        </is>
      </c>
      <c r="B490" s="1" t="n">
        <v>44474.5962037037</v>
      </c>
      <c r="C490" s="1" t="n">
        <v>45964</v>
      </c>
      <c r="D490" t="inlineStr">
        <is>
          <t>VÄSTERBOTTENS LÄN</t>
        </is>
      </c>
      <c r="E490" t="inlineStr">
        <is>
          <t>SKELLEFTEÅ</t>
        </is>
      </c>
      <c r="G490" t="n">
        <v>5.2</v>
      </c>
      <c r="H490" t="n">
        <v>0</v>
      </c>
      <c r="I490" t="n">
        <v>0</v>
      </c>
      <c r="J490" t="n">
        <v>0</v>
      </c>
      <c r="K490" t="n">
        <v>0</v>
      </c>
      <c r="L490" t="n">
        <v>0</v>
      </c>
      <c r="M490" t="n">
        <v>0</v>
      </c>
      <c r="N490" t="n">
        <v>0</v>
      </c>
      <c r="O490" t="n">
        <v>0</v>
      </c>
      <c r="P490" t="n">
        <v>0</v>
      </c>
      <c r="Q490" t="n">
        <v>0</v>
      </c>
      <c r="R490" s="2" t="inlineStr"/>
    </row>
    <row r="491" ht="15" customHeight="1">
      <c r="A491" t="inlineStr">
        <is>
          <t>A 2963-2025</t>
        </is>
      </c>
      <c r="B491" s="1" t="n">
        <v>45678.45770833334</v>
      </c>
      <c r="C491" s="1" t="n">
        <v>45964</v>
      </c>
      <c r="D491" t="inlineStr">
        <is>
          <t>VÄSTERBOTTENS LÄN</t>
        </is>
      </c>
      <c r="E491" t="inlineStr">
        <is>
          <t>SKELLEFTEÅ</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10570-2023</t>
        </is>
      </c>
      <c r="B492" s="1" t="n">
        <v>44981</v>
      </c>
      <c r="C492" s="1" t="n">
        <v>45964</v>
      </c>
      <c r="D492" t="inlineStr">
        <is>
          <t>VÄSTERBOTTENS LÄN</t>
        </is>
      </c>
      <c r="E492" t="inlineStr">
        <is>
          <t>SKELLEFTEÅ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41064-2024</t>
        </is>
      </c>
      <c r="B493" s="1" t="n">
        <v>45559.38644675926</v>
      </c>
      <c r="C493" s="1" t="n">
        <v>45964</v>
      </c>
      <c r="D493" t="inlineStr">
        <is>
          <t>VÄSTERBOTTENS LÄN</t>
        </is>
      </c>
      <c r="E493" t="inlineStr">
        <is>
          <t>SKELLEFTEÅ</t>
        </is>
      </c>
      <c r="F493" t="inlineStr">
        <is>
          <t>Holmen skog AB</t>
        </is>
      </c>
      <c r="G493" t="n">
        <v>3.6</v>
      </c>
      <c r="H493" t="n">
        <v>0</v>
      </c>
      <c r="I493" t="n">
        <v>0</v>
      </c>
      <c r="J493" t="n">
        <v>0</v>
      </c>
      <c r="K493" t="n">
        <v>0</v>
      </c>
      <c r="L493" t="n">
        <v>0</v>
      </c>
      <c r="M493" t="n">
        <v>0</v>
      </c>
      <c r="N493" t="n">
        <v>0</v>
      </c>
      <c r="O493" t="n">
        <v>0</v>
      </c>
      <c r="P493" t="n">
        <v>0</v>
      </c>
      <c r="Q493" t="n">
        <v>0</v>
      </c>
      <c r="R493" s="2" t="inlineStr"/>
    </row>
    <row r="494" ht="15" customHeight="1">
      <c r="A494" t="inlineStr">
        <is>
          <t>A 31975-2024</t>
        </is>
      </c>
      <c r="B494" s="1" t="n">
        <v>45510.56052083334</v>
      </c>
      <c r="C494" s="1" t="n">
        <v>45964</v>
      </c>
      <c r="D494" t="inlineStr">
        <is>
          <t>VÄSTERBOTTENS LÄN</t>
        </is>
      </c>
      <c r="E494" t="inlineStr">
        <is>
          <t>SKELLEFTEÅ</t>
        </is>
      </c>
      <c r="F494" t="inlineStr">
        <is>
          <t>Holmen skog AB</t>
        </is>
      </c>
      <c r="G494" t="n">
        <v>2.8</v>
      </c>
      <c r="H494" t="n">
        <v>0</v>
      </c>
      <c r="I494" t="n">
        <v>0</v>
      </c>
      <c r="J494" t="n">
        <v>0</v>
      </c>
      <c r="K494" t="n">
        <v>0</v>
      </c>
      <c r="L494" t="n">
        <v>0</v>
      </c>
      <c r="M494" t="n">
        <v>0</v>
      </c>
      <c r="N494" t="n">
        <v>0</v>
      </c>
      <c r="O494" t="n">
        <v>0</v>
      </c>
      <c r="P494" t="n">
        <v>0</v>
      </c>
      <c r="Q494" t="n">
        <v>0</v>
      </c>
      <c r="R494" s="2" t="inlineStr"/>
    </row>
    <row r="495" ht="15" customHeight="1">
      <c r="A495" t="inlineStr">
        <is>
          <t>A 4638-2025</t>
        </is>
      </c>
      <c r="B495" s="1" t="n">
        <v>45687.64986111111</v>
      </c>
      <c r="C495" s="1" t="n">
        <v>45964</v>
      </c>
      <c r="D495" t="inlineStr">
        <is>
          <t>VÄSTERBOTTENS LÄN</t>
        </is>
      </c>
      <c r="E495" t="inlineStr">
        <is>
          <t>SKELLEFTEÅ</t>
        </is>
      </c>
      <c r="G495" t="n">
        <v>0.9</v>
      </c>
      <c r="H495" t="n">
        <v>0</v>
      </c>
      <c r="I495" t="n">
        <v>0</v>
      </c>
      <c r="J495" t="n">
        <v>0</v>
      </c>
      <c r="K495" t="n">
        <v>0</v>
      </c>
      <c r="L495" t="n">
        <v>0</v>
      </c>
      <c r="M495" t="n">
        <v>0</v>
      </c>
      <c r="N495" t="n">
        <v>0</v>
      </c>
      <c r="O495" t="n">
        <v>0</v>
      </c>
      <c r="P495" t="n">
        <v>0</v>
      </c>
      <c r="Q495" t="n">
        <v>0</v>
      </c>
      <c r="R495" s="2" t="inlineStr"/>
    </row>
    <row r="496" ht="15" customHeight="1">
      <c r="A496" t="inlineStr">
        <is>
          <t>A 19778-2025</t>
        </is>
      </c>
      <c r="B496" s="1" t="n">
        <v>45771.42734953704</v>
      </c>
      <c r="C496" s="1" t="n">
        <v>45964</v>
      </c>
      <c r="D496" t="inlineStr">
        <is>
          <t>VÄSTERBOTTENS LÄN</t>
        </is>
      </c>
      <c r="E496" t="inlineStr">
        <is>
          <t>SKELLEFTEÅ</t>
        </is>
      </c>
      <c r="G496" t="n">
        <v>6.7</v>
      </c>
      <c r="H496" t="n">
        <v>0</v>
      </c>
      <c r="I496" t="n">
        <v>0</v>
      </c>
      <c r="J496" t="n">
        <v>0</v>
      </c>
      <c r="K496" t="n">
        <v>0</v>
      </c>
      <c r="L496" t="n">
        <v>0</v>
      </c>
      <c r="M496" t="n">
        <v>0</v>
      </c>
      <c r="N496" t="n">
        <v>0</v>
      </c>
      <c r="O496" t="n">
        <v>0</v>
      </c>
      <c r="P496" t="n">
        <v>0</v>
      </c>
      <c r="Q496" t="n">
        <v>0</v>
      </c>
      <c r="R496" s="2" t="inlineStr"/>
    </row>
    <row r="497" ht="15" customHeight="1">
      <c r="A497" t="inlineStr">
        <is>
          <t>A 8669-2025</t>
        </is>
      </c>
      <c r="B497" s="1" t="n">
        <v>45712.41598379629</v>
      </c>
      <c r="C497" s="1" t="n">
        <v>45964</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18240-2025</t>
        </is>
      </c>
      <c r="B498" s="1" t="n">
        <v>45762.29850694445</v>
      </c>
      <c r="C498" s="1" t="n">
        <v>45964</v>
      </c>
      <c r="D498" t="inlineStr">
        <is>
          <t>VÄSTERBOTTENS LÄN</t>
        </is>
      </c>
      <c r="E498" t="inlineStr">
        <is>
          <t>SKELLEFTEÅ</t>
        </is>
      </c>
      <c r="G498" t="n">
        <v>1.2</v>
      </c>
      <c r="H498" t="n">
        <v>0</v>
      </c>
      <c r="I498" t="n">
        <v>0</v>
      </c>
      <c r="J498" t="n">
        <v>0</v>
      </c>
      <c r="K498" t="n">
        <v>0</v>
      </c>
      <c r="L498" t="n">
        <v>0</v>
      </c>
      <c r="M498" t="n">
        <v>0</v>
      </c>
      <c r="N498" t="n">
        <v>0</v>
      </c>
      <c r="O498" t="n">
        <v>0</v>
      </c>
      <c r="P498" t="n">
        <v>0</v>
      </c>
      <c r="Q498" t="n">
        <v>0</v>
      </c>
      <c r="R498" s="2" t="inlineStr"/>
    </row>
    <row r="499" ht="15" customHeight="1">
      <c r="A499" t="inlineStr">
        <is>
          <t>A 12701-2025</t>
        </is>
      </c>
      <c r="B499" s="1" t="n">
        <v>45733.46592592593</v>
      </c>
      <c r="C499" s="1" t="n">
        <v>45964</v>
      </c>
      <c r="D499" t="inlineStr">
        <is>
          <t>VÄSTERBOTTENS LÄN</t>
        </is>
      </c>
      <c r="E499" t="inlineStr">
        <is>
          <t>SKELLEFTEÅ</t>
        </is>
      </c>
      <c r="G499" t="n">
        <v>7.2</v>
      </c>
      <c r="H499" t="n">
        <v>0</v>
      </c>
      <c r="I499" t="n">
        <v>0</v>
      </c>
      <c r="J499" t="n">
        <v>0</v>
      </c>
      <c r="K499" t="n">
        <v>0</v>
      </c>
      <c r="L499" t="n">
        <v>0</v>
      </c>
      <c r="M499" t="n">
        <v>0</v>
      </c>
      <c r="N499" t="n">
        <v>0</v>
      </c>
      <c r="O499" t="n">
        <v>0</v>
      </c>
      <c r="P499" t="n">
        <v>0</v>
      </c>
      <c r="Q499" t="n">
        <v>0</v>
      </c>
      <c r="R499" s="2" t="inlineStr"/>
    </row>
    <row r="500" ht="15" customHeight="1">
      <c r="A500" t="inlineStr">
        <is>
          <t>A 8919-2024</t>
        </is>
      </c>
      <c r="B500" s="1" t="n">
        <v>45357</v>
      </c>
      <c r="C500" s="1" t="n">
        <v>45964</v>
      </c>
      <c r="D500" t="inlineStr">
        <is>
          <t>VÄSTERBOTTENS LÄN</t>
        </is>
      </c>
      <c r="E500" t="inlineStr">
        <is>
          <t>SKELLEFTEÅ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53753-2022</t>
        </is>
      </c>
      <c r="B501" s="1" t="n">
        <v>44872</v>
      </c>
      <c r="C501" s="1" t="n">
        <v>45964</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35135-2024</t>
        </is>
      </c>
      <c r="B502" s="1" t="n">
        <v>45530.34371527778</v>
      </c>
      <c r="C502" s="1" t="n">
        <v>45964</v>
      </c>
      <c r="D502" t="inlineStr">
        <is>
          <t>VÄSTERBOTTENS LÄN</t>
        </is>
      </c>
      <c r="E502" t="inlineStr">
        <is>
          <t>SKELLEFTEÅ</t>
        </is>
      </c>
      <c r="G502" t="n">
        <v>5</v>
      </c>
      <c r="H502" t="n">
        <v>0</v>
      </c>
      <c r="I502" t="n">
        <v>0</v>
      </c>
      <c r="J502" t="n">
        <v>0</v>
      </c>
      <c r="K502" t="n">
        <v>0</v>
      </c>
      <c r="L502" t="n">
        <v>0</v>
      </c>
      <c r="M502" t="n">
        <v>0</v>
      </c>
      <c r="N502" t="n">
        <v>0</v>
      </c>
      <c r="O502" t="n">
        <v>0</v>
      </c>
      <c r="P502" t="n">
        <v>0</v>
      </c>
      <c r="Q502" t="n">
        <v>0</v>
      </c>
      <c r="R502" s="2" t="inlineStr"/>
    </row>
    <row r="503" ht="15" customHeight="1">
      <c r="A503" t="inlineStr">
        <is>
          <t>A 20723-2024</t>
        </is>
      </c>
      <c r="B503" s="1" t="n">
        <v>45436.65041666666</v>
      </c>
      <c r="C503" s="1" t="n">
        <v>45964</v>
      </c>
      <c r="D503" t="inlineStr">
        <is>
          <t>VÄSTERBOTTENS LÄN</t>
        </is>
      </c>
      <c r="E503" t="inlineStr">
        <is>
          <t>SKELLEFTEÅ</t>
        </is>
      </c>
      <c r="F503" t="inlineStr">
        <is>
          <t>Holmen skog AB</t>
        </is>
      </c>
      <c r="G503" t="n">
        <v>4.2</v>
      </c>
      <c r="H503" t="n">
        <v>0</v>
      </c>
      <c r="I503" t="n">
        <v>0</v>
      </c>
      <c r="J503" t="n">
        <v>0</v>
      </c>
      <c r="K503" t="n">
        <v>0</v>
      </c>
      <c r="L503" t="n">
        <v>0</v>
      </c>
      <c r="M503" t="n">
        <v>0</v>
      </c>
      <c r="N503" t="n">
        <v>0</v>
      </c>
      <c r="O503" t="n">
        <v>0</v>
      </c>
      <c r="P503" t="n">
        <v>0</v>
      </c>
      <c r="Q503" t="n">
        <v>0</v>
      </c>
      <c r="R503" s="2" t="inlineStr"/>
    </row>
    <row r="504" ht="15" customHeight="1">
      <c r="A504" t="inlineStr">
        <is>
          <t>A 10604-2024</t>
        </is>
      </c>
      <c r="B504" s="1" t="n">
        <v>45366.93827546296</v>
      </c>
      <c r="C504" s="1" t="n">
        <v>45964</v>
      </c>
      <c r="D504" t="inlineStr">
        <is>
          <t>VÄSTERBOTTENS LÄN</t>
        </is>
      </c>
      <c r="E504" t="inlineStr">
        <is>
          <t>SKELLEFTEÅ</t>
        </is>
      </c>
      <c r="G504" t="n">
        <v>2.4</v>
      </c>
      <c r="H504" t="n">
        <v>0</v>
      </c>
      <c r="I504" t="n">
        <v>0</v>
      </c>
      <c r="J504" t="n">
        <v>0</v>
      </c>
      <c r="K504" t="n">
        <v>0</v>
      </c>
      <c r="L504" t="n">
        <v>0</v>
      </c>
      <c r="M504" t="n">
        <v>0</v>
      </c>
      <c r="N504" t="n">
        <v>0</v>
      </c>
      <c r="O504" t="n">
        <v>0</v>
      </c>
      <c r="P504" t="n">
        <v>0</v>
      </c>
      <c r="Q504" t="n">
        <v>0</v>
      </c>
      <c r="R504" s="2" t="inlineStr"/>
    </row>
    <row r="505" ht="15" customHeight="1">
      <c r="A505" t="inlineStr">
        <is>
          <t>A 24195-2024</t>
        </is>
      </c>
      <c r="B505" s="1" t="n">
        <v>45456</v>
      </c>
      <c r="C505" s="1" t="n">
        <v>45964</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50232-2024</t>
        </is>
      </c>
      <c r="B506" s="1" t="n">
        <v>45600.55253472222</v>
      </c>
      <c r="C506" s="1" t="n">
        <v>45964</v>
      </c>
      <c r="D506" t="inlineStr">
        <is>
          <t>VÄSTERBOTTENS LÄN</t>
        </is>
      </c>
      <c r="E506" t="inlineStr">
        <is>
          <t>SKELLEFTEÅ</t>
        </is>
      </c>
      <c r="F506" t="inlineStr">
        <is>
          <t>Holmen skog AB</t>
        </is>
      </c>
      <c r="G506" t="n">
        <v>1.6</v>
      </c>
      <c r="H506" t="n">
        <v>0</v>
      </c>
      <c r="I506" t="n">
        <v>0</v>
      </c>
      <c r="J506" t="n">
        <v>0</v>
      </c>
      <c r="K506" t="n">
        <v>0</v>
      </c>
      <c r="L506" t="n">
        <v>0</v>
      </c>
      <c r="M506" t="n">
        <v>0</v>
      </c>
      <c r="N506" t="n">
        <v>0</v>
      </c>
      <c r="O506" t="n">
        <v>0</v>
      </c>
      <c r="P506" t="n">
        <v>0</v>
      </c>
      <c r="Q506" t="n">
        <v>0</v>
      </c>
      <c r="R506" s="2" t="inlineStr"/>
    </row>
    <row r="507" ht="15" customHeight="1">
      <c r="A507" t="inlineStr">
        <is>
          <t>A 61697-2022</t>
        </is>
      </c>
      <c r="B507" s="1" t="n">
        <v>44911</v>
      </c>
      <c r="C507" s="1" t="n">
        <v>45964</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51418-2023</t>
        </is>
      </c>
      <c r="B508" s="1" t="n">
        <v>45219</v>
      </c>
      <c r="C508" s="1" t="n">
        <v>45964</v>
      </c>
      <c r="D508" t="inlineStr">
        <is>
          <t>VÄSTERBOTTENS LÄN</t>
        </is>
      </c>
      <c r="E508" t="inlineStr">
        <is>
          <t>SKELLEFTEÅ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44959-2023</t>
        </is>
      </c>
      <c r="B509" s="1" t="n">
        <v>45190</v>
      </c>
      <c r="C509" s="1" t="n">
        <v>45964</v>
      </c>
      <c r="D509" t="inlineStr">
        <is>
          <t>VÄSTERBOTTENS LÄN</t>
        </is>
      </c>
      <c r="E509" t="inlineStr">
        <is>
          <t>SKELLEFTEÅ</t>
        </is>
      </c>
      <c r="F509" t="inlineStr">
        <is>
          <t>Sveaskog</t>
        </is>
      </c>
      <c r="G509" t="n">
        <v>15.3</v>
      </c>
      <c r="H509" t="n">
        <v>0</v>
      </c>
      <c r="I509" t="n">
        <v>0</v>
      </c>
      <c r="J509" t="n">
        <v>0</v>
      </c>
      <c r="K509" t="n">
        <v>0</v>
      </c>
      <c r="L509" t="n">
        <v>0</v>
      </c>
      <c r="M509" t="n">
        <v>0</v>
      </c>
      <c r="N509" t="n">
        <v>0</v>
      </c>
      <c r="O509" t="n">
        <v>0</v>
      </c>
      <c r="P509" t="n">
        <v>0</v>
      </c>
      <c r="Q509" t="n">
        <v>0</v>
      </c>
      <c r="R509" s="2" t="inlineStr"/>
    </row>
    <row r="510" ht="15" customHeight="1">
      <c r="A510" t="inlineStr">
        <is>
          <t>A 17506-2024</t>
        </is>
      </c>
      <c r="B510" s="1" t="n">
        <v>45415</v>
      </c>
      <c r="C510" s="1" t="n">
        <v>45964</v>
      </c>
      <c r="D510" t="inlineStr">
        <is>
          <t>VÄSTERBOTTENS LÄN</t>
        </is>
      </c>
      <c r="E510" t="inlineStr">
        <is>
          <t>SKELLEFTEÅ</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5740-2023</t>
        </is>
      </c>
      <c r="B511" s="1" t="n">
        <v>44962.79574074074</v>
      </c>
      <c r="C511" s="1" t="n">
        <v>45964</v>
      </c>
      <c r="D511" t="inlineStr">
        <is>
          <t>VÄSTERBOTTENS LÄN</t>
        </is>
      </c>
      <c r="E511" t="inlineStr">
        <is>
          <t>SKELLEFTEÅ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57908-2022</t>
        </is>
      </c>
      <c r="B512" s="1" t="n">
        <v>44900.35597222222</v>
      </c>
      <c r="C512" s="1" t="n">
        <v>45964</v>
      </c>
      <c r="D512" t="inlineStr">
        <is>
          <t>VÄSTERBOTTENS LÄN</t>
        </is>
      </c>
      <c r="E512" t="inlineStr">
        <is>
          <t>SKELLEFTEÅ</t>
        </is>
      </c>
      <c r="G512" t="n">
        <v>3.3</v>
      </c>
      <c r="H512" t="n">
        <v>0</v>
      </c>
      <c r="I512" t="n">
        <v>0</v>
      </c>
      <c r="J512" t="n">
        <v>0</v>
      </c>
      <c r="K512" t="n">
        <v>0</v>
      </c>
      <c r="L512" t="n">
        <v>0</v>
      </c>
      <c r="M512" t="n">
        <v>0</v>
      </c>
      <c r="N512" t="n">
        <v>0</v>
      </c>
      <c r="O512" t="n">
        <v>0</v>
      </c>
      <c r="P512" t="n">
        <v>0</v>
      </c>
      <c r="Q512" t="n">
        <v>0</v>
      </c>
      <c r="R512" s="2" t="inlineStr"/>
    </row>
    <row r="513" ht="15" customHeight="1">
      <c r="A513" t="inlineStr">
        <is>
          <t>A 4509-2025</t>
        </is>
      </c>
      <c r="B513" s="1" t="n">
        <v>45686</v>
      </c>
      <c r="C513" s="1" t="n">
        <v>45964</v>
      </c>
      <c r="D513" t="inlineStr">
        <is>
          <t>VÄSTERBOTTENS LÄN</t>
        </is>
      </c>
      <c r="E513" t="inlineStr">
        <is>
          <t>SKELLEFTEÅ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1666-2023</t>
        </is>
      </c>
      <c r="B514" s="1" t="n">
        <v>44938.36417824074</v>
      </c>
      <c r="C514" s="1" t="n">
        <v>45964</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14088-2022</t>
        </is>
      </c>
      <c r="B515" s="1" t="n">
        <v>44650</v>
      </c>
      <c r="C515" s="1" t="n">
        <v>45964</v>
      </c>
      <c r="D515" t="inlineStr">
        <is>
          <t>VÄSTERBOTTENS LÄN</t>
        </is>
      </c>
      <c r="E515" t="inlineStr">
        <is>
          <t>SKELLEFTEÅ</t>
        </is>
      </c>
      <c r="G515" t="n">
        <v>2.9</v>
      </c>
      <c r="H515" t="n">
        <v>0</v>
      </c>
      <c r="I515" t="n">
        <v>0</v>
      </c>
      <c r="J515" t="n">
        <v>0</v>
      </c>
      <c r="K515" t="n">
        <v>0</v>
      </c>
      <c r="L515" t="n">
        <v>0</v>
      </c>
      <c r="M515" t="n">
        <v>0</v>
      </c>
      <c r="N515" t="n">
        <v>0</v>
      </c>
      <c r="O515" t="n">
        <v>0</v>
      </c>
      <c r="P515" t="n">
        <v>0</v>
      </c>
      <c r="Q515" t="n">
        <v>0</v>
      </c>
      <c r="R515" s="2" t="inlineStr"/>
    </row>
    <row r="516" ht="15" customHeight="1">
      <c r="A516" t="inlineStr">
        <is>
          <t>A 45643-2024</t>
        </is>
      </c>
      <c r="B516" s="1" t="n">
        <v>45579</v>
      </c>
      <c r="C516" s="1" t="n">
        <v>45964</v>
      </c>
      <c r="D516" t="inlineStr">
        <is>
          <t>VÄSTERBOTTENS LÄN</t>
        </is>
      </c>
      <c r="E516" t="inlineStr">
        <is>
          <t>SKELLEFTEÅ</t>
        </is>
      </c>
      <c r="G516" t="n">
        <v>2</v>
      </c>
      <c r="H516" t="n">
        <v>0</v>
      </c>
      <c r="I516" t="n">
        <v>0</v>
      </c>
      <c r="J516" t="n">
        <v>0</v>
      </c>
      <c r="K516" t="n">
        <v>0</v>
      </c>
      <c r="L516" t="n">
        <v>0</v>
      </c>
      <c r="M516" t="n">
        <v>0</v>
      </c>
      <c r="N516" t="n">
        <v>0</v>
      </c>
      <c r="O516" t="n">
        <v>0</v>
      </c>
      <c r="P516" t="n">
        <v>0</v>
      </c>
      <c r="Q516" t="n">
        <v>0</v>
      </c>
      <c r="R516" s="2" t="inlineStr"/>
    </row>
    <row r="517" ht="15" customHeight="1">
      <c r="A517" t="inlineStr">
        <is>
          <t>A 43204-2024</t>
        </is>
      </c>
      <c r="B517" s="1" t="n">
        <v>45567</v>
      </c>
      <c r="C517" s="1" t="n">
        <v>45964</v>
      </c>
      <c r="D517" t="inlineStr">
        <is>
          <t>VÄSTERBOTTENS LÄN</t>
        </is>
      </c>
      <c r="E517" t="inlineStr">
        <is>
          <t>SKELLEFTEÅ</t>
        </is>
      </c>
      <c r="G517" t="n">
        <v>3.7</v>
      </c>
      <c r="H517" t="n">
        <v>0</v>
      </c>
      <c r="I517" t="n">
        <v>0</v>
      </c>
      <c r="J517" t="n">
        <v>0</v>
      </c>
      <c r="K517" t="n">
        <v>0</v>
      </c>
      <c r="L517" t="n">
        <v>0</v>
      </c>
      <c r="M517" t="n">
        <v>0</v>
      </c>
      <c r="N517" t="n">
        <v>0</v>
      </c>
      <c r="O517" t="n">
        <v>0</v>
      </c>
      <c r="P517" t="n">
        <v>0</v>
      </c>
      <c r="Q517" t="n">
        <v>0</v>
      </c>
      <c r="R517" s="2" t="inlineStr"/>
    </row>
    <row r="518" ht="15" customHeight="1">
      <c r="A518" t="inlineStr">
        <is>
          <t>A 37499-2024</t>
        </is>
      </c>
      <c r="B518" s="1" t="n">
        <v>45541.36834490741</v>
      </c>
      <c r="C518" s="1" t="n">
        <v>45964</v>
      </c>
      <c r="D518" t="inlineStr">
        <is>
          <t>VÄSTERBOTTENS LÄN</t>
        </is>
      </c>
      <c r="E518" t="inlineStr">
        <is>
          <t>SKELLEFTEÅ</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13126-2025</t>
        </is>
      </c>
      <c r="B519" s="1" t="n">
        <v>45734.86883101852</v>
      </c>
      <c r="C519" s="1" t="n">
        <v>45964</v>
      </c>
      <c r="D519" t="inlineStr">
        <is>
          <t>VÄSTERBOTTENS LÄN</t>
        </is>
      </c>
      <c r="E519" t="inlineStr">
        <is>
          <t>SKELLEFTEÅ</t>
        </is>
      </c>
      <c r="G519" t="n">
        <v>2.8</v>
      </c>
      <c r="H519" t="n">
        <v>0</v>
      </c>
      <c r="I519" t="n">
        <v>0</v>
      </c>
      <c r="J519" t="n">
        <v>0</v>
      </c>
      <c r="K519" t="n">
        <v>0</v>
      </c>
      <c r="L519" t="n">
        <v>0</v>
      </c>
      <c r="M519" t="n">
        <v>0</v>
      </c>
      <c r="N519" t="n">
        <v>0</v>
      </c>
      <c r="O519" t="n">
        <v>0</v>
      </c>
      <c r="P519" t="n">
        <v>0</v>
      </c>
      <c r="Q519" t="n">
        <v>0</v>
      </c>
      <c r="R519" s="2" t="inlineStr"/>
    </row>
    <row r="520" ht="15" customHeight="1">
      <c r="A520" t="inlineStr">
        <is>
          <t>A 36867-2024</t>
        </is>
      </c>
      <c r="B520" s="1" t="n">
        <v>45538.57938657407</v>
      </c>
      <c r="C520" s="1" t="n">
        <v>45964</v>
      </c>
      <c r="D520" t="inlineStr">
        <is>
          <t>VÄSTERBOTTENS LÄN</t>
        </is>
      </c>
      <c r="E520" t="inlineStr">
        <is>
          <t>SKELLEFTEÅ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8539-2022</t>
        </is>
      </c>
      <c r="B521" s="1" t="n">
        <v>44613</v>
      </c>
      <c r="C521" s="1" t="n">
        <v>45964</v>
      </c>
      <c r="D521" t="inlineStr">
        <is>
          <t>VÄSTERBOTTENS LÄN</t>
        </is>
      </c>
      <c r="E521" t="inlineStr">
        <is>
          <t>SKELLEFTEÅ</t>
        </is>
      </c>
      <c r="G521" t="n">
        <v>3.5</v>
      </c>
      <c r="H521" t="n">
        <v>0</v>
      </c>
      <c r="I521" t="n">
        <v>0</v>
      </c>
      <c r="J521" t="n">
        <v>0</v>
      </c>
      <c r="K521" t="n">
        <v>0</v>
      </c>
      <c r="L521" t="n">
        <v>0</v>
      </c>
      <c r="M521" t="n">
        <v>0</v>
      </c>
      <c r="N521" t="n">
        <v>0</v>
      </c>
      <c r="O521" t="n">
        <v>0</v>
      </c>
      <c r="P521" t="n">
        <v>0</v>
      </c>
      <c r="Q521" t="n">
        <v>0</v>
      </c>
      <c r="R521" s="2" t="inlineStr"/>
    </row>
    <row r="522" ht="15" customHeight="1">
      <c r="A522" t="inlineStr">
        <is>
          <t>A 32279-2022</t>
        </is>
      </c>
      <c r="B522" s="1" t="n">
        <v>44781</v>
      </c>
      <c r="C522" s="1" t="n">
        <v>45964</v>
      </c>
      <c r="D522" t="inlineStr">
        <is>
          <t>VÄSTERBOTTENS LÄN</t>
        </is>
      </c>
      <c r="E522" t="inlineStr">
        <is>
          <t>SKELLEFTEÅ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1321-2025</t>
        </is>
      </c>
      <c r="B523" s="1" t="n">
        <v>45667</v>
      </c>
      <c r="C523" s="1" t="n">
        <v>45964</v>
      </c>
      <c r="D523" t="inlineStr">
        <is>
          <t>VÄSTERBOTTENS LÄN</t>
        </is>
      </c>
      <c r="E523" t="inlineStr">
        <is>
          <t>SKELLEFTEÅ</t>
        </is>
      </c>
      <c r="F523" t="inlineStr">
        <is>
          <t>Holmen skog AB</t>
        </is>
      </c>
      <c r="G523" t="n">
        <v>6.2</v>
      </c>
      <c r="H523" t="n">
        <v>0</v>
      </c>
      <c r="I523" t="n">
        <v>0</v>
      </c>
      <c r="J523" t="n">
        <v>0</v>
      </c>
      <c r="K523" t="n">
        <v>0</v>
      </c>
      <c r="L523" t="n">
        <v>0</v>
      </c>
      <c r="M523" t="n">
        <v>0</v>
      </c>
      <c r="N523" t="n">
        <v>0</v>
      </c>
      <c r="O523" t="n">
        <v>0</v>
      </c>
      <c r="P523" t="n">
        <v>0</v>
      </c>
      <c r="Q523" t="n">
        <v>0</v>
      </c>
      <c r="R523" s="2" t="inlineStr"/>
    </row>
    <row r="524" ht="15" customHeight="1">
      <c r="A524" t="inlineStr">
        <is>
          <t>A 59242-2023</t>
        </is>
      </c>
      <c r="B524" s="1" t="n">
        <v>45252</v>
      </c>
      <c r="C524" s="1" t="n">
        <v>45964</v>
      </c>
      <c r="D524" t="inlineStr">
        <is>
          <t>VÄSTERBOTTENS LÄN</t>
        </is>
      </c>
      <c r="E524" t="inlineStr">
        <is>
          <t>SKELLEFTEÅ</t>
        </is>
      </c>
      <c r="G524" t="n">
        <v>1</v>
      </c>
      <c r="H524" t="n">
        <v>0</v>
      </c>
      <c r="I524" t="n">
        <v>0</v>
      </c>
      <c r="J524" t="n">
        <v>0</v>
      </c>
      <c r="K524" t="n">
        <v>0</v>
      </c>
      <c r="L524" t="n">
        <v>0</v>
      </c>
      <c r="M524" t="n">
        <v>0</v>
      </c>
      <c r="N524" t="n">
        <v>0</v>
      </c>
      <c r="O524" t="n">
        <v>0</v>
      </c>
      <c r="P524" t="n">
        <v>0</v>
      </c>
      <c r="Q524" t="n">
        <v>0</v>
      </c>
      <c r="R524" s="2" t="inlineStr"/>
    </row>
    <row r="525" ht="15" customHeight="1">
      <c r="A525" t="inlineStr">
        <is>
          <t>A 1362-2025</t>
        </is>
      </c>
      <c r="B525" s="1" t="n">
        <v>45667.63641203703</v>
      </c>
      <c r="C525" s="1" t="n">
        <v>45964</v>
      </c>
      <c r="D525" t="inlineStr">
        <is>
          <t>VÄSTERBOTTENS LÄN</t>
        </is>
      </c>
      <c r="E525" t="inlineStr">
        <is>
          <t>SKELLEFTEÅ</t>
        </is>
      </c>
      <c r="G525" t="n">
        <v>1.2</v>
      </c>
      <c r="H525" t="n">
        <v>0</v>
      </c>
      <c r="I525" t="n">
        <v>0</v>
      </c>
      <c r="J525" t="n">
        <v>0</v>
      </c>
      <c r="K525" t="n">
        <v>0</v>
      </c>
      <c r="L525" t="n">
        <v>0</v>
      </c>
      <c r="M525" t="n">
        <v>0</v>
      </c>
      <c r="N525" t="n">
        <v>0</v>
      </c>
      <c r="O525" t="n">
        <v>0</v>
      </c>
      <c r="P525" t="n">
        <v>0</v>
      </c>
      <c r="Q525" t="n">
        <v>0</v>
      </c>
      <c r="R525" s="2" t="inlineStr"/>
    </row>
    <row r="526" ht="15" customHeight="1">
      <c r="A526" t="inlineStr">
        <is>
          <t>A 1367-2025</t>
        </is>
      </c>
      <c r="B526" s="1" t="n">
        <v>45667.64177083333</v>
      </c>
      <c r="C526" s="1" t="n">
        <v>45964</v>
      </c>
      <c r="D526" t="inlineStr">
        <is>
          <t>VÄSTERBOTTENS LÄN</t>
        </is>
      </c>
      <c r="E526" t="inlineStr">
        <is>
          <t>SKELLEFTEÅ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2087-2025</t>
        </is>
      </c>
      <c r="B527" s="1" t="n">
        <v>45672.59090277777</v>
      </c>
      <c r="C527" s="1" t="n">
        <v>45964</v>
      </c>
      <c r="D527" t="inlineStr">
        <is>
          <t>VÄSTERBOTTENS LÄN</t>
        </is>
      </c>
      <c r="E527" t="inlineStr">
        <is>
          <t>SKELLEFTEÅ</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27439-2024</t>
        </is>
      </c>
      <c r="B528" s="1" t="n">
        <v>45474</v>
      </c>
      <c r="C528" s="1" t="n">
        <v>45964</v>
      </c>
      <c r="D528" t="inlineStr">
        <is>
          <t>VÄSTERBOTTENS LÄN</t>
        </is>
      </c>
      <c r="E528" t="inlineStr">
        <is>
          <t>SKELLEFTEÅ</t>
        </is>
      </c>
      <c r="G528" t="n">
        <v>3.7</v>
      </c>
      <c r="H528" t="n">
        <v>0</v>
      </c>
      <c r="I528" t="n">
        <v>0</v>
      </c>
      <c r="J528" t="n">
        <v>0</v>
      </c>
      <c r="K528" t="n">
        <v>0</v>
      </c>
      <c r="L528" t="n">
        <v>0</v>
      </c>
      <c r="M528" t="n">
        <v>0</v>
      </c>
      <c r="N528" t="n">
        <v>0</v>
      </c>
      <c r="O528" t="n">
        <v>0</v>
      </c>
      <c r="P528" t="n">
        <v>0</v>
      </c>
      <c r="Q528" t="n">
        <v>0</v>
      </c>
      <c r="R528" s="2" t="inlineStr"/>
    </row>
    <row r="529" ht="15" customHeight="1">
      <c r="A529" t="inlineStr">
        <is>
          <t>A 50894-2024</t>
        </is>
      </c>
      <c r="B529" s="1" t="n">
        <v>45602.67774305555</v>
      </c>
      <c r="C529" s="1" t="n">
        <v>45964</v>
      </c>
      <c r="D529" t="inlineStr">
        <is>
          <t>VÄSTERBOTTENS LÄN</t>
        </is>
      </c>
      <c r="E529" t="inlineStr">
        <is>
          <t>SKELLEFTEÅ</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38957-2024</t>
        </is>
      </c>
      <c r="B530" s="1" t="n">
        <v>45548.35662037037</v>
      </c>
      <c r="C530" s="1" t="n">
        <v>45964</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12772-2024</t>
        </is>
      </c>
      <c r="B531" s="1" t="n">
        <v>45384</v>
      </c>
      <c r="C531" s="1" t="n">
        <v>45964</v>
      </c>
      <c r="D531" t="inlineStr">
        <is>
          <t>VÄSTERBOTTENS LÄN</t>
        </is>
      </c>
      <c r="E531" t="inlineStr">
        <is>
          <t>SKELLEFTEÅ</t>
        </is>
      </c>
      <c r="G531" t="n">
        <v>0.2</v>
      </c>
      <c r="H531" t="n">
        <v>0</v>
      </c>
      <c r="I531" t="n">
        <v>0</v>
      </c>
      <c r="J531" t="n">
        <v>0</v>
      </c>
      <c r="K531" t="n">
        <v>0</v>
      </c>
      <c r="L531" t="n">
        <v>0</v>
      </c>
      <c r="M531" t="n">
        <v>0</v>
      </c>
      <c r="N531" t="n">
        <v>0</v>
      </c>
      <c r="O531" t="n">
        <v>0</v>
      </c>
      <c r="P531" t="n">
        <v>0</v>
      </c>
      <c r="Q531" t="n">
        <v>0</v>
      </c>
      <c r="R531" s="2" t="inlineStr"/>
    </row>
    <row r="532" ht="15" customHeight="1">
      <c r="A532" t="inlineStr">
        <is>
          <t>A 65382-2020</t>
        </is>
      </c>
      <c r="B532" s="1" t="n">
        <v>44173</v>
      </c>
      <c r="C532" s="1" t="n">
        <v>45964</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5220-2024</t>
        </is>
      </c>
      <c r="B533" s="1" t="n">
        <v>45330</v>
      </c>
      <c r="C533" s="1" t="n">
        <v>45964</v>
      </c>
      <c r="D533" t="inlineStr">
        <is>
          <t>VÄSTERBOTTENS LÄN</t>
        </is>
      </c>
      <c r="E533" t="inlineStr">
        <is>
          <t>SKELLEFTEÅ</t>
        </is>
      </c>
      <c r="G533" t="n">
        <v>2.8</v>
      </c>
      <c r="H533" t="n">
        <v>0</v>
      </c>
      <c r="I533" t="n">
        <v>0</v>
      </c>
      <c r="J533" t="n">
        <v>0</v>
      </c>
      <c r="K533" t="n">
        <v>0</v>
      </c>
      <c r="L533" t="n">
        <v>0</v>
      </c>
      <c r="M533" t="n">
        <v>0</v>
      </c>
      <c r="N533" t="n">
        <v>0</v>
      </c>
      <c r="O533" t="n">
        <v>0</v>
      </c>
      <c r="P533" t="n">
        <v>0</v>
      </c>
      <c r="Q533" t="n">
        <v>0</v>
      </c>
      <c r="R533" s="2" t="inlineStr"/>
    </row>
    <row r="534" ht="15" customHeight="1">
      <c r="A534" t="inlineStr">
        <is>
          <t>A 42798-2022</t>
        </is>
      </c>
      <c r="B534" s="1" t="n">
        <v>44832</v>
      </c>
      <c r="C534" s="1" t="n">
        <v>45964</v>
      </c>
      <c r="D534" t="inlineStr">
        <is>
          <t>VÄSTERBOTTENS LÄN</t>
        </is>
      </c>
      <c r="E534" t="inlineStr">
        <is>
          <t>SKELLEFTEÅ</t>
        </is>
      </c>
      <c r="G534" t="n">
        <v>4.5</v>
      </c>
      <c r="H534" t="n">
        <v>0</v>
      </c>
      <c r="I534" t="n">
        <v>0</v>
      </c>
      <c r="J534" t="n">
        <v>0</v>
      </c>
      <c r="K534" t="n">
        <v>0</v>
      </c>
      <c r="L534" t="n">
        <v>0</v>
      </c>
      <c r="M534" t="n">
        <v>0</v>
      </c>
      <c r="N534" t="n">
        <v>0</v>
      </c>
      <c r="O534" t="n">
        <v>0</v>
      </c>
      <c r="P534" t="n">
        <v>0</v>
      </c>
      <c r="Q534" t="n">
        <v>0</v>
      </c>
      <c r="R534" s="2" t="inlineStr"/>
    </row>
    <row r="535" ht="15" customHeight="1">
      <c r="A535" t="inlineStr">
        <is>
          <t>A 18291-2025</t>
        </is>
      </c>
      <c r="B535" s="1" t="n">
        <v>45762.41027777778</v>
      </c>
      <c r="C535" s="1" t="n">
        <v>45964</v>
      </c>
      <c r="D535" t="inlineStr">
        <is>
          <t>VÄSTERBOTTENS LÄN</t>
        </is>
      </c>
      <c r="E535" t="inlineStr">
        <is>
          <t>SKELLEFTEÅ</t>
        </is>
      </c>
      <c r="G535" t="n">
        <v>1.6</v>
      </c>
      <c r="H535" t="n">
        <v>0</v>
      </c>
      <c r="I535" t="n">
        <v>0</v>
      </c>
      <c r="J535" t="n">
        <v>0</v>
      </c>
      <c r="K535" t="n">
        <v>0</v>
      </c>
      <c r="L535" t="n">
        <v>0</v>
      </c>
      <c r="M535" t="n">
        <v>0</v>
      </c>
      <c r="N535" t="n">
        <v>0</v>
      </c>
      <c r="O535" t="n">
        <v>0</v>
      </c>
      <c r="P535" t="n">
        <v>0</v>
      </c>
      <c r="Q535" t="n">
        <v>0</v>
      </c>
      <c r="R535" s="2" t="inlineStr"/>
    </row>
    <row r="536" ht="15" customHeight="1">
      <c r="A536" t="inlineStr">
        <is>
          <t>A 2439-2023</t>
        </is>
      </c>
      <c r="B536" s="1" t="n">
        <v>44942</v>
      </c>
      <c r="C536" s="1" t="n">
        <v>45964</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50070-2024</t>
        </is>
      </c>
      <c r="B537" s="1" t="n">
        <v>45600.35901620371</v>
      </c>
      <c r="C537" s="1" t="n">
        <v>45964</v>
      </c>
      <c r="D537" t="inlineStr">
        <is>
          <t>VÄSTERBOTTENS LÄN</t>
        </is>
      </c>
      <c r="E537" t="inlineStr">
        <is>
          <t>SKELLEFTEÅ</t>
        </is>
      </c>
      <c r="F537" t="inlineStr">
        <is>
          <t>Kommuner</t>
        </is>
      </c>
      <c r="G537" t="n">
        <v>4.6</v>
      </c>
      <c r="H537" t="n">
        <v>0</v>
      </c>
      <c r="I537" t="n">
        <v>0</v>
      </c>
      <c r="J537" t="n">
        <v>0</v>
      </c>
      <c r="K537" t="n">
        <v>0</v>
      </c>
      <c r="L537" t="n">
        <v>0</v>
      </c>
      <c r="M537" t="n">
        <v>0</v>
      </c>
      <c r="N537" t="n">
        <v>0</v>
      </c>
      <c r="O537" t="n">
        <v>0</v>
      </c>
      <c r="P537" t="n">
        <v>0</v>
      </c>
      <c r="Q537" t="n">
        <v>0</v>
      </c>
      <c r="R537" s="2" t="inlineStr"/>
    </row>
    <row r="538" ht="15" customHeight="1">
      <c r="A538" t="inlineStr">
        <is>
          <t>A 73833-2021</t>
        </is>
      </c>
      <c r="B538" s="1" t="n">
        <v>44552.92071759259</v>
      </c>
      <c r="C538" s="1" t="n">
        <v>45964</v>
      </c>
      <c r="D538" t="inlineStr">
        <is>
          <t>VÄSTERBOTTENS LÄN</t>
        </is>
      </c>
      <c r="E538" t="inlineStr">
        <is>
          <t>SKELLEFTEÅ</t>
        </is>
      </c>
      <c r="G538" t="n">
        <v>2.2</v>
      </c>
      <c r="H538" t="n">
        <v>0</v>
      </c>
      <c r="I538" t="n">
        <v>0</v>
      </c>
      <c r="J538" t="n">
        <v>0</v>
      </c>
      <c r="K538" t="n">
        <v>0</v>
      </c>
      <c r="L538" t="n">
        <v>0</v>
      </c>
      <c r="M538" t="n">
        <v>0</v>
      </c>
      <c r="N538" t="n">
        <v>0</v>
      </c>
      <c r="O538" t="n">
        <v>0</v>
      </c>
      <c r="P538" t="n">
        <v>0</v>
      </c>
      <c r="Q538" t="n">
        <v>0</v>
      </c>
      <c r="R538" s="2" t="inlineStr"/>
    </row>
    <row r="539" ht="15" customHeight="1">
      <c r="A539" t="inlineStr">
        <is>
          <t>A 31954-2022</t>
        </is>
      </c>
      <c r="B539" s="1" t="n">
        <v>44777.92450231482</v>
      </c>
      <c r="C539" s="1" t="n">
        <v>45964</v>
      </c>
      <c r="D539" t="inlineStr">
        <is>
          <t>VÄSTERBOTTENS LÄN</t>
        </is>
      </c>
      <c r="E539" t="inlineStr">
        <is>
          <t>SKELLEFTEÅ</t>
        </is>
      </c>
      <c r="G539" t="n">
        <v>0.4</v>
      </c>
      <c r="H539" t="n">
        <v>0</v>
      </c>
      <c r="I539" t="n">
        <v>0</v>
      </c>
      <c r="J539" t="n">
        <v>0</v>
      </c>
      <c r="K539" t="n">
        <v>0</v>
      </c>
      <c r="L539" t="n">
        <v>0</v>
      </c>
      <c r="M539" t="n">
        <v>0</v>
      </c>
      <c r="N539" t="n">
        <v>0</v>
      </c>
      <c r="O539" t="n">
        <v>0</v>
      </c>
      <c r="P539" t="n">
        <v>0</v>
      </c>
      <c r="Q539" t="n">
        <v>0</v>
      </c>
      <c r="R539" s="2" t="inlineStr"/>
    </row>
    <row r="540" ht="15" customHeight="1">
      <c r="A540" t="inlineStr">
        <is>
          <t>A 1853-2023</t>
        </is>
      </c>
      <c r="B540" s="1" t="n">
        <v>44938.90767361111</v>
      </c>
      <c r="C540" s="1" t="n">
        <v>45964</v>
      </c>
      <c r="D540" t="inlineStr">
        <is>
          <t>VÄSTERBOTTENS LÄN</t>
        </is>
      </c>
      <c r="E540" t="inlineStr">
        <is>
          <t>SKELLEFTEÅ</t>
        </is>
      </c>
      <c r="G540" t="n">
        <v>1.8</v>
      </c>
      <c r="H540" t="n">
        <v>0</v>
      </c>
      <c r="I540" t="n">
        <v>0</v>
      </c>
      <c r="J540" t="n">
        <v>0</v>
      </c>
      <c r="K540" t="n">
        <v>0</v>
      </c>
      <c r="L540" t="n">
        <v>0</v>
      </c>
      <c r="M540" t="n">
        <v>0</v>
      </c>
      <c r="N540" t="n">
        <v>0</v>
      </c>
      <c r="O540" t="n">
        <v>0</v>
      </c>
      <c r="P540" t="n">
        <v>0</v>
      </c>
      <c r="Q540" t="n">
        <v>0</v>
      </c>
      <c r="R540" s="2" t="inlineStr"/>
    </row>
    <row r="541" ht="15" customHeight="1">
      <c r="A541" t="inlineStr">
        <is>
          <t>A 1612-2023</t>
        </is>
      </c>
      <c r="B541" s="1" t="n">
        <v>44935</v>
      </c>
      <c r="C541" s="1" t="n">
        <v>45964</v>
      </c>
      <c r="D541" t="inlineStr">
        <is>
          <t>VÄSTERBOTTENS LÄN</t>
        </is>
      </c>
      <c r="E541" t="inlineStr">
        <is>
          <t>SKELLEFTEÅ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47155-2023</t>
        </is>
      </c>
      <c r="B542" s="1" t="n">
        <v>45201.92517361111</v>
      </c>
      <c r="C542" s="1" t="n">
        <v>45964</v>
      </c>
      <c r="D542" t="inlineStr">
        <is>
          <t>VÄSTERBOTTENS LÄN</t>
        </is>
      </c>
      <c r="E542" t="inlineStr">
        <is>
          <t>SKELLEFTEÅ</t>
        </is>
      </c>
      <c r="G542" t="n">
        <v>3.1</v>
      </c>
      <c r="H542" t="n">
        <v>0</v>
      </c>
      <c r="I542" t="n">
        <v>0</v>
      </c>
      <c r="J542" t="n">
        <v>0</v>
      </c>
      <c r="K542" t="n">
        <v>0</v>
      </c>
      <c r="L542" t="n">
        <v>0</v>
      </c>
      <c r="M542" t="n">
        <v>0</v>
      </c>
      <c r="N542" t="n">
        <v>0</v>
      </c>
      <c r="O542" t="n">
        <v>0</v>
      </c>
      <c r="P542" t="n">
        <v>0</v>
      </c>
      <c r="Q542" t="n">
        <v>0</v>
      </c>
      <c r="R542" s="2" t="inlineStr"/>
    </row>
    <row r="543" ht="15" customHeight="1">
      <c r="A543" t="inlineStr">
        <is>
          <t>A 62592-2020</t>
        </is>
      </c>
      <c r="B543" s="1" t="n">
        <v>44161</v>
      </c>
      <c r="C543" s="1" t="n">
        <v>45964</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573-2025</t>
        </is>
      </c>
      <c r="B544" s="1" t="n">
        <v>45660</v>
      </c>
      <c r="C544" s="1" t="n">
        <v>45964</v>
      </c>
      <c r="D544" t="inlineStr">
        <is>
          <t>VÄSTERBOTTENS LÄN</t>
        </is>
      </c>
      <c r="E544" t="inlineStr">
        <is>
          <t>SKELLEFTEÅ</t>
        </is>
      </c>
      <c r="G544" t="n">
        <v>8.6</v>
      </c>
      <c r="H544" t="n">
        <v>0</v>
      </c>
      <c r="I544" t="n">
        <v>0</v>
      </c>
      <c r="J544" t="n">
        <v>0</v>
      </c>
      <c r="K544" t="n">
        <v>0</v>
      </c>
      <c r="L544" t="n">
        <v>0</v>
      </c>
      <c r="M544" t="n">
        <v>0</v>
      </c>
      <c r="N544" t="n">
        <v>0</v>
      </c>
      <c r="O544" t="n">
        <v>0</v>
      </c>
      <c r="P544" t="n">
        <v>0</v>
      </c>
      <c r="Q544" t="n">
        <v>0</v>
      </c>
      <c r="R544" s="2" t="inlineStr"/>
    </row>
    <row r="545" ht="15" customHeight="1">
      <c r="A545" t="inlineStr">
        <is>
          <t>A 67678-2020</t>
        </is>
      </c>
      <c r="B545" s="1" t="n">
        <v>44182</v>
      </c>
      <c r="C545" s="1" t="n">
        <v>45964</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580-2025</t>
        </is>
      </c>
      <c r="B546" s="1" t="n">
        <v>45660</v>
      </c>
      <c r="C546" s="1" t="n">
        <v>45964</v>
      </c>
      <c r="D546" t="inlineStr">
        <is>
          <t>VÄSTERBOTTENS LÄN</t>
        </is>
      </c>
      <c r="E546" t="inlineStr">
        <is>
          <t>SKELLEFTEÅ</t>
        </is>
      </c>
      <c r="G546" t="n">
        <v>1.2</v>
      </c>
      <c r="H546" t="n">
        <v>0</v>
      </c>
      <c r="I546" t="n">
        <v>0</v>
      </c>
      <c r="J546" t="n">
        <v>0</v>
      </c>
      <c r="K546" t="n">
        <v>0</v>
      </c>
      <c r="L546" t="n">
        <v>0</v>
      </c>
      <c r="M546" t="n">
        <v>0</v>
      </c>
      <c r="N546" t="n">
        <v>0</v>
      </c>
      <c r="O546" t="n">
        <v>0</v>
      </c>
      <c r="P546" t="n">
        <v>0</v>
      </c>
      <c r="Q546" t="n">
        <v>0</v>
      </c>
      <c r="R546" s="2" t="inlineStr"/>
    </row>
    <row r="547" ht="15" customHeight="1">
      <c r="A547" t="inlineStr">
        <is>
          <t>A 8928-2024</t>
        </is>
      </c>
      <c r="B547" s="1" t="n">
        <v>45357.39643518518</v>
      </c>
      <c r="C547" s="1" t="n">
        <v>45964</v>
      </c>
      <c r="D547" t="inlineStr">
        <is>
          <t>VÄSTERBOTTENS LÄN</t>
        </is>
      </c>
      <c r="E547" t="inlineStr">
        <is>
          <t>SKELLEFTEÅ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44100-2024</t>
        </is>
      </c>
      <c r="B548" s="1" t="n">
        <v>45572.62739583333</v>
      </c>
      <c r="C548" s="1" t="n">
        <v>45964</v>
      </c>
      <c r="D548" t="inlineStr">
        <is>
          <t>VÄSTERBOTTENS LÄN</t>
        </is>
      </c>
      <c r="E548" t="inlineStr">
        <is>
          <t>SKELLEFTEÅ</t>
        </is>
      </c>
      <c r="F548" t="inlineStr">
        <is>
          <t>Holmen skog AB</t>
        </is>
      </c>
      <c r="G548" t="n">
        <v>6.7</v>
      </c>
      <c r="H548" t="n">
        <v>0</v>
      </c>
      <c r="I548" t="n">
        <v>0</v>
      </c>
      <c r="J548" t="n">
        <v>0</v>
      </c>
      <c r="K548" t="n">
        <v>0</v>
      </c>
      <c r="L548" t="n">
        <v>0</v>
      </c>
      <c r="M548" t="n">
        <v>0</v>
      </c>
      <c r="N548" t="n">
        <v>0</v>
      </c>
      <c r="O548" t="n">
        <v>0</v>
      </c>
      <c r="P548" t="n">
        <v>0</v>
      </c>
      <c r="Q548" t="n">
        <v>0</v>
      </c>
      <c r="R548" s="2" t="inlineStr"/>
    </row>
    <row r="549" ht="15" customHeight="1">
      <c r="A549" t="inlineStr">
        <is>
          <t>A 4005-2022</t>
        </is>
      </c>
      <c r="B549" s="1" t="n">
        <v>44587.92012731481</v>
      </c>
      <c r="C549" s="1" t="n">
        <v>45964</v>
      </c>
      <c r="D549" t="inlineStr">
        <is>
          <t>VÄSTERBOTTENS LÄN</t>
        </is>
      </c>
      <c r="E549" t="inlineStr">
        <is>
          <t>SKELLEFTEÅ</t>
        </is>
      </c>
      <c r="G549" t="n">
        <v>5</v>
      </c>
      <c r="H549" t="n">
        <v>0</v>
      </c>
      <c r="I549" t="n">
        <v>0</v>
      </c>
      <c r="J549" t="n">
        <v>0</v>
      </c>
      <c r="K549" t="n">
        <v>0</v>
      </c>
      <c r="L549" t="n">
        <v>0</v>
      </c>
      <c r="M549" t="n">
        <v>0</v>
      </c>
      <c r="N549" t="n">
        <v>0</v>
      </c>
      <c r="O549" t="n">
        <v>0</v>
      </c>
      <c r="P549" t="n">
        <v>0</v>
      </c>
      <c r="Q549" t="n">
        <v>0</v>
      </c>
      <c r="R549" s="2" t="inlineStr"/>
    </row>
    <row r="550" ht="15" customHeight="1">
      <c r="A550" t="inlineStr">
        <is>
          <t>A 63010-2023</t>
        </is>
      </c>
      <c r="B550" s="1" t="n">
        <v>45272</v>
      </c>
      <c r="C550" s="1" t="n">
        <v>45964</v>
      </c>
      <c r="D550" t="inlineStr">
        <is>
          <t>VÄSTERBOTTENS LÄN</t>
        </is>
      </c>
      <c r="E550" t="inlineStr">
        <is>
          <t>SKELLEFTEÅ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33274-2023</t>
        </is>
      </c>
      <c r="B551" s="1" t="n">
        <v>45127.59840277778</v>
      </c>
      <c r="C551" s="1" t="n">
        <v>45964</v>
      </c>
      <c r="D551" t="inlineStr">
        <is>
          <t>VÄSTERBOTTENS LÄN</t>
        </is>
      </c>
      <c r="E551" t="inlineStr">
        <is>
          <t>SKELLEFTEÅ</t>
        </is>
      </c>
      <c r="F551" t="inlineStr">
        <is>
          <t>Holmen skog AB</t>
        </is>
      </c>
      <c r="G551" t="n">
        <v>4.8</v>
      </c>
      <c r="H551" t="n">
        <v>0</v>
      </c>
      <c r="I551" t="n">
        <v>0</v>
      </c>
      <c r="J551" t="n">
        <v>0</v>
      </c>
      <c r="K551" t="n">
        <v>0</v>
      </c>
      <c r="L551" t="n">
        <v>0</v>
      </c>
      <c r="M551" t="n">
        <v>0</v>
      </c>
      <c r="N551" t="n">
        <v>0</v>
      </c>
      <c r="O551" t="n">
        <v>0</v>
      </c>
      <c r="P551" t="n">
        <v>0</v>
      </c>
      <c r="Q551" t="n">
        <v>0</v>
      </c>
      <c r="R551" s="2" t="inlineStr"/>
    </row>
    <row r="552" ht="15" customHeight="1">
      <c r="A552" t="inlineStr">
        <is>
          <t>A 63525-2023</t>
        </is>
      </c>
      <c r="B552" s="1" t="n">
        <v>45274</v>
      </c>
      <c r="C552" s="1" t="n">
        <v>45964</v>
      </c>
      <c r="D552" t="inlineStr">
        <is>
          <t>VÄSTERBOTTENS LÄN</t>
        </is>
      </c>
      <c r="E552" t="inlineStr">
        <is>
          <t>SKELLEFTEÅ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61188-2023</t>
        </is>
      </c>
      <c r="B553" s="1" t="n">
        <v>45264</v>
      </c>
      <c r="C553" s="1" t="n">
        <v>45964</v>
      </c>
      <c r="D553" t="inlineStr">
        <is>
          <t>VÄSTERBOTTENS LÄN</t>
        </is>
      </c>
      <c r="E553" t="inlineStr">
        <is>
          <t>SKELLEFTEÅ</t>
        </is>
      </c>
      <c r="F553" t="inlineStr">
        <is>
          <t>Sveaskog</t>
        </is>
      </c>
      <c r="G553" t="n">
        <v>7.3</v>
      </c>
      <c r="H553" t="n">
        <v>0</v>
      </c>
      <c r="I553" t="n">
        <v>0</v>
      </c>
      <c r="J553" t="n">
        <v>0</v>
      </c>
      <c r="K553" t="n">
        <v>0</v>
      </c>
      <c r="L553" t="n">
        <v>0</v>
      </c>
      <c r="M553" t="n">
        <v>0</v>
      </c>
      <c r="N553" t="n">
        <v>0</v>
      </c>
      <c r="O553" t="n">
        <v>0</v>
      </c>
      <c r="P553" t="n">
        <v>0</v>
      </c>
      <c r="Q553" t="n">
        <v>0</v>
      </c>
      <c r="R553" s="2" t="inlineStr"/>
    </row>
    <row r="554" ht="15" customHeight="1">
      <c r="A554" t="inlineStr">
        <is>
          <t>A 11963-2023</t>
        </is>
      </c>
      <c r="B554" s="1" t="n">
        <v>44994</v>
      </c>
      <c r="C554" s="1" t="n">
        <v>45964</v>
      </c>
      <c r="D554" t="inlineStr">
        <is>
          <t>VÄSTERBOTTENS LÄN</t>
        </is>
      </c>
      <c r="E554" t="inlineStr">
        <is>
          <t>SKELLEFTEÅ</t>
        </is>
      </c>
      <c r="G554" t="n">
        <v>2.8</v>
      </c>
      <c r="H554" t="n">
        <v>0</v>
      </c>
      <c r="I554" t="n">
        <v>0</v>
      </c>
      <c r="J554" t="n">
        <v>0</v>
      </c>
      <c r="K554" t="n">
        <v>0</v>
      </c>
      <c r="L554" t="n">
        <v>0</v>
      </c>
      <c r="M554" t="n">
        <v>0</v>
      </c>
      <c r="N554" t="n">
        <v>0</v>
      </c>
      <c r="O554" t="n">
        <v>0</v>
      </c>
      <c r="P554" t="n">
        <v>0</v>
      </c>
      <c r="Q554" t="n">
        <v>0</v>
      </c>
      <c r="R554" s="2" t="inlineStr"/>
    </row>
    <row r="555" ht="15" customHeight="1">
      <c r="A555" t="inlineStr">
        <is>
          <t>A 26545-2022</t>
        </is>
      </c>
      <c r="B555" s="1" t="n">
        <v>44739.46318287037</v>
      </c>
      <c r="C555" s="1" t="n">
        <v>45964</v>
      </c>
      <c r="D555" t="inlineStr">
        <is>
          <t>VÄSTERBOTTENS LÄN</t>
        </is>
      </c>
      <c r="E555" t="inlineStr">
        <is>
          <t>SKELLEFTEÅ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9079-2023</t>
        </is>
      </c>
      <c r="B556" s="1" t="n">
        <v>44979.92408564815</v>
      </c>
      <c r="C556" s="1" t="n">
        <v>45964</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19582-2024</t>
        </is>
      </c>
      <c r="B557" s="1" t="n">
        <v>45429.92415509259</v>
      </c>
      <c r="C557" s="1" t="n">
        <v>45964</v>
      </c>
      <c r="D557" t="inlineStr">
        <is>
          <t>VÄSTERBOTTENS LÄN</t>
        </is>
      </c>
      <c r="E557" t="inlineStr">
        <is>
          <t>SKELLEFTEÅ</t>
        </is>
      </c>
      <c r="G557" t="n">
        <v>0.6</v>
      </c>
      <c r="H557" t="n">
        <v>0</v>
      </c>
      <c r="I557" t="n">
        <v>0</v>
      </c>
      <c r="J557" t="n">
        <v>0</v>
      </c>
      <c r="K557" t="n">
        <v>0</v>
      </c>
      <c r="L557" t="n">
        <v>0</v>
      </c>
      <c r="M557" t="n">
        <v>0</v>
      </c>
      <c r="N557" t="n">
        <v>0</v>
      </c>
      <c r="O557" t="n">
        <v>0</v>
      </c>
      <c r="P557" t="n">
        <v>0</v>
      </c>
      <c r="Q557" t="n">
        <v>0</v>
      </c>
      <c r="R557" s="2" t="inlineStr"/>
    </row>
    <row r="558" ht="15" customHeight="1">
      <c r="A558" t="inlineStr">
        <is>
          <t>A 31760-2023</t>
        </is>
      </c>
      <c r="B558" s="1" t="n">
        <v>45106</v>
      </c>
      <c r="C558" s="1" t="n">
        <v>45964</v>
      </c>
      <c r="D558" t="inlineStr">
        <is>
          <t>VÄSTERBOTTENS LÄN</t>
        </is>
      </c>
      <c r="E558" t="inlineStr">
        <is>
          <t>SKELLEFTEÅ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1640-2023</t>
        </is>
      </c>
      <c r="B559" s="1" t="n">
        <v>44937</v>
      </c>
      <c r="C559" s="1" t="n">
        <v>45964</v>
      </c>
      <c r="D559" t="inlineStr">
        <is>
          <t>VÄSTERBOTTENS LÄN</t>
        </is>
      </c>
      <c r="E559" t="inlineStr">
        <is>
          <t>SKELLEFTEÅ</t>
        </is>
      </c>
      <c r="G559" t="n">
        <v>5</v>
      </c>
      <c r="H559" t="n">
        <v>0</v>
      </c>
      <c r="I559" t="n">
        <v>0</v>
      </c>
      <c r="J559" t="n">
        <v>0</v>
      </c>
      <c r="K559" t="n">
        <v>0</v>
      </c>
      <c r="L559" t="n">
        <v>0</v>
      </c>
      <c r="M559" t="n">
        <v>0</v>
      </c>
      <c r="N559" t="n">
        <v>0</v>
      </c>
      <c r="O559" t="n">
        <v>0</v>
      </c>
      <c r="P559" t="n">
        <v>0</v>
      </c>
      <c r="Q559" t="n">
        <v>0</v>
      </c>
      <c r="R559" s="2" t="inlineStr"/>
    </row>
    <row r="560" ht="15" customHeight="1">
      <c r="A560" t="inlineStr">
        <is>
          <t>A 20193-2025</t>
        </is>
      </c>
      <c r="B560" s="1" t="n">
        <v>45772</v>
      </c>
      <c r="C560" s="1" t="n">
        <v>45964</v>
      </c>
      <c r="D560" t="inlineStr">
        <is>
          <t>VÄSTERBOTTENS LÄN</t>
        </is>
      </c>
      <c r="E560" t="inlineStr">
        <is>
          <t>SKELLEFTEÅ</t>
        </is>
      </c>
      <c r="G560" t="n">
        <v>1.8</v>
      </c>
      <c r="H560" t="n">
        <v>0</v>
      </c>
      <c r="I560" t="n">
        <v>0</v>
      </c>
      <c r="J560" t="n">
        <v>0</v>
      </c>
      <c r="K560" t="n">
        <v>0</v>
      </c>
      <c r="L560" t="n">
        <v>0</v>
      </c>
      <c r="M560" t="n">
        <v>0</v>
      </c>
      <c r="N560" t="n">
        <v>0</v>
      </c>
      <c r="O560" t="n">
        <v>0</v>
      </c>
      <c r="P560" t="n">
        <v>0</v>
      </c>
      <c r="Q560" t="n">
        <v>0</v>
      </c>
      <c r="R560" s="2" t="inlineStr"/>
    </row>
    <row r="561" ht="15" customHeight="1">
      <c r="A561" t="inlineStr">
        <is>
          <t>A 40787-2024</t>
        </is>
      </c>
      <c r="B561" s="1" t="n">
        <v>45558</v>
      </c>
      <c r="C561" s="1" t="n">
        <v>45964</v>
      </c>
      <c r="D561" t="inlineStr">
        <is>
          <t>VÄSTERBOTTENS LÄN</t>
        </is>
      </c>
      <c r="E561" t="inlineStr">
        <is>
          <t>SKELLEFTEÅ</t>
        </is>
      </c>
      <c r="G561" t="n">
        <v>2.9</v>
      </c>
      <c r="H561" t="n">
        <v>0</v>
      </c>
      <c r="I561" t="n">
        <v>0</v>
      </c>
      <c r="J561" t="n">
        <v>0</v>
      </c>
      <c r="K561" t="n">
        <v>0</v>
      </c>
      <c r="L561" t="n">
        <v>0</v>
      </c>
      <c r="M561" t="n">
        <v>0</v>
      </c>
      <c r="N561" t="n">
        <v>0</v>
      </c>
      <c r="O561" t="n">
        <v>0</v>
      </c>
      <c r="P561" t="n">
        <v>0</v>
      </c>
      <c r="Q561" t="n">
        <v>0</v>
      </c>
      <c r="R561" s="2" t="inlineStr"/>
    </row>
    <row r="562" ht="15" customHeight="1">
      <c r="A562" t="inlineStr">
        <is>
          <t>A 20218-2025</t>
        </is>
      </c>
      <c r="B562" s="1" t="n">
        <v>45772</v>
      </c>
      <c r="C562" s="1" t="n">
        <v>45964</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3445-2024</t>
        </is>
      </c>
      <c r="B563" s="1" t="n">
        <v>45320</v>
      </c>
      <c r="C563" s="1" t="n">
        <v>45964</v>
      </c>
      <c r="D563" t="inlineStr">
        <is>
          <t>VÄSTERBOTTENS LÄN</t>
        </is>
      </c>
      <c r="E563" t="inlineStr">
        <is>
          <t>SKELLEFTEÅ</t>
        </is>
      </c>
      <c r="G563" t="n">
        <v>19.1</v>
      </c>
      <c r="H563" t="n">
        <v>0</v>
      </c>
      <c r="I563" t="n">
        <v>0</v>
      </c>
      <c r="J563" t="n">
        <v>0</v>
      </c>
      <c r="K563" t="n">
        <v>0</v>
      </c>
      <c r="L563" t="n">
        <v>0</v>
      </c>
      <c r="M563" t="n">
        <v>0</v>
      </c>
      <c r="N563" t="n">
        <v>0</v>
      </c>
      <c r="O563" t="n">
        <v>0</v>
      </c>
      <c r="P563" t="n">
        <v>0</v>
      </c>
      <c r="Q563" t="n">
        <v>0</v>
      </c>
      <c r="R563" s="2" t="inlineStr"/>
    </row>
    <row r="564" ht="15" customHeight="1">
      <c r="A564" t="inlineStr">
        <is>
          <t>A 3453-2024</t>
        </is>
      </c>
      <c r="B564" s="1" t="n">
        <v>45320.39112268519</v>
      </c>
      <c r="C564" s="1" t="n">
        <v>45964</v>
      </c>
      <c r="D564" t="inlineStr">
        <is>
          <t>VÄSTERBOTTENS LÄN</t>
        </is>
      </c>
      <c r="E564" t="inlineStr">
        <is>
          <t>SKELLEFTEÅ</t>
        </is>
      </c>
      <c r="G564" t="n">
        <v>11.3</v>
      </c>
      <c r="H564" t="n">
        <v>0</v>
      </c>
      <c r="I564" t="n">
        <v>0</v>
      </c>
      <c r="J564" t="n">
        <v>0</v>
      </c>
      <c r="K564" t="n">
        <v>0</v>
      </c>
      <c r="L564" t="n">
        <v>0</v>
      </c>
      <c r="M564" t="n">
        <v>0</v>
      </c>
      <c r="N564" t="n">
        <v>0</v>
      </c>
      <c r="O564" t="n">
        <v>0</v>
      </c>
      <c r="P564" t="n">
        <v>0</v>
      </c>
      <c r="Q564" t="n">
        <v>0</v>
      </c>
      <c r="R564" s="2" t="inlineStr"/>
    </row>
    <row r="565" ht="15" customHeight="1">
      <c r="A565" t="inlineStr">
        <is>
          <t>A 42787-2023</t>
        </is>
      </c>
      <c r="B565" s="1" t="n">
        <v>45181</v>
      </c>
      <c r="C565" s="1" t="n">
        <v>45964</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33519-2021</t>
        </is>
      </c>
      <c r="B566" s="1" t="n">
        <v>44377.75302083333</v>
      </c>
      <c r="C566" s="1" t="n">
        <v>45964</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26257-2024</t>
        </is>
      </c>
      <c r="B567" s="1" t="n">
        <v>45468</v>
      </c>
      <c r="C567" s="1" t="n">
        <v>45964</v>
      </c>
      <c r="D567" t="inlineStr">
        <is>
          <t>VÄSTERBOTTENS LÄN</t>
        </is>
      </c>
      <c r="E567" t="inlineStr">
        <is>
          <t>SKELLEFTEÅ</t>
        </is>
      </c>
      <c r="G567" t="n">
        <v>1.2</v>
      </c>
      <c r="H567" t="n">
        <v>0</v>
      </c>
      <c r="I567" t="n">
        <v>0</v>
      </c>
      <c r="J567" t="n">
        <v>0</v>
      </c>
      <c r="K567" t="n">
        <v>0</v>
      </c>
      <c r="L567" t="n">
        <v>0</v>
      </c>
      <c r="M567" t="n">
        <v>0</v>
      </c>
      <c r="N567" t="n">
        <v>0</v>
      </c>
      <c r="O567" t="n">
        <v>0</v>
      </c>
      <c r="P567" t="n">
        <v>0</v>
      </c>
      <c r="Q567" t="n">
        <v>0</v>
      </c>
      <c r="R567" s="2" t="inlineStr"/>
    </row>
    <row r="568" ht="15" customHeight="1">
      <c r="A568" t="inlineStr">
        <is>
          <t>A 9183-2025</t>
        </is>
      </c>
      <c r="B568" s="1" t="n">
        <v>45714</v>
      </c>
      <c r="C568" s="1" t="n">
        <v>45964</v>
      </c>
      <c r="D568" t="inlineStr">
        <is>
          <t>VÄSTERBOTTENS LÄN</t>
        </is>
      </c>
      <c r="E568" t="inlineStr">
        <is>
          <t>SKELLEFTEÅ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28666-2021</t>
        </is>
      </c>
      <c r="B569" s="1" t="n">
        <v>44357</v>
      </c>
      <c r="C569" s="1" t="n">
        <v>45964</v>
      </c>
      <c r="D569" t="inlineStr">
        <is>
          <t>VÄSTERBOTTENS LÄN</t>
        </is>
      </c>
      <c r="E569" t="inlineStr">
        <is>
          <t>SKELLEFTEÅ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60498-2022</t>
        </is>
      </c>
      <c r="B570" s="1" t="n">
        <v>44911.44347222222</v>
      </c>
      <c r="C570" s="1" t="n">
        <v>45964</v>
      </c>
      <c r="D570" t="inlineStr">
        <is>
          <t>VÄSTERBOTTENS LÄN</t>
        </is>
      </c>
      <c r="E570" t="inlineStr">
        <is>
          <t>SKELLEFTEÅ</t>
        </is>
      </c>
      <c r="F570" t="inlineStr">
        <is>
          <t>Sveaskog</t>
        </is>
      </c>
      <c r="G570" t="n">
        <v>21.2</v>
      </c>
      <c r="H570" t="n">
        <v>0</v>
      </c>
      <c r="I570" t="n">
        <v>0</v>
      </c>
      <c r="J570" t="n">
        <v>0</v>
      </c>
      <c r="K570" t="n">
        <v>0</v>
      </c>
      <c r="L570" t="n">
        <v>0</v>
      </c>
      <c r="M570" t="n">
        <v>0</v>
      </c>
      <c r="N570" t="n">
        <v>0</v>
      </c>
      <c r="O570" t="n">
        <v>0</v>
      </c>
      <c r="P570" t="n">
        <v>0</v>
      </c>
      <c r="Q570" t="n">
        <v>0</v>
      </c>
      <c r="R570" s="2" t="inlineStr"/>
    </row>
    <row r="571" ht="15" customHeight="1">
      <c r="A571" t="inlineStr">
        <is>
          <t>A 22548-2023</t>
        </is>
      </c>
      <c r="B571" s="1" t="n">
        <v>45069</v>
      </c>
      <c r="C571" s="1" t="n">
        <v>45964</v>
      </c>
      <c r="D571" t="inlineStr">
        <is>
          <t>VÄSTERBOTTENS LÄN</t>
        </is>
      </c>
      <c r="E571" t="inlineStr">
        <is>
          <t>SKELLEFTEÅ</t>
        </is>
      </c>
      <c r="G571" t="n">
        <v>1.4</v>
      </c>
      <c r="H571" t="n">
        <v>0</v>
      </c>
      <c r="I571" t="n">
        <v>0</v>
      </c>
      <c r="J571" t="n">
        <v>0</v>
      </c>
      <c r="K571" t="n">
        <v>0</v>
      </c>
      <c r="L571" t="n">
        <v>0</v>
      </c>
      <c r="M571" t="n">
        <v>0</v>
      </c>
      <c r="N571" t="n">
        <v>0</v>
      </c>
      <c r="O571" t="n">
        <v>0</v>
      </c>
      <c r="P571" t="n">
        <v>0</v>
      </c>
      <c r="Q571" t="n">
        <v>0</v>
      </c>
      <c r="R571" s="2" t="inlineStr"/>
    </row>
    <row r="572" ht="15" customHeight="1">
      <c r="A572" t="inlineStr">
        <is>
          <t>A 35213-2024</t>
        </is>
      </c>
      <c r="B572" s="1" t="n">
        <v>45530</v>
      </c>
      <c r="C572" s="1" t="n">
        <v>45964</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33520-2021</t>
        </is>
      </c>
      <c r="B573" s="1" t="n">
        <v>44377.75653935185</v>
      </c>
      <c r="C573" s="1" t="n">
        <v>45964</v>
      </c>
      <c r="D573" t="inlineStr">
        <is>
          <t>VÄSTERBOTTENS LÄN</t>
        </is>
      </c>
      <c r="E573" t="inlineStr">
        <is>
          <t>SKELLEFTEÅ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64258-2023</t>
        </is>
      </c>
      <c r="B574" s="1" t="n">
        <v>45279</v>
      </c>
      <c r="C574" s="1" t="n">
        <v>45964</v>
      </c>
      <c r="D574" t="inlineStr">
        <is>
          <t>VÄSTERBOTTENS LÄN</t>
        </is>
      </c>
      <c r="E574" t="inlineStr">
        <is>
          <t>SKELLEFTEÅ</t>
        </is>
      </c>
      <c r="G574" t="n">
        <v>4</v>
      </c>
      <c r="H574" t="n">
        <v>0</v>
      </c>
      <c r="I574" t="n">
        <v>0</v>
      </c>
      <c r="J574" t="n">
        <v>0</v>
      </c>
      <c r="K574" t="n">
        <v>0</v>
      </c>
      <c r="L574" t="n">
        <v>0</v>
      </c>
      <c r="M574" t="n">
        <v>0</v>
      </c>
      <c r="N574" t="n">
        <v>0</v>
      </c>
      <c r="O574" t="n">
        <v>0</v>
      </c>
      <c r="P574" t="n">
        <v>0</v>
      </c>
      <c r="Q574" t="n">
        <v>0</v>
      </c>
      <c r="R574" s="2" t="inlineStr"/>
    </row>
    <row r="575" ht="15" customHeight="1">
      <c r="A575" t="inlineStr">
        <is>
          <t>A 560-2025</t>
        </is>
      </c>
      <c r="B575" s="1" t="n">
        <v>45660</v>
      </c>
      <c r="C575" s="1" t="n">
        <v>45964</v>
      </c>
      <c r="D575" t="inlineStr">
        <is>
          <t>VÄSTERBOTTENS LÄN</t>
        </is>
      </c>
      <c r="E575" t="inlineStr">
        <is>
          <t>SKELLEFTEÅ</t>
        </is>
      </c>
      <c r="G575" t="n">
        <v>5</v>
      </c>
      <c r="H575" t="n">
        <v>0</v>
      </c>
      <c r="I575" t="n">
        <v>0</v>
      </c>
      <c r="J575" t="n">
        <v>0</v>
      </c>
      <c r="K575" t="n">
        <v>0</v>
      </c>
      <c r="L575" t="n">
        <v>0</v>
      </c>
      <c r="M575" t="n">
        <v>0</v>
      </c>
      <c r="N575" t="n">
        <v>0</v>
      </c>
      <c r="O575" t="n">
        <v>0</v>
      </c>
      <c r="P575" t="n">
        <v>0</v>
      </c>
      <c r="Q575" t="n">
        <v>0</v>
      </c>
      <c r="R575" s="2" t="inlineStr"/>
    </row>
    <row r="576" ht="15" customHeight="1">
      <c r="A576" t="inlineStr">
        <is>
          <t>A 8203-2022</t>
        </is>
      </c>
      <c r="B576" s="1" t="n">
        <v>44609</v>
      </c>
      <c r="C576" s="1" t="n">
        <v>45964</v>
      </c>
      <c r="D576" t="inlineStr">
        <is>
          <t>VÄSTERBOTTENS LÄN</t>
        </is>
      </c>
      <c r="E576" t="inlineStr">
        <is>
          <t>SKELLEFTEÅ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24327-2023</t>
        </is>
      </c>
      <c r="B577" s="1" t="n">
        <v>45080</v>
      </c>
      <c r="C577" s="1" t="n">
        <v>45964</v>
      </c>
      <c r="D577" t="inlineStr">
        <is>
          <t>VÄSTERBOTTENS LÄN</t>
        </is>
      </c>
      <c r="E577" t="inlineStr">
        <is>
          <t>SKELLEFTEÅ</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14756-2022</t>
        </is>
      </c>
      <c r="B578" s="1" t="n">
        <v>44656</v>
      </c>
      <c r="C578" s="1" t="n">
        <v>45964</v>
      </c>
      <c r="D578" t="inlineStr">
        <is>
          <t>VÄSTERBOTTENS LÄN</t>
        </is>
      </c>
      <c r="E578" t="inlineStr">
        <is>
          <t>SKELLEFTEÅ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531-2023</t>
        </is>
      </c>
      <c r="B579" s="1" t="n">
        <v>44925</v>
      </c>
      <c r="C579" s="1" t="n">
        <v>45964</v>
      </c>
      <c r="D579" t="inlineStr">
        <is>
          <t>VÄSTERBOTTENS LÄN</t>
        </is>
      </c>
      <c r="E579" t="inlineStr">
        <is>
          <t>SKELLEFTEÅ</t>
        </is>
      </c>
      <c r="G579" t="n">
        <v>2.6</v>
      </c>
      <c r="H579" t="n">
        <v>0</v>
      </c>
      <c r="I579" t="n">
        <v>0</v>
      </c>
      <c r="J579" t="n">
        <v>0</v>
      </c>
      <c r="K579" t="n">
        <v>0</v>
      </c>
      <c r="L579" t="n">
        <v>0</v>
      </c>
      <c r="M579" t="n">
        <v>0</v>
      </c>
      <c r="N579" t="n">
        <v>0</v>
      </c>
      <c r="O579" t="n">
        <v>0</v>
      </c>
      <c r="P579" t="n">
        <v>0</v>
      </c>
      <c r="Q579" t="n">
        <v>0</v>
      </c>
      <c r="R579" s="2" t="inlineStr"/>
    </row>
    <row r="580" ht="15" customHeight="1">
      <c r="A580" t="inlineStr">
        <is>
          <t>A 53639-2022</t>
        </is>
      </c>
      <c r="B580" s="1" t="n">
        <v>44879.92975694445</v>
      </c>
      <c r="C580" s="1" t="n">
        <v>45964</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46048-2024</t>
        </is>
      </c>
      <c r="B581" s="1" t="n">
        <v>45580.85511574074</v>
      </c>
      <c r="C581" s="1" t="n">
        <v>45964</v>
      </c>
      <c r="D581" t="inlineStr">
        <is>
          <t>VÄSTERBOTTENS LÄN</t>
        </is>
      </c>
      <c r="E581" t="inlineStr">
        <is>
          <t>SKELLEFTEÅ</t>
        </is>
      </c>
      <c r="F581" t="inlineStr">
        <is>
          <t>Sveaskog</t>
        </is>
      </c>
      <c r="G581" t="n">
        <v>4.1</v>
      </c>
      <c r="H581" t="n">
        <v>0</v>
      </c>
      <c r="I581" t="n">
        <v>0</v>
      </c>
      <c r="J581" t="n">
        <v>0</v>
      </c>
      <c r="K581" t="n">
        <v>0</v>
      </c>
      <c r="L581" t="n">
        <v>0</v>
      </c>
      <c r="M581" t="n">
        <v>0</v>
      </c>
      <c r="N581" t="n">
        <v>0</v>
      </c>
      <c r="O581" t="n">
        <v>0</v>
      </c>
      <c r="P581" t="n">
        <v>0</v>
      </c>
      <c r="Q581" t="n">
        <v>0</v>
      </c>
      <c r="R581" s="2" t="inlineStr"/>
    </row>
    <row r="582" ht="15" customHeight="1">
      <c r="A582" t="inlineStr">
        <is>
          <t>A 26473-2021</t>
        </is>
      </c>
      <c r="B582" s="1" t="n">
        <v>44348</v>
      </c>
      <c r="C582" s="1" t="n">
        <v>45964</v>
      </c>
      <c r="D582" t="inlineStr">
        <is>
          <t>VÄSTERBOTTENS LÄN</t>
        </is>
      </c>
      <c r="E582" t="inlineStr">
        <is>
          <t>SKELLEFTEÅ</t>
        </is>
      </c>
      <c r="G582" t="n">
        <v>0.3</v>
      </c>
      <c r="H582" t="n">
        <v>0</v>
      </c>
      <c r="I582" t="n">
        <v>0</v>
      </c>
      <c r="J582" t="n">
        <v>0</v>
      </c>
      <c r="K582" t="n">
        <v>0</v>
      </c>
      <c r="L582" t="n">
        <v>0</v>
      </c>
      <c r="M582" t="n">
        <v>0</v>
      </c>
      <c r="N582" t="n">
        <v>0</v>
      </c>
      <c r="O582" t="n">
        <v>0</v>
      </c>
      <c r="P582" t="n">
        <v>0</v>
      </c>
      <c r="Q582" t="n">
        <v>0</v>
      </c>
      <c r="R582" s="2" t="inlineStr"/>
    </row>
    <row r="583" ht="15" customHeight="1">
      <c r="A583" t="inlineStr">
        <is>
          <t>A 45576-2023</t>
        </is>
      </c>
      <c r="B583" s="1" t="n">
        <v>45188</v>
      </c>
      <c r="C583" s="1" t="n">
        <v>45964</v>
      </c>
      <c r="D583" t="inlineStr">
        <is>
          <t>VÄSTERBOTTENS LÄN</t>
        </is>
      </c>
      <c r="E583" t="inlineStr">
        <is>
          <t>SKELLEFTEÅ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18498-2025</t>
        </is>
      </c>
      <c r="B584" s="1" t="n">
        <v>45763.35789351852</v>
      </c>
      <c r="C584" s="1" t="n">
        <v>45964</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59736-2021</t>
        </is>
      </c>
      <c r="B585" s="1" t="n">
        <v>44494.44145833333</v>
      </c>
      <c r="C585" s="1" t="n">
        <v>45964</v>
      </c>
      <c r="D585" t="inlineStr">
        <is>
          <t>VÄSTERBOTTENS LÄN</t>
        </is>
      </c>
      <c r="E585" t="inlineStr">
        <is>
          <t>SKELLEFTEÅ</t>
        </is>
      </c>
      <c r="F585" t="inlineStr">
        <is>
          <t>Sveaskog</t>
        </is>
      </c>
      <c r="G585" t="n">
        <v>13.1</v>
      </c>
      <c r="H585" t="n">
        <v>0</v>
      </c>
      <c r="I585" t="n">
        <v>0</v>
      </c>
      <c r="J585" t="n">
        <v>0</v>
      </c>
      <c r="K585" t="n">
        <v>0</v>
      </c>
      <c r="L585" t="n">
        <v>0</v>
      </c>
      <c r="M585" t="n">
        <v>0</v>
      </c>
      <c r="N585" t="n">
        <v>0</v>
      </c>
      <c r="O585" t="n">
        <v>0</v>
      </c>
      <c r="P585" t="n">
        <v>0</v>
      </c>
      <c r="Q585" t="n">
        <v>0</v>
      </c>
      <c r="R585" s="2" t="inlineStr"/>
    </row>
    <row r="586" ht="15" customHeight="1">
      <c r="A586" t="inlineStr">
        <is>
          <t>A 36513-2024</t>
        </is>
      </c>
      <c r="B586" s="1" t="n">
        <v>45537.42751157407</v>
      </c>
      <c r="C586" s="1" t="n">
        <v>45964</v>
      </c>
      <c r="D586" t="inlineStr">
        <is>
          <t>VÄSTERBOTTENS LÄN</t>
        </is>
      </c>
      <c r="E586" t="inlineStr">
        <is>
          <t>SKELLEFTEÅ</t>
        </is>
      </c>
      <c r="G586" t="n">
        <v>24</v>
      </c>
      <c r="H586" t="n">
        <v>0</v>
      </c>
      <c r="I586" t="n">
        <v>0</v>
      </c>
      <c r="J586" t="n">
        <v>0</v>
      </c>
      <c r="K586" t="n">
        <v>0</v>
      </c>
      <c r="L586" t="n">
        <v>0</v>
      </c>
      <c r="M586" t="n">
        <v>0</v>
      </c>
      <c r="N586" t="n">
        <v>0</v>
      </c>
      <c r="O586" t="n">
        <v>0</v>
      </c>
      <c r="P586" t="n">
        <v>0</v>
      </c>
      <c r="Q586" t="n">
        <v>0</v>
      </c>
      <c r="R586" s="2" t="inlineStr"/>
    </row>
    <row r="587" ht="15" customHeight="1">
      <c r="A587" t="inlineStr">
        <is>
          <t>A 16183-2023</t>
        </is>
      </c>
      <c r="B587" s="1" t="n">
        <v>45027</v>
      </c>
      <c r="C587" s="1" t="n">
        <v>45964</v>
      </c>
      <c r="D587" t="inlineStr">
        <is>
          <t>VÄSTERBOTTENS LÄN</t>
        </is>
      </c>
      <c r="E587" t="inlineStr">
        <is>
          <t>SKELLEFTEÅ</t>
        </is>
      </c>
      <c r="G587" t="n">
        <v>24.8</v>
      </c>
      <c r="H587" t="n">
        <v>0</v>
      </c>
      <c r="I587" t="n">
        <v>0</v>
      </c>
      <c r="J587" t="n">
        <v>0</v>
      </c>
      <c r="K587" t="n">
        <v>0</v>
      </c>
      <c r="L587" t="n">
        <v>0</v>
      </c>
      <c r="M587" t="n">
        <v>0</v>
      </c>
      <c r="N587" t="n">
        <v>0</v>
      </c>
      <c r="O587" t="n">
        <v>0</v>
      </c>
      <c r="P587" t="n">
        <v>0</v>
      </c>
      <c r="Q587" t="n">
        <v>0</v>
      </c>
      <c r="R587" s="2" t="inlineStr"/>
    </row>
    <row r="588" ht="15" customHeight="1">
      <c r="A588" t="inlineStr">
        <is>
          <t>A 31966-2024</t>
        </is>
      </c>
      <c r="B588" s="1" t="n">
        <v>45510.53748842593</v>
      </c>
      <c r="C588" s="1" t="n">
        <v>45964</v>
      </c>
      <c r="D588" t="inlineStr">
        <is>
          <t>VÄSTERBOTTENS LÄN</t>
        </is>
      </c>
      <c r="E588" t="inlineStr">
        <is>
          <t>SKELLEFTEÅ</t>
        </is>
      </c>
      <c r="F588" t="inlineStr">
        <is>
          <t>Holmen skog AB</t>
        </is>
      </c>
      <c r="G588" t="n">
        <v>6.5</v>
      </c>
      <c r="H588" t="n">
        <v>0</v>
      </c>
      <c r="I588" t="n">
        <v>0</v>
      </c>
      <c r="J588" t="n">
        <v>0</v>
      </c>
      <c r="K588" t="n">
        <v>0</v>
      </c>
      <c r="L588" t="n">
        <v>0</v>
      </c>
      <c r="M588" t="n">
        <v>0</v>
      </c>
      <c r="N588" t="n">
        <v>0</v>
      </c>
      <c r="O588" t="n">
        <v>0</v>
      </c>
      <c r="P588" t="n">
        <v>0</v>
      </c>
      <c r="Q588" t="n">
        <v>0</v>
      </c>
      <c r="R588" s="2" t="inlineStr"/>
    </row>
    <row r="589" ht="15" customHeight="1">
      <c r="A589" t="inlineStr">
        <is>
          <t>A 2326-2025</t>
        </is>
      </c>
      <c r="B589" s="1" t="n">
        <v>45673.63425925926</v>
      </c>
      <c r="C589" s="1" t="n">
        <v>45964</v>
      </c>
      <c r="D589" t="inlineStr">
        <is>
          <t>VÄSTERBOTTENS LÄN</t>
        </is>
      </c>
      <c r="E589" t="inlineStr">
        <is>
          <t>SKELLEFTEÅ</t>
        </is>
      </c>
      <c r="F589" t="inlineStr">
        <is>
          <t>Holmen skog AB</t>
        </is>
      </c>
      <c r="G589" t="n">
        <v>4.7</v>
      </c>
      <c r="H589" t="n">
        <v>0</v>
      </c>
      <c r="I589" t="n">
        <v>0</v>
      </c>
      <c r="J589" t="n">
        <v>0</v>
      </c>
      <c r="K589" t="n">
        <v>0</v>
      </c>
      <c r="L589" t="n">
        <v>0</v>
      </c>
      <c r="M589" t="n">
        <v>0</v>
      </c>
      <c r="N589" t="n">
        <v>0</v>
      </c>
      <c r="O589" t="n">
        <v>0</v>
      </c>
      <c r="P589" t="n">
        <v>0</v>
      </c>
      <c r="Q589" t="n">
        <v>0</v>
      </c>
      <c r="R589" s="2" t="inlineStr"/>
    </row>
    <row r="590" ht="15" customHeight="1">
      <c r="A590" t="inlineStr">
        <is>
          <t>A 21836-2024</t>
        </is>
      </c>
      <c r="B590" s="1" t="n">
        <v>45442.93028935185</v>
      </c>
      <c r="C590" s="1" t="n">
        <v>45964</v>
      </c>
      <c r="D590" t="inlineStr">
        <is>
          <t>VÄSTERBOTTENS LÄN</t>
        </is>
      </c>
      <c r="E590" t="inlineStr">
        <is>
          <t>SKELLEFTEÅ</t>
        </is>
      </c>
      <c r="G590" t="n">
        <v>2.4</v>
      </c>
      <c r="H590" t="n">
        <v>0</v>
      </c>
      <c r="I590" t="n">
        <v>0</v>
      </c>
      <c r="J590" t="n">
        <v>0</v>
      </c>
      <c r="K590" t="n">
        <v>0</v>
      </c>
      <c r="L590" t="n">
        <v>0</v>
      </c>
      <c r="M590" t="n">
        <v>0</v>
      </c>
      <c r="N590" t="n">
        <v>0</v>
      </c>
      <c r="O590" t="n">
        <v>0</v>
      </c>
      <c r="P590" t="n">
        <v>0</v>
      </c>
      <c r="Q590" t="n">
        <v>0</v>
      </c>
      <c r="R590" s="2" t="inlineStr"/>
    </row>
    <row r="591" ht="15" customHeight="1">
      <c r="A591" t="inlineStr">
        <is>
          <t>A 56797-2024</t>
        </is>
      </c>
      <c r="B591" s="1" t="n">
        <v>45628.46482638889</v>
      </c>
      <c r="C591" s="1" t="n">
        <v>45964</v>
      </c>
      <c r="D591" t="inlineStr">
        <is>
          <t>VÄSTERBOTTENS LÄN</t>
        </is>
      </c>
      <c r="E591" t="inlineStr">
        <is>
          <t>SKELLEFTEÅ</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25634-2023</t>
        </is>
      </c>
      <c r="B592" s="1" t="n">
        <v>45084</v>
      </c>
      <c r="C592" s="1" t="n">
        <v>45964</v>
      </c>
      <c r="D592" t="inlineStr">
        <is>
          <t>VÄSTERBOTTENS LÄN</t>
        </is>
      </c>
      <c r="E592" t="inlineStr">
        <is>
          <t>SKELLEFTEÅ</t>
        </is>
      </c>
      <c r="G592" t="n">
        <v>0.2</v>
      </c>
      <c r="H592" t="n">
        <v>0</v>
      </c>
      <c r="I592" t="n">
        <v>0</v>
      </c>
      <c r="J592" t="n">
        <v>0</v>
      </c>
      <c r="K592" t="n">
        <v>0</v>
      </c>
      <c r="L592" t="n">
        <v>0</v>
      </c>
      <c r="M592" t="n">
        <v>0</v>
      </c>
      <c r="N592" t="n">
        <v>0</v>
      </c>
      <c r="O592" t="n">
        <v>0</v>
      </c>
      <c r="P592" t="n">
        <v>0</v>
      </c>
      <c r="Q592" t="n">
        <v>0</v>
      </c>
      <c r="R592" s="2" t="inlineStr"/>
    </row>
    <row r="593" ht="15" customHeight="1">
      <c r="A593" t="inlineStr">
        <is>
          <t>A 43435-2023</t>
        </is>
      </c>
      <c r="B593" s="1" t="n">
        <v>45184.32165509259</v>
      </c>
      <c r="C593" s="1" t="n">
        <v>45964</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19073-2023</t>
        </is>
      </c>
      <c r="B594" s="1" t="n">
        <v>45048.37394675926</v>
      </c>
      <c r="C594" s="1" t="n">
        <v>45964</v>
      </c>
      <c r="D594" t="inlineStr">
        <is>
          <t>VÄSTERBOTTENS LÄN</t>
        </is>
      </c>
      <c r="E594" t="inlineStr">
        <is>
          <t>SKELLEFTEÅ</t>
        </is>
      </c>
      <c r="G594" t="n">
        <v>4.8</v>
      </c>
      <c r="H594" t="n">
        <v>0</v>
      </c>
      <c r="I594" t="n">
        <v>0</v>
      </c>
      <c r="J594" t="n">
        <v>0</v>
      </c>
      <c r="K594" t="n">
        <v>0</v>
      </c>
      <c r="L594" t="n">
        <v>0</v>
      </c>
      <c r="M594" t="n">
        <v>0</v>
      </c>
      <c r="N594" t="n">
        <v>0</v>
      </c>
      <c r="O594" t="n">
        <v>0</v>
      </c>
      <c r="P594" t="n">
        <v>0</v>
      </c>
      <c r="Q594" t="n">
        <v>0</v>
      </c>
      <c r="R594" s="2" t="inlineStr"/>
    </row>
    <row r="595" ht="15" customHeight="1">
      <c r="A595" t="inlineStr">
        <is>
          <t>A 4958-2025</t>
        </is>
      </c>
      <c r="B595" s="1" t="n">
        <v>45689.58603009259</v>
      </c>
      <c r="C595" s="1" t="n">
        <v>45964</v>
      </c>
      <c r="D595" t="inlineStr">
        <is>
          <t>VÄSTERBOTTENS LÄN</t>
        </is>
      </c>
      <c r="E595" t="inlineStr">
        <is>
          <t>SKELLEFTEÅ</t>
        </is>
      </c>
      <c r="G595" t="n">
        <v>5.1</v>
      </c>
      <c r="H595" t="n">
        <v>0</v>
      </c>
      <c r="I595" t="n">
        <v>0</v>
      </c>
      <c r="J595" t="n">
        <v>0</v>
      </c>
      <c r="K595" t="n">
        <v>0</v>
      </c>
      <c r="L595" t="n">
        <v>0</v>
      </c>
      <c r="M595" t="n">
        <v>0</v>
      </c>
      <c r="N595" t="n">
        <v>0</v>
      </c>
      <c r="O595" t="n">
        <v>0</v>
      </c>
      <c r="P595" t="n">
        <v>0</v>
      </c>
      <c r="Q595" t="n">
        <v>0</v>
      </c>
      <c r="R595" s="2" t="inlineStr"/>
    </row>
    <row r="596" ht="15" customHeight="1">
      <c r="A596" t="inlineStr">
        <is>
          <t>A 4959-2025</t>
        </is>
      </c>
      <c r="B596" s="1" t="n">
        <v>45689.59054398148</v>
      </c>
      <c r="C596" s="1" t="n">
        <v>45964</v>
      </c>
      <c r="D596" t="inlineStr">
        <is>
          <t>VÄSTERBOTTENS LÄN</t>
        </is>
      </c>
      <c r="E596" t="inlineStr">
        <is>
          <t>SKELLEFTEÅ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8821-2025</t>
        </is>
      </c>
      <c r="B597" s="1" t="n">
        <v>45712.77956018518</v>
      </c>
      <c r="C597" s="1" t="n">
        <v>45964</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61033-2023</t>
        </is>
      </c>
      <c r="B598" s="1" t="n">
        <v>45261</v>
      </c>
      <c r="C598" s="1" t="n">
        <v>45964</v>
      </c>
      <c r="D598" t="inlineStr">
        <is>
          <t>VÄSTERBOTTENS LÄN</t>
        </is>
      </c>
      <c r="E598" t="inlineStr">
        <is>
          <t>SKELLEFTEÅ</t>
        </is>
      </c>
      <c r="F598" t="inlineStr">
        <is>
          <t>Sveaskog</t>
        </is>
      </c>
      <c r="G598" t="n">
        <v>16.4</v>
      </c>
      <c r="H598" t="n">
        <v>0</v>
      </c>
      <c r="I598" t="n">
        <v>0</v>
      </c>
      <c r="J598" t="n">
        <v>0</v>
      </c>
      <c r="K598" t="n">
        <v>0</v>
      </c>
      <c r="L598" t="n">
        <v>0</v>
      </c>
      <c r="M598" t="n">
        <v>0</v>
      </c>
      <c r="N598" t="n">
        <v>0</v>
      </c>
      <c r="O598" t="n">
        <v>0</v>
      </c>
      <c r="P598" t="n">
        <v>0</v>
      </c>
      <c r="Q598" t="n">
        <v>0</v>
      </c>
      <c r="R598" s="2" t="inlineStr"/>
    </row>
    <row r="599" ht="15" customHeight="1">
      <c r="A599" t="inlineStr">
        <is>
          <t>A 58750-2023</t>
        </is>
      </c>
      <c r="B599" s="1" t="n">
        <v>45251.92957175926</v>
      </c>
      <c r="C599" s="1" t="n">
        <v>45964</v>
      </c>
      <c r="D599" t="inlineStr">
        <is>
          <t>VÄSTERBOTTENS LÄN</t>
        </is>
      </c>
      <c r="E599" t="inlineStr">
        <is>
          <t>SKELLEFTEÅ</t>
        </is>
      </c>
      <c r="G599" t="n">
        <v>3.6</v>
      </c>
      <c r="H599" t="n">
        <v>0</v>
      </c>
      <c r="I599" t="n">
        <v>0</v>
      </c>
      <c r="J599" t="n">
        <v>0</v>
      </c>
      <c r="K599" t="n">
        <v>0</v>
      </c>
      <c r="L599" t="n">
        <v>0</v>
      </c>
      <c r="M599" t="n">
        <v>0</v>
      </c>
      <c r="N599" t="n">
        <v>0</v>
      </c>
      <c r="O599" t="n">
        <v>0</v>
      </c>
      <c r="P599" t="n">
        <v>0</v>
      </c>
      <c r="Q599" t="n">
        <v>0</v>
      </c>
      <c r="R599" s="2" t="inlineStr"/>
    </row>
    <row r="600" ht="15" customHeight="1">
      <c r="A600" t="inlineStr">
        <is>
          <t>A 49356-2024</t>
        </is>
      </c>
      <c r="B600" s="1" t="n">
        <v>45595</v>
      </c>
      <c r="C600" s="1" t="n">
        <v>45964</v>
      </c>
      <c r="D600" t="inlineStr">
        <is>
          <t>VÄSTERBOTTENS LÄN</t>
        </is>
      </c>
      <c r="E600" t="inlineStr">
        <is>
          <t>SKELLEFTEÅ</t>
        </is>
      </c>
      <c r="F600" t="inlineStr">
        <is>
          <t>Sveaskog</t>
        </is>
      </c>
      <c r="G600" t="n">
        <v>12.8</v>
      </c>
      <c r="H600" t="n">
        <v>0</v>
      </c>
      <c r="I600" t="n">
        <v>0</v>
      </c>
      <c r="J600" t="n">
        <v>0</v>
      </c>
      <c r="K600" t="n">
        <v>0</v>
      </c>
      <c r="L600" t="n">
        <v>0</v>
      </c>
      <c r="M600" t="n">
        <v>0</v>
      </c>
      <c r="N600" t="n">
        <v>0</v>
      </c>
      <c r="O600" t="n">
        <v>0</v>
      </c>
      <c r="P600" t="n">
        <v>0</v>
      </c>
      <c r="Q600" t="n">
        <v>0</v>
      </c>
      <c r="R600" s="2" t="inlineStr"/>
    </row>
    <row r="601" ht="15" customHeight="1">
      <c r="A601" t="inlineStr">
        <is>
          <t>A 46584-2023</t>
        </is>
      </c>
      <c r="B601" s="1" t="n">
        <v>45198</v>
      </c>
      <c r="C601" s="1" t="n">
        <v>45964</v>
      </c>
      <c r="D601" t="inlineStr">
        <is>
          <t>VÄSTERBOTTENS LÄN</t>
        </is>
      </c>
      <c r="E601" t="inlineStr">
        <is>
          <t>SKELLEFTEÅ</t>
        </is>
      </c>
      <c r="G601" t="n">
        <v>3.1</v>
      </c>
      <c r="H601" t="n">
        <v>0</v>
      </c>
      <c r="I601" t="n">
        <v>0</v>
      </c>
      <c r="J601" t="n">
        <v>0</v>
      </c>
      <c r="K601" t="n">
        <v>0</v>
      </c>
      <c r="L601" t="n">
        <v>0</v>
      </c>
      <c r="M601" t="n">
        <v>0</v>
      </c>
      <c r="N601" t="n">
        <v>0</v>
      </c>
      <c r="O601" t="n">
        <v>0</v>
      </c>
      <c r="P601" t="n">
        <v>0</v>
      </c>
      <c r="Q601" t="n">
        <v>0</v>
      </c>
      <c r="R601" s="2" t="inlineStr"/>
    </row>
    <row r="602" ht="15" customHeight="1">
      <c r="A602" t="inlineStr">
        <is>
          <t>A 4299-2021</t>
        </is>
      </c>
      <c r="B602" s="1" t="n">
        <v>44223</v>
      </c>
      <c r="C602" s="1" t="n">
        <v>45964</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5239-2024</t>
        </is>
      </c>
      <c r="B603" s="1" t="n">
        <v>45330.85105324074</v>
      </c>
      <c r="C603" s="1" t="n">
        <v>45964</v>
      </c>
      <c r="D603" t="inlineStr">
        <is>
          <t>VÄSTERBOTTENS LÄN</t>
        </is>
      </c>
      <c r="E603" t="inlineStr">
        <is>
          <t>SKELLEFTEÅ</t>
        </is>
      </c>
      <c r="G603" t="n">
        <v>1.8</v>
      </c>
      <c r="H603" t="n">
        <v>0</v>
      </c>
      <c r="I603" t="n">
        <v>0</v>
      </c>
      <c r="J603" t="n">
        <v>0</v>
      </c>
      <c r="K603" t="n">
        <v>0</v>
      </c>
      <c r="L603" t="n">
        <v>0</v>
      </c>
      <c r="M603" t="n">
        <v>0</v>
      </c>
      <c r="N603" t="n">
        <v>0</v>
      </c>
      <c r="O603" t="n">
        <v>0</v>
      </c>
      <c r="P603" t="n">
        <v>0</v>
      </c>
      <c r="Q603" t="n">
        <v>0</v>
      </c>
      <c r="R603" s="2" t="inlineStr"/>
    </row>
    <row r="604" ht="15" customHeight="1">
      <c r="A604" t="inlineStr">
        <is>
          <t>A 37547-2024</t>
        </is>
      </c>
      <c r="B604" s="1" t="n">
        <v>45541.42965277778</v>
      </c>
      <c r="C604" s="1" t="n">
        <v>45964</v>
      </c>
      <c r="D604" t="inlineStr">
        <is>
          <t>VÄSTERBOTTENS LÄN</t>
        </is>
      </c>
      <c r="E604" t="inlineStr">
        <is>
          <t>SKELLEFTEÅ</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39590-2021</t>
        </is>
      </c>
      <c r="B605" s="1" t="n">
        <v>44413</v>
      </c>
      <c r="C605" s="1" t="n">
        <v>45964</v>
      </c>
      <c r="D605" t="inlineStr">
        <is>
          <t>VÄSTERBOTTENS LÄN</t>
        </is>
      </c>
      <c r="E605" t="inlineStr">
        <is>
          <t>SKELLEFTEÅ</t>
        </is>
      </c>
      <c r="G605" t="n">
        <v>3</v>
      </c>
      <c r="H605" t="n">
        <v>0</v>
      </c>
      <c r="I605" t="n">
        <v>0</v>
      </c>
      <c r="J605" t="n">
        <v>0</v>
      </c>
      <c r="K605" t="n">
        <v>0</v>
      </c>
      <c r="L605" t="n">
        <v>0</v>
      </c>
      <c r="M605" t="n">
        <v>0</v>
      </c>
      <c r="N605" t="n">
        <v>0</v>
      </c>
      <c r="O605" t="n">
        <v>0</v>
      </c>
      <c r="P605" t="n">
        <v>0</v>
      </c>
      <c r="Q605" t="n">
        <v>0</v>
      </c>
      <c r="R605" s="2" t="inlineStr"/>
    </row>
    <row r="606" ht="15" customHeight="1">
      <c r="A606" t="inlineStr">
        <is>
          <t>A 34035-2023</t>
        </is>
      </c>
      <c r="B606" s="1" t="n">
        <v>45135.41648148148</v>
      </c>
      <c r="C606" s="1" t="n">
        <v>45964</v>
      </c>
      <c r="D606" t="inlineStr">
        <is>
          <t>VÄSTERBOTTENS LÄN</t>
        </is>
      </c>
      <c r="E606" t="inlineStr">
        <is>
          <t>SKELLEFTEÅ</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52686-2023</t>
        </is>
      </c>
      <c r="B607" s="1" t="n">
        <v>45225.73399305555</v>
      </c>
      <c r="C607" s="1" t="n">
        <v>45964</v>
      </c>
      <c r="D607" t="inlineStr">
        <is>
          <t>VÄSTERBOTTENS LÄN</t>
        </is>
      </c>
      <c r="E607" t="inlineStr">
        <is>
          <t>SKELLEFTEÅ</t>
        </is>
      </c>
      <c r="F607" t="inlineStr">
        <is>
          <t>Sveaskog</t>
        </is>
      </c>
      <c r="G607" t="n">
        <v>18.1</v>
      </c>
      <c r="H607" t="n">
        <v>0</v>
      </c>
      <c r="I607" t="n">
        <v>0</v>
      </c>
      <c r="J607" t="n">
        <v>0</v>
      </c>
      <c r="K607" t="n">
        <v>0</v>
      </c>
      <c r="L607" t="n">
        <v>0</v>
      </c>
      <c r="M607" t="n">
        <v>0</v>
      </c>
      <c r="N607" t="n">
        <v>0</v>
      </c>
      <c r="O607" t="n">
        <v>0</v>
      </c>
      <c r="P607" t="n">
        <v>0</v>
      </c>
      <c r="Q607" t="n">
        <v>0</v>
      </c>
      <c r="R607" s="2" t="inlineStr"/>
    </row>
    <row r="608" ht="15" customHeight="1">
      <c r="A608" t="inlineStr">
        <is>
          <t>A 35032-2023</t>
        </is>
      </c>
      <c r="B608" s="1" t="n">
        <v>45145</v>
      </c>
      <c r="C608" s="1" t="n">
        <v>45964</v>
      </c>
      <c r="D608" t="inlineStr">
        <is>
          <t>VÄSTERBOTTENS LÄN</t>
        </is>
      </c>
      <c r="E608" t="inlineStr">
        <is>
          <t>SKELLEFTEÅ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59664-2022</t>
        </is>
      </c>
      <c r="B609" s="1" t="n">
        <v>44908.33321759259</v>
      </c>
      <c r="C609" s="1" t="n">
        <v>45964</v>
      </c>
      <c r="D609" t="inlineStr">
        <is>
          <t>VÄSTERBOTTENS LÄN</t>
        </is>
      </c>
      <c r="E609" t="inlineStr">
        <is>
          <t>SKELLEFTEÅ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22758-2022</t>
        </is>
      </c>
      <c r="B610" s="1" t="n">
        <v>44714</v>
      </c>
      <c r="C610" s="1" t="n">
        <v>45964</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8328-2023</t>
        </is>
      </c>
      <c r="B611" s="1" t="n">
        <v>44974.84518518519</v>
      </c>
      <c r="C611" s="1" t="n">
        <v>45964</v>
      </c>
      <c r="D611" t="inlineStr">
        <is>
          <t>VÄSTERBOTTENS LÄN</t>
        </is>
      </c>
      <c r="E611" t="inlineStr">
        <is>
          <t>SKELLEFTEÅ</t>
        </is>
      </c>
      <c r="G611" t="n">
        <v>18.5</v>
      </c>
      <c r="H611" t="n">
        <v>0</v>
      </c>
      <c r="I611" t="n">
        <v>0</v>
      </c>
      <c r="J611" t="n">
        <v>0</v>
      </c>
      <c r="K611" t="n">
        <v>0</v>
      </c>
      <c r="L611" t="n">
        <v>0</v>
      </c>
      <c r="M611" t="n">
        <v>0</v>
      </c>
      <c r="N611" t="n">
        <v>0</v>
      </c>
      <c r="O611" t="n">
        <v>0</v>
      </c>
      <c r="P611" t="n">
        <v>0</v>
      </c>
      <c r="Q611" t="n">
        <v>0</v>
      </c>
      <c r="R611" s="2" t="inlineStr"/>
    </row>
    <row r="612" ht="15" customHeight="1">
      <c r="A612" t="inlineStr">
        <is>
          <t>A 35731-2023</t>
        </is>
      </c>
      <c r="B612" s="1" t="n">
        <v>45147</v>
      </c>
      <c r="C612" s="1" t="n">
        <v>45964</v>
      </c>
      <c r="D612" t="inlineStr">
        <is>
          <t>VÄSTERBOTTENS LÄN</t>
        </is>
      </c>
      <c r="E612" t="inlineStr">
        <is>
          <t>SKELLEFTEÅ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36493-2023</t>
        </is>
      </c>
      <c r="B613" s="1" t="n">
        <v>45152.92484953703</v>
      </c>
      <c r="C613" s="1" t="n">
        <v>45964</v>
      </c>
      <c r="D613" t="inlineStr">
        <is>
          <t>VÄSTERBOTTENS LÄN</t>
        </is>
      </c>
      <c r="E613" t="inlineStr">
        <is>
          <t>SKELLEFTEÅ</t>
        </is>
      </c>
      <c r="G613" t="n">
        <v>11.1</v>
      </c>
      <c r="H613" t="n">
        <v>0</v>
      </c>
      <c r="I613" t="n">
        <v>0</v>
      </c>
      <c r="J613" t="n">
        <v>0</v>
      </c>
      <c r="K613" t="n">
        <v>0</v>
      </c>
      <c r="L613" t="n">
        <v>0</v>
      </c>
      <c r="M613" t="n">
        <v>0</v>
      </c>
      <c r="N613" t="n">
        <v>0</v>
      </c>
      <c r="O613" t="n">
        <v>0</v>
      </c>
      <c r="P613" t="n">
        <v>0</v>
      </c>
      <c r="Q613" t="n">
        <v>0</v>
      </c>
      <c r="R613" s="2" t="inlineStr"/>
    </row>
    <row r="614" ht="15" customHeight="1">
      <c r="A614" t="inlineStr">
        <is>
          <t>A 36495-2023</t>
        </is>
      </c>
      <c r="B614" s="1" t="n">
        <v>45152.92496527778</v>
      </c>
      <c r="C614" s="1" t="n">
        <v>45964</v>
      </c>
      <c r="D614" t="inlineStr">
        <is>
          <t>VÄSTERBOTTENS LÄN</t>
        </is>
      </c>
      <c r="E614" t="inlineStr">
        <is>
          <t>SKELLEFTEÅ</t>
        </is>
      </c>
      <c r="G614" t="n">
        <v>11.6</v>
      </c>
      <c r="H614" t="n">
        <v>0</v>
      </c>
      <c r="I614" t="n">
        <v>0</v>
      </c>
      <c r="J614" t="n">
        <v>0</v>
      </c>
      <c r="K614" t="n">
        <v>0</v>
      </c>
      <c r="L614" t="n">
        <v>0</v>
      </c>
      <c r="M614" t="n">
        <v>0</v>
      </c>
      <c r="N614" t="n">
        <v>0</v>
      </c>
      <c r="O614" t="n">
        <v>0</v>
      </c>
      <c r="P614" t="n">
        <v>0</v>
      </c>
      <c r="Q614" t="n">
        <v>0</v>
      </c>
      <c r="R614" s="2" t="inlineStr"/>
    </row>
    <row r="615" ht="15" customHeight="1">
      <c r="A615" t="inlineStr">
        <is>
          <t>A 49279-2024</t>
        </is>
      </c>
      <c r="B615" s="1" t="n">
        <v>45595.50831018519</v>
      </c>
      <c r="C615" s="1" t="n">
        <v>45964</v>
      </c>
      <c r="D615" t="inlineStr">
        <is>
          <t>VÄSTERBOTTENS LÄN</t>
        </is>
      </c>
      <c r="E615" t="inlineStr">
        <is>
          <t>SKELLEFTEÅ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45407-2024</t>
        </is>
      </c>
      <c r="B616" s="1" t="n">
        <v>45576.58652777778</v>
      </c>
      <c r="C616" s="1" t="n">
        <v>45964</v>
      </c>
      <c r="D616" t="inlineStr">
        <is>
          <t>VÄSTERBOTTENS LÄN</t>
        </is>
      </c>
      <c r="E616" t="inlineStr">
        <is>
          <t>SKELLEFTEÅ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39589-2023</t>
        </is>
      </c>
      <c r="B617" s="1" t="n">
        <v>45167.44805555556</v>
      </c>
      <c r="C617" s="1" t="n">
        <v>45964</v>
      </c>
      <c r="D617" t="inlineStr">
        <is>
          <t>VÄSTERBOTTENS LÄN</t>
        </is>
      </c>
      <c r="E617" t="inlineStr">
        <is>
          <t>SKELLEFTEÅ</t>
        </is>
      </c>
      <c r="F617" t="inlineStr">
        <is>
          <t>Holmen skog AB</t>
        </is>
      </c>
      <c r="G617" t="n">
        <v>5.5</v>
      </c>
      <c r="H617" t="n">
        <v>0</v>
      </c>
      <c r="I617" t="n">
        <v>0</v>
      </c>
      <c r="J617" t="n">
        <v>0</v>
      </c>
      <c r="K617" t="n">
        <v>0</v>
      </c>
      <c r="L617" t="n">
        <v>0</v>
      </c>
      <c r="M617" t="n">
        <v>0</v>
      </c>
      <c r="N617" t="n">
        <v>0</v>
      </c>
      <c r="O617" t="n">
        <v>0</v>
      </c>
      <c r="P617" t="n">
        <v>0</v>
      </c>
      <c r="Q617" t="n">
        <v>0</v>
      </c>
      <c r="R617" s="2" t="inlineStr"/>
    </row>
    <row r="618" ht="15" customHeight="1">
      <c r="A618" t="inlineStr">
        <is>
          <t>A 7916-2025</t>
        </is>
      </c>
      <c r="B618" s="1" t="n">
        <v>45707.35113425926</v>
      </c>
      <c r="C618" s="1" t="n">
        <v>45964</v>
      </c>
      <c r="D618" t="inlineStr">
        <is>
          <t>VÄSTERBOTTENS LÄN</t>
        </is>
      </c>
      <c r="E618" t="inlineStr">
        <is>
          <t>SKELLEFTEÅ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61479-2024</t>
        </is>
      </c>
      <c r="B619" s="1" t="n">
        <v>45646.52488425926</v>
      </c>
      <c r="C619" s="1" t="n">
        <v>45964</v>
      </c>
      <c r="D619" t="inlineStr">
        <is>
          <t>VÄSTERBOTTENS LÄN</t>
        </is>
      </c>
      <c r="E619" t="inlineStr">
        <is>
          <t>SKELLEFTEÅ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4032-2024</t>
        </is>
      </c>
      <c r="B620" s="1" t="n">
        <v>45323.40850694444</v>
      </c>
      <c r="C620" s="1" t="n">
        <v>45964</v>
      </c>
      <c r="D620" t="inlineStr">
        <is>
          <t>VÄSTERBOTTENS LÄN</t>
        </is>
      </c>
      <c r="E620" t="inlineStr">
        <is>
          <t>SKELLEFTEÅ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49433-2022</t>
        </is>
      </c>
      <c r="B621" s="1" t="n">
        <v>44859</v>
      </c>
      <c r="C621" s="1" t="n">
        <v>45964</v>
      </c>
      <c r="D621" t="inlineStr">
        <is>
          <t>VÄSTERBOTTENS LÄN</t>
        </is>
      </c>
      <c r="E621" t="inlineStr">
        <is>
          <t>SKELLEFTEÅ</t>
        </is>
      </c>
      <c r="G621" t="n">
        <v>0.7</v>
      </c>
      <c r="H621" t="n">
        <v>0</v>
      </c>
      <c r="I621" t="n">
        <v>0</v>
      </c>
      <c r="J621" t="n">
        <v>0</v>
      </c>
      <c r="K621" t="n">
        <v>0</v>
      </c>
      <c r="L621" t="n">
        <v>0</v>
      </c>
      <c r="M621" t="n">
        <v>0</v>
      </c>
      <c r="N621" t="n">
        <v>0</v>
      </c>
      <c r="O621" t="n">
        <v>0</v>
      </c>
      <c r="P621" t="n">
        <v>0</v>
      </c>
      <c r="Q621" t="n">
        <v>0</v>
      </c>
      <c r="R621" s="2" t="inlineStr"/>
    </row>
    <row r="622" ht="15" customHeight="1">
      <c r="A622" t="inlineStr">
        <is>
          <t>A 23168-2024</t>
        </is>
      </c>
      <c r="B622" s="1" t="n">
        <v>45450</v>
      </c>
      <c r="C622" s="1" t="n">
        <v>45964</v>
      </c>
      <c r="D622" t="inlineStr">
        <is>
          <t>VÄSTERBOTTENS LÄN</t>
        </is>
      </c>
      <c r="E622" t="inlineStr">
        <is>
          <t>SKELLEFTEÅ</t>
        </is>
      </c>
      <c r="G622" t="n">
        <v>1.4</v>
      </c>
      <c r="H622" t="n">
        <v>0</v>
      </c>
      <c r="I622" t="n">
        <v>0</v>
      </c>
      <c r="J622" t="n">
        <v>0</v>
      </c>
      <c r="K622" t="n">
        <v>0</v>
      </c>
      <c r="L622" t="n">
        <v>0</v>
      </c>
      <c r="M622" t="n">
        <v>0</v>
      </c>
      <c r="N622" t="n">
        <v>0</v>
      </c>
      <c r="O622" t="n">
        <v>0</v>
      </c>
      <c r="P622" t="n">
        <v>0</v>
      </c>
      <c r="Q622" t="n">
        <v>0</v>
      </c>
      <c r="R622" s="2" t="inlineStr"/>
    </row>
    <row r="623" ht="15" customHeight="1">
      <c r="A623" t="inlineStr">
        <is>
          <t>A 14653-2024</t>
        </is>
      </c>
      <c r="B623" s="1" t="n">
        <v>45397.4034375</v>
      </c>
      <c r="C623" s="1" t="n">
        <v>45964</v>
      </c>
      <c r="D623" t="inlineStr">
        <is>
          <t>VÄSTERBOTTENS LÄN</t>
        </is>
      </c>
      <c r="E623" t="inlineStr">
        <is>
          <t>SKELLEFTEÅ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1639-2023</t>
        </is>
      </c>
      <c r="B624" s="1" t="n">
        <v>44937</v>
      </c>
      <c r="C624" s="1" t="n">
        <v>45964</v>
      </c>
      <c r="D624" t="inlineStr">
        <is>
          <t>VÄSTERBOTTENS LÄN</t>
        </is>
      </c>
      <c r="E624" t="inlineStr">
        <is>
          <t>SKELLEFTEÅ</t>
        </is>
      </c>
      <c r="G624" t="n">
        <v>6</v>
      </c>
      <c r="H624" t="n">
        <v>0</v>
      </c>
      <c r="I624" t="n">
        <v>0</v>
      </c>
      <c r="J624" t="n">
        <v>0</v>
      </c>
      <c r="K624" t="n">
        <v>0</v>
      </c>
      <c r="L624" t="n">
        <v>0</v>
      </c>
      <c r="M624" t="n">
        <v>0</v>
      </c>
      <c r="N624" t="n">
        <v>0</v>
      </c>
      <c r="O624" t="n">
        <v>0</v>
      </c>
      <c r="P624" t="n">
        <v>0</v>
      </c>
      <c r="Q624" t="n">
        <v>0</v>
      </c>
      <c r="R624" s="2" t="inlineStr"/>
    </row>
    <row r="625" ht="15" customHeight="1">
      <c r="A625" t="inlineStr">
        <is>
          <t>A 14332-2023</t>
        </is>
      </c>
      <c r="B625" s="1" t="n">
        <v>45009</v>
      </c>
      <c r="C625" s="1" t="n">
        <v>45964</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15593-2023</t>
        </is>
      </c>
      <c r="B626" s="1" t="n">
        <v>45019</v>
      </c>
      <c r="C626" s="1" t="n">
        <v>45964</v>
      </c>
      <c r="D626" t="inlineStr">
        <is>
          <t>VÄSTERBOTTENS LÄN</t>
        </is>
      </c>
      <c r="E626" t="inlineStr">
        <is>
          <t>SKELLEFTEÅ</t>
        </is>
      </c>
      <c r="G626" t="n">
        <v>6.3</v>
      </c>
      <c r="H626" t="n">
        <v>0</v>
      </c>
      <c r="I626" t="n">
        <v>0</v>
      </c>
      <c r="J626" t="n">
        <v>0</v>
      </c>
      <c r="K626" t="n">
        <v>0</v>
      </c>
      <c r="L626" t="n">
        <v>0</v>
      </c>
      <c r="M626" t="n">
        <v>0</v>
      </c>
      <c r="N626" t="n">
        <v>0</v>
      </c>
      <c r="O626" t="n">
        <v>0</v>
      </c>
      <c r="P626" t="n">
        <v>0</v>
      </c>
      <c r="Q626" t="n">
        <v>0</v>
      </c>
      <c r="R626" s="2" t="inlineStr"/>
    </row>
    <row r="627" ht="15" customHeight="1">
      <c r="A627" t="inlineStr">
        <is>
          <t>A 4844-2022</t>
        </is>
      </c>
      <c r="B627" s="1" t="n">
        <v>44592</v>
      </c>
      <c r="C627" s="1" t="n">
        <v>45964</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47686-2024</t>
        </is>
      </c>
      <c r="B628" s="1" t="n">
        <v>45588.42978009259</v>
      </c>
      <c r="C628" s="1" t="n">
        <v>45964</v>
      </c>
      <c r="D628" t="inlineStr">
        <is>
          <t>VÄSTERBOTTENS LÄN</t>
        </is>
      </c>
      <c r="E628" t="inlineStr">
        <is>
          <t>SKELLEFTEÅ</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9080-2023</t>
        </is>
      </c>
      <c r="B629" s="1" t="n">
        <v>44979</v>
      </c>
      <c r="C629" s="1" t="n">
        <v>45964</v>
      </c>
      <c r="D629" t="inlineStr">
        <is>
          <t>VÄSTERBOTTENS LÄN</t>
        </is>
      </c>
      <c r="E629" t="inlineStr">
        <is>
          <t>SKELLEFTEÅ</t>
        </is>
      </c>
      <c r="G629" t="n">
        <v>6.6</v>
      </c>
      <c r="H629" t="n">
        <v>0</v>
      </c>
      <c r="I629" t="n">
        <v>0</v>
      </c>
      <c r="J629" t="n">
        <v>0</v>
      </c>
      <c r="K629" t="n">
        <v>0</v>
      </c>
      <c r="L629" t="n">
        <v>0</v>
      </c>
      <c r="M629" t="n">
        <v>0</v>
      </c>
      <c r="N629" t="n">
        <v>0</v>
      </c>
      <c r="O629" t="n">
        <v>0</v>
      </c>
      <c r="P629" t="n">
        <v>0</v>
      </c>
      <c r="Q629" t="n">
        <v>0</v>
      </c>
      <c r="R629" s="2" t="inlineStr"/>
    </row>
    <row r="630" ht="15" customHeight="1">
      <c r="A630" t="inlineStr">
        <is>
          <t>A 2579-2024</t>
        </is>
      </c>
      <c r="B630" s="1" t="n">
        <v>45313.64712962963</v>
      </c>
      <c r="C630" s="1" t="n">
        <v>45964</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34615-2024</t>
        </is>
      </c>
      <c r="B631" s="1" t="n">
        <v>45526.41416666667</v>
      </c>
      <c r="C631" s="1" t="n">
        <v>45964</v>
      </c>
      <c r="D631" t="inlineStr">
        <is>
          <t>VÄSTERBOTTENS LÄN</t>
        </is>
      </c>
      <c r="E631" t="inlineStr">
        <is>
          <t>SKELLEFTEÅ</t>
        </is>
      </c>
      <c r="F631" t="inlineStr">
        <is>
          <t>Holmen skog AB</t>
        </is>
      </c>
      <c r="G631" t="n">
        <v>2.7</v>
      </c>
      <c r="H631" t="n">
        <v>0</v>
      </c>
      <c r="I631" t="n">
        <v>0</v>
      </c>
      <c r="J631" t="n">
        <v>0</v>
      </c>
      <c r="K631" t="n">
        <v>0</v>
      </c>
      <c r="L631" t="n">
        <v>0</v>
      </c>
      <c r="M631" t="n">
        <v>0</v>
      </c>
      <c r="N631" t="n">
        <v>0</v>
      </c>
      <c r="O631" t="n">
        <v>0</v>
      </c>
      <c r="P631" t="n">
        <v>0</v>
      </c>
      <c r="Q631" t="n">
        <v>0</v>
      </c>
      <c r="R631" s="2" t="inlineStr"/>
    </row>
    <row r="632" ht="15" customHeight="1">
      <c r="A632" t="inlineStr">
        <is>
          <t>A 20340-2025</t>
        </is>
      </c>
      <c r="B632" s="1" t="n">
        <v>45775.36581018518</v>
      </c>
      <c r="C632" s="1" t="n">
        <v>45964</v>
      </c>
      <c r="D632" t="inlineStr">
        <is>
          <t>VÄSTERBOTTENS LÄN</t>
        </is>
      </c>
      <c r="E632" t="inlineStr">
        <is>
          <t>SKELLEFTEÅ</t>
        </is>
      </c>
      <c r="G632" t="n">
        <v>12.5</v>
      </c>
      <c r="H632" t="n">
        <v>0</v>
      </c>
      <c r="I632" t="n">
        <v>0</v>
      </c>
      <c r="J632" t="n">
        <v>0</v>
      </c>
      <c r="K632" t="n">
        <v>0</v>
      </c>
      <c r="L632" t="n">
        <v>0</v>
      </c>
      <c r="M632" t="n">
        <v>0</v>
      </c>
      <c r="N632" t="n">
        <v>0</v>
      </c>
      <c r="O632" t="n">
        <v>0</v>
      </c>
      <c r="P632" t="n">
        <v>0</v>
      </c>
      <c r="Q632" t="n">
        <v>0</v>
      </c>
      <c r="R632" s="2" t="inlineStr"/>
    </row>
    <row r="633" ht="15" customHeight="1">
      <c r="A633" t="inlineStr">
        <is>
          <t>A 38450-2023</t>
        </is>
      </c>
      <c r="B633" s="1" t="n">
        <v>45162</v>
      </c>
      <c r="C633" s="1" t="n">
        <v>45964</v>
      </c>
      <c r="D633" t="inlineStr">
        <is>
          <t>VÄSTERBOTTENS LÄN</t>
        </is>
      </c>
      <c r="E633" t="inlineStr">
        <is>
          <t>SKELLEFTEÅ</t>
        </is>
      </c>
      <c r="G633" t="n">
        <v>5.2</v>
      </c>
      <c r="H633" t="n">
        <v>0</v>
      </c>
      <c r="I633" t="n">
        <v>0</v>
      </c>
      <c r="J633" t="n">
        <v>0</v>
      </c>
      <c r="K633" t="n">
        <v>0</v>
      </c>
      <c r="L633" t="n">
        <v>0</v>
      </c>
      <c r="M633" t="n">
        <v>0</v>
      </c>
      <c r="N633" t="n">
        <v>0</v>
      </c>
      <c r="O633" t="n">
        <v>0</v>
      </c>
      <c r="P633" t="n">
        <v>0</v>
      </c>
      <c r="Q633" t="n">
        <v>0</v>
      </c>
      <c r="R633" s="2" t="inlineStr"/>
    </row>
    <row r="634" ht="15" customHeight="1">
      <c r="A634" t="inlineStr">
        <is>
          <t>A 58250-2022</t>
        </is>
      </c>
      <c r="B634" s="1" t="n">
        <v>44894</v>
      </c>
      <c r="C634" s="1" t="n">
        <v>45964</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42329-2023</t>
        </is>
      </c>
      <c r="B635" s="1" t="n">
        <v>45175</v>
      </c>
      <c r="C635" s="1" t="n">
        <v>45964</v>
      </c>
      <c r="D635" t="inlineStr">
        <is>
          <t>VÄSTERBOTTENS LÄN</t>
        </is>
      </c>
      <c r="E635" t="inlineStr">
        <is>
          <t>SKELLEFTEÅ</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58008-2024</t>
        </is>
      </c>
      <c r="B636" s="1" t="n">
        <v>45631.65482638889</v>
      </c>
      <c r="C636" s="1" t="n">
        <v>45964</v>
      </c>
      <c r="D636" t="inlineStr">
        <is>
          <t>VÄSTERBOTTENS LÄN</t>
        </is>
      </c>
      <c r="E636" t="inlineStr">
        <is>
          <t>SKELLEFTEÅ</t>
        </is>
      </c>
      <c r="G636" t="n">
        <v>2.5</v>
      </c>
      <c r="H636" t="n">
        <v>0</v>
      </c>
      <c r="I636" t="n">
        <v>0</v>
      </c>
      <c r="J636" t="n">
        <v>0</v>
      </c>
      <c r="K636" t="n">
        <v>0</v>
      </c>
      <c r="L636" t="n">
        <v>0</v>
      </c>
      <c r="M636" t="n">
        <v>0</v>
      </c>
      <c r="N636" t="n">
        <v>0</v>
      </c>
      <c r="O636" t="n">
        <v>0</v>
      </c>
      <c r="P636" t="n">
        <v>0</v>
      </c>
      <c r="Q636" t="n">
        <v>0</v>
      </c>
      <c r="R636" s="2" t="inlineStr"/>
    </row>
    <row r="637" ht="15" customHeight="1">
      <c r="A637" t="inlineStr">
        <is>
          <t>A 25237-2023</t>
        </is>
      </c>
      <c r="B637" s="1" t="n">
        <v>45079</v>
      </c>
      <c r="C637" s="1" t="n">
        <v>45964</v>
      </c>
      <c r="D637" t="inlineStr">
        <is>
          <t>VÄSTERBOTTENS LÄN</t>
        </is>
      </c>
      <c r="E637" t="inlineStr">
        <is>
          <t>SKELLEFTEÅ</t>
        </is>
      </c>
      <c r="G637" t="n">
        <v>1.1</v>
      </c>
      <c r="H637" t="n">
        <v>0</v>
      </c>
      <c r="I637" t="n">
        <v>0</v>
      </c>
      <c r="J637" t="n">
        <v>0</v>
      </c>
      <c r="K637" t="n">
        <v>0</v>
      </c>
      <c r="L637" t="n">
        <v>0</v>
      </c>
      <c r="M637" t="n">
        <v>0</v>
      </c>
      <c r="N637" t="n">
        <v>0</v>
      </c>
      <c r="O637" t="n">
        <v>0</v>
      </c>
      <c r="P637" t="n">
        <v>0</v>
      </c>
      <c r="Q637" t="n">
        <v>0</v>
      </c>
      <c r="R637" s="2" t="inlineStr"/>
    </row>
    <row r="638" ht="15" customHeight="1">
      <c r="A638" t="inlineStr">
        <is>
          <t>A 11525-2024</t>
        </is>
      </c>
      <c r="B638" s="1" t="n">
        <v>45372</v>
      </c>
      <c r="C638" s="1" t="n">
        <v>45964</v>
      </c>
      <c r="D638" t="inlineStr">
        <is>
          <t>VÄSTERBOTTENS LÄN</t>
        </is>
      </c>
      <c r="E638" t="inlineStr">
        <is>
          <t>SKELLEFTEÅ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21265-2021</t>
        </is>
      </c>
      <c r="B639" s="1" t="n">
        <v>44320.5741087963</v>
      </c>
      <c r="C639" s="1" t="n">
        <v>45964</v>
      </c>
      <c r="D639" t="inlineStr">
        <is>
          <t>VÄSTERBOTTENS LÄN</t>
        </is>
      </c>
      <c r="E639" t="inlineStr">
        <is>
          <t>SKELLEFTEÅ</t>
        </is>
      </c>
      <c r="G639" t="n">
        <v>2.1</v>
      </c>
      <c r="H639" t="n">
        <v>0</v>
      </c>
      <c r="I639" t="n">
        <v>0</v>
      </c>
      <c r="J639" t="n">
        <v>0</v>
      </c>
      <c r="K639" t="n">
        <v>0</v>
      </c>
      <c r="L639" t="n">
        <v>0</v>
      </c>
      <c r="M639" t="n">
        <v>0</v>
      </c>
      <c r="N639" t="n">
        <v>0</v>
      </c>
      <c r="O639" t="n">
        <v>0</v>
      </c>
      <c r="P639" t="n">
        <v>0</v>
      </c>
      <c r="Q639" t="n">
        <v>0</v>
      </c>
      <c r="R639" s="2" t="inlineStr"/>
    </row>
    <row r="640" ht="15" customHeight="1">
      <c r="A640" t="inlineStr">
        <is>
          <t>A 38940-2022</t>
        </is>
      </c>
      <c r="B640" s="1" t="n">
        <v>44816</v>
      </c>
      <c r="C640" s="1" t="n">
        <v>45964</v>
      </c>
      <c r="D640" t="inlineStr">
        <is>
          <t>VÄSTERBOTTENS LÄN</t>
        </is>
      </c>
      <c r="E640" t="inlineStr">
        <is>
          <t>SKELLEFTEÅ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32709-2024</t>
        </is>
      </c>
      <c r="B641" s="1" t="n">
        <v>45516.3629050926</v>
      </c>
      <c r="C641" s="1" t="n">
        <v>45964</v>
      </c>
      <c r="D641" t="inlineStr">
        <is>
          <t>VÄSTERBOTTENS LÄN</t>
        </is>
      </c>
      <c r="E641" t="inlineStr">
        <is>
          <t>SKELLEFTEÅ</t>
        </is>
      </c>
      <c r="F641" t="inlineStr">
        <is>
          <t>Holmen skog AB</t>
        </is>
      </c>
      <c r="G641" t="n">
        <v>8.9</v>
      </c>
      <c r="H641" t="n">
        <v>0</v>
      </c>
      <c r="I641" t="n">
        <v>0</v>
      </c>
      <c r="J641" t="n">
        <v>0</v>
      </c>
      <c r="K641" t="n">
        <v>0</v>
      </c>
      <c r="L641" t="n">
        <v>0</v>
      </c>
      <c r="M641" t="n">
        <v>0</v>
      </c>
      <c r="N641" t="n">
        <v>0</v>
      </c>
      <c r="O641" t="n">
        <v>0</v>
      </c>
      <c r="P641" t="n">
        <v>0</v>
      </c>
      <c r="Q641" t="n">
        <v>0</v>
      </c>
      <c r="R641" s="2" t="inlineStr"/>
    </row>
    <row r="642" ht="15" customHeight="1">
      <c r="A642" t="inlineStr">
        <is>
          <t>A 14341-2023</t>
        </is>
      </c>
      <c r="B642" s="1" t="n">
        <v>45009</v>
      </c>
      <c r="C642" s="1" t="n">
        <v>45964</v>
      </c>
      <c r="D642" t="inlineStr">
        <is>
          <t>VÄSTERBOTTENS LÄN</t>
        </is>
      </c>
      <c r="E642" t="inlineStr">
        <is>
          <t>SKELLEFTEÅ</t>
        </is>
      </c>
      <c r="G642" t="n">
        <v>0.3</v>
      </c>
      <c r="H642" t="n">
        <v>0</v>
      </c>
      <c r="I642" t="n">
        <v>0</v>
      </c>
      <c r="J642" t="n">
        <v>0</v>
      </c>
      <c r="K642" t="n">
        <v>0</v>
      </c>
      <c r="L642" t="n">
        <v>0</v>
      </c>
      <c r="M642" t="n">
        <v>0</v>
      </c>
      <c r="N642" t="n">
        <v>0</v>
      </c>
      <c r="O642" t="n">
        <v>0</v>
      </c>
      <c r="P642" t="n">
        <v>0</v>
      </c>
      <c r="Q642" t="n">
        <v>0</v>
      </c>
      <c r="R642" s="2" t="inlineStr"/>
    </row>
    <row r="643" ht="15" customHeight="1">
      <c r="A643" t="inlineStr">
        <is>
          <t>A 5143-2021</t>
        </is>
      </c>
      <c r="B643" s="1" t="n">
        <v>44228</v>
      </c>
      <c r="C643" s="1" t="n">
        <v>45964</v>
      </c>
      <c r="D643" t="inlineStr">
        <is>
          <t>VÄSTERBOTTENS LÄN</t>
        </is>
      </c>
      <c r="E643" t="inlineStr">
        <is>
          <t>SKELLEFTEÅ</t>
        </is>
      </c>
      <c r="G643" t="n">
        <v>5.3</v>
      </c>
      <c r="H643" t="n">
        <v>0</v>
      </c>
      <c r="I643" t="n">
        <v>0</v>
      </c>
      <c r="J643" t="n">
        <v>0</v>
      </c>
      <c r="K643" t="n">
        <v>0</v>
      </c>
      <c r="L643" t="n">
        <v>0</v>
      </c>
      <c r="M643" t="n">
        <v>0</v>
      </c>
      <c r="N643" t="n">
        <v>0</v>
      </c>
      <c r="O643" t="n">
        <v>0</v>
      </c>
      <c r="P643" t="n">
        <v>0</v>
      </c>
      <c r="Q643" t="n">
        <v>0</v>
      </c>
      <c r="R643" s="2" t="inlineStr"/>
    </row>
    <row r="644" ht="15" customHeight="1">
      <c r="A644" t="inlineStr">
        <is>
          <t>A 2279-2025</t>
        </is>
      </c>
      <c r="B644" s="1" t="n">
        <v>45673.56776620371</v>
      </c>
      <c r="C644" s="1" t="n">
        <v>45964</v>
      </c>
      <c r="D644" t="inlineStr">
        <is>
          <t>VÄSTERBOTTENS LÄN</t>
        </is>
      </c>
      <c r="E644" t="inlineStr">
        <is>
          <t>SKELLEFTEÅ</t>
        </is>
      </c>
      <c r="F644" t="inlineStr">
        <is>
          <t>Holmen skog AB</t>
        </is>
      </c>
      <c r="G644" t="n">
        <v>5</v>
      </c>
      <c r="H644" t="n">
        <v>0</v>
      </c>
      <c r="I644" t="n">
        <v>0</v>
      </c>
      <c r="J644" t="n">
        <v>0</v>
      </c>
      <c r="K644" t="n">
        <v>0</v>
      </c>
      <c r="L644" t="n">
        <v>0</v>
      </c>
      <c r="M644" t="n">
        <v>0</v>
      </c>
      <c r="N644" t="n">
        <v>0</v>
      </c>
      <c r="O644" t="n">
        <v>0</v>
      </c>
      <c r="P644" t="n">
        <v>0</v>
      </c>
      <c r="Q644" t="n">
        <v>0</v>
      </c>
      <c r="R644" s="2" t="inlineStr"/>
    </row>
    <row r="645" ht="15" customHeight="1">
      <c r="A645" t="inlineStr">
        <is>
          <t>A 904-2023</t>
        </is>
      </c>
      <c r="B645" s="1" t="n">
        <v>44931</v>
      </c>
      <c r="C645" s="1" t="n">
        <v>45964</v>
      </c>
      <c r="D645" t="inlineStr">
        <is>
          <t>VÄSTERBOTTENS LÄN</t>
        </is>
      </c>
      <c r="E645" t="inlineStr">
        <is>
          <t>SKELLEFTEÅ</t>
        </is>
      </c>
      <c r="G645" t="n">
        <v>22.2</v>
      </c>
      <c r="H645" t="n">
        <v>0</v>
      </c>
      <c r="I645" t="n">
        <v>0</v>
      </c>
      <c r="J645" t="n">
        <v>0</v>
      </c>
      <c r="K645" t="n">
        <v>0</v>
      </c>
      <c r="L645" t="n">
        <v>0</v>
      </c>
      <c r="M645" t="n">
        <v>0</v>
      </c>
      <c r="N645" t="n">
        <v>0</v>
      </c>
      <c r="O645" t="n">
        <v>0</v>
      </c>
      <c r="P645" t="n">
        <v>0</v>
      </c>
      <c r="Q645" t="n">
        <v>0</v>
      </c>
      <c r="R645" s="2" t="inlineStr"/>
    </row>
    <row r="646" ht="15" customHeight="1">
      <c r="A646" t="inlineStr">
        <is>
          <t>A 20245-2025</t>
        </is>
      </c>
      <c r="B646" s="1" t="n">
        <v>45772</v>
      </c>
      <c r="C646" s="1" t="n">
        <v>45964</v>
      </c>
      <c r="D646" t="inlineStr">
        <is>
          <t>VÄSTERBOTTENS LÄN</t>
        </is>
      </c>
      <c r="E646" t="inlineStr">
        <is>
          <t>SKELLEFTEÅ</t>
        </is>
      </c>
      <c r="G646" t="n">
        <v>14.1</v>
      </c>
      <c r="H646" t="n">
        <v>0</v>
      </c>
      <c r="I646" t="n">
        <v>0</v>
      </c>
      <c r="J646" t="n">
        <v>0</v>
      </c>
      <c r="K646" t="n">
        <v>0</v>
      </c>
      <c r="L646" t="n">
        <v>0</v>
      </c>
      <c r="M646" t="n">
        <v>0</v>
      </c>
      <c r="N646" t="n">
        <v>0</v>
      </c>
      <c r="O646" t="n">
        <v>0</v>
      </c>
      <c r="P646" t="n">
        <v>0</v>
      </c>
      <c r="Q646" t="n">
        <v>0</v>
      </c>
      <c r="R646" s="2" t="inlineStr"/>
    </row>
    <row r="647" ht="15" customHeight="1">
      <c r="A647" t="inlineStr">
        <is>
          <t>A 18819-2023</t>
        </is>
      </c>
      <c r="B647" s="1" t="n">
        <v>45044</v>
      </c>
      <c r="C647" s="1" t="n">
        <v>45964</v>
      </c>
      <c r="D647" t="inlineStr">
        <is>
          <t>VÄSTERBOTTENS LÄN</t>
        </is>
      </c>
      <c r="E647" t="inlineStr">
        <is>
          <t>SKELLEFTEÅ</t>
        </is>
      </c>
      <c r="G647" t="n">
        <v>3.5</v>
      </c>
      <c r="H647" t="n">
        <v>0</v>
      </c>
      <c r="I647" t="n">
        <v>0</v>
      </c>
      <c r="J647" t="n">
        <v>0</v>
      </c>
      <c r="K647" t="n">
        <v>0</v>
      </c>
      <c r="L647" t="n">
        <v>0</v>
      </c>
      <c r="M647" t="n">
        <v>0</v>
      </c>
      <c r="N647" t="n">
        <v>0</v>
      </c>
      <c r="O647" t="n">
        <v>0</v>
      </c>
      <c r="P647" t="n">
        <v>0</v>
      </c>
      <c r="Q647" t="n">
        <v>0</v>
      </c>
      <c r="R647" s="2" t="inlineStr"/>
    </row>
    <row r="648" ht="15" customHeight="1">
      <c r="A648" t="inlineStr">
        <is>
          <t>A 35809-2022</t>
        </is>
      </c>
      <c r="B648" s="1" t="n">
        <v>44802</v>
      </c>
      <c r="C648" s="1" t="n">
        <v>45964</v>
      </c>
      <c r="D648" t="inlineStr">
        <is>
          <t>VÄSTERBOTTENS LÄN</t>
        </is>
      </c>
      <c r="E648" t="inlineStr">
        <is>
          <t>SKELLEFTEÅ</t>
        </is>
      </c>
      <c r="G648" t="n">
        <v>4.2</v>
      </c>
      <c r="H648" t="n">
        <v>0</v>
      </c>
      <c r="I648" t="n">
        <v>0</v>
      </c>
      <c r="J648" t="n">
        <v>0</v>
      </c>
      <c r="K648" t="n">
        <v>0</v>
      </c>
      <c r="L648" t="n">
        <v>0</v>
      </c>
      <c r="M648" t="n">
        <v>0</v>
      </c>
      <c r="N648" t="n">
        <v>0</v>
      </c>
      <c r="O648" t="n">
        <v>0</v>
      </c>
      <c r="P648" t="n">
        <v>0</v>
      </c>
      <c r="Q648" t="n">
        <v>0</v>
      </c>
      <c r="R648" s="2" t="inlineStr"/>
    </row>
    <row r="649" ht="15" customHeight="1">
      <c r="A649" t="inlineStr">
        <is>
          <t>A 21854-2024</t>
        </is>
      </c>
      <c r="B649" s="1" t="n">
        <v>45442</v>
      </c>
      <c r="C649" s="1" t="n">
        <v>45964</v>
      </c>
      <c r="D649" t="inlineStr">
        <is>
          <t>VÄSTERBOTTENS LÄN</t>
        </is>
      </c>
      <c r="E649" t="inlineStr">
        <is>
          <t>SKELLEFTEÅ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42861-2024</t>
        </is>
      </c>
      <c r="B650" s="1" t="n">
        <v>45566.65780092592</v>
      </c>
      <c r="C650" s="1" t="n">
        <v>45964</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10696-2023</t>
        </is>
      </c>
      <c r="B651" s="1" t="n">
        <v>44984</v>
      </c>
      <c r="C651" s="1" t="n">
        <v>45964</v>
      </c>
      <c r="D651" t="inlineStr">
        <is>
          <t>VÄSTERBOTTENS LÄN</t>
        </is>
      </c>
      <c r="E651" t="inlineStr">
        <is>
          <t>SKELLEFTEÅ</t>
        </is>
      </c>
      <c r="G651" t="n">
        <v>3.3</v>
      </c>
      <c r="H651" t="n">
        <v>0</v>
      </c>
      <c r="I651" t="n">
        <v>0</v>
      </c>
      <c r="J651" t="n">
        <v>0</v>
      </c>
      <c r="K651" t="n">
        <v>0</v>
      </c>
      <c r="L651" t="n">
        <v>0</v>
      </c>
      <c r="M651" t="n">
        <v>0</v>
      </c>
      <c r="N651" t="n">
        <v>0</v>
      </c>
      <c r="O651" t="n">
        <v>0</v>
      </c>
      <c r="P651" t="n">
        <v>0</v>
      </c>
      <c r="Q651" t="n">
        <v>0</v>
      </c>
      <c r="R651" s="2" t="inlineStr"/>
    </row>
    <row r="652" ht="15" customHeight="1">
      <c r="A652" t="inlineStr">
        <is>
          <t>A 51810-2024</t>
        </is>
      </c>
      <c r="B652" s="1" t="n">
        <v>45607.48707175926</v>
      </c>
      <c r="C652" s="1" t="n">
        <v>45964</v>
      </c>
      <c r="D652" t="inlineStr">
        <is>
          <t>VÄSTERBOTTENS LÄN</t>
        </is>
      </c>
      <c r="E652" t="inlineStr">
        <is>
          <t>SKELLEFTEÅ</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58872-2021</t>
        </is>
      </c>
      <c r="B653" s="1" t="n">
        <v>44489</v>
      </c>
      <c r="C653" s="1" t="n">
        <v>45964</v>
      </c>
      <c r="D653" t="inlineStr">
        <is>
          <t>VÄSTERBOTTENS LÄN</t>
        </is>
      </c>
      <c r="E653" t="inlineStr">
        <is>
          <t>SKELLEFTEÅ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46480-2024</t>
        </is>
      </c>
      <c r="B654" s="1" t="n">
        <v>45582.57158564815</v>
      </c>
      <c r="C654" s="1" t="n">
        <v>45964</v>
      </c>
      <c r="D654" t="inlineStr">
        <is>
          <t>VÄSTERBOTTENS LÄN</t>
        </is>
      </c>
      <c r="E654" t="inlineStr">
        <is>
          <t>SKELLEFTEÅ</t>
        </is>
      </c>
      <c r="G654" t="n">
        <v>2.8</v>
      </c>
      <c r="H654" t="n">
        <v>0</v>
      </c>
      <c r="I654" t="n">
        <v>0</v>
      </c>
      <c r="J654" t="n">
        <v>0</v>
      </c>
      <c r="K654" t="n">
        <v>0</v>
      </c>
      <c r="L654" t="n">
        <v>0</v>
      </c>
      <c r="M654" t="n">
        <v>0</v>
      </c>
      <c r="N654" t="n">
        <v>0</v>
      </c>
      <c r="O654" t="n">
        <v>0</v>
      </c>
      <c r="P654" t="n">
        <v>0</v>
      </c>
      <c r="Q654" t="n">
        <v>0</v>
      </c>
      <c r="R654" s="2" t="inlineStr"/>
    </row>
    <row r="655" ht="15" customHeight="1">
      <c r="A655" t="inlineStr">
        <is>
          <t>A 33268-2022</t>
        </is>
      </c>
      <c r="B655" s="1" t="n">
        <v>44788.32501157407</v>
      </c>
      <c r="C655" s="1" t="n">
        <v>45964</v>
      </c>
      <c r="D655" t="inlineStr">
        <is>
          <t>VÄSTERBOTTENS LÄN</t>
        </is>
      </c>
      <c r="E655" t="inlineStr">
        <is>
          <t>SKELLEFTEÅ</t>
        </is>
      </c>
      <c r="G655" t="n">
        <v>5.8</v>
      </c>
      <c r="H655" t="n">
        <v>0</v>
      </c>
      <c r="I655" t="n">
        <v>0</v>
      </c>
      <c r="J655" t="n">
        <v>0</v>
      </c>
      <c r="K655" t="n">
        <v>0</v>
      </c>
      <c r="L655" t="n">
        <v>0</v>
      </c>
      <c r="M655" t="n">
        <v>0</v>
      </c>
      <c r="N655" t="n">
        <v>0</v>
      </c>
      <c r="O655" t="n">
        <v>0</v>
      </c>
      <c r="P655" t="n">
        <v>0</v>
      </c>
      <c r="Q655" t="n">
        <v>0</v>
      </c>
      <c r="R655" s="2" t="inlineStr"/>
    </row>
    <row r="656" ht="15" customHeight="1">
      <c r="A656" t="inlineStr">
        <is>
          <t>A 30437-2023</t>
        </is>
      </c>
      <c r="B656" s="1" t="n">
        <v>45099</v>
      </c>
      <c r="C656" s="1" t="n">
        <v>45964</v>
      </c>
      <c r="D656" t="inlineStr">
        <is>
          <t>VÄSTERBOTTENS LÄN</t>
        </is>
      </c>
      <c r="E656" t="inlineStr">
        <is>
          <t>SKELLEFTEÅ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29579-2024</t>
        </is>
      </c>
      <c r="B657" s="1" t="n">
        <v>45484.57260416666</v>
      </c>
      <c r="C657" s="1" t="n">
        <v>45964</v>
      </c>
      <c r="D657" t="inlineStr">
        <is>
          <t>VÄSTERBOTTENS LÄN</t>
        </is>
      </c>
      <c r="E657" t="inlineStr">
        <is>
          <t>SKELLEFTEÅ</t>
        </is>
      </c>
      <c r="F657" t="inlineStr">
        <is>
          <t>Holmen skog AB</t>
        </is>
      </c>
      <c r="G657" t="n">
        <v>10.1</v>
      </c>
      <c r="H657" t="n">
        <v>0</v>
      </c>
      <c r="I657" t="n">
        <v>0</v>
      </c>
      <c r="J657" t="n">
        <v>0</v>
      </c>
      <c r="K657" t="n">
        <v>0</v>
      </c>
      <c r="L657" t="n">
        <v>0</v>
      </c>
      <c r="M657" t="n">
        <v>0</v>
      </c>
      <c r="N657" t="n">
        <v>0</v>
      </c>
      <c r="O657" t="n">
        <v>0</v>
      </c>
      <c r="P657" t="n">
        <v>0</v>
      </c>
      <c r="Q657" t="n">
        <v>0</v>
      </c>
      <c r="R657" s="2" t="inlineStr"/>
    </row>
    <row r="658" ht="15" customHeight="1">
      <c r="A658" t="inlineStr">
        <is>
          <t>A 49731-2024</t>
        </is>
      </c>
      <c r="B658" s="1" t="n">
        <v>45596</v>
      </c>
      <c r="C658" s="1" t="n">
        <v>45964</v>
      </c>
      <c r="D658" t="inlineStr">
        <is>
          <t>VÄSTERBOTTENS LÄN</t>
        </is>
      </c>
      <c r="E658" t="inlineStr">
        <is>
          <t>SKELLEFTEÅ</t>
        </is>
      </c>
      <c r="F658" t="inlineStr">
        <is>
          <t>Sveaskog</t>
        </is>
      </c>
      <c r="G658" t="n">
        <v>15.4</v>
      </c>
      <c r="H658" t="n">
        <v>0</v>
      </c>
      <c r="I658" t="n">
        <v>0</v>
      </c>
      <c r="J658" t="n">
        <v>0</v>
      </c>
      <c r="K658" t="n">
        <v>0</v>
      </c>
      <c r="L658" t="n">
        <v>0</v>
      </c>
      <c r="M658" t="n">
        <v>0</v>
      </c>
      <c r="N658" t="n">
        <v>0</v>
      </c>
      <c r="O658" t="n">
        <v>0</v>
      </c>
      <c r="P658" t="n">
        <v>0</v>
      </c>
      <c r="Q658" t="n">
        <v>0</v>
      </c>
      <c r="R658" s="2" t="inlineStr"/>
    </row>
    <row r="659" ht="15" customHeight="1">
      <c r="A659" t="inlineStr">
        <is>
          <t>A 55743-2024</t>
        </is>
      </c>
      <c r="B659" s="1" t="n">
        <v>45623.30952546297</v>
      </c>
      <c r="C659" s="1" t="n">
        <v>45964</v>
      </c>
      <c r="D659" t="inlineStr">
        <is>
          <t>VÄSTERBOTTENS LÄN</t>
        </is>
      </c>
      <c r="E659" t="inlineStr">
        <is>
          <t>SKELLEFTEÅ</t>
        </is>
      </c>
      <c r="G659" t="n">
        <v>6</v>
      </c>
      <c r="H659" t="n">
        <v>0</v>
      </c>
      <c r="I659" t="n">
        <v>0</v>
      </c>
      <c r="J659" t="n">
        <v>0</v>
      </c>
      <c r="K659" t="n">
        <v>0</v>
      </c>
      <c r="L659" t="n">
        <v>0</v>
      </c>
      <c r="M659" t="n">
        <v>0</v>
      </c>
      <c r="N659" t="n">
        <v>0</v>
      </c>
      <c r="O659" t="n">
        <v>0</v>
      </c>
      <c r="P659" t="n">
        <v>0</v>
      </c>
      <c r="Q659" t="n">
        <v>0</v>
      </c>
      <c r="R659" s="2" t="inlineStr"/>
    </row>
    <row r="660" ht="15" customHeight="1">
      <c r="A660" t="inlineStr">
        <is>
          <t>A 16663-2025</t>
        </is>
      </c>
      <c r="B660" s="1" t="n">
        <v>45754.41936342593</v>
      </c>
      <c r="C660" s="1" t="n">
        <v>45964</v>
      </c>
      <c r="D660" t="inlineStr">
        <is>
          <t>VÄSTERBOTTENS LÄN</t>
        </is>
      </c>
      <c r="E660" t="inlineStr">
        <is>
          <t>SKELLEFTEÅ</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41037-2024</t>
        </is>
      </c>
      <c r="B661" s="1" t="n">
        <v>45559.35982638889</v>
      </c>
      <c r="C661" s="1" t="n">
        <v>45964</v>
      </c>
      <c r="D661" t="inlineStr">
        <is>
          <t>VÄSTERBOTTENS LÄN</t>
        </is>
      </c>
      <c r="E661" t="inlineStr">
        <is>
          <t>SKELLEFTEÅ</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46565-2024</t>
        </is>
      </c>
      <c r="B662" s="1" t="n">
        <v>45582</v>
      </c>
      <c r="C662" s="1" t="n">
        <v>45964</v>
      </c>
      <c r="D662" t="inlineStr">
        <is>
          <t>VÄSTERBOTTENS LÄN</t>
        </is>
      </c>
      <c r="E662" t="inlineStr">
        <is>
          <t>SKELLEFTEÅ</t>
        </is>
      </c>
      <c r="G662" t="n">
        <v>2.9</v>
      </c>
      <c r="H662" t="n">
        <v>0</v>
      </c>
      <c r="I662" t="n">
        <v>0</v>
      </c>
      <c r="J662" t="n">
        <v>0</v>
      </c>
      <c r="K662" t="n">
        <v>0</v>
      </c>
      <c r="L662" t="n">
        <v>0</v>
      </c>
      <c r="M662" t="n">
        <v>0</v>
      </c>
      <c r="N662" t="n">
        <v>0</v>
      </c>
      <c r="O662" t="n">
        <v>0</v>
      </c>
      <c r="P662" t="n">
        <v>0</v>
      </c>
      <c r="Q662" t="n">
        <v>0</v>
      </c>
      <c r="R662" s="2" t="inlineStr"/>
    </row>
    <row r="663" ht="15" customHeight="1">
      <c r="A663" t="inlineStr">
        <is>
          <t>A 1959-2025</t>
        </is>
      </c>
      <c r="B663" s="1" t="n">
        <v>45671</v>
      </c>
      <c r="C663" s="1" t="n">
        <v>45964</v>
      </c>
      <c r="D663" t="inlineStr">
        <is>
          <t>VÄSTERBOTTENS LÄN</t>
        </is>
      </c>
      <c r="E663" t="inlineStr">
        <is>
          <t>SKELLEFTEÅ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5475-2025</t>
        </is>
      </c>
      <c r="B664" s="1" t="n">
        <v>45693.33069444444</v>
      </c>
      <c r="C664" s="1" t="n">
        <v>45964</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53000-2024</t>
        </is>
      </c>
      <c r="B665" s="1" t="n">
        <v>45611.38673611111</v>
      </c>
      <c r="C665" s="1" t="n">
        <v>45964</v>
      </c>
      <c r="D665" t="inlineStr">
        <is>
          <t>VÄSTERBOTTENS LÄN</t>
        </is>
      </c>
      <c r="E665" t="inlineStr">
        <is>
          <t>SKELLEFTEÅ</t>
        </is>
      </c>
      <c r="G665" t="n">
        <v>7.2</v>
      </c>
      <c r="H665" t="n">
        <v>0</v>
      </c>
      <c r="I665" t="n">
        <v>0</v>
      </c>
      <c r="J665" t="n">
        <v>0</v>
      </c>
      <c r="K665" t="n">
        <v>0</v>
      </c>
      <c r="L665" t="n">
        <v>0</v>
      </c>
      <c r="M665" t="n">
        <v>0</v>
      </c>
      <c r="N665" t="n">
        <v>0</v>
      </c>
      <c r="O665" t="n">
        <v>0</v>
      </c>
      <c r="P665" t="n">
        <v>0</v>
      </c>
      <c r="Q665" t="n">
        <v>0</v>
      </c>
      <c r="R665" s="2" t="inlineStr"/>
    </row>
    <row r="666" ht="15" customHeight="1">
      <c r="A666" t="inlineStr">
        <is>
          <t>A 49844-2024</t>
        </is>
      </c>
      <c r="B666" s="1" t="n">
        <v>45597</v>
      </c>
      <c r="C666" s="1" t="n">
        <v>45964</v>
      </c>
      <c r="D666" t="inlineStr">
        <is>
          <t>VÄSTERBOTTENS LÄN</t>
        </is>
      </c>
      <c r="E666" t="inlineStr">
        <is>
          <t>SKELLEFTEÅ</t>
        </is>
      </c>
      <c r="G666" t="n">
        <v>0.5</v>
      </c>
      <c r="H666" t="n">
        <v>0</v>
      </c>
      <c r="I666" t="n">
        <v>0</v>
      </c>
      <c r="J666" t="n">
        <v>0</v>
      </c>
      <c r="K666" t="n">
        <v>0</v>
      </c>
      <c r="L666" t="n">
        <v>0</v>
      </c>
      <c r="M666" t="n">
        <v>0</v>
      </c>
      <c r="N666" t="n">
        <v>0</v>
      </c>
      <c r="O666" t="n">
        <v>0</v>
      </c>
      <c r="P666" t="n">
        <v>0</v>
      </c>
      <c r="Q666" t="n">
        <v>0</v>
      </c>
      <c r="R666" s="2" t="inlineStr"/>
    </row>
    <row r="667" ht="15" customHeight="1">
      <c r="A667" t="inlineStr">
        <is>
          <t>A 61467-2022</t>
        </is>
      </c>
      <c r="B667" s="1" t="n">
        <v>44916</v>
      </c>
      <c r="C667" s="1" t="n">
        <v>45964</v>
      </c>
      <c r="D667" t="inlineStr">
        <is>
          <t>VÄSTERBOTTENS LÄN</t>
        </is>
      </c>
      <c r="E667" t="inlineStr">
        <is>
          <t>SKELLEFTEÅ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15116-2025</t>
        </is>
      </c>
      <c r="B668" s="1" t="n">
        <v>45744.36479166667</v>
      </c>
      <c r="C668" s="1" t="n">
        <v>45964</v>
      </c>
      <c r="D668" t="inlineStr">
        <is>
          <t>VÄSTERBOTTENS LÄN</t>
        </is>
      </c>
      <c r="E668" t="inlineStr">
        <is>
          <t>SKELLEFTEÅ</t>
        </is>
      </c>
      <c r="G668" t="n">
        <v>2.6</v>
      </c>
      <c r="H668" t="n">
        <v>0</v>
      </c>
      <c r="I668" t="n">
        <v>0</v>
      </c>
      <c r="J668" t="n">
        <v>0</v>
      </c>
      <c r="K668" t="n">
        <v>0</v>
      </c>
      <c r="L668" t="n">
        <v>0</v>
      </c>
      <c r="M668" t="n">
        <v>0</v>
      </c>
      <c r="N668" t="n">
        <v>0</v>
      </c>
      <c r="O668" t="n">
        <v>0</v>
      </c>
      <c r="P668" t="n">
        <v>0</v>
      </c>
      <c r="Q668" t="n">
        <v>0</v>
      </c>
      <c r="R668" s="2" t="inlineStr"/>
    </row>
    <row r="669" ht="15" customHeight="1">
      <c r="A669" t="inlineStr">
        <is>
          <t>A 12855-2025</t>
        </is>
      </c>
      <c r="B669" s="1" t="n">
        <v>45733.66163194444</v>
      </c>
      <c r="C669" s="1" t="n">
        <v>45964</v>
      </c>
      <c r="D669" t="inlineStr">
        <is>
          <t>VÄSTERBOTTENS LÄN</t>
        </is>
      </c>
      <c r="E669" t="inlineStr">
        <is>
          <t>SKELLEFTEÅ</t>
        </is>
      </c>
      <c r="G669" t="n">
        <v>7.8</v>
      </c>
      <c r="H669" t="n">
        <v>0</v>
      </c>
      <c r="I669" t="n">
        <v>0</v>
      </c>
      <c r="J669" t="n">
        <v>0</v>
      </c>
      <c r="K669" t="n">
        <v>0</v>
      </c>
      <c r="L669" t="n">
        <v>0</v>
      </c>
      <c r="M669" t="n">
        <v>0</v>
      </c>
      <c r="N669" t="n">
        <v>0</v>
      </c>
      <c r="O669" t="n">
        <v>0</v>
      </c>
      <c r="P669" t="n">
        <v>0</v>
      </c>
      <c r="Q669" t="n">
        <v>0</v>
      </c>
      <c r="R669" s="2" t="inlineStr"/>
    </row>
    <row r="670" ht="15" customHeight="1">
      <c r="A670" t="inlineStr">
        <is>
          <t>A 10719-2024</t>
        </is>
      </c>
      <c r="B670" s="1" t="n">
        <v>45369</v>
      </c>
      <c r="C670" s="1" t="n">
        <v>45964</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60558-2022</t>
        </is>
      </c>
      <c r="B671" s="1" t="n">
        <v>44904</v>
      </c>
      <c r="C671" s="1" t="n">
        <v>45964</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15709-2023</t>
        </is>
      </c>
      <c r="B672" s="1" t="n">
        <v>45020</v>
      </c>
      <c r="C672" s="1" t="n">
        <v>45964</v>
      </c>
      <c r="D672" t="inlineStr">
        <is>
          <t>VÄSTERBOTTENS LÄN</t>
        </is>
      </c>
      <c r="E672" t="inlineStr">
        <is>
          <t>SKELLEFTEÅ</t>
        </is>
      </c>
      <c r="G672" t="n">
        <v>4.4</v>
      </c>
      <c r="H672" t="n">
        <v>0</v>
      </c>
      <c r="I672" t="n">
        <v>0</v>
      </c>
      <c r="J672" t="n">
        <v>0</v>
      </c>
      <c r="K672" t="n">
        <v>0</v>
      </c>
      <c r="L672" t="n">
        <v>0</v>
      </c>
      <c r="M672" t="n">
        <v>0</v>
      </c>
      <c r="N672" t="n">
        <v>0</v>
      </c>
      <c r="O672" t="n">
        <v>0</v>
      </c>
      <c r="P672" t="n">
        <v>0</v>
      </c>
      <c r="Q672" t="n">
        <v>0</v>
      </c>
      <c r="R672" s="2" t="inlineStr"/>
    </row>
    <row r="673" ht="15" customHeight="1">
      <c r="A673" t="inlineStr">
        <is>
          <t>A 29323-2024</t>
        </is>
      </c>
      <c r="B673" s="1" t="n">
        <v>45483.43054398148</v>
      </c>
      <c r="C673" s="1" t="n">
        <v>45964</v>
      </c>
      <c r="D673" t="inlineStr">
        <is>
          <t>VÄSTERBOTTENS LÄN</t>
        </is>
      </c>
      <c r="E673" t="inlineStr">
        <is>
          <t>SKELLEFTEÅ</t>
        </is>
      </c>
      <c r="G673" t="n">
        <v>0.6</v>
      </c>
      <c r="H673" t="n">
        <v>0</v>
      </c>
      <c r="I673" t="n">
        <v>0</v>
      </c>
      <c r="J673" t="n">
        <v>0</v>
      </c>
      <c r="K673" t="n">
        <v>0</v>
      </c>
      <c r="L673" t="n">
        <v>0</v>
      </c>
      <c r="M673" t="n">
        <v>0</v>
      </c>
      <c r="N673" t="n">
        <v>0</v>
      </c>
      <c r="O673" t="n">
        <v>0</v>
      </c>
      <c r="P673" t="n">
        <v>0</v>
      </c>
      <c r="Q673" t="n">
        <v>0</v>
      </c>
      <c r="R673" s="2" t="inlineStr"/>
    </row>
    <row r="674" ht="15" customHeight="1">
      <c r="A674" t="inlineStr">
        <is>
          <t>A 55568-2021</t>
        </is>
      </c>
      <c r="B674" s="1" t="n">
        <v>44475.72190972222</v>
      </c>
      <c r="C674" s="1" t="n">
        <v>45964</v>
      </c>
      <c r="D674" t="inlineStr">
        <is>
          <t>VÄSTERBOTTENS LÄN</t>
        </is>
      </c>
      <c r="E674" t="inlineStr">
        <is>
          <t>SKELLEFTEÅ</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35608-2022</t>
        </is>
      </c>
      <c r="B675" s="1" t="n">
        <v>44799</v>
      </c>
      <c r="C675" s="1" t="n">
        <v>45964</v>
      </c>
      <c r="D675" t="inlineStr">
        <is>
          <t>VÄSTERBOTTENS LÄN</t>
        </is>
      </c>
      <c r="E675" t="inlineStr">
        <is>
          <t>SKELLEFTEÅ</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27322-2023</t>
        </is>
      </c>
      <c r="B676" s="1" t="n">
        <v>45096</v>
      </c>
      <c r="C676" s="1" t="n">
        <v>45964</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16959-2024</t>
        </is>
      </c>
      <c r="B677" s="1" t="n">
        <v>45411</v>
      </c>
      <c r="C677" s="1" t="n">
        <v>45964</v>
      </c>
      <c r="D677" t="inlineStr">
        <is>
          <t>VÄSTERBOTTENS LÄN</t>
        </is>
      </c>
      <c r="E677" t="inlineStr">
        <is>
          <t>SKELLEFTEÅ</t>
        </is>
      </c>
      <c r="G677" t="n">
        <v>2.6</v>
      </c>
      <c r="H677" t="n">
        <v>0</v>
      </c>
      <c r="I677" t="n">
        <v>0</v>
      </c>
      <c r="J677" t="n">
        <v>0</v>
      </c>
      <c r="K677" t="n">
        <v>0</v>
      </c>
      <c r="L677" t="n">
        <v>0</v>
      </c>
      <c r="M677" t="n">
        <v>0</v>
      </c>
      <c r="N677" t="n">
        <v>0</v>
      </c>
      <c r="O677" t="n">
        <v>0</v>
      </c>
      <c r="P677" t="n">
        <v>0</v>
      </c>
      <c r="Q677" t="n">
        <v>0</v>
      </c>
      <c r="R677" s="2" t="inlineStr"/>
    </row>
    <row r="678" ht="15" customHeight="1">
      <c r="A678" t="inlineStr">
        <is>
          <t>A 20592-2024</t>
        </is>
      </c>
      <c r="B678" s="1" t="n">
        <v>45436</v>
      </c>
      <c r="C678" s="1" t="n">
        <v>45964</v>
      </c>
      <c r="D678" t="inlineStr">
        <is>
          <t>VÄSTERBOTTENS LÄN</t>
        </is>
      </c>
      <c r="E678" t="inlineStr">
        <is>
          <t>SKELLEFTEÅ</t>
        </is>
      </c>
      <c r="G678" t="n">
        <v>6.1</v>
      </c>
      <c r="H678" t="n">
        <v>0</v>
      </c>
      <c r="I678" t="n">
        <v>0</v>
      </c>
      <c r="J678" t="n">
        <v>0</v>
      </c>
      <c r="K678" t="n">
        <v>0</v>
      </c>
      <c r="L678" t="n">
        <v>0</v>
      </c>
      <c r="M678" t="n">
        <v>0</v>
      </c>
      <c r="N678" t="n">
        <v>0</v>
      </c>
      <c r="O678" t="n">
        <v>0</v>
      </c>
      <c r="P678" t="n">
        <v>0</v>
      </c>
      <c r="Q678" t="n">
        <v>0</v>
      </c>
      <c r="R678" s="2" t="inlineStr"/>
    </row>
    <row r="679" ht="15" customHeight="1">
      <c r="A679" t="inlineStr">
        <is>
          <t>A 16604-2025</t>
        </is>
      </c>
      <c r="B679" s="1" t="n">
        <v>45753</v>
      </c>
      <c r="C679" s="1" t="n">
        <v>45964</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7364-2023</t>
        </is>
      </c>
      <c r="B680" s="1" t="n">
        <v>44971</v>
      </c>
      <c r="C680" s="1" t="n">
        <v>45964</v>
      </c>
      <c r="D680" t="inlineStr">
        <is>
          <t>VÄSTERBOTTENS LÄN</t>
        </is>
      </c>
      <c r="E680" t="inlineStr">
        <is>
          <t>SKELLEFTEÅ</t>
        </is>
      </c>
      <c r="G680" t="n">
        <v>2.4</v>
      </c>
      <c r="H680" t="n">
        <v>0</v>
      </c>
      <c r="I680" t="n">
        <v>0</v>
      </c>
      <c r="J680" t="n">
        <v>0</v>
      </c>
      <c r="K680" t="n">
        <v>0</v>
      </c>
      <c r="L680" t="n">
        <v>0</v>
      </c>
      <c r="M680" t="n">
        <v>0</v>
      </c>
      <c r="N680" t="n">
        <v>0</v>
      </c>
      <c r="O680" t="n">
        <v>0</v>
      </c>
      <c r="P680" t="n">
        <v>0</v>
      </c>
      <c r="Q680" t="n">
        <v>0</v>
      </c>
      <c r="R680" s="2" t="inlineStr"/>
    </row>
    <row r="681" ht="15" customHeight="1">
      <c r="A681" t="inlineStr">
        <is>
          <t>A 27508-2023</t>
        </is>
      </c>
      <c r="B681" s="1" t="n">
        <v>45097</v>
      </c>
      <c r="C681" s="1" t="n">
        <v>45964</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37938-2021</t>
        </is>
      </c>
      <c r="B682" s="1" t="n">
        <v>44403</v>
      </c>
      <c r="C682" s="1" t="n">
        <v>45964</v>
      </c>
      <c r="D682" t="inlineStr">
        <is>
          <t>VÄSTERBOTTENS LÄN</t>
        </is>
      </c>
      <c r="E682" t="inlineStr">
        <is>
          <t>SKELLEFTEÅ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2393-2025</t>
        </is>
      </c>
      <c r="B683" s="1" t="n">
        <v>45674.33457175926</v>
      </c>
      <c r="C683" s="1" t="n">
        <v>45964</v>
      </c>
      <c r="D683" t="inlineStr">
        <is>
          <t>VÄSTERBOTTENS LÄN</t>
        </is>
      </c>
      <c r="E683" t="inlineStr">
        <is>
          <t>SKELLEFTEÅ</t>
        </is>
      </c>
      <c r="G683" t="n">
        <v>10.2</v>
      </c>
      <c r="H683" t="n">
        <v>0</v>
      </c>
      <c r="I683" t="n">
        <v>0</v>
      </c>
      <c r="J683" t="n">
        <v>0</v>
      </c>
      <c r="K683" t="n">
        <v>0</v>
      </c>
      <c r="L683" t="n">
        <v>0</v>
      </c>
      <c r="M683" t="n">
        <v>0</v>
      </c>
      <c r="N683" t="n">
        <v>0</v>
      </c>
      <c r="O683" t="n">
        <v>0</v>
      </c>
      <c r="P683" t="n">
        <v>0</v>
      </c>
      <c r="Q683" t="n">
        <v>0</v>
      </c>
      <c r="R683" s="2" t="inlineStr"/>
    </row>
    <row r="684" ht="15" customHeight="1">
      <c r="A684" t="inlineStr">
        <is>
          <t>A 2454-2025</t>
        </is>
      </c>
      <c r="B684" s="1" t="n">
        <v>45673</v>
      </c>
      <c r="C684" s="1" t="n">
        <v>45964</v>
      </c>
      <c r="D684" t="inlineStr">
        <is>
          <t>VÄSTERBOTTENS LÄN</t>
        </is>
      </c>
      <c r="E684" t="inlineStr">
        <is>
          <t>SKELLEFTEÅ</t>
        </is>
      </c>
      <c r="G684" t="n">
        <v>2.3</v>
      </c>
      <c r="H684" t="n">
        <v>0</v>
      </c>
      <c r="I684" t="n">
        <v>0</v>
      </c>
      <c r="J684" t="n">
        <v>0</v>
      </c>
      <c r="K684" t="n">
        <v>0</v>
      </c>
      <c r="L684" t="n">
        <v>0</v>
      </c>
      <c r="M684" t="n">
        <v>0</v>
      </c>
      <c r="N684" t="n">
        <v>0</v>
      </c>
      <c r="O684" t="n">
        <v>0</v>
      </c>
      <c r="P684" t="n">
        <v>0</v>
      </c>
      <c r="Q684" t="n">
        <v>0</v>
      </c>
      <c r="R684" s="2" t="inlineStr"/>
    </row>
    <row r="685" ht="15" customHeight="1">
      <c r="A685" t="inlineStr">
        <is>
          <t>A 27555-2022</t>
        </is>
      </c>
      <c r="B685" s="1" t="n">
        <v>44742.92666666667</v>
      </c>
      <c r="C685" s="1" t="n">
        <v>45964</v>
      </c>
      <c r="D685" t="inlineStr">
        <is>
          <t>VÄSTERBOTTENS LÄN</t>
        </is>
      </c>
      <c r="E685" t="inlineStr">
        <is>
          <t>SKELLEFTEÅ</t>
        </is>
      </c>
      <c r="F685" t="inlineStr">
        <is>
          <t>Kommuner</t>
        </is>
      </c>
      <c r="G685" t="n">
        <v>5.3</v>
      </c>
      <c r="H685" t="n">
        <v>0</v>
      </c>
      <c r="I685" t="n">
        <v>0</v>
      </c>
      <c r="J685" t="n">
        <v>0</v>
      </c>
      <c r="K685" t="n">
        <v>0</v>
      </c>
      <c r="L685" t="n">
        <v>0</v>
      </c>
      <c r="M685" t="n">
        <v>0</v>
      </c>
      <c r="N685" t="n">
        <v>0</v>
      </c>
      <c r="O685" t="n">
        <v>0</v>
      </c>
      <c r="P685" t="n">
        <v>0</v>
      </c>
      <c r="Q685" t="n">
        <v>0</v>
      </c>
      <c r="R685" s="2" t="inlineStr"/>
    </row>
    <row r="686" ht="15" customHeight="1">
      <c r="A686" t="inlineStr">
        <is>
          <t>A 47062-2024</t>
        </is>
      </c>
      <c r="B686" s="1" t="n">
        <v>45585</v>
      </c>
      <c r="C686" s="1" t="n">
        <v>45964</v>
      </c>
      <c r="D686" t="inlineStr">
        <is>
          <t>VÄSTERBOTTENS LÄN</t>
        </is>
      </c>
      <c r="E686" t="inlineStr">
        <is>
          <t>SKELLEFTEÅ</t>
        </is>
      </c>
      <c r="G686" t="n">
        <v>10</v>
      </c>
      <c r="H686" t="n">
        <v>0</v>
      </c>
      <c r="I686" t="n">
        <v>0</v>
      </c>
      <c r="J686" t="n">
        <v>0</v>
      </c>
      <c r="K686" t="n">
        <v>0</v>
      </c>
      <c r="L686" t="n">
        <v>0</v>
      </c>
      <c r="M686" t="n">
        <v>0</v>
      </c>
      <c r="N686" t="n">
        <v>0</v>
      </c>
      <c r="O686" t="n">
        <v>0</v>
      </c>
      <c r="P686" t="n">
        <v>0</v>
      </c>
      <c r="Q686" t="n">
        <v>0</v>
      </c>
      <c r="R686" s="2" t="inlineStr"/>
    </row>
    <row r="687" ht="15" customHeight="1">
      <c r="A687" t="inlineStr">
        <is>
          <t>A 55613-2023</t>
        </is>
      </c>
      <c r="B687" s="1" t="n">
        <v>45238.74128472222</v>
      </c>
      <c r="C687" s="1" t="n">
        <v>45964</v>
      </c>
      <c r="D687" t="inlineStr">
        <is>
          <t>VÄSTERBOTTENS LÄN</t>
        </is>
      </c>
      <c r="E687" t="inlineStr">
        <is>
          <t>SKELLEFTEÅ</t>
        </is>
      </c>
      <c r="F687" t="inlineStr">
        <is>
          <t>Sveaskog</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54653-2024</t>
        </is>
      </c>
      <c r="B688" s="1" t="n">
        <v>45618.30525462963</v>
      </c>
      <c r="C688" s="1" t="n">
        <v>45964</v>
      </c>
      <c r="D688" t="inlineStr">
        <is>
          <t>VÄSTERBOTTENS LÄN</t>
        </is>
      </c>
      <c r="E688" t="inlineStr">
        <is>
          <t>SKELLEFTEÅ</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54660-2024</t>
        </is>
      </c>
      <c r="B689" s="1" t="n">
        <v>45618.3122337963</v>
      </c>
      <c r="C689" s="1" t="n">
        <v>45964</v>
      </c>
      <c r="D689" t="inlineStr">
        <is>
          <t>VÄSTERBOTTENS LÄN</t>
        </is>
      </c>
      <c r="E689" t="inlineStr">
        <is>
          <t>SKELLEFTEÅ</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38706-2024</t>
        </is>
      </c>
      <c r="B690" s="1" t="n">
        <v>45547.37357638889</v>
      </c>
      <c r="C690" s="1" t="n">
        <v>45964</v>
      </c>
      <c r="D690" t="inlineStr">
        <is>
          <t>VÄSTERBOTTENS LÄN</t>
        </is>
      </c>
      <c r="E690" t="inlineStr">
        <is>
          <t>SKELLEFTEÅ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34986-2023</t>
        </is>
      </c>
      <c r="B691" s="1" t="n">
        <v>45142</v>
      </c>
      <c r="C691" s="1" t="n">
        <v>45964</v>
      </c>
      <c r="D691" t="inlineStr">
        <is>
          <t>VÄSTERBOTTENS LÄN</t>
        </is>
      </c>
      <c r="E691" t="inlineStr">
        <is>
          <t>SKELLEFTEÅ</t>
        </is>
      </c>
      <c r="G691" t="n">
        <v>2.6</v>
      </c>
      <c r="H691" t="n">
        <v>0</v>
      </c>
      <c r="I691" t="n">
        <v>0</v>
      </c>
      <c r="J691" t="n">
        <v>0</v>
      </c>
      <c r="K691" t="n">
        <v>0</v>
      </c>
      <c r="L691" t="n">
        <v>0</v>
      </c>
      <c r="M691" t="n">
        <v>0</v>
      </c>
      <c r="N691" t="n">
        <v>0</v>
      </c>
      <c r="O691" t="n">
        <v>0</v>
      </c>
      <c r="P691" t="n">
        <v>0</v>
      </c>
      <c r="Q691" t="n">
        <v>0</v>
      </c>
      <c r="R691" s="2" t="inlineStr"/>
    </row>
    <row r="692" ht="15" customHeight="1">
      <c r="A692" t="inlineStr">
        <is>
          <t>A 43793-2024</t>
        </is>
      </c>
      <c r="B692" s="1" t="n">
        <v>45571.49777777777</v>
      </c>
      <c r="C692" s="1" t="n">
        <v>45964</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60853-2022</t>
        </is>
      </c>
      <c r="B693" s="1" t="n">
        <v>44914.51908564815</v>
      </c>
      <c r="C693" s="1" t="n">
        <v>45964</v>
      </c>
      <c r="D693" t="inlineStr">
        <is>
          <t>VÄSTERBOTTENS LÄN</t>
        </is>
      </c>
      <c r="E693" t="inlineStr">
        <is>
          <t>SKELLEFTEÅ</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64977-2020</t>
        </is>
      </c>
      <c r="B694" s="1" t="n">
        <v>44167</v>
      </c>
      <c r="C694" s="1" t="n">
        <v>45964</v>
      </c>
      <c r="D694" t="inlineStr">
        <is>
          <t>VÄSTERBOTTENS LÄN</t>
        </is>
      </c>
      <c r="E694" t="inlineStr">
        <is>
          <t>SKELLEFTEÅ</t>
        </is>
      </c>
      <c r="G694" t="n">
        <v>9</v>
      </c>
      <c r="H694" t="n">
        <v>0</v>
      </c>
      <c r="I694" t="n">
        <v>0</v>
      </c>
      <c r="J694" t="n">
        <v>0</v>
      </c>
      <c r="K694" t="n">
        <v>0</v>
      </c>
      <c r="L694" t="n">
        <v>0</v>
      </c>
      <c r="M694" t="n">
        <v>0</v>
      </c>
      <c r="N694" t="n">
        <v>0</v>
      </c>
      <c r="O694" t="n">
        <v>0</v>
      </c>
      <c r="P694" t="n">
        <v>0</v>
      </c>
      <c r="Q694" t="n">
        <v>0</v>
      </c>
      <c r="R694" s="2" t="inlineStr"/>
    </row>
    <row r="695" ht="15" customHeight="1">
      <c r="A695" t="inlineStr">
        <is>
          <t>A 18578-2024</t>
        </is>
      </c>
      <c r="B695" s="1" t="n">
        <v>45425</v>
      </c>
      <c r="C695" s="1" t="n">
        <v>45964</v>
      </c>
      <c r="D695" t="inlineStr">
        <is>
          <t>VÄSTERBOTTENS LÄN</t>
        </is>
      </c>
      <c r="E695" t="inlineStr">
        <is>
          <t>SKELLEFTEÅ</t>
        </is>
      </c>
      <c r="G695" t="n">
        <v>1.1</v>
      </c>
      <c r="H695" t="n">
        <v>0</v>
      </c>
      <c r="I695" t="n">
        <v>0</v>
      </c>
      <c r="J695" t="n">
        <v>0</v>
      </c>
      <c r="K695" t="n">
        <v>0</v>
      </c>
      <c r="L695" t="n">
        <v>0</v>
      </c>
      <c r="M695" t="n">
        <v>0</v>
      </c>
      <c r="N695" t="n">
        <v>0</v>
      </c>
      <c r="O695" t="n">
        <v>0</v>
      </c>
      <c r="P695" t="n">
        <v>0</v>
      </c>
      <c r="Q695" t="n">
        <v>0</v>
      </c>
      <c r="R695" s="2" t="inlineStr"/>
    </row>
    <row r="696" ht="15" customHeight="1">
      <c r="A696" t="inlineStr">
        <is>
          <t>A 68251-2021</t>
        </is>
      </c>
      <c r="B696" s="1" t="n">
        <v>44525</v>
      </c>
      <c r="C696" s="1" t="n">
        <v>45964</v>
      </c>
      <c r="D696" t="inlineStr">
        <is>
          <t>VÄSTERBOTTENS LÄN</t>
        </is>
      </c>
      <c r="E696" t="inlineStr">
        <is>
          <t>SKELLEFTEÅ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58053-2022</t>
        </is>
      </c>
      <c r="B697" s="1" t="n">
        <v>44900</v>
      </c>
      <c r="C697" s="1" t="n">
        <v>45964</v>
      </c>
      <c r="D697" t="inlineStr">
        <is>
          <t>VÄSTERBOTTENS LÄN</t>
        </is>
      </c>
      <c r="E697" t="inlineStr">
        <is>
          <t>SKELLEFTEÅ</t>
        </is>
      </c>
      <c r="G697" t="n">
        <v>5.3</v>
      </c>
      <c r="H697" t="n">
        <v>0</v>
      </c>
      <c r="I697" t="n">
        <v>0</v>
      </c>
      <c r="J697" t="n">
        <v>0</v>
      </c>
      <c r="K697" t="n">
        <v>0</v>
      </c>
      <c r="L697" t="n">
        <v>0</v>
      </c>
      <c r="M697" t="n">
        <v>0</v>
      </c>
      <c r="N697" t="n">
        <v>0</v>
      </c>
      <c r="O697" t="n">
        <v>0</v>
      </c>
      <c r="P697" t="n">
        <v>0</v>
      </c>
      <c r="Q697" t="n">
        <v>0</v>
      </c>
      <c r="R697" s="2" t="inlineStr"/>
    </row>
    <row r="698" ht="15" customHeight="1">
      <c r="A698" t="inlineStr">
        <is>
          <t>A 27542-2024</t>
        </is>
      </c>
      <c r="B698" s="1" t="n">
        <v>45474.59413194445</v>
      </c>
      <c r="C698" s="1" t="n">
        <v>45964</v>
      </c>
      <c r="D698" t="inlineStr">
        <is>
          <t>VÄSTERBOTTENS LÄN</t>
        </is>
      </c>
      <c r="E698" t="inlineStr">
        <is>
          <t>SKELLEFTEÅ</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33184-2023</t>
        </is>
      </c>
      <c r="B699" s="1" t="n">
        <v>45114</v>
      </c>
      <c r="C699" s="1" t="n">
        <v>45964</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803-2022</t>
        </is>
      </c>
      <c r="B700" s="1" t="n">
        <v>44568</v>
      </c>
      <c r="C700" s="1" t="n">
        <v>45964</v>
      </c>
      <c r="D700" t="inlineStr">
        <is>
          <t>VÄSTERBOTTENS LÄN</t>
        </is>
      </c>
      <c r="E700" t="inlineStr">
        <is>
          <t>SKELLEFTEÅ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32914-2024</t>
        </is>
      </c>
      <c r="B701" s="1" t="n">
        <v>45516.95133101852</v>
      </c>
      <c r="C701" s="1" t="n">
        <v>45964</v>
      </c>
      <c r="D701" t="inlineStr">
        <is>
          <t>VÄSTERBOTTENS LÄN</t>
        </is>
      </c>
      <c r="E701" t="inlineStr">
        <is>
          <t>SKELLEFTEÅ</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14016-2025</t>
        </is>
      </c>
      <c r="B702" s="1" t="n">
        <v>45740.31862268518</v>
      </c>
      <c r="C702" s="1" t="n">
        <v>45964</v>
      </c>
      <c r="D702" t="inlineStr">
        <is>
          <t>VÄSTERBOTTENS LÄN</t>
        </is>
      </c>
      <c r="E702" t="inlineStr">
        <is>
          <t>SKELLEFTEÅ</t>
        </is>
      </c>
      <c r="G702" t="n">
        <v>3.2</v>
      </c>
      <c r="H702" t="n">
        <v>0</v>
      </c>
      <c r="I702" t="n">
        <v>0</v>
      </c>
      <c r="J702" t="n">
        <v>0</v>
      </c>
      <c r="K702" t="n">
        <v>0</v>
      </c>
      <c r="L702" t="n">
        <v>0</v>
      </c>
      <c r="M702" t="n">
        <v>0</v>
      </c>
      <c r="N702" t="n">
        <v>0</v>
      </c>
      <c r="O702" t="n">
        <v>0</v>
      </c>
      <c r="P702" t="n">
        <v>0</v>
      </c>
      <c r="Q702" t="n">
        <v>0</v>
      </c>
      <c r="R702" s="2" t="inlineStr"/>
    </row>
    <row r="703" ht="15" customHeight="1">
      <c r="A703" t="inlineStr">
        <is>
          <t>A 19764-2025</t>
        </is>
      </c>
      <c r="B703" s="1" t="n">
        <v>45771.4071412037</v>
      </c>
      <c r="C703" s="1" t="n">
        <v>45964</v>
      </c>
      <c r="D703" t="inlineStr">
        <is>
          <t>VÄSTERBOTTENS LÄN</t>
        </is>
      </c>
      <c r="E703" t="inlineStr">
        <is>
          <t>SKELLEFTEÅ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19795-2025</t>
        </is>
      </c>
      <c r="B704" s="1" t="n">
        <v>45771.44666666666</v>
      </c>
      <c r="C704" s="1" t="n">
        <v>45964</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36771-2024</t>
        </is>
      </c>
      <c r="B705" s="1" t="n">
        <v>45538.38226851852</v>
      </c>
      <c r="C705" s="1" t="n">
        <v>45964</v>
      </c>
      <c r="D705" t="inlineStr">
        <is>
          <t>VÄSTERBOTTENS LÄN</t>
        </is>
      </c>
      <c r="E705" t="inlineStr">
        <is>
          <t>SKELLEFTEÅ</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18098-2025</t>
        </is>
      </c>
      <c r="B706" s="1" t="n">
        <v>45761.5509375</v>
      </c>
      <c r="C706" s="1" t="n">
        <v>45964</v>
      </c>
      <c r="D706" t="inlineStr">
        <is>
          <t>VÄSTERBOTTENS LÄN</t>
        </is>
      </c>
      <c r="E706" t="inlineStr">
        <is>
          <t>SKELLEFTEÅ</t>
        </is>
      </c>
      <c r="G706" t="n">
        <v>4.8</v>
      </c>
      <c r="H706" t="n">
        <v>0</v>
      </c>
      <c r="I706" t="n">
        <v>0</v>
      </c>
      <c r="J706" t="n">
        <v>0</v>
      </c>
      <c r="K706" t="n">
        <v>0</v>
      </c>
      <c r="L706" t="n">
        <v>0</v>
      </c>
      <c r="M706" t="n">
        <v>0</v>
      </c>
      <c r="N706" t="n">
        <v>0</v>
      </c>
      <c r="O706" t="n">
        <v>0</v>
      </c>
      <c r="P706" t="n">
        <v>0</v>
      </c>
      <c r="Q706" t="n">
        <v>0</v>
      </c>
      <c r="R706" s="2" t="inlineStr"/>
    </row>
    <row r="707" ht="15" customHeight="1">
      <c r="A707" t="inlineStr">
        <is>
          <t>A 62025-2022</t>
        </is>
      </c>
      <c r="B707" s="1" t="n">
        <v>44914</v>
      </c>
      <c r="C707" s="1" t="n">
        <v>45964</v>
      </c>
      <c r="D707" t="inlineStr">
        <is>
          <t>VÄSTERBOTTENS LÄN</t>
        </is>
      </c>
      <c r="E707" t="inlineStr">
        <is>
          <t>SKELLEFTEÅ</t>
        </is>
      </c>
      <c r="G707" t="n">
        <v>6.9</v>
      </c>
      <c r="H707" t="n">
        <v>0</v>
      </c>
      <c r="I707" t="n">
        <v>0</v>
      </c>
      <c r="J707" t="n">
        <v>0</v>
      </c>
      <c r="K707" t="n">
        <v>0</v>
      </c>
      <c r="L707" t="n">
        <v>0</v>
      </c>
      <c r="M707" t="n">
        <v>0</v>
      </c>
      <c r="N707" t="n">
        <v>0</v>
      </c>
      <c r="O707" t="n">
        <v>0</v>
      </c>
      <c r="P707" t="n">
        <v>0</v>
      </c>
      <c r="Q707" t="n">
        <v>0</v>
      </c>
      <c r="R707" s="2" t="inlineStr"/>
    </row>
    <row r="708" ht="15" customHeight="1">
      <c r="A708" t="inlineStr">
        <is>
          <t>A 62028-2022</t>
        </is>
      </c>
      <c r="B708" s="1" t="n">
        <v>44914</v>
      </c>
      <c r="C708" s="1" t="n">
        <v>45964</v>
      </c>
      <c r="D708" t="inlineStr">
        <is>
          <t>VÄSTERBOTTENS LÄN</t>
        </is>
      </c>
      <c r="E708" t="inlineStr">
        <is>
          <t>SKELLEFTEÅ</t>
        </is>
      </c>
      <c r="G708" t="n">
        <v>4.6</v>
      </c>
      <c r="H708" t="n">
        <v>0</v>
      </c>
      <c r="I708" t="n">
        <v>0</v>
      </c>
      <c r="J708" t="n">
        <v>0</v>
      </c>
      <c r="K708" t="n">
        <v>0</v>
      </c>
      <c r="L708" t="n">
        <v>0</v>
      </c>
      <c r="M708" t="n">
        <v>0</v>
      </c>
      <c r="N708" t="n">
        <v>0</v>
      </c>
      <c r="O708" t="n">
        <v>0</v>
      </c>
      <c r="P708" t="n">
        <v>0</v>
      </c>
      <c r="Q708" t="n">
        <v>0</v>
      </c>
      <c r="R708" s="2" t="inlineStr"/>
    </row>
    <row r="709" ht="15" customHeight="1">
      <c r="A709" t="inlineStr">
        <is>
          <t>A 16198-2022</t>
        </is>
      </c>
      <c r="B709" s="1" t="n">
        <v>44665</v>
      </c>
      <c r="C709" s="1" t="n">
        <v>45964</v>
      </c>
      <c r="D709" t="inlineStr">
        <is>
          <t>VÄSTERBOTTENS LÄN</t>
        </is>
      </c>
      <c r="E709" t="inlineStr">
        <is>
          <t>SKELLEFTEÅ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15903-2023</t>
        </is>
      </c>
      <c r="B710" s="1" t="n">
        <v>45021</v>
      </c>
      <c r="C710" s="1" t="n">
        <v>45964</v>
      </c>
      <c r="D710" t="inlineStr">
        <is>
          <t>VÄSTERBOTTENS LÄN</t>
        </is>
      </c>
      <c r="E710" t="inlineStr">
        <is>
          <t>SKELLEFTEÅ</t>
        </is>
      </c>
      <c r="G710" t="n">
        <v>8.9</v>
      </c>
      <c r="H710" t="n">
        <v>0</v>
      </c>
      <c r="I710" t="n">
        <v>0</v>
      </c>
      <c r="J710" t="n">
        <v>0</v>
      </c>
      <c r="K710" t="n">
        <v>0</v>
      </c>
      <c r="L710" t="n">
        <v>0</v>
      </c>
      <c r="M710" t="n">
        <v>0</v>
      </c>
      <c r="N710" t="n">
        <v>0</v>
      </c>
      <c r="O710" t="n">
        <v>0</v>
      </c>
      <c r="P710" t="n">
        <v>0</v>
      </c>
      <c r="Q710" t="n">
        <v>0</v>
      </c>
      <c r="R710" s="2" t="inlineStr"/>
    </row>
    <row r="711" ht="15" customHeight="1">
      <c r="A711" t="inlineStr">
        <is>
          <t>A 6016-2023</t>
        </is>
      </c>
      <c r="B711" s="1" t="n">
        <v>44959</v>
      </c>
      <c r="C711" s="1" t="n">
        <v>45964</v>
      </c>
      <c r="D711" t="inlineStr">
        <is>
          <t>VÄSTERBOTTENS LÄN</t>
        </is>
      </c>
      <c r="E711" t="inlineStr">
        <is>
          <t>SKELLEFTEÅ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16708-2025</t>
        </is>
      </c>
      <c r="B712" s="1" t="n">
        <v>45751</v>
      </c>
      <c r="C712" s="1" t="n">
        <v>45964</v>
      </c>
      <c r="D712" t="inlineStr">
        <is>
          <t>VÄSTERBOTTENS LÄN</t>
        </is>
      </c>
      <c r="E712" t="inlineStr">
        <is>
          <t>SKELLEFTEÅ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58542-2024</t>
        </is>
      </c>
      <c r="B713" s="1" t="n">
        <v>45635.45708333333</v>
      </c>
      <c r="C713" s="1" t="n">
        <v>45964</v>
      </c>
      <c r="D713" t="inlineStr">
        <is>
          <t>VÄSTERBOTTENS LÄN</t>
        </is>
      </c>
      <c r="E713" t="inlineStr">
        <is>
          <t>SKELLEFTEÅ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46858-2024</t>
        </is>
      </c>
      <c r="B714" s="1" t="n">
        <v>45583</v>
      </c>
      <c r="C714" s="1" t="n">
        <v>45964</v>
      </c>
      <c r="D714" t="inlineStr">
        <is>
          <t>VÄSTERBOTTENS LÄN</t>
        </is>
      </c>
      <c r="E714" t="inlineStr">
        <is>
          <t>SKELLEFTEÅ</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3843-2025</t>
        </is>
      </c>
      <c r="B715" s="1" t="n">
        <v>45683.66033564815</v>
      </c>
      <c r="C715" s="1" t="n">
        <v>45964</v>
      </c>
      <c r="D715" t="inlineStr">
        <is>
          <t>VÄSTERBOTTENS LÄN</t>
        </is>
      </c>
      <c r="E715" t="inlineStr">
        <is>
          <t>SKELLEFTEÅ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36379-2024</t>
        </is>
      </c>
      <c r="B716" s="1" t="n">
        <v>45534.6965162037</v>
      </c>
      <c r="C716" s="1" t="n">
        <v>45964</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22618-2022</t>
        </is>
      </c>
      <c r="B717" s="1" t="n">
        <v>44714</v>
      </c>
      <c r="C717" s="1" t="n">
        <v>45964</v>
      </c>
      <c r="D717" t="inlineStr">
        <is>
          <t>VÄSTERBOTTENS LÄN</t>
        </is>
      </c>
      <c r="E717" t="inlineStr">
        <is>
          <t>SKELLEFTEÅ</t>
        </is>
      </c>
      <c r="G717" t="n">
        <v>5.1</v>
      </c>
      <c r="H717" t="n">
        <v>0</v>
      </c>
      <c r="I717" t="n">
        <v>0</v>
      </c>
      <c r="J717" t="n">
        <v>0</v>
      </c>
      <c r="K717" t="n">
        <v>0</v>
      </c>
      <c r="L717" t="n">
        <v>0</v>
      </c>
      <c r="M717" t="n">
        <v>0</v>
      </c>
      <c r="N717" t="n">
        <v>0</v>
      </c>
      <c r="O717" t="n">
        <v>0</v>
      </c>
      <c r="P717" t="n">
        <v>0</v>
      </c>
      <c r="Q717" t="n">
        <v>0</v>
      </c>
      <c r="R717" s="2" t="inlineStr"/>
    </row>
    <row r="718" ht="15" customHeight="1">
      <c r="A718" t="inlineStr">
        <is>
          <t>A 45418-2024</t>
        </is>
      </c>
      <c r="B718" s="1" t="n">
        <v>45576.59891203704</v>
      </c>
      <c r="C718" s="1" t="n">
        <v>45964</v>
      </c>
      <c r="D718" t="inlineStr">
        <is>
          <t>VÄSTERBOTTENS LÄN</t>
        </is>
      </c>
      <c r="E718" t="inlineStr">
        <is>
          <t>SKELLEFTEÅ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21495-2024</t>
        </is>
      </c>
      <c r="B719" s="1" t="n">
        <v>45441</v>
      </c>
      <c r="C719" s="1" t="n">
        <v>45964</v>
      </c>
      <c r="D719" t="inlineStr">
        <is>
          <t>VÄSTERBOTTENS LÄN</t>
        </is>
      </c>
      <c r="E719" t="inlineStr">
        <is>
          <t>SKELLEFTEÅ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57926-2023</t>
        </is>
      </c>
      <c r="B720" s="1" t="n">
        <v>45247.54817129629</v>
      </c>
      <c r="C720" s="1" t="n">
        <v>45964</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22364-2022</t>
        </is>
      </c>
      <c r="B721" s="1" t="n">
        <v>44713</v>
      </c>
      <c r="C721" s="1" t="n">
        <v>45964</v>
      </c>
      <c r="D721" t="inlineStr">
        <is>
          <t>VÄSTERBOTTENS LÄN</t>
        </is>
      </c>
      <c r="E721" t="inlineStr">
        <is>
          <t>SKELLEFTEÅ</t>
        </is>
      </c>
      <c r="G721" t="n">
        <v>3.7</v>
      </c>
      <c r="H721" t="n">
        <v>0</v>
      </c>
      <c r="I721" t="n">
        <v>0</v>
      </c>
      <c r="J721" t="n">
        <v>0</v>
      </c>
      <c r="K721" t="n">
        <v>0</v>
      </c>
      <c r="L721" t="n">
        <v>0</v>
      </c>
      <c r="M721" t="n">
        <v>0</v>
      </c>
      <c r="N721" t="n">
        <v>0</v>
      </c>
      <c r="O721" t="n">
        <v>0</v>
      </c>
      <c r="P721" t="n">
        <v>0</v>
      </c>
      <c r="Q721" t="n">
        <v>0</v>
      </c>
      <c r="R721" s="2" t="inlineStr"/>
    </row>
    <row r="722" ht="15" customHeight="1">
      <c r="A722" t="inlineStr">
        <is>
          <t>A 14342-2024</t>
        </is>
      </c>
      <c r="B722" s="1" t="n">
        <v>45393.73072916667</v>
      </c>
      <c r="C722" s="1" t="n">
        <v>45964</v>
      </c>
      <c r="D722" t="inlineStr">
        <is>
          <t>VÄSTERBOTTENS LÄN</t>
        </is>
      </c>
      <c r="E722" t="inlineStr">
        <is>
          <t>SKELLEFTEÅ</t>
        </is>
      </c>
      <c r="G722" t="n">
        <v>3.1</v>
      </c>
      <c r="H722" t="n">
        <v>0</v>
      </c>
      <c r="I722" t="n">
        <v>0</v>
      </c>
      <c r="J722" t="n">
        <v>0</v>
      </c>
      <c r="K722" t="n">
        <v>0</v>
      </c>
      <c r="L722" t="n">
        <v>0</v>
      </c>
      <c r="M722" t="n">
        <v>0</v>
      </c>
      <c r="N722" t="n">
        <v>0</v>
      </c>
      <c r="O722" t="n">
        <v>0</v>
      </c>
      <c r="P722" t="n">
        <v>0</v>
      </c>
      <c r="Q722" t="n">
        <v>0</v>
      </c>
      <c r="R722" s="2" t="inlineStr"/>
    </row>
    <row r="723" ht="15" customHeight="1">
      <c r="A723" t="inlineStr">
        <is>
          <t>A 45757-2024</t>
        </is>
      </c>
      <c r="B723" s="1" t="n">
        <v>45579.63565972223</v>
      </c>
      <c r="C723" s="1" t="n">
        <v>45964</v>
      </c>
      <c r="D723" t="inlineStr">
        <is>
          <t>VÄSTERBOTTENS LÄN</t>
        </is>
      </c>
      <c r="E723" t="inlineStr">
        <is>
          <t>SKELLEFTEÅ</t>
        </is>
      </c>
      <c r="G723" t="n">
        <v>3.6</v>
      </c>
      <c r="H723" t="n">
        <v>0</v>
      </c>
      <c r="I723" t="n">
        <v>0</v>
      </c>
      <c r="J723" t="n">
        <v>0</v>
      </c>
      <c r="K723" t="n">
        <v>0</v>
      </c>
      <c r="L723" t="n">
        <v>0</v>
      </c>
      <c r="M723" t="n">
        <v>0</v>
      </c>
      <c r="N723" t="n">
        <v>0</v>
      </c>
      <c r="O723" t="n">
        <v>0</v>
      </c>
      <c r="P723" t="n">
        <v>0</v>
      </c>
      <c r="Q723" t="n">
        <v>0</v>
      </c>
      <c r="R723" s="2" t="inlineStr"/>
    </row>
    <row r="724" ht="15" customHeight="1">
      <c r="A724" t="inlineStr">
        <is>
          <t>A 42877-2024</t>
        </is>
      </c>
      <c r="B724" s="1" t="n">
        <v>45566.68878472222</v>
      </c>
      <c r="C724" s="1" t="n">
        <v>45964</v>
      </c>
      <c r="D724" t="inlineStr">
        <is>
          <t>VÄSTERBOTTENS LÄN</t>
        </is>
      </c>
      <c r="E724" t="inlineStr">
        <is>
          <t>SKELLEFTEÅ</t>
        </is>
      </c>
      <c r="G724" t="n">
        <v>1.5</v>
      </c>
      <c r="H724" t="n">
        <v>0</v>
      </c>
      <c r="I724" t="n">
        <v>0</v>
      </c>
      <c r="J724" t="n">
        <v>0</v>
      </c>
      <c r="K724" t="n">
        <v>0</v>
      </c>
      <c r="L724" t="n">
        <v>0</v>
      </c>
      <c r="M724" t="n">
        <v>0</v>
      </c>
      <c r="N724" t="n">
        <v>0</v>
      </c>
      <c r="O724" t="n">
        <v>0</v>
      </c>
      <c r="P724" t="n">
        <v>0</v>
      </c>
      <c r="Q724" t="n">
        <v>0</v>
      </c>
      <c r="R724" s="2" t="inlineStr"/>
    </row>
    <row r="725" ht="15" customHeight="1">
      <c r="A725" t="inlineStr">
        <is>
          <t>A 34580-2024</t>
        </is>
      </c>
      <c r="B725" s="1" t="n">
        <v>45526</v>
      </c>
      <c r="C725" s="1" t="n">
        <v>45964</v>
      </c>
      <c r="D725" t="inlineStr">
        <is>
          <t>VÄSTERBOTTENS LÄN</t>
        </is>
      </c>
      <c r="E725" t="inlineStr">
        <is>
          <t>SKELLEFTEÅ</t>
        </is>
      </c>
      <c r="G725" t="n">
        <v>13</v>
      </c>
      <c r="H725" t="n">
        <v>0</v>
      </c>
      <c r="I725" t="n">
        <v>0</v>
      </c>
      <c r="J725" t="n">
        <v>0</v>
      </c>
      <c r="K725" t="n">
        <v>0</v>
      </c>
      <c r="L725" t="n">
        <v>0</v>
      </c>
      <c r="M725" t="n">
        <v>0</v>
      </c>
      <c r="N725" t="n">
        <v>0</v>
      </c>
      <c r="O725" t="n">
        <v>0</v>
      </c>
      <c r="P725" t="n">
        <v>0</v>
      </c>
      <c r="Q725" t="n">
        <v>0</v>
      </c>
      <c r="R725" s="2" t="inlineStr"/>
    </row>
    <row r="726" ht="15" customHeight="1">
      <c r="A726" t="inlineStr">
        <is>
          <t>A 34587-2024</t>
        </is>
      </c>
      <c r="B726" s="1" t="n">
        <v>45526</v>
      </c>
      <c r="C726" s="1" t="n">
        <v>45964</v>
      </c>
      <c r="D726" t="inlineStr">
        <is>
          <t>VÄSTERBOTTENS LÄN</t>
        </is>
      </c>
      <c r="E726" t="inlineStr">
        <is>
          <t>SKELLEFTEÅ</t>
        </is>
      </c>
      <c r="G726" t="n">
        <v>1.5</v>
      </c>
      <c r="H726" t="n">
        <v>0</v>
      </c>
      <c r="I726" t="n">
        <v>0</v>
      </c>
      <c r="J726" t="n">
        <v>0</v>
      </c>
      <c r="K726" t="n">
        <v>0</v>
      </c>
      <c r="L726" t="n">
        <v>0</v>
      </c>
      <c r="M726" t="n">
        <v>0</v>
      </c>
      <c r="N726" t="n">
        <v>0</v>
      </c>
      <c r="O726" t="n">
        <v>0</v>
      </c>
      <c r="P726" t="n">
        <v>0</v>
      </c>
      <c r="Q726" t="n">
        <v>0</v>
      </c>
      <c r="R726" s="2" t="inlineStr"/>
    </row>
    <row r="727" ht="15" customHeight="1">
      <c r="A727" t="inlineStr">
        <is>
          <t>A 10082-2025</t>
        </is>
      </c>
      <c r="B727" s="1" t="n">
        <v>45719</v>
      </c>
      <c r="C727" s="1" t="n">
        <v>45964</v>
      </c>
      <c r="D727" t="inlineStr">
        <is>
          <t>VÄSTERBOTTENS LÄN</t>
        </is>
      </c>
      <c r="E727" t="inlineStr">
        <is>
          <t>SKELLEFTEÅ</t>
        </is>
      </c>
      <c r="G727" t="n">
        <v>5.2</v>
      </c>
      <c r="H727" t="n">
        <v>0</v>
      </c>
      <c r="I727" t="n">
        <v>0</v>
      </c>
      <c r="J727" t="n">
        <v>0</v>
      </c>
      <c r="K727" t="n">
        <v>0</v>
      </c>
      <c r="L727" t="n">
        <v>0</v>
      </c>
      <c r="M727" t="n">
        <v>0</v>
      </c>
      <c r="N727" t="n">
        <v>0</v>
      </c>
      <c r="O727" t="n">
        <v>0</v>
      </c>
      <c r="P727" t="n">
        <v>0</v>
      </c>
      <c r="Q727" t="n">
        <v>0</v>
      </c>
      <c r="R727" s="2" t="inlineStr"/>
    </row>
    <row r="728" ht="15" customHeight="1">
      <c r="A728" t="inlineStr">
        <is>
          <t>A 43954-2024</t>
        </is>
      </c>
      <c r="B728" s="1" t="n">
        <v>45572.47539351852</v>
      </c>
      <c r="C728" s="1" t="n">
        <v>45964</v>
      </c>
      <c r="D728" t="inlineStr">
        <is>
          <t>VÄSTERBOTTENS LÄN</t>
        </is>
      </c>
      <c r="E728" t="inlineStr">
        <is>
          <t>SKELLEFTEÅ</t>
        </is>
      </c>
      <c r="F728" t="inlineStr">
        <is>
          <t>Sveaskog</t>
        </is>
      </c>
      <c r="G728" t="n">
        <v>24.1</v>
      </c>
      <c r="H728" t="n">
        <v>0</v>
      </c>
      <c r="I728" t="n">
        <v>0</v>
      </c>
      <c r="J728" t="n">
        <v>0</v>
      </c>
      <c r="K728" t="n">
        <v>0</v>
      </c>
      <c r="L728" t="n">
        <v>0</v>
      </c>
      <c r="M728" t="n">
        <v>0</v>
      </c>
      <c r="N728" t="n">
        <v>0</v>
      </c>
      <c r="O728" t="n">
        <v>0</v>
      </c>
      <c r="P728" t="n">
        <v>0</v>
      </c>
      <c r="Q728" t="n">
        <v>0</v>
      </c>
      <c r="R728" s="2" t="inlineStr"/>
    </row>
    <row r="729" ht="15" customHeight="1">
      <c r="A729" t="inlineStr">
        <is>
          <t>A 12712-2025</t>
        </is>
      </c>
      <c r="B729" s="1" t="n">
        <v>45733.47311342593</v>
      </c>
      <c r="C729" s="1" t="n">
        <v>45964</v>
      </c>
      <c r="D729" t="inlineStr">
        <is>
          <t>VÄSTERBOTTENS LÄN</t>
        </is>
      </c>
      <c r="E729" t="inlineStr">
        <is>
          <t>SKELLEFTEÅ</t>
        </is>
      </c>
      <c r="G729" t="n">
        <v>13.6</v>
      </c>
      <c r="H729" t="n">
        <v>0</v>
      </c>
      <c r="I729" t="n">
        <v>0</v>
      </c>
      <c r="J729" t="n">
        <v>0</v>
      </c>
      <c r="K729" t="n">
        <v>0</v>
      </c>
      <c r="L729" t="n">
        <v>0</v>
      </c>
      <c r="M729" t="n">
        <v>0</v>
      </c>
      <c r="N729" t="n">
        <v>0</v>
      </c>
      <c r="O729" t="n">
        <v>0</v>
      </c>
      <c r="P729" t="n">
        <v>0</v>
      </c>
      <c r="Q729" t="n">
        <v>0</v>
      </c>
      <c r="R729" s="2" t="inlineStr"/>
    </row>
    <row r="730" ht="15" customHeight="1">
      <c r="A730" t="inlineStr">
        <is>
          <t>A 30332-2021</t>
        </is>
      </c>
      <c r="B730" s="1" t="n">
        <v>44364</v>
      </c>
      <c r="C730" s="1" t="n">
        <v>45964</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57530-2021</t>
        </is>
      </c>
      <c r="B731" s="1" t="n">
        <v>44483</v>
      </c>
      <c r="C731" s="1" t="n">
        <v>45964</v>
      </c>
      <c r="D731" t="inlineStr">
        <is>
          <t>VÄSTERBOTTENS LÄN</t>
        </is>
      </c>
      <c r="E731" t="inlineStr">
        <is>
          <t>SKELLEFTEÅ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37760-2024</t>
        </is>
      </c>
      <c r="B732" s="1" t="n">
        <v>45541.784375</v>
      </c>
      <c r="C732" s="1" t="n">
        <v>45964</v>
      </c>
      <c r="D732" t="inlineStr">
        <is>
          <t>VÄSTERBOTTENS LÄN</t>
        </is>
      </c>
      <c r="E732" t="inlineStr">
        <is>
          <t>SKELLEFTEÅ</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35442-2021</t>
        </is>
      </c>
      <c r="B733" s="1" t="n">
        <v>44384</v>
      </c>
      <c r="C733" s="1" t="n">
        <v>45964</v>
      </c>
      <c r="D733" t="inlineStr">
        <is>
          <t>VÄSTERBOTTENS LÄN</t>
        </is>
      </c>
      <c r="E733" t="inlineStr">
        <is>
          <t>SKELLEFTEÅ</t>
        </is>
      </c>
      <c r="G733" t="n">
        <v>1.6</v>
      </c>
      <c r="H733" t="n">
        <v>0</v>
      </c>
      <c r="I733" t="n">
        <v>0</v>
      </c>
      <c r="J733" t="n">
        <v>0</v>
      </c>
      <c r="K733" t="n">
        <v>0</v>
      </c>
      <c r="L733" t="n">
        <v>0</v>
      </c>
      <c r="M733" t="n">
        <v>0</v>
      </c>
      <c r="N733" t="n">
        <v>0</v>
      </c>
      <c r="O733" t="n">
        <v>0</v>
      </c>
      <c r="P733" t="n">
        <v>0</v>
      </c>
      <c r="Q733" t="n">
        <v>0</v>
      </c>
      <c r="R733" s="2" t="inlineStr"/>
    </row>
    <row r="734" ht="15" customHeight="1">
      <c r="A734" t="inlineStr">
        <is>
          <t>A 31395-2021</t>
        </is>
      </c>
      <c r="B734" s="1" t="n">
        <v>44369.31599537037</v>
      </c>
      <c r="C734" s="1" t="n">
        <v>45964</v>
      </c>
      <c r="D734" t="inlineStr">
        <is>
          <t>VÄSTERBOTTENS LÄN</t>
        </is>
      </c>
      <c r="E734" t="inlineStr">
        <is>
          <t>SKELLEFTEÅ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671-2024</t>
        </is>
      </c>
      <c r="B735" s="1" t="n">
        <v>45299</v>
      </c>
      <c r="C735" s="1" t="n">
        <v>45964</v>
      </c>
      <c r="D735" t="inlineStr">
        <is>
          <t>VÄSTERBOTTENS LÄN</t>
        </is>
      </c>
      <c r="E735" t="inlineStr">
        <is>
          <t>SKELLEFTEÅ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56453-2024</t>
        </is>
      </c>
      <c r="B736" s="1" t="n">
        <v>45625.44270833334</v>
      </c>
      <c r="C736" s="1" t="n">
        <v>45964</v>
      </c>
      <c r="D736" t="inlineStr">
        <is>
          <t>VÄSTERBOTTENS LÄN</t>
        </is>
      </c>
      <c r="E736" t="inlineStr">
        <is>
          <t>SKELLEFTEÅ</t>
        </is>
      </c>
      <c r="G736" t="n">
        <v>3.7</v>
      </c>
      <c r="H736" t="n">
        <v>0</v>
      </c>
      <c r="I736" t="n">
        <v>0</v>
      </c>
      <c r="J736" t="n">
        <v>0</v>
      </c>
      <c r="K736" t="n">
        <v>0</v>
      </c>
      <c r="L736" t="n">
        <v>0</v>
      </c>
      <c r="M736" t="n">
        <v>0</v>
      </c>
      <c r="N736" t="n">
        <v>0</v>
      </c>
      <c r="O736" t="n">
        <v>0</v>
      </c>
      <c r="P736" t="n">
        <v>0</v>
      </c>
      <c r="Q736" t="n">
        <v>0</v>
      </c>
      <c r="R736" s="2" t="inlineStr"/>
    </row>
    <row r="737" ht="15" customHeight="1">
      <c r="A737" t="inlineStr">
        <is>
          <t>A 43544-2022</t>
        </is>
      </c>
      <c r="B737" s="1" t="n">
        <v>44837.42186342592</v>
      </c>
      <c r="C737" s="1" t="n">
        <v>45964</v>
      </c>
      <c r="D737" t="inlineStr">
        <is>
          <t>VÄSTERBOTTENS LÄN</t>
        </is>
      </c>
      <c r="E737" t="inlineStr">
        <is>
          <t>SKELLEFTEÅ</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47519-2024</t>
        </is>
      </c>
      <c r="B738" s="1" t="n">
        <v>45587</v>
      </c>
      <c r="C738" s="1" t="n">
        <v>45964</v>
      </c>
      <c r="D738" t="inlineStr">
        <is>
          <t>VÄSTERBOTTENS LÄN</t>
        </is>
      </c>
      <c r="E738" t="inlineStr">
        <is>
          <t>SKELLEFTEÅ</t>
        </is>
      </c>
      <c r="G738" t="n">
        <v>1.8</v>
      </c>
      <c r="H738" t="n">
        <v>0</v>
      </c>
      <c r="I738" t="n">
        <v>0</v>
      </c>
      <c r="J738" t="n">
        <v>0</v>
      </c>
      <c r="K738" t="n">
        <v>0</v>
      </c>
      <c r="L738" t="n">
        <v>0</v>
      </c>
      <c r="M738" t="n">
        <v>0</v>
      </c>
      <c r="N738" t="n">
        <v>0</v>
      </c>
      <c r="O738" t="n">
        <v>0</v>
      </c>
      <c r="P738" t="n">
        <v>0</v>
      </c>
      <c r="Q738" t="n">
        <v>0</v>
      </c>
      <c r="R738" s="2" t="inlineStr"/>
    </row>
    <row r="739" ht="15" customHeight="1">
      <c r="A739" t="inlineStr">
        <is>
          <t>A 29164-2022</t>
        </is>
      </c>
      <c r="B739" s="1" t="n">
        <v>44750.49505787037</v>
      </c>
      <c r="C739" s="1" t="n">
        <v>45964</v>
      </c>
      <c r="D739" t="inlineStr">
        <is>
          <t>VÄSTERBOTTENS LÄN</t>
        </is>
      </c>
      <c r="E739" t="inlineStr">
        <is>
          <t>SKELLEFTEÅ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8658-2025</t>
        </is>
      </c>
      <c r="B740" s="1" t="n">
        <v>45712.38586805556</v>
      </c>
      <c r="C740" s="1" t="n">
        <v>45964</v>
      </c>
      <c r="D740" t="inlineStr">
        <is>
          <t>VÄSTERBOTTENS LÄN</t>
        </is>
      </c>
      <c r="E740" t="inlineStr">
        <is>
          <t>SKELLEFTEÅ</t>
        </is>
      </c>
      <c r="G740" t="n">
        <v>3.8</v>
      </c>
      <c r="H740" t="n">
        <v>0</v>
      </c>
      <c r="I740" t="n">
        <v>0</v>
      </c>
      <c r="J740" t="n">
        <v>0</v>
      </c>
      <c r="K740" t="n">
        <v>0</v>
      </c>
      <c r="L740" t="n">
        <v>0</v>
      </c>
      <c r="M740" t="n">
        <v>0</v>
      </c>
      <c r="N740" t="n">
        <v>0</v>
      </c>
      <c r="O740" t="n">
        <v>0</v>
      </c>
      <c r="P740" t="n">
        <v>0</v>
      </c>
      <c r="Q740" t="n">
        <v>0</v>
      </c>
      <c r="R740" s="2" t="inlineStr"/>
    </row>
    <row r="741" ht="15" customHeight="1">
      <c r="A741" t="inlineStr">
        <is>
          <t>A 40927-2024</t>
        </is>
      </c>
      <c r="B741" s="1" t="n">
        <v>45558.64018518518</v>
      </c>
      <c r="C741" s="1" t="n">
        <v>45964</v>
      </c>
      <c r="D741" t="inlineStr">
        <is>
          <t>VÄSTERBOTTENS LÄN</t>
        </is>
      </c>
      <c r="E741" t="inlineStr">
        <is>
          <t>SKELLEFTEÅ</t>
        </is>
      </c>
      <c r="F741" t="inlineStr">
        <is>
          <t>Holmen skog AB</t>
        </is>
      </c>
      <c r="G741" t="n">
        <v>1.5</v>
      </c>
      <c r="H741" t="n">
        <v>0</v>
      </c>
      <c r="I741" t="n">
        <v>0</v>
      </c>
      <c r="J741" t="n">
        <v>0</v>
      </c>
      <c r="K741" t="n">
        <v>0</v>
      </c>
      <c r="L741" t="n">
        <v>0</v>
      </c>
      <c r="M741" t="n">
        <v>0</v>
      </c>
      <c r="N741" t="n">
        <v>0</v>
      </c>
      <c r="O741" t="n">
        <v>0</v>
      </c>
      <c r="P741" t="n">
        <v>0</v>
      </c>
      <c r="Q741" t="n">
        <v>0</v>
      </c>
      <c r="R741" s="2" t="inlineStr"/>
    </row>
    <row r="742" ht="15" customHeight="1">
      <c r="A742" t="inlineStr">
        <is>
          <t>A 4387-2025</t>
        </is>
      </c>
      <c r="B742" s="1" t="n">
        <v>45686.40269675926</v>
      </c>
      <c r="C742" s="1" t="n">
        <v>45964</v>
      </c>
      <c r="D742" t="inlineStr">
        <is>
          <t>VÄSTERBOTTENS LÄN</t>
        </is>
      </c>
      <c r="E742" t="inlineStr">
        <is>
          <t>SKELLEFTEÅ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48264-2023</t>
        </is>
      </c>
      <c r="B743" s="1" t="n">
        <v>45205.53902777778</v>
      </c>
      <c r="C743" s="1" t="n">
        <v>45964</v>
      </c>
      <c r="D743" t="inlineStr">
        <is>
          <t>VÄSTERBOTTENS LÄN</t>
        </is>
      </c>
      <c r="E743" t="inlineStr">
        <is>
          <t>SKELLEFTEÅ</t>
        </is>
      </c>
      <c r="G743" t="n">
        <v>0.9</v>
      </c>
      <c r="H743" t="n">
        <v>0</v>
      </c>
      <c r="I743" t="n">
        <v>0</v>
      </c>
      <c r="J743" t="n">
        <v>0</v>
      </c>
      <c r="K743" t="n">
        <v>0</v>
      </c>
      <c r="L743" t="n">
        <v>0</v>
      </c>
      <c r="M743" t="n">
        <v>0</v>
      </c>
      <c r="N743" t="n">
        <v>0</v>
      </c>
      <c r="O743" t="n">
        <v>0</v>
      </c>
      <c r="P743" t="n">
        <v>0</v>
      </c>
      <c r="Q743" t="n">
        <v>0</v>
      </c>
      <c r="R743" s="2" t="inlineStr"/>
    </row>
    <row r="744" ht="15" customHeight="1">
      <c r="A744" t="inlineStr">
        <is>
          <t>A 16186-2023</t>
        </is>
      </c>
      <c r="B744" s="1" t="n">
        <v>45027.925625</v>
      </c>
      <c r="C744" s="1" t="n">
        <v>45964</v>
      </c>
      <c r="D744" t="inlineStr">
        <is>
          <t>VÄSTERBOTTENS LÄN</t>
        </is>
      </c>
      <c r="E744" t="inlineStr">
        <is>
          <t>SKELLEFTEÅ</t>
        </is>
      </c>
      <c r="G744" t="n">
        <v>12.4</v>
      </c>
      <c r="H744" t="n">
        <v>0</v>
      </c>
      <c r="I744" t="n">
        <v>0</v>
      </c>
      <c r="J744" t="n">
        <v>0</v>
      </c>
      <c r="K744" t="n">
        <v>0</v>
      </c>
      <c r="L744" t="n">
        <v>0</v>
      </c>
      <c r="M744" t="n">
        <v>0</v>
      </c>
      <c r="N744" t="n">
        <v>0</v>
      </c>
      <c r="O744" t="n">
        <v>0</v>
      </c>
      <c r="P744" t="n">
        <v>0</v>
      </c>
      <c r="Q744" t="n">
        <v>0</v>
      </c>
      <c r="R744" s="2" t="inlineStr"/>
    </row>
    <row r="745" ht="15" customHeight="1">
      <c r="A745" t="inlineStr">
        <is>
          <t>A 66366-2020</t>
        </is>
      </c>
      <c r="B745" s="1" t="n">
        <v>44176</v>
      </c>
      <c r="C745" s="1" t="n">
        <v>45964</v>
      </c>
      <c r="D745" t="inlineStr">
        <is>
          <t>VÄSTERBOTTENS LÄN</t>
        </is>
      </c>
      <c r="E745" t="inlineStr">
        <is>
          <t>SKELLEFTEÅ</t>
        </is>
      </c>
      <c r="G745" t="n">
        <v>7.5</v>
      </c>
      <c r="H745" t="n">
        <v>0</v>
      </c>
      <c r="I745" t="n">
        <v>0</v>
      </c>
      <c r="J745" t="n">
        <v>0</v>
      </c>
      <c r="K745" t="n">
        <v>0</v>
      </c>
      <c r="L745" t="n">
        <v>0</v>
      </c>
      <c r="M745" t="n">
        <v>0</v>
      </c>
      <c r="N745" t="n">
        <v>0</v>
      </c>
      <c r="O745" t="n">
        <v>0</v>
      </c>
      <c r="P745" t="n">
        <v>0</v>
      </c>
      <c r="Q745" t="n">
        <v>0</v>
      </c>
      <c r="R745" s="2" t="inlineStr"/>
    </row>
    <row r="746" ht="15" customHeight="1">
      <c r="A746" t="inlineStr">
        <is>
          <t>A 57770-2022</t>
        </is>
      </c>
      <c r="B746" s="1" t="n">
        <v>44897</v>
      </c>
      <c r="C746" s="1" t="n">
        <v>45964</v>
      </c>
      <c r="D746" t="inlineStr">
        <is>
          <t>VÄSTERBOTTENS LÄN</t>
        </is>
      </c>
      <c r="E746" t="inlineStr">
        <is>
          <t>SKELLEFTEÅ</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43434-2024</t>
        </is>
      </c>
      <c r="B747" s="1" t="n">
        <v>45568.64591435185</v>
      </c>
      <c r="C747" s="1" t="n">
        <v>45964</v>
      </c>
      <c r="D747" t="inlineStr">
        <is>
          <t>VÄSTERBOTTENS LÄN</t>
        </is>
      </c>
      <c r="E747" t="inlineStr">
        <is>
          <t>SKELLEFTEÅ</t>
        </is>
      </c>
      <c r="F747" t="inlineStr">
        <is>
          <t>Holmen skog AB</t>
        </is>
      </c>
      <c r="G747" t="n">
        <v>4.3</v>
      </c>
      <c r="H747" t="n">
        <v>0</v>
      </c>
      <c r="I747" t="n">
        <v>0</v>
      </c>
      <c r="J747" t="n">
        <v>0</v>
      </c>
      <c r="K747" t="n">
        <v>0</v>
      </c>
      <c r="L747" t="n">
        <v>0</v>
      </c>
      <c r="M747" t="n">
        <v>0</v>
      </c>
      <c r="N747" t="n">
        <v>0</v>
      </c>
      <c r="O747" t="n">
        <v>0</v>
      </c>
      <c r="P747" t="n">
        <v>0</v>
      </c>
      <c r="Q747" t="n">
        <v>0</v>
      </c>
      <c r="R747" s="2" t="inlineStr"/>
    </row>
    <row r="748" ht="15" customHeight="1">
      <c r="A748" t="inlineStr">
        <is>
          <t>A 11843-2025</t>
        </is>
      </c>
      <c r="B748" s="1" t="n">
        <v>45728</v>
      </c>
      <c r="C748" s="1" t="n">
        <v>45964</v>
      </c>
      <c r="D748" t="inlineStr">
        <is>
          <t>VÄSTERBOTTENS LÄN</t>
        </is>
      </c>
      <c r="E748" t="inlineStr">
        <is>
          <t>SKELLEFTEÅ</t>
        </is>
      </c>
      <c r="G748" t="n">
        <v>5.1</v>
      </c>
      <c r="H748" t="n">
        <v>0</v>
      </c>
      <c r="I748" t="n">
        <v>0</v>
      </c>
      <c r="J748" t="n">
        <v>0</v>
      </c>
      <c r="K748" t="n">
        <v>0</v>
      </c>
      <c r="L748" t="n">
        <v>0</v>
      </c>
      <c r="M748" t="n">
        <v>0</v>
      </c>
      <c r="N748" t="n">
        <v>0</v>
      </c>
      <c r="O748" t="n">
        <v>0</v>
      </c>
      <c r="P748" t="n">
        <v>0</v>
      </c>
      <c r="Q748" t="n">
        <v>0</v>
      </c>
      <c r="R748" s="2" t="inlineStr"/>
    </row>
    <row r="749" ht="15" customHeight="1">
      <c r="A749" t="inlineStr">
        <is>
          <t>A 39146-2024</t>
        </is>
      </c>
      <c r="B749" s="1" t="n">
        <v>45548.61752314815</v>
      </c>
      <c r="C749" s="1" t="n">
        <v>45964</v>
      </c>
      <c r="D749" t="inlineStr">
        <is>
          <t>VÄSTERBOTTENS LÄN</t>
        </is>
      </c>
      <c r="E749" t="inlineStr">
        <is>
          <t>SKELLEFTEÅ</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4700-2025</t>
        </is>
      </c>
      <c r="B750" s="1" t="n">
        <v>45688</v>
      </c>
      <c r="C750" s="1" t="n">
        <v>45964</v>
      </c>
      <c r="D750" t="inlineStr">
        <is>
          <t>VÄSTERBOTTENS LÄN</t>
        </is>
      </c>
      <c r="E750" t="inlineStr">
        <is>
          <t>SKELLEFTEÅ</t>
        </is>
      </c>
      <c r="G750" t="n">
        <v>3.4</v>
      </c>
      <c r="H750" t="n">
        <v>0</v>
      </c>
      <c r="I750" t="n">
        <v>0</v>
      </c>
      <c r="J750" t="n">
        <v>0</v>
      </c>
      <c r="K750" t="n">
        <v>0</v>
      </c>
      <c r="L750" t="n">
        <v>0</v>
      </c>
      <c r="M750" t="n">
        <v>0</v>
      </c>
      <c r="N750" t="n">
        <v>0</v>
      </c>
      <c r="O750" t="n">
        <v>0</v>
      </c>
      <c r="P750" t="n">
        <v>0</v>
      </c>
      <c r="Q750" t="n">
        <v>0</v>
      </c>
      <c r="R750" s="2" t="inlineStr"/>
    </row>
    <row r="751" ht="15" customHeight="1">
      <c r="A751" t="inlineStr">
        <is>
          <t>A 12090-2025</t>
        </is>
      </c>
      <c r="B751" s="1" t="n">
        <v>45729.30722222223</v>
      </c>
      <c r="C751" s="1" t="n">
        <v>45964</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12645-2025</t>
        </is>
      </c>
      <c r="B752" s="1" t="n">
        <v>45733.39303240741</v>
      </c>
      <c r="C752" s="1" t="n">
        <v>45964</v>
      </c>
      <c r="D752" t="inlineStr">
        <is>
          <t>VÄSTERBOTTENS LÄN</t>
        </is>
      </c>
      <c r="E752" t="inlineStr">
        <is>
          <t>SKELLEFTEÅ</t>
        </is>
      </c>
      <c r="G752" t="n">
        <v>5.9</v>
      </c>
      <c r="H752" t="n">
        <v>0</v>
      </c>
      <c r="I752" t="n">
        <v>0</v>
      </c>
      <c r="J752" t="n">
        <v>0</v>
      </c>
      <c r="K752" t="n">
        <v>0</v>
      </c>
      <c r="L752" t="n">
        <v>0</v>
      </c>
      <c r="M752" t="n">
        <v>0</v>
      </c>
      <c r="N752" t="n">
        <v>0</v>
      </c>
      <c r="O752" t="n">
        <v>0</v>
      </c>
      <c r="P752" t="n">
        <v>0</v>
      </c>
      <c r="Q752" t="n">
        <v>0</v>
      </c>
      <c r="R752" s="2" t="inlineStr"/>
    </row>
    <row r="753" ht="15" customHeight="1">
      <c r="A753" t="inlineStr">
        <is>
          <t>A 2170-2024</t>
        </is>
      </c>
      <c r="B753" s="1" t="n">
        <v>45309.62446759259</v>
      </c>
      <c r="C753" s="1" t="n">
        <v>45964</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64942-2023</t>
        </is>
      </c>
      <c r="B754" s="1" t="n">
        <v>45282</v>
      </c>
      <c r="C754" s="1" t="n">
        <v>45964</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2811-2025</t>
        </is>
      </c>
      <c r="B755" s="1" t="n">
        <v>45677.59689814815</v>
      </c>
      <c r="C755" s="1" t="n">
        <v>45964</v>
      </c>
      <c r="D755" t="inlineStr">
        <is>
          <t>VÄSTERBOTTENS LÄN</t>
        </is>
      </c>
      <c r="E755" t="inlineStr">
        <is>
          <t>SKELLEFTEÅ</t>
        </is>
      </c>
      <c r="F755" t="inlineStr">
        <is>
          <t>Holmen skog AB</t>
        </is>
      </c>
      <c r="G755" t="n">
        <v>4</v>
      </c>
      <c r="H755" t="n">
        <v>0</v>
      </c>
      <c r="I755" t="n">
        <v>0</v>
      </c>
      <c r="J755" t="n">
        <v>0</v>
      </c>
      <c r="K755" t="n">
        <v>0</v>
      </c>
      <c r="L755" t="n">
        <v>0</v>
      </c>
      <c r="M755" t="n">
        <v>0</v>
      </c>
      <c r="N755" t="n">
        <v>0</v>
      </c>
      <c r="O755" t="n">
        <v>0</v>
      </c>
      <c r="P755" t="n">
        <v>0</v>
      </c>
      <c r="Q755" t="n">
        <v>0</v>
      </c>
      <c r="R755" s="2" t="inlineStr"/>
    </row>
    <row r="756" ht="15" customHeight="1">
      <c r="A756" t="inlineStr">
        <is>
          <t>A 52157-2024</t>
        </is>
      </c>
      <c r="B756" s="1" t="n">
        <v>45608.52555555556</v>
      </c>
      <c r="C756" s="1" t="n">
        <v>45964</v>
      </c>
      <c r="D756" t="inlineStr">
        <is>
          <t>VÄSTERBOTTENS LÄN</t>
        </is>
      </c>
      <c r="E756" t="inlineStr">
        <is>
          <t>SKELLEFTEÅ</t>
        </is>
      </c>
      <c r="F756" t="inlineStr">
        <is>
          <t>Holmen skog AB</t>
        </is>
      </c>
      <c r="G756" t="n">
        <v>10.3</v>
      </c>
      <c r="H756" t="n">
        <v>0</v>
      </c>
      <c r="I756" t="n">
        <v>0</v>
      </c>
      <c r="J756" t="n">
        <v>0</v>
      </c>
      <c r="K756" t="n">
        <v>0</v>
      </c>
      <c r="L756" t="n">
        <v>0</v>
      </c>
      <c r="M756" t="n">
        <v>0</v>
      </c>
      <c r="N756" t="n">
        <v>0</v>
      </c>
      <c r="O756" t="n">
        <v>0</v>
      </c>
      <c r="P756" t="n">
        <v>0</v>
      </c>
      <c r="Q756" t="n">
        <v>0</v>
      </c>
      <c r="R756" s="2" t="inlineStr"/>
    </row>
    <row r="757" ht="15" customHeight="1">
      <c r="A757" t="inlineStr">
        <is>
          <t>A 20378-2025</t>
        </is>
      </c>
      <c r="B757" s="1" t="n">
        <v>45775.42729166667</v>
      </c>
      <c r="C757" s="1" t="n">
        <v>45964</v>
      </c>
      <c r="D757" t="inlineStr">
        <is>
          <t>VÄSTERBOTTENS LÄN</t>
        </is>
      </c>
      <c r="E757" t="inlineStr">
        <is>
          <t>SKELLEFTEÅ</t>
        </is>
      </c>
      <c r="G757" t="n">
        <v>4.1</v>
      </c>
      <c r="H757" t="n">
        <v>0</v>
      </c>
      <c r="I757" t="n">
        <v>0</v>
      </c>
      <c r="J757" t="n">
        <v>0</v>
      </c>
      <c r="K757" t="n">
        <v>0</v>
      </c>
      <c r="L757" t="n">
        <v>0</v>
      </c>
      <c r="M757" t="n">
        <v>0</v>
      </c>
      <c r="N757" t="n">
        <v>0</v>
      </c>
      <c r="O757" t="n">
        <v>0</v>
      </c>
      <c r="P757" t="n">
        <v>0</v>
      </c>
      <c r="Q757" t="n">
        <v>0</v>
      </c>
      <c r="R757" s="2" t="inlineStr"/>
    </row>
    <row r="758" ht="15" customHeight="1">
      <c r="A758" t="inlineStr">
        <is>
          <t>A 15728-2024</t>
        </is>
      </c>
      <c r="B758" s="1" t="n">
        <v>45404</v>
      </c>
      <c r="C758" s="1" t="n">
        <v>45964</v>
      </c>
      <c r="D758" t="inlineStr">
        <is>
          <t>VÄSTERBOTTENS LÄN</t>
        </is>
      </c>
      <c r="E758" t="inlineStr">
        <is>
          <t>SKELLEFTEÅ</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42223-2024</t>
        </is>
      </c>
      <c r="B759" s="1" t="n">
        <v>45562.55023148148</v>
      </c>
      <c r="C759" s="1" t="n">
        <v>45964</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11644-2025</t>
        </is>
      </c>
      <c r="B760" s="1" t="n">
        <v>45727.47341435185</v>
      </c>
      <c r="C760" s="1" t="n">
        <v>45964</v>
      </c>
      <c r="D760" t="inlineStr">
        <is>
          <t>VÄSTERBOTTENS LÄN</t>
        </is>
      </c>
      <c r="E760" t="inlineStr">
        <is>
          <t>SKELLEFTEÅ</t>
        </is>
      </c>
      <c r="G760" t="n">
        <v>3.2</v>
      </c>
      <c r="H760" t="n">
        <v>0</v>
      </c>
      <c r="I760" t="n">
        <v>0</v>
      </c>
      <c r="J760" t="n">
        <v>0</v>
      </c>
      <c r="K760" t="n">
        <v>0</v>
      </c>
      <c r="L760" t="n">
        <v>0</v>
      </c>
      <c r="M760" t="n">
        <v>0</v>
      </c>
      <c r="N760" t="n">
        <v>0</v>
      </c>
      <c r="O760" t="n">
        <v>0</v>
      </c>
      <c r="P760" t="n">
        <v>0</v>
      </c>
      <c r="Q760" t="n">
        <v>0</v>
      </c>
      <c r="R760" s="2" t="inlineStr"/>
    </row>
    <row r="761" ht="15" customHeight="1">
      <c r="A761" t="inlineStr">
        <is>
          <t>A 4956-2025</t>
        </is>
      </c>
      <c r="B761" s="1" t="n">
        <v>45689.57166666666</v>
      </c>
      <c r="C761" s="1" t="n">
        <v>45964</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22859-2024</t>
        </is>
      </c>
      <c r="B762" s="1" t="n">
        <v>45448</v>
      </c>
      <c r="C762" s="1" t="n">
        <v>45964</v>
      </c>
      <c r="D762" t="inlineStr">
        <is>
          <t>VÄSTERBOTTENS LÄN</t>
        </is>
      </c>
      <c r="E762" t="inlineStr">
        <is>
          <t>SKELLEFTEÅ</t>
        </is>
      </c>
      <c r="G762" t="n">
        <v>1.2</v>
      </c>
      <c r="H762" t="n">
        <v>0</v>
      </c>
      <c r="I762" t="n">
        <v>0</v>
      </c>
      <c r="J762" t="n">
        <v>0</v>
      </c>
      <c r="K762" t="n">
        <v>0</v>
      </c>
      <c r="L762" t="n">
        <v>0</v>
      </c>
      <c r="M762" t="n">
        <v>0</v>
      </c>
      <c r="N762" t="n">
        <v>0</v>
      </c>
      <c r="O762" t="n">
        <v>0</v>
      </c>
      <c r="P762" t="n">
        <v>0</v>
      </c>
      <c r="Q762" t="n">
        <v>0</v>
      </c>
      <c r="R762" s="2" t="inlineStr"/>
    </row>
    <row r="763" ht="15" customHeight="1">
      <c r="A763" t="inlineStr">
        <is>
          <t>A 15542-2025</t>
        </is>
      </c>
      <c r="B763" s="1" t="n">
        <v>45747.65768518519</v>
      </c>
      <c r="C763" s="1" t="n">
        <v>45964</v>
      </c>
      <c r="D763" t="inlineStr">
        <is>
          <t>VÄSTERBOTTENS LÄN</t>
        </is>
      </c>
      <c r="E763" t="inlineStr">
        <is>
          <t>SKELLEFTEÅ</t>
        </is>
      </c>
      <c r="F763" t="inlineStr">
        <is>
          <t>Övriga Aktiebolag</t>
        </is>
      </c>
      <c r="G763" t="n">
        <v>11.6</v>
      </c>
      <c r="H763" t="n">
        <v>0</v>
      </c>
      <c r="I763" t="n">
        <v>0</v>
      </c>
      <c r="J763" t="n">
        <v>0</v>
      </c>
      <c r="K763" t="n">
        <v>0</v>
      </c>
      <c r="L763" t="n">
        <v>0</v>
      </c>
      <c r="M763" t="n">
        <v>0</v>
      </c>
      <c r="N763" t="n">
        <v>0</v>
      </c>
      <c r="O763" t="n">
        <v>0</v>
      </c>
      <c r="P763" t="n">
        <v>0</v>
      </c>
      <c r="Q763" t="n">
        <v>0</v>
      </c>
      <c r="R763" s="2" t="inlineStr"/>
    </row>
    <row r="764" ht="15" customHeight="1">
      <c r="A764" t="inlineStr">
        <is>
          <t>A 7668-2024</t>
        </is>
      </c>
      <c r="B764" s="1" t="n">
        <v>45348</v>
      </c>
      <c r="C764" s="1" t="n">
        <v>45964</v>
      </c>
      <c r="D764" t="inlineStr">
        <is>
          <t>VÄSTERBOTTENS LÄN</t>
        </is>
      </c>
      <c r="E764" t="inlineStr">
        <is>
          <t>SKELLEFTEÅ</t>
        </is>
      </c>
      <c r="G764" t="n">
        <v>1.3</v>
      </c>
      <c r="H764" t="n">
        <v>0</v>
      </c>
      <c r="I764" t="n">
        <v>0</v>
      </c>
      <c r="J764" t="n">
        <v>0</v>
      </c>
      <c r="K764" t="n">
        <v>0</v>
      </c>
      <c r="L764" t="n">
        <v>0</v>
      </c>
      <c r="M764" t="n">
        <v>0</v>
      </c>
      <c r="N764" t="n">
        <v>0</v>
      </c>
      <c r="O764" t="n">
        <v>0</v>
      </c>
      <c r="P764" t="n">
        <v>0</v>
      </c>
      <c r="Q764" t="n">
        <v>0</v>
      </c>
      <c r="R764" s="2" t="inlineStr"/>
    </row>
    <row r="765" ht="15" customHeight="1">
      <c r="A765" t="inlineStr">
        <is>
          <t>A 49900-2023</t>
        </is>
      </c>
      <c r="B765" s="1" t="n">
        <v>45213.86512731481</v>
      </c>
      <c r="C765" s="1" t="n">
        <v>45964</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11994-2025</t>
        </is>
      </c>
      <c r="B766" s="1" t="n">
        <v>45728</v>
      </c>
      <c r="C766" s="1" t="n">
        <v>45964</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4620-2025</t>
        </is>
      </c>
      <c r="B767" s="1" t="n">
        <v>45687.61184027778</v>
      </c>
      <c r="C767" s="1" t="n">
        <v>45964</v>
      </c>
      <c r="D767" t="inlineStr">
        <is>
          <t>VÄSTERBOTTENS LÄN</t>
        </is>
      </c>
      <c r="E767" t="inlineStr">
        <is>
          <t>SKELLEFTEÅ</t>
        </is>
      </c>
      <c r="G767" t="n">
        <v>2.6</v>
      </c>
      <c r="H767" t="n">
        <v>0</v>
      </c>
      <c r="I767" t="n">
        <v>0</v>
      </c>
      <c r="J767" t="n">
        <v>0</v>
      </c>
      <c r="K767" t="n">
        <v>0</v>
      </c>
      <c r="L767" t="n">
        <v>0</v>
      </c>
      <c r="M767" t="n">
        <v>0</v>
      </c>
      <c r="N767" t="n">
        <v>0</v>
      </c>
      <c r="O767" t="n">
        <v>0</v>
      </c>
      <c r="P767" t="n">
        <v>0</v>
      </c>
      <c r="Q767" t="n">
        <v>0</v>
      </c>
      <c r="R767" s="2" t="inlineStr"/>
    </row>
    <row r="768" ht="15" customHeight="1">
      <c r="A768" t="inlineStr">
        <is>
          <t>A 22351-2023</t>
        </is>
      </c>
      <c r="B768" s="1" t="n">
        <v>45068</v>
      </c>
      <c r="C768" s="1" t="n">
        <v>45964</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49992-2022</t>
        </is>
      </c>
      <c r="B769" s="1" t="n">
        <v>44860</v>
      </c>
      <c r="C769" s="1" t="n">
        <v>45964</v>
      </c>
      <c r="D769" t="inlineStr">
        <is>
          <t>VÄSTERBOTTENS LÄN</t>
        </is>
      </c>
      <c r="E769" t="inlineStr">
        <is>
          <t>SKELLEFTEÅ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9192-2021</t>
        </is>
      </c>
      <c r="B770" s="1" t="n">
        <v>44249</v>
      </c>
      <c r="C770" s="1" t="n">
        <v>45964</v>
      </c>
      <c r="D770" t="inlineStr">
        <is>
          <t>VÄSTERBOTTENS LÄN</t>
        </is>
      </c>
      <c r="E770" t="inlineStr">
        <is>
          <t>SKELLEFTEÅ</t>
        </is>
      </c>
      <c r="G770" t="n">
        <v>2.1</v>
      </c>
      <c r="H770" t="n">
        <v>0</v>
      </c>
      <c r="I770" t="n">
        <v>0</v>
      </c>
      <c r="J770" t="n">
        <v>0</v>
      </c>
      <c r="K770" t="n">
        <v>0</v>
      </c>
      <c r="L770" t="n">
        <v>0</v>
      </c>
      <c r="M770" t="n">
        <v>0</v>
      </c>
      <c r="N770" t="n">
        <v>0</v>
      </c>
      <c r="O770" t="n">
        <v>0</v>
      </c>
      <c r="P770" t="n">
        <v>0</v>
      </c>
      <c r="Q770" t="n">
        <v>0</v>
      </c>
      <c r="R770" s="2" t="inlineStr"/>
    </row>
    <row r="771" ht="15" customHeight="1">
      <c r="A771" t="inlineStr">
        <is>
          <t>A 14697-2023</t>
        </is>
      </c>
      <c r="B771" s="1" t="n">
        <v>45012</v>
      </c>
      <c r="C771" s="1" t="n">
        <v>45964</v>
      </c>
      <c r="D771" t="inlineStr">
        <is>
          <t>VÄSTERBOTTENS LÄN</t>
        </is>
      </c>
      <c r="E771" t="inlineStr">
        <is>
          <t>SKELLEFTEÅ</t>
        </is>
      </c>
      <c r="G771" t="n">
        <v>3.7</v>
      </c>
      <c r="H771" t="n">
        <v>0</v>
      </c>
      <c r="I771" t="n">
        <v>0</v>
      </c>
      <c r="J771" t="n">
        <v>0</v>
      </c>
      <c r="K771" t="n">
        <v>0</v>
      </c>
      <c r="L771" t="n">
        <v>0</v>
      </c>
      <c r="M771" t="n">
        <v>0</v>
      </c>
      <c r="N771" t="n">
        <v>0</v>
      </c>
      <c r="O771" t="n">
        <v>0</v>
      </c>
      <c r="P771" t="n">
        <v>0</v>
      </c>
      <c r="Q771" t="n">
        <v>0</v>
      </c>
      <c r="R771" s="2" t="inlineStr"/>
    </row>
    <row r="772" ht="15" customHeight="1">
      <c r="A772" t="inlineStr">
        <is>
          <t>A 1891-2021</t>
        </is>
      </c>
      <c r="B772" s="1" t="n">
        <v>44210</v>
      </c>
      <c r="C772" s="1" t="n">
        <v>45964</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10659-2024</t>
        </is>
      </c>
      <c r="B773" s="1" t="n">
        <v>45369.30447916667</v>
      </c>
      <c r="C773" s="1" t="n">
        <v>45964</v>
      </c>
      <c r="D773" t="inlineStr">
        <is>
          <t>VÄSTERBOTTENS LÄN</t>
        </is>
      </c>
      <c r="E773" t="inlineStr">
        <is>
          <t>SKELLEFTEÅ</t>
        </is>
      </c>
      <c r="G773" t="n">
        <v>3.4</v>
      </c>
      <c r="H773" t="n">
        <v>0</v>
      </c>
      <c r="I773" t="n">
        <v>0</v>
      </c>
      <c r="J773" t="n">
        <v>0</v>
      </c>
      <c r="K773" t="n">
        <v>0</v>
      </c>
      <c r="L773" t="n">
        <v>0</v>
      </c>
      <c r="M773" t="n">
        <v>0</v>
      </c>
      <c r="N773" t="n">
        <v>0</v>
      </c>
      <c r="O773" t="n">
        <v>0</v>
      </c>
      <c r="P773" t="n">
        <v>0</v>
      </c>
      <c r="Q773" t="n">
        <v>0</v>
      </c>
      <c r="R773" s="2" t="inlineStr"/>
    </row>
    <row r="774" ht="15" customHeight="1">
      <c r="A774" t="inlineStr">
        <is>
          <t>A 39054-2024</t>
        </is>
      </c>
      <c r="B774" s="1" t="n">
        <v>45548.49337962963</v>
      </c>
      <c r="C774" s="1" t="n">
        <v>45964</v>
      </c>
      <c r="D774" t="inlineStr">
        <is>
          <t>VÄSTERBOTTENS LÄN</t>
        </is>
      </c>
      <c r="E774" t="inlineStr">
        <is>
          <t>SKELLEFTEÅ</t>
        </is>
      </c>
      <c r="F774" t="inlineStr">
        <is>
          <t>Sveaskog</t>
        </is>
      </c>
      <c r="G774" t="n">
        <v>12.3</v>
      </c>
      <c r="H774" t="n">
        <v>0</v>
      </c>
      <c r="I774" t="n">
        <v>0</v>
      </c>
      <c r="J774" t="n">
        <v>0</v>
      </c>
      <c r="K774" t="n">
        <v>0</v>
      </c>
      <c r="L774" t="n">
        <v>0</v>
      </c>
      <c r="M774" t="n">
        <v>0</v>
      </c>
      <c r="N774" t="n">
        <v>0</v>
      </c>
      <c r="O774" t="n">
        <v>0</v>
      </c>
      <c r="P774" t="n">
        <v>0</v>
      </c>
      <c r="Q774" t="n">
        <v>0</v>
      </c>
      <c r="R774" s="2" t="inlineStr"/>
    </row>
    <row r="775" ht="15" customHeight="1">
      <c r="A775" t="inlineStr">
        <is>
          <t>A 17561-2025</t>
        </is>
      </c>
      <c r="B775" s="1" t="n">
        <v>45757.63712962963</v>
      </c>
      <c r="C775" s="1" t="n">
        <v>45964</v>
      </c>
      <c r="D775" t="inlineStr">
        <is>
          <t>VÄSTERBOTTENS LÄN</t>
        </is>
      </c>
      <c r="E775" t="inlineStr">
        <is>
          <t>SKELLEFTEÅ</t>
        </is>
      </c>
      <c r="G775" t="n">
        <v>8.6</v>
      </c>
      <c r="H775" t="n">
        <v>0</v>
      </c>
      <c r="I775" t="n">
        <v>0</v>
      </c>
      <c r="J775" t="n">
        <v>0</v>
      </c>
      <c r="K775" t="n">
        <v>0</v>
      </c>
      <c r="L775" t="n">
        <v>0</v>
      </c>
      <c r="M775" t="n">
        <v>0</v>
      </c>
      <c r="N775" t="n">
        <v>0</v>
      </c>
      <c r="O775" t="n">
        <v>0</v>
      </c>
      <c r="P775" t="n">
        <v>0</v>
      </c>
      <c r="Q775" t="n">
        <v>0</v>
      </c>
      <c r="R775" s="2" t="inlineStr"/>
    </row>
    <row r="776" ht="15" customHeight="1">
      <c r="A776" t="inlineStr">
        <is>
          <t>A 27288-2024</t>
        </is>
      </c>
      <c r="B776" s="1" t="n">
        <v>45471.92630787037</v>
      </c>
      <c r="C776" s="1" t="n">
        <v>45964</v>
      </c>
      <c r="D776" t="inlineStr">
        <is>
          <t>VÄSTERBOTTENS LÄN</t>
        </is>
      </c>
      <c r="E776" t="inlineStr">
        <is>
          <t>SKELLEFTEÅ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8801-2025</t>
        </is>
      </c>
      <c r="B777" s="1" t="n">
        <v>45712.65678240741</v>
      </c>
      <c r="C777" s="1" t="n">
        <v>45964</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31197-2024</t>
        </is>
      </c>
      <c r="B778" s="1" t="n">
        <v>45503.51806712963</v>
      </c>
      <c r="C778" s="1" t="n">
        <v>45964</v>
      </c>
      <c r="D778" t="inlineStr">
        <is>
          <t>VÄSTERBOTTENS LÄN</t>
        </is>
      </c>
      <c r="E778" t="inlineStr">
        <is>
          <t>SKELLEFTEÅ</t>
        </is>
      </c>
      <c r="F778" t="inlineStr">
        <is>
          <t>Holmen skog AB</t>
        </is>
      </c>
      <c r="G778" t="n">
        <v>4.1</v>
      </c>
      <c r="H778" t="n">
        <v>0</v>
      </c>
      <c r="I778" t="n">
        <v>0</v>
      </c>
      <c r="J778" t="n">
        <v>0</v>
      </c>
      <c r="K778" t="n">
        <v>0</v>
      </c>
      <c r="L778" t="n">
        <v>0</v>
      </c>
      <c r="M778" t="n">
        <v>0</v>
      </c>
      <c r="N778" t="n">
        <v>0</v>
      </c>
      <c r="O778" t="n">
        <v>0</v>
      </c>
      <c r="P778" t="n">
        <v>0</v>
      </c>
      <c r="Q778" t="n">
        <v>0</v>
      </c>
      <c r="R778" s="2" t="inlineStr"/>
    </row>
    <row r="779" ht="15" customHeight="1">
      <c r="A779" t="inlineStr">
        <is>
          <t>A 17168-2025</t>
        </is>
      </c>
      <c r="B779" s="1" t="n">
        <v>45755</v>
      </c>
      <c r="C779" s="1" t="n">
        <v>45964</v>
      </c>
      <c r="D779" t="inlineStr">
        <is>
          <t>VÄSTERBOTTENS LÄN</t>
        </is>
      </c>
      <c r="E779" t="inlineStr">
        <is>
          <t>SKELLEFTEÅ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54411-2023</t>
        </is>
      </c>
      <c r="B780" s="1" t="n">
        <v>45226</v>
      </c>
      <c r="C780" s="1" t="n">
        <v>45964</v>
      </c>
      <c r="D780" t="inlineStr">
        <is>
          <t>VÄSTERBOTTENS LÄN</t>
        </is>
      </c>
      <c r="E780" t="inlineStr">
        <is>
          <t>SKELLEFTEÅ</t>
        </is>
      </c>
      <c r="G780" t="n">
        <v>2</v>
      </c>
      <c r="H780" t="n">
        <v>0</v>
      </c>
      <c r="I780" t="n">
        <v>0</v>
      </c>
      <c r="J780" t="n">
        <v>0</v>
      </c>
      <c r="K780" t="n">
        <v>0</v>
      </c>
      <c r="L780" t="n">
        <v>0</v>
      </c>
      <c r="M780" t="n">
        <v>0</v>
      </c>
      <c r="N780" t="n">
        <v>0</v>
      </c>
      <c r="O780" t="n">
        <v>0</v>
      </c>
      <c r="P780" t="n">
        <v>0</v>
      </c>
      <c r="Q780" t="n">
        <v>0</v>
      </c>
      <c r="R780" s="2" t="inlineStr"/>
    </row>
    <row r="781" ht="15" customHeight="1">
      <c r="A781" t="inlineStr">
        <is>
          <t>A 10340-2024</t>
        </is>
      </c>
      <c r="B781" s="1" t="n">
        <v>45365</v>
      </c>
      <c r="C781" s="1" t="n">
        <v>45964</v>
      </c>
      <c r="D781" t="inlineStr">
        <is>
          <t>VÄSTERBOTTENS LÄN</t>
        </is>
      </c>
      <c r="E781" t="inlineStr">
        <is>
          <t>SKELLEFTEÅ</t>
        </is>
      </c>
      <c r="G781" t="n">
        <v>6.9</v>
      </c>
      <c r="H781" t="n">
        <v>0</v>
      </c>
      <c r="I781" t="n">
        <v>0</v>
      </c>
      <c r="J781" t="n">
        <v>0</v>
      </c>
      <c r="K781" t="n">
        <v>0</v>
      </c>
      <c r="L781" t="n">
        <v>0</v>
      </c>
      <c r="M781" t="n">
        <v>0</v>
      </c>
      <c r="N781" t="n">
        <v>0</v>
      </c>
      <c r="O781" t="n">
        <v>0</v>
      </c>
      <c r="P781" t="n">
        <v>0</v>
      </c>
      <c r="Q781" t="n">
        <v>0</v>
      </c>
      <c r="R781" s="2" t="inlineStr"/>
    </row>
    <row r="782" ht="15" customHeight="1">
      <c r="A782" t="inlineStr">
        <is>
          <t>A 52441-2023</t>
        </is>
      </c>
      <c r="B782" s="1" t="n">
        <v>45225.36881944445</v>
      </c>
      <c r="C782" s="1" t="n">
        <v>45964</v>
      </c>
      <c r="D782" t="inlineStr">
        <is>
          <t>VÄSTERBOTTENS LÄN</t>
        </is>
      </c>
      <c r="E782" t="inlineStr">
        <is>
          <t>SKELLEFTEÅ</t>
        </is>
      </c>
      <c r="G782" t="n">
        <v>3.9</v>
      </c>
      <c r="H782" t="n">
        <v>0</v>
      </c>
      <c r="I782" t="n">
        <v>0</v>
      </c>
      <c r="J782" t="n">
        <v>0</v>
      </c>
      <c r="K782" t="n">
        <v>0</v>
      </c>
      <c r="L782" t="n">
        <v>0</v>
      </c>
      <c r="M782" t="n">
        <v>0</v>
      </c>
      <c r="N782" t="n">
        <v>0</v>
      </c>
      <c r="O782" t="n">
        <v>0</v>
      </c>
      <c r="P782" t="n">
        <v>0</v>
      </c>
      <c r="Q782" t="n">
        <v>0</v>
      </c>
      <c r="R782" s="2" t="inlineStr"/>
    </row>
    <row r="783" ht="15" customHeight="1">
      <c r="A783" t="inlineStr">
        <is>
          <t>A 22760-2022</t>
        </is>
      </c>
      <c r="B783" s="1" t="n">
        <v>44714</v>
      </c>
      <c r="C783" s="1" t="n">
        <v>45964</v>
      </c>
      <c r="D783" t="inlineStr">
        <is>
          <t>VÄSTERBOTTENS LÄN</t>
        </is>
      </c>
      <c r="E783" t="inlineStr">
        <is>
          <t>SKELLEFTEÅ</t>
        </is>
      </c>
      <c r="G783" t="n">
        <v>12.2</v>
      </c>
      <c r="H783" t="n">
        <v>0</v>
      </c>
      <c r="I783" t="n">
        <v>0</v>
      </c>
      <c r="J783" t="n">
        <v>0</v>
      </c>
      <c r="K783" t="n">
        <v>0</v>
      </c>
      <c r="L783" t="n">
        <v>0</v>
      </c>
      <c r="M783" t="n">
        <v>0</v>
      </c>
      <c r="N783" t="n">
        <v>0</v>
      </c>
      <c r="O783" t="n">
        <v>0</v>
      </c>
      <c r="P783" t="n">
        <v>0</v>
      </c>
      <c r="Q783" t="n">
        <v>0</v>
      </c>
      <c r="R783" s="2" t="inlineStr"/>
    </row>
    <row r="784" ht="15" customHeight="1">
      <c r="A784" t="inlineStr">
        <is>
          <t>A 3626-2025</t>
        </is>
      </c>
      <c r="B784" s="1" t="n">
        <v>45681.37163194444</v>
      </c>
      <c r="C784" s="1" t="n">
        <v>45964</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4403-2025</t>
        </is>
      </c>
      <c r="B785" s="1" t="n">
        <v>45686.43848379629</v>
      </c>
      <c r="C785" s="1" t="n">
        <v>45964</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37669-2022</t>
        </is>
      </c>
      <c r="B786" s="1" t="n">
        <v>44810</v>
      </c>
      <c r="C786" s="1" t="n">
        <v>45964</v>
      </c>
      <c r="D786" t="inlineStr">
        <is>
          <t>VÄSTERBOTTENS LÄN</t>
        </is>
      </c>
      <c r="E786" t="inlineStr">
        <is>
          <t>SKELLEFTEÅ</t>
        </is>
      </c>
      <c r="G786" t="n">
        <v>10.9</v>
      </c>
      <c r="H786" t="n">
        <v>0</v>
      </c>
      <c r="I786" t="n">
        <v>0</v>
      </c>
      <c r="J786" t="n">
        <v>0</v>
      </c>
      <c r="K786" t="n">
        <v>0</v>
      </c>
      <c r="L786" t="n">
        <v>0</v>
      </c>
      <c r="M786" t="n">
        <v>0</v>
      </c>
      <c r="N786" t="n">
        <v>0</v>
      </c>
      <c r="O786" t="n">
        <v>0</v>
      </c>
      <c r="P786" t="n">
        <v>0</v>
      </c>
      <c r="Q786" t="n">
        <v>0</v>
      </c>
      <c r="R786" s="2" t="inlineStr"/>
    </row>
    <row r="787" ht="15" customHeight="1">
      <c r="A787" t="inlineStr">
        <is>
          <t>A 51478-2023</t>
        </is>
      </c>
      <c r="B787" s="1" t="n">
        <v>45221.89737268518</v>
      </c>
      <c r="C787" s="1" t="n">
        <v>45964</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44959-2022</t>
        </is>
      </c>
      <c r="B788" s="1" t="n">
        <v>44839</v>
      </c>
      <c r="C788" s="1" t="n">
        <v>45964</v>
      </c>
      <c r="D788" t="inlineStr">
        <is>
          <t>VÄSTERBOTTENS LÄN</t>
        </is>
      </c>
      <c r="E788" t="inlineStr">
        <is>
          <t>SKELLEFTEÅ</t>
        </is>
      </c>
      <c r="G788" t="n">
        <v>17.3</v>
      </c>
      <c r="H788" t="n">
        <v>0</v>
      </c>
      <c r="I788" t="n">
        <v>0</v>
      </c>
      <c r="J788" t="n">
        <v>0</v>
      </c>
      <c r="K788" t="n">
        <v>0</v>
      </c>
      <c r="L788" t="n">
        <v>0</v>
      </c>
      <c r="M788" t="n">
        <v>0</v>
      </c>
      <c r="N788" t="n">
        <v>0</v>
      </c>
      <c r="O788" t="n">
        <v>0</v>
      </c>
      <c r="P788" t="n">
        <v>0</v>
      </c>
      <c r="Q788" t="n">
        <v>0</v>
      </c>
      <c r="R788" s="2" t="inlineStr"/>
    </row>
    <row r="789" ht="15" customHeight="1">
      <c r="A789" t="inlineStr">
        <is>
          <t>A 31006-2023</t>
        </is>
      </c>
      <c r="B789" s="1" t="n">
        <v>45103</v>
      </c>
      <c r="C789" s="1" t="n">
        <v>45964</v>
      </c>
      <c r="D789" t="inlineStr">
        <is>
          <t>VÄSTERBOTTENS LÄN</t>
        </is>
      </c>
      <c r="E789" t="inlineStr">
        <is>
          <t>SKELLEFTEÅ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23521-2024</t>
        </is>
      </c>
      <c r="B790" s="1" t="n">
        <v>45453.92469907407</v>
      </c>
      <c r="C790" s="1" t="n">
        <v>45964</v>
      </c>
      <c r="D790" t="inlineStr">
        <is>
          <t>VÄSTERBOTTENS LÄN</t>
        </is>
      </c>
      <c r="E790" t="inlineStr">
        <is>
          <t>SKELLEFTEÅ</t>
        </is>
      </c>
      <c r="G790" t="n">
        <v>1.6</v>
      </c>
      <c r="H790" t="n">
        <v>0</v>
      </c>
      <c r="I790" t="n">
        <v>0</v>
      </c>
      <c r="J790" t="n">
        <v>0</v>
      </c>
      <c r="K790" t="n">
        <v>0</v>
      </c>
      <c r="L790" t="n">
        <v>0</v>
      </c>
      <c r="M790" t="n">
        <v>0</v>
      </c>
      <c r="N790" t="n">
        <v>0</v>
      </c>
      <c r="O790" t="n">
        <v>0</v>
      </c>
      <c r="P790" t="n">
        <v>0</v>
      </c>
      <c r="Q790" t="n">
        <v>0</v>
      </c>
      <c r="R790" s="2" t="inlineStr"/>
    </row>
    <row r="791" ht="15" customHeight="1">
      <c r="A791" t="inlineStr">
        <is>
          <t>A 25099-2024</t>
        </is>
      </c>
      <c r="B791" s="1" t="n">
        <v>45462.41755787037</v>
      </c>
      <c r="C791" s="1" t="n">
        <v>45964</v>
      </c>
      <c r="D791" t="inlineStr">
        <is>
          <t>VÄSTERBOTTENS LÄN</t>
        </is>
      </c>
      <c r="E791" t="inlineStr">
        <is>
          <t>SKELLEFTEÅ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17162-2025</t>
        </is>
      </c>
      <c r="B792" s="1" t="n">
        <v>45756.3552199074</v>
      </c>
      <c r="C792" s="1" t="n">
        <v>45964</v>
      </c>
      <c r="D792" t="inlineStr">
        <is>
          <t>VÄSTERBOTTENS LÄN</t>
        </is>
      </c>
      <c r="E792" t="inlineStr">
        <is>
          <t>SKELLEFTEÅ</t>
        </is>
      </c>
      <c r="G792" t="n">
        <v>23.9</v>
      </c>
      <c r="H792" t="n">
        <v>0</v>
      </c>
      <c r="I792" t="n">
        <v>0</v>
      </c>
      <c r="J792" t="n">
        <v>0</v>
      </c>
      <c r="K792" t="n">
        <v>0</v>
      </c>
      <c r="L792" t="n">
        <v>0</v>
      </c>
      <c r="M792" t="n">
        <v>0</v>
      </c>
      <c r="N792" t="n">
        <v>0</v>
      </c>
      <c r="O792" t="n">
        <v>0</v>
      </c>
      <c r="P792" t="n">
        <v>0</v>
      </c>
      <c r="Q792" t="n">
        <v>0</v>
      </c>
      <c r="R792" s="2" t="inlineStr"/>
    </row>
    <row r="793" ht="15" customHeight="1">
      <c r="A793" t="inlineStr">
        <is>
          <t>A 42848-2024</t>
        </is>
      </c>
      <c r="B793" s="1" t="n">
        <v>45566.63563657407</v>
      </c>
      <c r="C793" s="1" t="n">
        <v>45964</v>
      </c>
      <c r="D793" t="inlineStr">
        <is>
          <t>VÄSTERBOTTENS LÄN</t>
        </is>
      </c>
      <c r="E793" t="inlineStr">
        <is>
          <t>SKELLEFTEÅ</t>
        </is>
      </c>
      <c r="G793" t="n">
        <v>2.2</v>
      </c>
      <c r="H793" t="n">
        <v>0</v>
      </c>
      <c r="I793" t="n">
        <v>0</v>
      </c>
      <c r="J793" t="n">
        <v>0</v>
      </c>
      <c r="K793" t="n">
        <v>0</v>
      </c>
      <c r="L793" t="n">
        <v>0</v>
      </c>
      <c r="M793" t="n">
        <v>0</v>
      </c>
      <c r="N793" t="n">
        <v>0</v>
      </c>
      <c r="O793" t="n">
        <v>0</v>
      </c>
      <c r="P793" t="n">
        <v>0</v>
      </c>
      <c r="Q793" t="n">
        <v>0</v>
      </c>
      <c r="R793" s="2" t="inlineStr"/>
    </row>
    <row r="794" ht="15" customHeight="1">
      <c r="A794" t="inlineStr">
        <is>
          <t>A 42852-2024</t>
        </is>
      </c>
      <c r="B794" s="1" t="n">
        <v>45566.64449074074</v>
      </c>
      <c r="C794" s="1" t="n">
        <v>45964</v>
      </c>
      <c r="D794" t="inlineStr">
        <is>
          <t>VÄSTERBOTTENS LÄN</t>
        </is>
      </c>
      <c r="E794" t="inlineStr">
        <is>
          <t>SKELLEFTEÅ</t>
        </is>
      </c>
      <c r="G794" t="n">
        <v>2.2</v>
      </c>
      <c r="H794" t="n">
        <v>0</v>
      </c>
      <c r="I794" t="n">
        <v>0</v>
      </c>
      <c r="J794" t="n">
        <v>0</v>
      </c>
      <c r="K794" t="n">
        <v>0</v>
      </c>
      <c r="L794" t="n">
        <v>0</v>
      </c>
      <c r="M794" t="n">
        <v>0</v>
      </c>
      <c r="N794" t="n">
        <v>0</v>
      </c>
      <c r="O794" t="n">
        <v>0</v>
      </c>
      <c r="P794" t="n">
        <v>0</v>
      </c>
      <c r="Q794" t="n">
        <v>0</v>
      </c>
      <c r="R794" s="2" t="inlineStr"/>
    </row>
    <row r="795" ht="15" customHeight="1">
      <c r="A795" t="inlineStr">
        <is>
          <t>A 24303-2021</t>
        </is>
      </c>
      <c r="B795" s="1" t="n">
        <v>44337.33520833333</v>
      </c>
      <c r="C795" s="1" t="n">
        <v>45964</v>
      </c>
      <c r="D795" t="inlineStr">
        <is>
          <t>VÄSTERBOTTENS LÄN</t>
        </is>
      </c>
      <c r="E795" t="inlineStr">
        <is>
          <t>SKELLEFTEÅ</t>
        </is>
      </c>
      <c r="G795" t="n">
        <v>6.1</v>
      </c>
      <c r="H795" t="n">
        <v>0</v>
      </c>
      <c r="I795" t="n">
        <v>0</v>
      </c>
      <c r="J795" t="n">
        <v>0</v>
      </c>
      <c r="K795" t="n">
        <v>0</v>
      </c>
      <c r="L795" t="n">
        <v>0</v>
      </c>
      <c r="M795" t="n">
        <v>0</v>
      </c>
      <c r="N795" t="n">
        <v>0</v>
      </c>
      <c r="O795" t="n">
        <v>0</v>
      </c>
      <c r="P795" t="n">
        <v>0</v>
      </c>
      <c r="Q795" t="n">
        <v>0</v>
      </c>
      <c r="R795" s="2" t="inlineStr"/>
    </row>
    <row r="796" ht="15" customHeight="1">
      <c r="A796" t="inlineStr">
        <is>
          <t>A 16856-2025</t>
        </is>
      </c>
      <c r="B796" s="1" t="n">
        <v>45754</v>
      </c>
      <c r="C796" s="1" t="n">
        <v>45964</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14774-2025</t>
        </is>
      </c>
      <c r="B797" s="1" t="n">
        <v>45742.69414351852</v>
      </c>
      <c r="C797" s="1" t="n">
        <v>45964</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19119-2025</t>
        </is>
      </c>
      <c r="B798" s="1" t="n">
        <v>45768.82230324074</v>
      </c>
      <c r="C798" s="1" t="n">
        <v>45964</v>
      </c>
      <c r="D798" t="inlineStr">
        <is>
          <t>VÄSTERBOTTENS LÄN</t>
        </is>
      </c>
      <c r="E798" t="inlineStr">
        <is>
          <t>SKELLEFTEÅ</t>
        </is>
      </c>
      <c r="G798" t="n">
        <v>4.7</v>
      </c>
      <c r="H798" t="n">
        <v>0</v>
      </c>
      <c r="I798" t="n">
        <v>0</v>
      </c>
      <c r="J798" t="n">
        <v>0</v>
      </c>
      <c r="K798" t="n">
        <v>0</v>
      </c>
      <c r="L798" t="n">
        <v>0</v>
      </c>
      <c r="M798" t="n">
        <v>0</v>
      </c>
      <c r="N798" t="n">
        <v>0</v>
      </c>
      <c r="O798" t="n">
        <v>0</v>
      </c>
      <c r="P798" t="n">
        <v>0</v>
      </c>
      <c r="Q798" t="n">
        <v>0</v>
      </c>
      <c r="R798" s="2" t="inlineStr"/>
    </row>
    <row r="799" ht="15" customHeight="1">
      <c r="A799" t="inlineStr">
        <is>
          <t>A 42849-2024</t>
        </is>
      </c>
      <c r="B799" s="1" t="n">
        <v>45566.64021990741</v>
      </c>
      <c r="C799" s="1" t="n">
        <v>45964</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30953-2023</t>
        </is>
      </c>
      <c r="B800" s="1" t="n">
        <v>45113.46905092592</v>
      </c>
      <c r="C800" s="1" t="n">
        <v>45964</v>
      </c>
      <c r="D800" t="inlineStr">
        <is>
          <t>VÄSTERBOTTENS LÄN</t>
        </is>
      </c>
      <c r="E800" t="inlineStr">
        <is>
          <t>SKELLEFTEÅ</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12112-2024</t>
        </is>
      </c>
      <c r="B801" s="1" t="n">
        <v>45376</v>
      </c>
      <c r="C801" s="1" t="n">
        <v>45964</v>
      </c>
      <c r="D801" t="inlineStr">
        <is>
          <t>VÄSTERBOTTENS LÄN</t>
        </is>
      </c>
      <c r="E801" t="inlineStr">
        <is>
          <t>SKELLEFTEÅ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45552-2023</t>
        </is>
      </c>
      <c r="B802" s="1" t="n">
        <v>45194.57376157407</v>
      </c>
      <c r="C802" s="1" t="n">
        <v>45964</v>
      </c>
      <c r="D802" t="inlineStr">
        <is>
          <t>VÄSTERBOTTENS LÄN</t>
        </is>
      </c>
      <c r="E802" t="inlineStr">
        <is>
          <t>SKELLEFTEÅ</t>
        </is>
      </c>
      <c r="G802" t="n">
        <v>18.3</v>
      </c>
      <c r="H802" t="n">
        <v>0</v>
      </c>
      <c r="I802" t="n">
        <v>0</v>
      </c>
      <c r="J802" t="n">
        <v>0</v>
      </c>
      <c r="K802" t="n">
        <v>0</v>
      </c>
      <c r="L802" t="n">
        <v>0</v>
      </c>
      <c r="M802" t="n">
        <v>0</v>
      </c>
      <c r="N802" t="n">
        <v>0</v>
      </c>
      <c r="O802" t="n">
        <v>0</v>
      </c>
      <c r="P802" t="n">
        <v>0</v>
      </c>
      <c r="Q802" t="n">
        <v>0</v>
      </c>
      <c r="R802" s="2" t="inlineStr"/>
    </row>
    <row r="803" ht="15" customHeight="1">
      <c r="A803" t="inlineStr">
        <is>
          <t>A 54874-2024</t>
        </is>
      </c>
      <c r="B803" s="1" t="n">
        <v>45618.60230324074</v>
      </c>
      <c r="C803" s="1" t="n">
        <v>45964</v>
      </c>
      <c r="D803" t="inlineStr">
        <is>
          <t>VÄSTERBOTTENS LÄN</t>
        </is>
      </c>
      <c r="E803" t="inlineStr">
        <is>
          <t>SKELLEFTEÅ</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37950-2022</t>
        </is>
      </c>
      <c r="B804" s="1" t="n">
        <v>44811.48826388889</v>
      </c>
      <c r="C804" s="1" t="n">
        <v>45964</v>
      </c>
      <c r="D804" t="inlineStr">
        <is>
          <t>VÄSTERBOTTENS LÄN</t>
        </is>
      </c>
      <c r="E804" t="inlineStr">
        <is>
          <t>SKELLEFTEÅ</t>
        </is>
      </c>
      <c r="G804" t="n">
        <v>2.7</v>
      </c>
      <c r="H804" t="n">
        <v>0</v>
      </c>
      <c r="I804" t="n">
        <v>0</v>
      </c>
      <c r="J804" t="n">
        <v>0</v>
      </c>
      <c r="K804" t="n">
        <v>0</v>
      </c>
      <c r="L804" t="n">
        <v>0</v>
      </c>
      <c r="M804" t="n">
        <v>0</v>
      </c>
      <c r="N804" t="n">
        <v>0</v>
      </c>
      <c r="O804" t="n">
        <v>0</v>
      </c>
      <c r="P804" t="n">
        <v>0</v>
      </c>
      <c r="Q804" t="n">
        <v>0</v>
      </c>
      <c r="R804" s="2" t="inlineStr"/>
    </row>
    <row r="805" ht="15" customHeight="1">
      <c r="A805" t="inlineStr">
        <is>
          <t>A 37298-2024</t>
        </is>
      </c>
      <c r="B805" s="1" t="n">
        <v>45540.45724537037</v>
      </c>
      <c r="C805" s="1" t="n">
        <v>45964</v>
      </c>
      <c r="D805" t="inlineStr">
        <is>
          <t>VÄSTERBOTTENS LÄN</t>
        </is>
      </c>
      <c r="E805" t="inlineStr">
        <is>
          <t>SKELLEFTEÅ</t>
        </is>
      </c>
      <c r="F805" t="inlineStr">
        <is>
          <t>Holmen skog AB</t>
        </is>
      </c>
      <c r="G805" t="n">
        <v>3.1</v>
      </c>
      <c r="H805" t="n">
        <v>0</v>
      </c>
      <c r="I805" t="n">
        <v>0</v>
      </c>
      <c r="J805" t="n">
        <v>0</v>
      </c>
      <c r="K805" t="n">
        <v>0</v>
      </c>
      <c r="L805" t="n">
        <v>0</v>
      </c>
      <c r="M805" t="n">
        <v>0</v>
      </c>
      <c r="N805" t="n">
        <v>0</v>
      </c>
      <c r="O805" t="n">
        <v>0</v>
      </c>
      <c r="P805" t="n">
        <v>0</v>
      </c>
      <c r="Q805" t="n">
        <v>0</v>
      </c>
      <c r="R805" s="2" t="inlineStr"/>
    </row>
    <row r="806" ht="15" customHeight="1">
      <c r="A806" t="inlineStr">
        <is>
          <t>A 3266-2022</t>
        </is>
      </c>
      <c r="B806" s="1" t="n">
        <v>44583.87421296296</v>
      </c>
      <c r="C806" s="1" t="n">
        <v>45964</v>
      </c>
      <c r="D806" t="inlineStr">
        <is>
          <t>VÄSTERBOTTENS LÄN</t>
        </is>
      </c>
      <c r="E806" t="inlineStr">
        <is>
          <t>SKELLEFTEÅ</t>
        </is>
      </c>
      <c r="G806" t="n">
        <v>2</v>
      </c>
      <c r="H806" t="n">
        <v>0</v>
      </c>
      <c r="I806" t="n">
        <v>0</v>
      </c>
      <c r="J806" t="n">
        <v>0</v>
      </c>
      <c r="K806" t="n">
        <v>0</v>
      </c>
      <c r="L806" t="n">
        <v>0</v>
      </c>
      <c r="M806" t="n">
        <v>0</v>
      </c>
      <c r="N806" t="n">
        <v>0</v>
      </c>
      <c r="O806" t="n">
        <v>0</v>
      </c>
      <c r="P806" t="n">
        <v>0</v>
      </c>
      <c r="Q806" t="n">
        <v>0</v>
      </c>
      <c r="R806" s="2" t="inlineStr"/>
    </row>
    <row r="807" ht="15" customHeight="1">
      <c r="A807" t="inlineStr">
        <is>
          <t>A 12004-2024</t>
        </is>
      </c>
      <c r="B807" s="1" t="n">
        <v>45377.31299768519</v>
      </c>
      <c r="C807" s="1" t="n">
        <v>45964</v>
      </c>
      <c r="D807" t="inlineStr">
        <is>
          <t>VÄSTERBOTTENS LÄN</t>
        </is>
      </c>
      <c r="E807" t="inlineStr">
        <is>
          <t>SKELLEFTEÅ</t>
        </is>
      </c>
      <c r="G807" t="n">
        <v>8.4</v>
      </c>
      <c r="H807" t="n">
        <v>0</v>
      </c>
      <c r="I807" t="n">
        <v>0</v>
      </c>
      <c r="J807" t="n">
        <v>0</v>
      </c>
      <c r="K807" t="n">
        <v>0</v>
      </c>
      <c r="L807" t="n">
        <v>0</v>
      </c>
      <c r="M807" t="n">
        <v>0</v>
      </c>
      <c r="N807" t="n">
        <v>0</v>
      </c>
      <c r="O807" t="n">
        <v>0</v>
      </c>
      <c r="P807" t="n">
        <v>0</v>
      </c>
      <c r="Q807" t="n">
        <v>0</v>
      </c>
      <c r="R807" s="2" t="inlineStr"/>
    </row>
    <row r="808" ht="15" customHeight="1">
      <c r="A808" t="inlineStr">
        <is>
          <t>A 51991-2024</t>
        </is>
      </c>
      <c r="B808" s="1" t="n">
        <v>45607</v>
      </c>
      <c r="C808" s="1" t="n">
        <v>45964</v>
      </c>
      <c r="D808" t="inlineStr">
        <is>
          <t>VÄSTERBOTTENS LÄN</t>
        </is>
      </c>
      <c r="E808" t="inlineStr">
        <is>
          <t>SKELLEFTEÅ</t>
        </is>
      </c>
      <c r="F808" t="inlineStr">
        <is>
          <t>Kommuner</t>
        </is>
      </c>
      <c r="G808" t="n">
        <v>1.8</v>
      </c>
      <c r="H808" t="n">
        <v>0</v>
      </c>
      <c r="I808" t="n">
        <v>0</v>
      </c>
      <c r="J808" t="n">
        <v>0</v>
      </c>
      <c r="K808" t="n">
        <v>0</v>
      </c>
      <c r="L808" t="n">
        <v>0</v>
      </c>
      <c r="M808" t="n">
        <v>0</v>
      </c>
      <c r="N808" t="n">
        <v>0</v>
      </c>
      <c r="O808" t="n">
        <v>0</v>
      </c>
      <c r="P808" t="n">
        <v>0</v>
      </c>
      <c r="Q808" t="n">
        <v>0</v>
      </c>
      <c r="R808" s="2" t="inlineStr"/>
    </row>
    <row r="809" ht="15" customHeight="1">
      <c r="A809" t="inlineStr">
        <is>
          <t>A 46841-2024</t>
        </is>
      </c>
      <c r="B809" s="1" t="n">
        <v>45583</v>
      </c>
      <c r="C809" s="1" t="n">
        <v>45964</v>
      </c>
      <c r="D809" t="inlineStr">
        <is>
          <t>VÄSTERBOTTENS LÄN</t>
        </is>
      </c>
      <c r="E809" t="inlineStr">
        <is>
          <t>SKELLEFTEÅ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59660-2024</t>
        </is>
      </c>
      <c r="B810" s="1" t="n">
        <v>45639.35697916667</v>
      </c>
      <c r="C810" s="1" t="n">
        <v>45964</v>
      </c>
      <c r="D810" t="inlineStr">
        <is>
          <t>VÄSTERBOTTENS LÄN</t>
        </is>
      </c>
      <c r="E810" t="inlineStr">
        <is>
          <t>SKELLEFTEÅ</t>
        </is>
      </c>
      <c r="F810" t="inlineStr">
        <is>
          <t>Sveaskog</t>
        </is>
      </c>
      <c r="G810" t="n">
        <v>13.9</v>
      </c>
      <c r="H810" t="n">
        <v>0</v>
      </c>
      <c r="I810" t="n">
        <v>0</v>
      </c>
      <c r="J810" t="n">
        <v>0</v>
      </c>
      <c r="K810" t="n">
        <v>0</v>
      </c>
      <c r="L810" t="n">
        <v>0</v>
      </c>
      <c r="M810" t="n">
        <v>0</v>
      </c>
      <c r="N810" t="n">
        <v>0</v>
      </c>
      <c r="O810" t="n">
        <v>0</v>
      </c>
      <c r="P810" t="n">
        <v>0</v>
      </c>
      <c r="Q810" t="n">
        <v>0</v>
      </c>
      <c r="R810" s="2" t="inlineStr"/>
    </row>
    <row r="811" ht="15" customHeight="1">
      <c r="A811" t="inlineStr">
        <is>
          <t>A 30901-2024</t>
        </is>
      </c>
      <c r="B811" s="1" t="n">
        <v>45498</v>
      </c>
      <c r="C811" s="1" t="n">
        <v>45964</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36297-2024</t>
        </is>
      </c>
      <c r="B812" s="1" t="n">
        <v>45534.6054050926</v>
      </c>
      <c r="C812" s="1" t="n">
        <v>45964</v>
      </c>
      <c r="D812" t="inlineStr">
        <is>
          <t>VÄSTERBOTTENS LÄN</t>
        </is>
      </c>
      <c r="E812" t="inlineStr">
        <is>
          <t>SKELLEFTEÅ</t>
        </is>
      </c>
      <c r="F812" t="inlineStr">
        <is>
          <t>Sveaskog</t>
        </is>
      </c>
      <c r="G812" t="n">
        <v>20.9</v>
      </c>
      <c r="H812" t="n">
        <v>0</v>
      </c>
      <c r="I812" t="n">
        <v>0</v>
      </c>
      <c r="J812" t="n">
        <v>0</v>
      </c>
      <c r="K812" t="n">
        <v>0</v>
      </c>
      <c r="L812" t="n">
        <v>0</v>
      </c>
      <c r="M812" t="n">
        <v>0</v>
      </c>
      <c r="N812" t="n">
        <v>0</v>
      </c>
      <c r="O812" t="n">
        <v>0</v>
      </c>
      <c r="P812" t="n">
        <v>0</v>
      </c>
      <c r="Q812" t="n">
        <v>0</v>
      </c>
      <c r="R812" s="2" t="inlineStr"/>
    </row>
    <row r="813" ht="15" customHeight="1">
      <c r="A813" t="inlineStr">
        <is>
          <t>A 9233-2024</t>
        </is>
      </c>
      <c r="B813" s="1" t="n">
        <v>45358</v>
      </c>
      <c r="C813" s="1" t="n">
        <v>45964</v>
      </c>
      <c r="D813" t="inlineStr">
        <is>
          <t>VÄSTERBOTTENS LÄN</t>
        </is>
      </c>
      <c r="E813" t="inlineStr">
        <is>
          <t>SKELLEFTEÅ</t>
        </is>
      </c>
      <c r="G813" t="n">
        <v>3.6</v>
      </c>
      <c r="H813" t="n">
        <v>0</v>
      </c>
      <c r="I813" t="n">
        <v>0</v>
      </c>
      <c r="J813" t="n">
        <v>0</v>
      </c>
      <c r="K813" t="n">
        <v>0</v>
      </c>
      <c r="L813" t="n">
        <v>0</v>
      </c>
      <c r="M813" t="n">
        <v>0</v>
      </c>
      <c r="N813" t="n">
        <v>0</v>
      </c>
      <c r="O813" t="n">
        <v>0</v>
      </c>
      <c r="P813" t="n">
        <v>0</v>
      </c>
      <c r="Q813" t="n">
        <v>0</v>
      </c>
      <c r="R813" s="2" t="inlineStr"/>
    </row>
    <row r="814" ht="15" customHeight="1">
      <c r="A814" t="inlineStr">
        <is>
          <t>A 7943-2024</t>
        </is>
      </c>
      <c r="B814" s="1" t="n">
        <v>45350.53173611111</v>
      </c>
      <c r="C814" s="1" t="n">
        <v>45964</v>
      </c>
      <c r="D814" t="inlineStr">
        <is>
          <t>VÄSTERBOTTENS LÄN</t>
        </is>
      </c>
      <c r="E814" t="inlineStr">
        <is>
          <t>SKELLEFTEÅ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4292-2024</t>
        </is>
      </c>
      <c r="B815" s="1" t="n">
        <v>45324.6081712963</v>
      </c>
      <c r="C815" s="1" t="n">
        <v>45964</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18023-2025</t>
        </is>
      </c>
      <c r="B816" s="1" t="n">
        <v>45761.44642361111</v>
      </c>
      <c r="C816" s="1" t="n">
        <v>45964</v>
      </c>
      <c r="D816" t="inlineStr">
        <is>
          <t>VÄSTERBOTTENS LÄN</t>
        </is>
      </c>
      <c r="E816" t="inlineStr">
        <is>
          <t>SKELLEFTEÅ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2840-2024</t>
        </is>
      </c>
      <c r="B817" s="1" t="n">
        <v>45315</v>
      </c>
      <c r="C817" s="1" t="n">
        <v>45964</v>
      </c>
      <c r="D817" t="inlineStr">
        <is>
          <t>VÄSTERBOTTENS LÄN</t>
        </is>
      </c>
      <c r="E817" t="inlineStr">
        <is>
          <t>SKELLEFTEÅ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55420-2023</t>
        </is>
      </c>
      <c r="B818" s="1" t="n">
        <v>45231</v>
      </c>
      <c r="C818" s="1" t="n">
        <v>45964</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57245-2024</t>
        </is>
      </c>
      <c r="B819" s="1" t="n">
        <v>45629.55153935185</v>
      </c>
      <c r="C819" s="1" t="n">
        <v>45964</v>
      </c>
      <c r="D819" t="inlineStr">
        <is>
          <t>VÄSTERBOTTENS LÄN</t>
        </is>
      </c>
      <c r="E819" t="inlineStr">
        <is>
          <t>SKELLEFTEÅ</t>
        </is>
      </c>
      <c r="F819" t="inlineStr">
        <is>
          <t>Sveaskog</t>
        </is>
      </c>
      <c r="G819" t="n">
        <v>15.6</v>
      </c>
      <c r="H819" t="n">
        <v>0</v>
      </c>
      <c r="I819" t="n">
        <v>0</v>
      </c>
      <c r="J819" t="n">
        <v>0</v>
      </c>
      <c r="K819" t="n">
        <v>0</v>
      </c>
      <c r="L819" t="n">
        <v>0</v>
      </c>
      <c r="M819" t="n">
        <v>0</v>
      </c>
      <c r="N819" t="n">
        <v>0</v>
      </c>
      <c r="O819" t="n">
        <v>0</v>
      </c>
      <c r="P819" t="n">
        <v>0</v>
      </c>
      <c r="Q819" t="n">
        <v>0</v>
      </c>
      <c r="R819" s="2" t="inlineStr"/>
    </row>
    <row r="820" ht="15" customHeight="1">
      <c r="A820" t="inlineStr">
        <is>
          <t>A 15138-2025</t>
        </is>
      </c>
      <c r="B820" s="1" t="n">
        <v>45744.38621527778</v>
      </c>
      <c r="C820" s="1" t="n">
        <v>45964</v>
      </c>
      <c r="D820" t="inlineStr">
        <is>
          <t>VÄSTERBOTTENS LÄN</t>
        </is>
      </c>
      <c r="E820" t="inlineStr">
        <is>
          <t>SKELLEFTEÅ</t>
        </is>
      </c>
      <c r="G820" t="n">
        <v>1.9</v>
      </c>
      <c r="H820" t="n">
        <v>0</v>
      </c>
      <c r="I820" t="n">
        <v>0</v>
      </c>
      <c r="J820" t="n">
        <v>0</v>
      </c>
      <c r="K820" t="n">
        <v>0</v>
      </c>
      <c r="L820" t="n">
        <v>0</v>
      </c>
      <c r="M820" t="n">
        <v>0</v>
      </c>
      <c r="N820" t="n">
        <v>0</v>
      </c>
      <c r="O820" t="n">
        <v>0</v>
      </c>
      <c r="P820" t="n">
        <v>0</v>
      </c>
      <c r="Q820" t="n">
        <v>0</v>
      </c>
      <c r="R820" s="2" t="inlineStr"/>
    </row>
    <row r="821" ht="15" customHeight="1">
      <c r="A821" t="inlineStr">
        <is>
          <t>A 15301-2025</t>
        </is>
      </c>
      <c r="B821" s="1" t="n">
        <v>45746.47777777778</v>
      </c>
      <c r="C821" s="1" t="n">
        <v>45964</v>
      </c>
      <c r="D821" t="inlineStr">
        <is>
          <t>VÄSTERBOTTENS LÄN</t>
        </is>
      </c>
      <c r="E821" t="inlineStr">
        <is>
          <t>SKELLEFTEÅ</t>
        </is>
      </c>
      <c r="G821" t="n">
        <v>4.1</v>
      </c>
      <c r="H821" t="n">
        <v>0</v>
      </c>
      <c r="I821" t="n">
        <v>0</v>
      </c>
      <c r="J821" t="n">
        <v>0</v>
      </c>
      <c r="K821" t="n">
        <v>0</v>
      </c>
      <c r="L821" t="n">
        <v>0</v>
      </c>
      <c r="M821" t="n">
        <v>0</v>
      </c>
      <c r="N821" t="n">
        <v>0</v>
      </c>
      <c r="O821" t="n">
        <v>0</v>
      </c>
      <c r="P821" t="n">
        <v>0</v>
      </c>
      <c r="Q821" t="n">
        <v>0</v>
      </c>
      <c r="R821" s="2" t="inlineStr"/>
    </row>
    <row r="822" ht="15" customHeight="1">
      <c r="A822" t="inlineStr">
        <is>
          <t>A 50276-2024</t>
        </is>
      </c>
      <c r="B822" s="1" t="n">
        <v>45600.60181712963</v>
      </c>
      <c r="C822" s="1" t="n">
        <v>45964</v>
      </c>
      <c r="D822" t="inlineStr">
        <is>
          <t>VÄSTERBOTTENS LÄN</t>
        </is>
      </c>
      <c r="E822" t="inlineStr">
        <is>
          <t>SKELLEFTEÅ</t>
        </is>
      </c>
      <c r="G822" t="n">
        <v>9</v>
      </c>
      <c r="H822" t="n">
        <v>0</v>
      </c>
      <c r="I822" t="n">
        <v>0</v>
      </c>
      <c r="J822" t="n">
        <v>0</v>
      </c>
      <c r="K822" t="n">
        <v>0</v>
      </c>
      <c r="L822" t="n">
        <v>0</v>
      </c>
      <c r="M822" t="n">
        <v>0</v>
      </c>
      <c r="N822" t="n">
        <v>0</v>
      </c>
      <c r="O822" t="n">
        <v>0</v>
      </c>
      <c r="P822" t="n">
        <v>0</v>
      </c>
      <c r="Q822" t="n">
        <v>0</v>
      </c>
      <c r="R822" s="2" t="inlineStr"/>
    </row>
    <row r="823" ht="15" customHeight="1">
      <c r="A823" t="inlineStr">
        <is>
          <t>A 30959-2021</t>
        </is>
      </c>
      <c r="B823" s="1" t="n">
        <v>44365.71322916666</v>
      </c>
      <c r="C823" s="1" t="n">
        <v>45964</v>
      </c>
      <c r="D823" t="inlineStr">
        <is>
          <t>VÄSTERBOTTENS LÄN</t>
        </is>
      </c>
      <c r="E823" t="inlineStr">
        <is>
          <t>SKELLEFTEÅ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45981-2024</t>
        </is>
      </c>
      <c r="B824" s="1" t="n">
        <v>45580.60790509259</v>
      </c>
      <c r="C824" s="1" t="n">
        <v>45964</v>
      </c>
      <c r="D824" t="inlineStr">
        <is>
          <t>VÄSTERBOTTENS LÄN</t>
        </is>
      </c>
      <c r="E824" t="inlineStr">
        <is>
          <t>SKELLEFTEÅ</t>
        </is>
      </c>
      <c r="F824" t="inlineStr">
        <is>
          <t>Holmen skog AB</t>
        </is>
      </c>
      <c r="G824" t="n">
        <v>9.6</v>
      </c>
      <c r="H824" t="n">
        <v>0</v>
      </c>
      <c r="I824" t="n">
        <v>0</v>
      </c>
      <c r="J824" t="n">
        <v>0</v>
      </c>
      <c r="K824" t="n">
        <v>0</v>
      </c>
      <c r="L824" t="n">
        <v>0</v>
      </c>
      <c r="M824" t="n">
        <v>0</v>
      </c>
      <c r="N824" t="n">
        <v>0</v>
      </c>
      <c r="O824" t="n">
        <v>0</v>
      </c>
      <c r="P824" t="n">
        <v>0</v>
      </c>
      <c r="Q824" t="n">
        <v>0</v>
      </c>
      <c r="R824" s="2" t="inlineStr"/>
    </row>
    <row r="825" ht="15" customHeight="1">
      <c r="A825" t="inlineStr">
        <is>
          <t>A 46049-2024</t>
        </is>
      </c>
      <c r="B825" s="1" t="n">
        <v>45580.85546296297</v>
      </c>
      <c r="C825" s="1" t="n">
        <v>45964</v>
      </c>
      <c r="D825" t="inlineStr">
        <is>
          <t>VÄSTERBOTTENS LÄN</t>
        </is>
      </c>
      <c r="E825" t="inlineStr">
        <is>
          <t>SKELLEFTEÅ</t>
        </is>
      </c>
      <c r="G825" t="n">
        <v>1.2</v>
      </c>
      <c r="H825" t="n">
        <v>0</v>
      </c>
      <c r="I825" t="n">
        <v>0</v>
      </c>
      <c r="J825" t="n">
        <v>0</v>
      </c>
      <c r="K825" t="n">
        <v>0</v>
      </c>
      <c r="L825" t="n">
        <v>0</v>
      </c>
      <c r="M825" t="n">
        <v>0</v>
      </c>
      <c r="N825" t="n">
        <v>0</v>
      </c>
      <c r="O825" t="n">
        <v>0</v>
      </c>
      <c r="P825" t="n">
        <v>0</v>
      </c>
      <c r="Q825" t="n">
        <v>0</v>
      </c>
      <c r="R825" s="2" t="inlineStr"/>
    </row>
    <row r="826" ht="15" customHeight="1">
      <c r="A826" t="inlineStr">
        <is>
          <t>A 12045-2024</t>
        </is>
      </c>
      <c r="B826" s="1" t="n">
        <v>45377</v>
      </c>
      <c r="C826" s="1" t="n">
        <v>45964</v>
      </c>
      <c r="D826" t="inlineStr">
        <is>
          <t>VÄSTERBOTTENS LÄN</t>
        </is>
      </c>
      <c r="E826" t="inlineStr">
        <is>
          <t>SKELLEFTEÅ</t>
        </is>
      </c>
      <c r="G826" t="n">
        <v>1</v>
      </c>
      <c r="H826" t="n">
        <v>0</v>
      </c>
      <c r="I826" t="n">
        <v>0</v>
      </c>
      <c r="J826" t="n">
        <v>0</v>
      </c>
      <c r="K826" t="n">
        <v>0</v>
      </c>
      <c r="L826" t="n">
        <v>0</v>
      </c>
      <c r="M826" t="n">
        <v>0</v>
      </c>
      <c r="N826" t="n">
        <v>0</v>
      </c>
      <c r="O826" t="n">
        <v>0</v>
      </c>
      <c r="P826" t="n">
        <v>0</v>
      </c>
      <c r="Q826" t="n">
        <v>0</v>
      </c>
      <c r="R826" s="2" t="inlineStr"/>
    </row>
    <row r="827" ht="15" customHeight="1">
      <c r="A827" t="inlineStr">
        <is>
          <t>A 3611-2025</t>
        </is>
      </c>
      <c r="B827" s="1" t="n">
        <v>45681.36076388889</v>
      </c>
      <c r="C827" s="1" t="n">
        <v>45964</v>
      </c>
      <c r="D827" t="inlineStr">
        <is>
          <t>VÄSTERBOTTENS LÄN</t>
        </is>
      </c>
      <c r="E827" t="inlineStr">
        <is>
          <t>SKELLEFTEÅ</t>
        </is>
      </c>
      <c r="G827" t="n">
        <v>6.5</v>
      </c>
      <c r="H827" t="n">
        <v>0</v>
      </c>
      <c r="I827" t="n">
        <v>0</v>
      </c>
      <c r="J827" t="n">
        <v>0</v>
      </c>
      <c r="K827" t="n">
        <v>0</v>
      </c>
      <c r="L827" t="n">
        <v>0</v>
      </c>
      <c r="M827" t="n">
        <v>0</v>
      </c>
      <c r="N827" t="n">
        <v>0</v>
      </c>
      <c r="O827" t="n">
        <v>0</v>
      </c>
      <c r="P827" t="n">
        <v>0</v>
      </c>
      <c r="Q827" t="n">
        <v>0</v>
      </c>
      <c r="R827" s="2" t="inlineStr"/>
    </row>
    <row r="828" ht="15" customHeight="1">
      <c r="A828" t="inlineStr">
        <is>
          <t>A 44078-2023</t>
        </is>
      </c>
      <c r="B828" s="1" t="n">
        <v>45188.41950231481</v>
      </c>
      <c r="C828" s="1" t="n">
        <v>45964</v>
      </c>
      <c r="D828" t="inlineStr">
        <is>
          <t>VÄSTERBOTTENS LÄN</t>
        </is>
      </c>
      <c r="E828" t="inlineStr">
        <is>
          <t>SKELLEFTEÅ</t>
        </is>
      </c>
      <c r="F828" t="inlineStr">
        <is>
          <t>Holmen skog AB</t>
        </is>
      </c>
      <c r="G828" t="n">
        <v>13.7</v>
      </c>
      <c r="H828" t="n">
        <v>0</v>
      </c>
      <c r="I828" t="n">
        <v>0</v>
      </c>
      <c r="J828" t="n">
        <v>0</v>
      </c>
      <c r="K828" t="n">
        <v>0</v>
      </c>
      <c r="L828" t="n">
        <v>0</v>
      </c>
      <c r="M828" t="n">
        <v>0</v>
      </c>
      <c r="N828" t="n">
        <v>0</v>
      </c>
      <c r="O828" t="n">
        <v>0</v>
      </c>
      <c r="P828" t="n">
        <v>0</v>
      </c>
      <c r="Q828" t="n">
        <v>0</v>
      </c>
      <c r="R828" s="2" t="inlineStr"/>
    </row>
    <row r="829" ht="15" customHeight="1">
      <c r="A829" t="inlineStr">
        <is>
          <t>A 73684-2021</t>
        </is>
      </c>
      <c r="B829" s="1" t="n">
        <v>44551</v>
      </c>
      <c r="C829" s="1" t="n">
        <v>45964</v>
      </c>
      <c r="D829" t="inlineStr">
        <is>
          <t>VÄSTERBOTTENS LÄN</t>
        </is>
      </c>
      <c r="E829" t="inlineStr">
        <is>
          <t>SKELLEFTEÅ</t>
        </is>
      </c>
      <c r="G829" t="n">
        <v>3.6</v>
      </c>
      <c r="H829" t="n">
        <v>0</v>
      </c>
      <c r="I829" t="n">
        <v>0</v>
      </c>
      <c r="J829" t="n">
        <v>0</v>
      </c>
      <c r="K829" t="n">
        <v>0</v>
      </c>
      <c r="L829" t="n">
        <v>0</v>
      </c>
      <c r="M829" t="n">
        <v>0</v>
      </c>
      <c r="N829" t="n">
        <v>0</v>
      </c>
      <c r="O829" t="n">
        <v>0</v>
      </c>
      <c r="P829" t="n">
        <v>0</v>
      </c>
      <c r="Q829" t="n">
        <v>0</v>
      </c>
      <c r="R829" s="2" t="inlineStr"/>
    </row>
    <row r="830" ht="15" customHeight="1">
      <c r="A830" t="inlineStr">
        <is>
          <t>A 57362-2022</t>
        </is>
      </c>
      <c r="B830" s="1" t="n">
        <v>44896.43010416667</v>
      </c>
      <c r="C830" s="1" t="n">
        <v>45964</v>
      </c>
      <c r="D830" t="inlineStr">
        <is>
          <t>VÄSTERBOTTENS LÄN</t>
        </is>
      </c>
      <c r="E830" t="inlineStr">
        <is>
          <t>SKELLEFTEÅ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57406-2022</t>
        </is>
      </c>
      <c r="B831" s="1" t="n">
        <v>44893</v>
      </c>
      <c r="C831" s="1" t="n">
        <v>45964</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18070-2022</t>
        </is>
      </c>
      <c r="B832" s="1" t="n">
        <v>44684</v>
      </c>
      <c r="C832" s="1" t="n">
        <v>45964</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964-2025</t>
        </is>
      </c>
      <c r="B833" s="1" t="n">
        <v>45666.38408564815</v>
      </c>
      <c r="C833" s="1" t="n">
        <v>45964</v>
      </c>
      <c r="D833" t="inlineStr">
        <is>
          <t>VÄSTERBOTTENS LÄN</t>
        </is>
      </c>
      <c r="E833" t="inlineStr">
        <is>
          <t>SKELLEFTEÅ</t>
        </is>
      </c>
      <c r="G833" t="n">
        <v>0.7</v>
      </c>
      <c r="H833" t="n">
        <v>0</v>
      </c>
      <c r="I833" t="n">
        <v>0</v>
      </c>
      <c r="J833" t="n">
        <v>0</v>
      </c>
      <c r="K833" t="n">
        <v>0</v>
      </c>
      <c r="L833" t="n">
        <v>0</v>
      </c>
      <c r="M833" t="n">
        <v>0</v>
      </c>
      <c r="N833" t="n">
        <v>0</v>
      </c>
      <c r="O833" t="n">
        <v>0</v>
      </c>
      <c r="P833" t="n">
        <v>0</v>
      </c>
      <c r="Q833" t="n">
        <v>0</v>
      </c>
      <c r="R833" s="2" t="inlineStr"/>
    </row>
    <row r="834" ht="15" customHeight="1">
      <c r="A834" t="inlineStr">
        <is>
          <t>A 48361-2023</t>
        </is>
      </c>
      <c r="B834" s="1" t="n">
        <v>45205.64600694444</v>
      </c>
      <c r="C834" s="1" t="n">
        <v>45964</v>
      </c>
      <c r="D834" t="inlineStr">
        <is>
          <t>VÄSTERBOTTENS LÄN</t>
        </is>
      </c>
      <c r="E834" t="inlineStr">
        <is>
          <t>SKELLEFTEÅ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2354-2025</t>
        </is>
      </c>
      <c r="B835" s="1" t="n">
        <v>45673</v>
      </c>
      <c r="C835" s="1" t="n">
        <v>45964</v>
      </c>
      <c r="D835" t="inlineStr">
        <is>
          <t>VÄSTERBOTTENS LÄN</t>
        </is>
      </c>
      <c r="E835" t="inlineStr">
        <is>
          <t>SKELLEFTEÅ</t>
        </is>
      </c>
      <c r="G835" t="n">
        <v>6.7</v>
      </c>
      <c r="H835" t="n">
        <v>0</v>
      </c>
      <c r="I835" t="n">
        <v>0</v>
      </c>
      <c r="J835" t="n">
        <v>0</v>
      </c>
      <c r="K835" t="n">
        <v>0</v>
      </c>
      <c r="L835" t="n">
        <v>0</v>
      </c>
      <c r="M835" t="n">
        <v>0</v>
      </c>
      <c r="N835" t="n">
        <v>0</v>
      </c>
      <c r="O835" t="n">
        <v>0</v>
      </c>
      <c r="P835" t="n">
        <v>0</v>
      </c>
      <c r="Q835" t="n">
        <v>0</v>
      </c>
      <c r="R835" s="2" t="inlineStr"/>
    </row>
    <row r="836" ht="15" customHeight="1">
      <c r="A836" t="inlineStr">
        <is>
          <t>A 45036-2021</t>
        </is>
      </c>
      <c r="B836" s="1" t="n">
        <v>44438</v>
      </c>
      <c r="C836" s="1" t="n">
        <v>45964</v>
      </c>
      <c r="D836" t="inlineStr">
        <is>
          <t>VÄSTERBOTTENS LÄN</t>
        </is>
      </c>
      <c r="E836" t="inlineStr">
        <is>
          <t>SKELLEFTEÅ</t>
        </is>
      </c>
      <c r="G836" t="n">
        <v>5.1</v>
      </c>
      <c r="H836" t="n">
        <v>0</v>
      </c>
      <c r="I836" t="n">
        <v>0</v>
      </c>
      <c r="J836" t="n">
        <v>0</v>
      </c>
      <c r="K836" t="n">
        <v>0</v>
      </c>
      <c r="L836" t="n">
        <v>0</v>
      </c>
      <c r="M836" t="n">
        <v>0</v>
      </c>
      <c r="N836" t="n">
        <v>0</v>
      </c>
      <c r="O836" t="n">
        <v>0</v>
      </c>
      <c r="P836" t="n">
        <v>0</v>
      </c>
      <c r="Q836" t="n">
        <v>0</v>
      </c>
      <c r="R836" s="2" t="inlineStr"/>
    </row>
    <row r="837" ht="15" customHeight="1">
      <c r="A837" t="inlineStr">
        <is>
          <t>A 50462-2023</t>
        </is>
      </c>
      <c r="B837" s="1" t="n">
        <v>45216.84662037037</v>
      </c>
      <c r="C837" s="1" t="n">
        <v>45964</v>
      </c>
      <c r="D837" t="inlineStr">
        <is>
          <t>VÄSTERBOTTENS LÄN</t>
        </is>
      </c>
      <c r="E837" t="inlineStr">
        <is>
          <t>SKELLEFTEÅ</t>
        </is>
      </c>
      <c r="G837" t="n">
        <v>12.4</v>
      </c>
      <c r="H837" t="n">
        <v>0</v>
      </c>
      <c r="I837" t="n">
        <v>0</v>
      </c>
      <c r="J837" t="n">
        <v>0</v>
      </c>
      <c r="K837" t="n">
        <v>0</v>
      </c>
      <c r="L837" t="n">
        <v>0</v>
      </c>
      <c r="M837" t="n">
        <v>0</v>
      </c>
      <c r="N837" t="n">
        <v>0</v>
      </c>
      <c r="O837" t="n">
        <v>0</v>
      </c>
      <c r="P837" t="n">
        <v>0</v>
      </c>
      <c r="Q837" t="n">
        <v>0</v>
      </c>
      <c r="R837" s="2" t="inlineStr"/>
    </row>
    <row r="838" ht="15" customHeight="1">
      <c r="A838" t="inlineStr">
        <is>
          <t>A 160-2025</t>
        </is>
      </c>
      <c r="B838" s="1" t="n">
        <v>45649</v>
      </c>
      <c r="C838" s="1" t="n">
        <v>45964</v>
      </c>
      <c r="D838" t="inlineStr">
        <is>
          <t>VÄSTERBOTTENS LÄN</t>
        </is>
      </c>
      <c r="E838" t="inlineStr">
        <is>
          <t>SKELLEFTEÅ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10063-2025</t>
        </is>
      </c>
      <c r="B839" s="1" t="n">
        <v>45719</v>
      </c>
      <c r="C839" s="1" t="n">
        <v>45964</v>
      </c>
      <c r="D839" t="inlineStr">
        <is>
          <t>VÄSTERBOTTENS LÄN</t>
        </is>
      </c>
      <c r="E839" t="inlineStr">
        <is>
          <t>SKELLEFTEÅ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57370-2021</t>
        </is>
      </c>
      <c r="B840" s="1" t="n">
        <v>44483</v>
      </c>
      <c r="C840" s="1" t="n">
        <v>45964</v>
      </c>
      <c r="D840" t="inlineStr">
        <is>
          <t>VÄSTERBOTTENS LÄN</t>
        </is>
      </c>
      <c r="E840" t="inlineStr">
        <is>
          <t>SKELLEFTEÅ</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59788-2023</t>
        </is>
      </c>
      <c r="B841" s="1" t="n">
        <v>45257.44923611111</v>
      </c>
      <c r="C841" s="1" t="n">
        <v>45964</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14627-2022</t>
        </is>
      </c>
      <c r="B842" s="1" t="n">
        <v>44655.64009259259</v>
      </c>
      <c r="C842" s="1" t="n">
        <v>45964</v>
      </c>
      <c r="D842" t="inlineStr">
        <is>
          <t>VÄSTERBOTTENS LÄN</t>
        </is>
      </c>
      <c r="E842" t="inlineStr">
        <is>
          <t>SKELLEFTEÅ</t>
        </is>
      </c>
      <c r="G842" t="n">
        <v>5.9</v>
      </c>
      <c r="H842" t="n">
        <v>0</v>
      </c>
      <c r="I842" t="n">
        <v>0</v>
      </c>
      <c r="J842" t="n">
        <v>0</v>
      </c>
      <c r="K842" t="n">
        <v>0</v>
      </c>
      <c r="L842" t="n">
        <v>0</v>
      </c>
      <c r="M842" t="n">
        <v>0</v>
      </c>
      <c r="N842" t="n">
        <v>0</v>
      </c>
      <c r="O842" t="n">
        <v>0</v>
      </c>
      <c r="P842" t="n">
        <v>0</v>
      </c>
      <c r="Q842" t="n">
        <v>0</v>
      </c>
      <c r="R842" s="2" t="inlineStr"/>
    </row>
    <row r="843" ht="15" customHeight="1">
      <c r="A843" t="inlineStr">
        <is>
          <t>A 30719-2021</t>
        </is>
      </c>
      <c r="B843" s="1" t="n">
        <v>44365.43997685185</v>
      </c>
      <c r="C843" s="1" t="n">
        <v>45964</v>
      </c>
      <c r="D843" t="inlineStr">
        <is>
          <t>VÄSTERBOTTENS LÄN</t>
        </is>
      </c>
      <c r="E843" t="inlineStr">
        <is>
          <t>SKELLEFTEÅ</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7025-2025</t>
        </is>
      </c>
      <c r="B844" s="1" t="n">
        <v>45701.62719907407</v>
      </c>
      <c r="C844" s="1" t="n">
        <v>45964</v>
      </c>
      <c r="D844" t="inlineStr">
        <is>
          <t>VÄSTERBOTTENS LÄN</t>
        </is>
      </c>
      <c r="E844" t="inlineStr">
        <is>
          <t>SKELLEFTEÅ</t>
        </is>
      </c>
      <c r="G844" t="n">
        <v>4.1</v>
      </c>
      <c r="H844" t="n">
        <v>0</v>
      </c>
      <c r="I844" t="n">
        <v>0</v>
      </c>
      <c r="J844" t="n">
        <v>0</v>
      </c>
      <c r="K844" t="n">
        <v>0</v>
      </c>
      <c r="L844" t="n">
        <v>0</v>
      </c>
      <c r="M844" t="n">
        <v>0</v>
      </c>
      <c r="N844" t="n">
        <v>0</v>
      </c>
      <c r="O844" t="n">
        <v>0</v>
      </c>
      <c r="P844" t="n">
        <v>0</v>
      </c>
      <c r="Q844" t="n">
        <v>0</v>
      </c>
      <c r="R844" s="2" t="inlineStr"/>
    </row>
    <row r="845" ht="15" customHeight="1">
      <c r="A845" t="inlineStr">
        <is>
          <t>A 16706-2025</t>
        </is>
      </c>
      <c r="B845" s="1" t="n">
        <v>45751</v>
      </c>
      <c r="C845" s="1" t="n">
        <v>45964</v>
      </c>
      <c r="D845" t="inlineStr">
        <is>
          <t>VÄSTERBOTTENS LÄN</t>
        </is>
      </c>
      <c r="E845" t="inlineStr">
        <is>
          <t>SKELLEFTEÅ</t>
        </is>
      </c>
      <c r="G845" t="n">
        <v>3.4</v>
      </c>
      <c r="H845" t="n">
        <v>0</v>
      </c>
      <c r="I845" t="n">
        <v>0</v>
      </c>
      <c r="J845" t="n">
        <v>0</v>
      </c>
      <c r="K845" t="n">
        <v>0</v>
      </c>
      <c r="L845" t="n">
        <v>0</v>
      </c>
      <c r="M845" t="n">
        <v>0</v>
      </c>
      <c r="N845" t="n">
        <v>0</v>
      </c>
      <c r="O845" t="n">
        <v>0</v>
      </c>
      <c r="P845" t="n">
        <v>0</v>
      </c>
      <c r="Q845" t="n">
        <v>0</v>
      </c>
      <c r="R845" s="2" t="inlineStr"/>
    </row>
    <row r="846" ht="15" customHeight="1">
      <c r="A846" t="inlineStr">
        <is>
          <t>A 16707-2025</t>
        </is>
      </c>
      <c r="B846" s="1" t="n">
        <v>45751</v>
      </c>
      <c r="C846" s="1" t="n">
        <v>45964</v>
      </c>
      <c r="D846" t="inlineStr">
        <is>
          <t>VÄSTERBOTTENS LÄN</t>
        </is>
      </c>
      <c r="E846" t="inlineStr">
        <is>
          <t>SKELLEFTEÅ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19730-2025</t>
        </is>
      </c>
      <c r="B847" s="1" t="n">
        <v>45771.36560185185</v>
      </c>
      <c r="C847" s="1" t="n">
        <v>45964</v>
      </c>
      <c r="D847" t="inlineStr">
        <is>
          <t>VÄSTERBOTTENS LÄN</t>
        </is>
      </c>
      <c r="E847" t="inlineStr">
        <is>
          <t>SKELLEFTEÅ</t>
        </is>
      </c>
      <c r="G847" t="n">
        <v>1.1</v>
      </c>
      <c r="H847" t="n">
        <v>0</v>
      </c>
      <c r="I847" t="n">
        <v>0</v>
      </c>
      <c r="J847" t="n">
        <v>0</v>
      </c>
      <c r="K847" t="n">
        <v>0</v>
      </c>
      <c r="L847" t="n">
        <v>0</v>
      </c>
      <c r="M847" t="n">
        <v>0</v>
      </c>
      <c r="N847" t="n">
        <v>0</v>
      </c>
      <c r="O847" t="n">
        <v>0</v>
      </c>
      <c r="P847" t="n">
        <v>0</v>
      </c>
      <c r="Q847" t="n">
        <v>0</v>
      </c>
      <c r="R847" s="2" t="inlineStr"/>
    </row>
    <row r="848" ht="15" customHeight="1">
      <c r="A848" t="inlineStr">
        <is>
          <t>A 19293-2025</t>
        </is>
      </c>
      <c r="B848" s="1" t="n">
        <v>45769.56047453704</v>
      </c>
      <c r="C848" s="1" t="n">
        <v>45964</v>
      </c>
      <c r="D848" t="inlineStr">
        <is>
          <t>VÄSTERBOTTENS LÄN</t>
        </is>
      </c>
      <c r="E848" t="inlineStr">
        <is>
          <t>SKELLEFTEÅ</t>
        </is>
      </c>
      <c r="G848" t="n">
        <v>3.7</v>
      </c>
      <c r="H848" t="n">
        <v>0</v>
      </c>
      <c r="I848" t="n">
        <v>0</v>
      </c>
      <c r="J848" t="n">
        <v>0</v>
      </c>
      <c r="K848" t="n">
        <v>0</v>
      </c>
      <c r="L848" t="n">
        <v>0</v>
      </c>
      <c r="M848" t="n">
        <v>0</v>
      </c>
      <c r="N848" t="n">
        <v>0</v>
      </c>
      <c r="O848" t="n">
        <v>0</v>
      </c>
      <c r="P848" t="n">
        <v>0</v>
      </c>
      <c r="Q848" t="n">
        <v>0</v>
      </c>
      <c r="R848" s="2" t="inlineStr"/>
    </row>
    <row r="849" ht="15" customHeight="1">
      <c r="A849" t="inlineStr">
        <is>
          <t>A 24696-2024</t>
        </is>
      </c>
      <c r="B849" s="1" t="n">
        <v>45460</v>
      </c>
      <c r="C849" s="1" t="n">
        <v>45964</v>
      </c>
      <c r="D849" t="inlineStr">
        <is>
          <t>VÄSTERBOTTENS LÄN</t>
        </is>
      </c>
      <c r="E849" t="inlineStr">
        <is>
          <t>SKELLEFTEÅ</t>
        </is>
      </c>
      <c r="F849" t="inlineStr">
        <is>
          <t>Holmen skog AB</t>
        </is>
      </c>
      <c r="G849" t="n">
        <v>4.9</v>
      </c>
      <c r="H849" t="n">
        <v>0</v>
      </c>
      <c r="I849" t="n">
        <v>0</v>
      </c>
      <c r="J849" t="n">
        <v>0</v>
      </c>
      <c r="K849" t="n">
        <v>0</v>
      </c>
      <c r="L849" t="n">
        <v>0</v>
      </c>
      <c r="M849" t="n">
        <v>0</v>
      </c>
      <c r="N849" t="n">
        <v>0</v>
      </c>
      <c r="O849" t="n">
        <v>0</v>
      </c>
      <c r="P849" t="n">
        <v>0</v>
      </c>
      <c r="Q849" t="n">
        <v>0</v>
      </c>
      <c r="R849" s="2" t="inlineStr"/>
    </row>
    <row r="850" ht="15" customHeight="1">
      <c r="A850" t="inlineStr">
        <is>
          <t>A 39371-2024</t>
        </is>
      </c>
      <c r="B850" s="1" t="n">
        <v>45551</v>
      </c>
      <c r="C850" s="1" t="n">
        <v>45964</v>
      </c>
      <c r="D850" t="inlineStr">
        <is>
          <t>VÄSTERBOTTENS LÄN</t>
        </is>
      </c>
      <c r="E850" t="inlineStr">
        <is>
          <t>SKELLEFTEÅ</t>
        </is>
      </c>
      <c r="G850" t="n">
        <v>9.6</v>
      </c>
      <c r="H850" t="n">
        <v>0</v>
      </c>
      <c r="I850" t="n">
        <v>0</v>
      </c>
      <c r="J850" t="n">
        <v>0</v>
      </c>
      <c r="K850" t="n">
        <v>0</v>
      </c>
      <c r="L850" t="n">
        <v>0</v>
      </c>
      <c r="M850" t="n">
        <v>0</v>
      </c>
      <c r="N850" t="n">
        <v>0</v>
      </c>
      <c r="O850" t="n">
        <v>0</v>
      </c>
      <c r="P850" t="n">
        <v>0</v>
      </c>
      <c r="Q850" t="n">
        <v>0</v>
      </c>
      <c r="R850" s="2" t="inlineStr"/>
    </row>
    <row r="851" ht="15" customHeight="1">
      <c r="A851" t="inlineStr">
        <is>
          <t>A 19729-2025</t>
        </is>
      </c>
      <c r="B851" s="1" t="n">
        <v>45771.36559027778</v>
      </c>
      <c r="C851" s="1" t="n">
        <v>45964</v>
      </c>
      <c r="D851" t="inlineStr">
        <is>
          <t>VÄSTERBOTTENS LÄN</t>
        </is>
      </c>
      <c r="E851" t="inlineStr">
        <is>
          <t>SKELLEFTEÅ</t>
        </is>
      </c>
      <c r="G851" t="n">
        <v>8.5</v>
      </c>
      <c r="H851" t="n">
        <v>0</v>
      </c>
      <c r="I851" t="n">
        <v>0</v>
      </c>
      <c r="J851" t="n">
        <v>0</v>
      </c>
      <c r="K851" t="n">
        <v>0</v>
      </c>
      <c r="L851" t="n">
        <v>0</v>
      </c>
      <c r="M851" t="n">
        <v>0</v>
      </c>
      <c r="N851" t="n">
        <v>0</v>
      </c>
      <c r="O851" t="n">
        <v>0</v>
      </c>
      <c r="P851" t="n">
        <v>0</v>
      </c>
      <c r="Q851" t="n">
        <v>0</v>
      </c>
      <c r="R851" s="2" t="inlineStr"/>
    </row>
    <row r="852" ht="15" customHeight="1">
      <c r="A852" t="inlineStr">
        <is>
          <t>A 40072-2024</t>
        </is>
      </c>
      <c r="B852" s="1" t="n">
        <v>45554.32503472222</v>
      </c>
      <c r="C852" s="1" t="n">
        <v>45964</v>
      </c>
      <c r="D852" t="inlineStr">
        <is>
          <t>VÄSTERBOTTENS LÄN</t>
        </is>
      </c>
      <c r="E852" t="inlineStr">
        <is>
          <t>SKELLEFTEÅ</t>
        </is>
      </c>
      <c r="F852" t="inlineStr">
        <is>
          <t>Holmen skog AB</t>
        </is>
      </c>
      <c r="G852" t="n">
        <v>3.7</v>
      </c>
      <c r="H852" t="n">
        <v>0</v>
      </c>
      <c r="I852" t="n">
        <v>0</v>
      </c>
      <c r="J852" t="n">
        <v>0</v>
      </c>
      <c r="K852" t="n">
        <v>0</v>
      </c>
      <c r="L852" t="n">
        <v>0</v>
      </c>
      <c r="M852" t="n">
        <v>0</v>
      </c>
      <c r="N852" t="n">
        <v>0</v>
      </c>
      <c r="O852" t="n">
        <v>0</v>
      </c>
      <c r="P852" t="n">
        <v>0</v>
      </c>
      <c r="Q852" t="n">
        <v>0</v>
      </c>
      <c r="R852" s="2" t="inlineStr"/>
    </row>
    <row r="853" ht="15" customHeight="1">
      <c r="A853" t="inlineStr">
        <is>
          <t>A 53092-2022</t>
        </is>
      </c>
      <c r="B853" s="1" t="n">
        <v>44876.4028125</v>
      </c>
      <c r="C853" s="1" t="n">
        <v>45964</v>
      </c>
      <c r="D853" t="inlineStr">
        <is>
          <t>VÄSTERBOTTENS LÄN</t>
        </is>
      </c>
      <c r="E853" t="inlineStr">
        <is>
          <t>SKELLEFTEÅ</t>
        </is>
      </c>
      <c r="G853" t="n">
        <v>3.9</v>
      </c>
      <c r="H853" t="n">
        <v>0</v>
      </c>
      <c r="I853" t="n">
        <v>0</v>
      </c>
      <c r="J853" t="n">
        <v>0</v>
      </c>
      <c r="K853" t="n">
        <v>0</v>
      </c>
      <c r="L853" t="n">
        <v>0</v>
      </c>
      <c r="M853" t="n">
        <v>0</v>
      </c>
      <c r="N853" t="n">
        <v>0</v>
      </c>
      <c r="O853" t="n">
        <v>0</v>
      </c>
      <c r="P853" t="n">
        <v>0</v>
      </c>
      <c r="Q853" t="n">
        <v>0</v>
      </c>
      <c r="R853" s="2" t="inlineStr"/>
    </row>
    <row r="854" ht="15" customHeight="1">
      <c r="A854" t="inlineStr">
        <is>
          <t>A 33841-2021</t>
        </is>
      </c>
      <c r="B854" s="1" t="n">
        <v>44378</v>
      </c>
      <c r="C854" s="1" t="n">
        <v>45964</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64006-2023</t>
        </is>
      </c>
      <c r="B855" s="1" t="n">
        <v>45278</v>
      </c>
      <c r="C855" s="1" t="n">
        <v>45964</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20865-2025</t>
        </is>
      </c>
      <c r="B856" s="1" t="n">
        <v>45777.34438657408</v>
      </c>
      <c r="C856" s="1" t="n">
        <v>45964</v>
      </c>
      <c r="D856" t="inlineStr">
        <is>
          <t>VÄSTERBOTTENS LÄN</t>
        </is>
      </c>
      <c r="E856" t="inlineStr">
        <is>
          <t>SKELLEFTEÅ</t>
        </is>
      </c>
      <c r="F856" t="inlineStr">
        <is>
          <t>SCA</t>
        </is>
      </c>
      <c r="G856" t="n">
        <v>8.4</v>
      </c>
      <c r="H856" t="n">
        <v>0</v>
      </c>
      <c r="I856" t="n">
        <v>0</v>
      </c>
      <c r="J856" t="n">
        <v>0</v>
      </c>
      <c r="K856" t="n">
        <v>0</v>
      </c>
      <c r="L856" t="n">
        <v>0</v>
      </c>
      <c r="M856" t="n">
        <v>0</v>
      </c>
      <c r="N856" t="n">
        <v>0</v>
      </c>
      <c r="O856" t="n">
        <v>0</v>
      </c>
      <c r="P856" t="n">
        <v>0</v>
      </c>
      <c r="Q856" t="n">
        <v>0</v>
      </c>
      <c r="R856" s="2" t="inlineStr"/>
    </row>
    <row r="857" ht="15" customHeight="1">
      <c r="A857" t="inlineStr">
        <is>
          <t>A 5490-2023</t>
        </is>
      </c>
      <c r="B857" s="1" t="n">
        <v>44957</v>
      </c>
      <c r="C857" s="1" t="n">
        <v>45964</v>
      </c>
      <c r="D857" t="inlineStr">
        <is>
          <t>VÄSTERBOTTENS LÄN</t>
        </is>
      </c>
      <c r="E857" t="inlineStr">
        <is>
          <t>SKELLEFTEÅ</t>
        </is>
      </c>
      <c r="G857" t="n">
        <v>3</v>
      </c>
      <c r="H857" t="n">
        <v>0</v>
      </c>
      <c r="I857" t="n">
        <v>0</v>
      </c>
      <c r="J857" t="n">
        <v>0</v>
      </c>
      <c r="K857" t="n">
        <v>0</v>
      </c>
      <c r="L857" t="n">
        <v>0</v>
      </c>
      <c r="M857" t="n">
        <v>0</v>
      </c>
      <c r="N857" t="n">
        <v>0</v>
      </c>
      <c r="O857" t="n">
        <v>0</v>
      </c>
      <c r="P857" t="n">
        <v>0</v>
      </c>
      <c r="Q857" t="n">
        <v>0</v>
      </c>
      <c r="R857" s="2" t="inlineStr"/>
    </row>
    <row r="858" ht="15" customHeight="1">
      <c r="A858" t="inlineStr">
        <is>
          <t>A 20454-2024</t>
        </is>
      </c>
      <c r="B858" s="1" t="n">
        <v>45435</v>
      </c>
      <c r="C858" s="1" t="n">
        <v>45964</v>
      </c>
      <c r="D858" t="inlineStr">
        <is>
          <t>VÄSTERBOTTENS LÄN</t>
        </is>
      </c>
      <c r="E858" t="inlineStr">
        <is>
          <t>SKELLEFTEÅ</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20497-2024</t>
        </is>
      </c>
      <c r="B859" s="1" t="n">
        <v>45435</v>
      </c>
      <c r="C859" s="1" t="n">
        <v>45964</v>
      </c>
      <c r="D859" t="inlineStr">
        <is>
          <t>VÄSTERBOTTENS LÄN</t>
        </is>
      </c>
      <c r="E859" t="inlineStr">
        <is>
          <t>SKELLEFTEÅ</t>
        </is>
      </c>
      <c r="G859" t="n">
        <v>4.8</v>
      </c>
      <c r="H859" t="n">
        <v>0</v>
      </c>
      <c r="I859" t="n">
        <v>0</v>
      </c>
      <c r="J859" t="n">
        <v>0</v>
      </c>
      <c r="K859" t="n">
        <v>0</v>
      </c>
      <c r="L859" t="n">
        <v>0</v>
      </c>
      <c r="M859" t="n">
        <v>0</v>
      </c>
      <c r="N859" t="n">
        <v>0</v>
      </c>
      <c r="O859" t="n">
        <v>0</v>
      </c>
      <c r="P859" t="n">
        <v>0</v>
      </c>
      <c r="Q859" t="n">
        <v>0</v>
      </c>
      <c r="R859" s="2" t="inlineStr"/>
    </row>
    <row r="860" ht="15" customHeight="1">
      <c r="A860" t="inlineStr">
        <is>
          <t>A 1244-2025</t>
        </is>
      </c>
      <c r="B860" s="1" t="n">
        <v>45667.45741898148</v>
      </c>
      <c r="C860" s="1" t="n">
        <v>45964</v>
      </c>
      <c r="D860" t="inlineStr">
        <is>
          <t>VÄSTERBOTTENS LÄN</t>
        </is>
      </c>
      <c r="E860" t="inlineStr">
        <is>
          <t>SKELLEFTEÅ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39544-2023</t>
        </is>
      </c>
      <c r="B861" s="1" t="n">
        <v>45167.35682870371</v>
      </c>
      <c r="C861" s="1" t="n">
        <v>45964</v>
      </c>
      <c r="D861" t="inlineStr">
        <is>
          <t>VÄSTERBOTTENS LÄN</t>
        </is>
      </c>
      <c r="E861" t="inlineStr">
        <is>
          <t>SKELLEFTEÅ</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39553-2023</t>
        </is>
      </c>
      <c r="B862" s="1" t="n">
        <v>45167</v>
      </c>
      <c r="C862" s="1" t="n">
        <v>45964</v>
      </c>
      <c r="D862" t="inlineStr">
        <is>
          <t>VÄSTERBOTTENS LÄN</t>
        </is>
      </c>
      <c r="E862" t="inlineStr">
        <is>
          <t>SKELLEFTEÅ</t>
        </is>
      </c>
      <c r="F862" t="inlineStr">
        <is>
          <t>Holmen skog AB</t>
        </is>
      </c>
      <c r="G862" t="n">
        <v>6.9</v>
      </c>
      <c r="H862" t="n">
        <v>0</v>
      </c>
      <c r="I862" t="n">
        <v>0</v>
      </c>
      <c r="J862" t="n">
        <v>0</v>
      </c>
      <c r="K862" t="n">
        <v>0</v>
      </c>
      <c r="L862" t="n">
        <v>0</v>
      </c>
      <c r="M862" t="n">
        <v>0</v>
      </c>
      <c r="N862" t="n">
        <v>0</v>
      </c>
      <c r="O862" t="n">
        <v>0</v>
      </c>
      <c r="P862" t="n">
        <v>0</v>
      </c>
      <c r="Q862" t="n">
        <v>0</v>
      </c>
      <c r="R862" s="2" t="inlineStr"/>
    </row>
    <row r="863" ht="15" customHeight="1">
      <c r="A863" t="inlineStr">
        <is>
          <t>A 13131-2022</t>
        </is>
      </c>
      <c r="B863" s="1" t="n">
        <v>44644.38203703704</v>
      </c>
      <c r="C863" s="1" t="n">
        <v>45964</v>
      </c>
      <c r="D863" t="inlineStr">
        <is>
          <t>VÄSTERBOTTENS LÄN</t>
        </is>
      </c>
      <c r="E863" t="inlineStr">
        <is>
          <t>SKELLEFTEÅ</t>
        </is>
      </c>
      <c r="G863" t="n">
        <v>3.7</v>
      </c>
      <c r="H863" t="n">
        <v>0</v>
      </c>
      <c r="I863" t="n">
        <v>0</v>
      </c>
      <c r="J863" t="n">
        <v>0</v>
      </c>
      <c r="K863" t="n">
        <v>0</v>
      </c>
      <c r="L863" t="n">
        <v>0</v>
      </c>
      <c r="M863" t="n">
        <v>0</v>
      </c>
      <c r="N863" t="n">
        <v>0</v>
      </c>
      <c r="O863" t="n">
        <v>0</v>
      </c>
      <c r="P863" t="n">
        <v>0</v>
      </c>
      <c r="Q863" t="n">
        <v>0</v>
      </c>
      <c r="R863" s="2" t="inlineStr"/>
    </row>
    <row r="864" ht="15" customHeight="1">
      <c r="A864" t="inlineStr">
        <is>
          <t>A 66463-2021</t>
        </is>
      </c>
      <c r="B864" s="1" t="n">
        <v>44518</v>
      </c>
      <c r="C864" s="1" t="n">
        <v>45964</v>
      </c>
      <c r="D864" t="inlineStr">
        <is>
          <t>VÄSTERBOTTENS LÄN</t>
        </is>
      </c>
      <c r="E864" t="inlineStr">
        <is>
          <t>SKELLEFTEÅ</t>
        </is>
      </c>
      <c r="G864" t="n">
        <v>3.9</v>
      </c>
      <c r="H864" t="n">
        <v>0</v>
      </c>
      <c r="I864" t="n">
        <v>0</v>
      </c>
      <c r="J864" t="n">
        <v>0</v>
      </c>
      <c r="K864" t="n">
        <v>0</v>
      </c>
      <c r="L864" t="n">
        <v>0</v>
      </c>
      <c r="M864" t="n">
        <v>0</v>
      </c>
      <c r="N864" t="n">
        <v>0</v>
      </c>
      <c r="O864" t="n">
        <v>0</v>
      </c>
      <c r="P864" t="n">
        <v>0</v>
      </c>
      <c r="Q864" t="n">
        <v>0</v>
      </c>
      <c r="R864" s="2" t="inlineStr"/>
    </row>
    <row r="865" ht="15" customHeight="1">
      <c r="A865" t="inlineStr">
        <is>
          <t>A 4626-2025</t>
        </is>
      </c>
      <c r="B865" s="1" t="n">
        <v>45687.62158564815</v>
      </c>
      <c r="C865" s="1" t="n">
        <v>45964</v>
      </c>
      <c r="D865" t="inlineStr">
        <is>
          <t>VÄSTERBOTTENS LÄN</t>
        </is>
      </c>
      <c r="E865" t="inlineStr">
        <is>
          <t>SKELLEFTEÅ</t>
        </is>
      </c>
      <c r="G865" t="n">
        <v>6</v>
      </c>
      <c r="H865" t="n">
        <v>0</v>
      </c>
      <c r="I865" t="n">
        <v>0</v>
      </c>
      <c r="J865" t="n">
        <v>0</v>
      </c>
      <c r="K865" t="n">
        <v>0</v>
      </c>
      <c r="L865" t="n">
        <v>0</v>
      </c>
      <c r="M865" t="n">
        <v>0</v>
      </c>
      <c r="N865" t="n">
        <v>0</v>
      </c>
      <c r="O865" t="n">
        <v>0</v>
      </c>
      <c r="P865" t="n">
        <v>0</v>
      </c>
      <c r="Q865" t="n">
        <v>0</v>
      </c>
      <c r="R865" s="2" t="inlineStr"/>
    </row>
    <row r="866" ht="15" customHeight="1">
      <c r="A866" t="inlineStr">
        <is>
          <t>A 22663-2021</t>
        </is>
      </c>
      <c r="B866" s="1" t="n">
        <v>44327</v>
      </c>
      <c r="C866" s="1" t="n">
        <v>45964</v>
      </c>
      <c r="D866" t="inlineStr">
        <is>
          <t>VÄSTERBOTTENS LÄN</t>
        </is>
      </c>
      <c r="E866" t="inlineStr">
        <is>
          <t>SKELLEFTEÅ</t>
        </is>
      </c>
      <c r="G866" t="n">
        <v>1.5</v>
      </c>
      <c r="H866" t="n">
        <v>0</v>
      </c>
      <c r="I866" t="n">
        <v>0</v>
      </c>
      <c r="J866" t="n">
        <v>0</v>
      </c>
      <c r="K866" t="n">
        <v>0</v>
      </c>
      <c r="L866" t="n">
        <v>0</v>
      </c>
      <c r="M866" t="n">
        <v>0</v>
      </c>
      <c r="N866" t="n">
        <v>0</v>
      </c>
      <c r="O866" t="n">
        <v>0</v>
      </c>
      <c r="P866" t="n">
        <v>0</v>
      </c>
      <c r="Q866" t="n">
        <v>0</v>
      </c>
      <c r="R866" s="2" t="inlineStr"/>
    </row>
    <row r="867" ht="15" customHeight="1">
      <c r="A867" t="inlineStr">
        <is>
          <t>A 26190-2024</t>
        </is>
      </c>
      <c r="B867" s="1" t="n">
        <v>45468.5712037037</v>
      </c>
      <c r="C867" s="1" t="n">
        <v>45964</v>
      </c>
      <c r="D867" t="inlineStr">
        <is>
          <t>VÄSTERBOTTENS LÄN</t>
        </is>
      </c>
      <c r="E867" t="inlineStr">
        <is>
          <t>SKELLEFTEÅ</t>
        </is>
      </c>
      <c r="F867" t="inlineStr">
        <is>
          <t>Holmen skog AB</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36823-2024</t>
        </is>
      </c>
      <c r="B868" s="1" t="n">
        <v>45538.50298611111</v>
      </c>
      <c r="C868" s="1" t="n">
        <v>45964</v>
      </c>
      <c r="D868" t="inlineStr">
        <is>
          <t>VÄSTERBOTTENS LÄN</t>
        </is>
      </c>
      <c r="E868" t="inlineStr">
        <is>
          <t>SKELLEFTEÅ</t>
        </is>
      </c>
      <c r="F868" t="inlineStr">
        <is>
          <t>Holmen skog AB</t>
        </is>
      </c>
      <c r="G868" t="n">
        <v>6</v>
      </c>
      <c r="H868" t="n">
        <v>0</v>
      </c>
      <c r="I868" t="n">
        <v>0</v>
      </c>
      <c r="J868" t="n">
        <v>0</v>
      </c>
      <c r="K868" t="n">
        <v>0</v>
      </c>
      <c r="L868" t="n">
        <v>0</v>
      </c>
      <c r="M868" t="n">
        <v>0</v>
      </c>
      <c r="N868" t="n">
        <v>0</v>
      </c>
      <c r="O868" t="n">
        <v>0</v>
      </c>
      <c r="P868" t="n">
        <v>0</v>
      </c>
      <c r="Q868" t="n">
        <v>0</v>
      </c>
      <c r="R868" s="2" t="inlineStr"/>
    </row>
    <row r="869" ht="15" customHeight="1">
      <c r="A869" t="inlineStr">
        <is>
          <t>A 55652-2024</t>
        </is>
      </c>
      <c r="B869" s="1" t="n">
        <v>45621</v>
      </c>
      <c r="C869" s="1" t="n">
        <v>45964</v>
      </c>
      <c r="D869" t="inlineStr">
        <is>
          <t>VÄSTERBOTTENS LÄN</t>
        </is>
      </c>
      <c r="E869" t="inlineStr">
        <is>
          <t>SKELLEFTEÅ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55409-2023</t>
        </is>
      </c>
      <c r="B870" s="1" t="n">
        <v>45231</v>
      </c>
      <c r="C870" s="1" t="n">
        <v>45964</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41226-2024</t>
        </is>
      </c>
      <c r="B871" s="1" t="n">
        <v>45559.55829861111</v>
      </c>
      <c r="C871" s="1" t="n">
        <v>45964</v>
      </c>
      <c r="D871" t="inlineStr">
        <is>
          <t>VÄSTERBOTTENS LÄN</t>
        </is>
      </c>
      <c r="E871" t="inlineStr">
        <is>
          <t>SKELLEFTEÅ</t>
        </is>
      </c>
      <c r="G871" t="n">
        <v>0.7</v>
      </c>
      <c r="H871" t="n">
        <v>0</v>
      </c>
      <c r="I871" t="n">
        <v>0</v>
      </c>
      <c r="J871" t="n">
        <v>0</v>
      </c>
      <c r="K871" t="n">
        <v>0</v>
      </c>
      <c r="L871" t="n">
        <v>0</v>
      </c>
      <c r="M871" t="n">
        <v>0</v>
      </c>
      <c r="N871" t="n">
        <v>0</v>
      </c>
      <c r="O871" t="n">
        <v>0</v>
      </c>
      <c r="P871" t="n">
        <v>0</v>
      </c>
      <c r="Q871" t="n">
        <v>0</v>
      </c>
      <c r="R871" s="2" t="inlineStr"/>
    </row>
    <row r="872" ht="15" customHeight="1">
      <c r="A872" t="inlineStr">
        <is>
          <t>A 15327-2023</t>
        </is>
      </c>
      <c r="B872" s="1" t="n">
        <v>45016</v>
      </c>
      <c r="C872" s="1" t="n">
        <v>45964</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3951-2021</t>
        </is>
      </c>
      <c r="B873" s="1" t="n">
        <v>44217</v>
      </c>
      <c r="C873" s="1" t="n">
        <v>45964</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11875-2024</t>
        </is>
      </c>
      <c r="B874" s="1" t="n">
        <v>45376</v>
      </c>
      <c r="C874" s="1" t="n">
        <v>45964</v>
      </c>
      <c r="D874" t="inlineStr">
        <is>
          <t>VÄSTERBOTTENS LÄN</t>
        </is>
      </c>
      <c r="E874" t="inlineStr">
        <is>
          <t>SKELLEFTEÅ</t>
        </is>
      </c>
      <c r="G874" t="n">
        <v>4.4</v>
      </c>
      <c r="H874" t="n">
        <v>0</v>
      </c>
      <c r="I874" t="n">
        <v>0</v>
      </c>
      <c r="J874" t="n">
        <v>0</v>
      </c>
      <c r="K874" t="n">
        <v>0</v>
      </c>
      <c r="L874" t="n">
        <v>0</v>
      </c>
      <c r="M874" t="n">
        <v>0</v>
      </c>
      <c r="N874" t="n">
        <v>0</v>
      </c>
      <c r="O874" t="n">
        <v>0</v>
      </c>
      <c r="P874" t="n">
        <v>0</v>
      </c>
      <c r="Q874" t="n">
        <v>0</v>
      </c>
      <c r="R874" s="2" t="inlineStr"/>
    </row>
    <row r="875" ht="15" customHeight="1">
      <c r="A875" t="inlineStr">
        <is>
          <t>A 21190-2025</t>
        </is>
      </c>
      <c r="B875" s="1" t="n">
        <v>45779.45958333334</v>
      </c>
      <c r="C875" s="1" t="n">
        <v>45964</v>
      </c>
      <c r="D875" t="inlineStr">
        <is>
          <t>VÄSTERBOTTENS LÄN</t>
        </is>
      </c>
      <c r="E875" t="inlineStr">
        <is>
          <t>SKELLEFTEÅ</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58751-2023</t>
        </is>
      </c>
      <c r="B876" s="1" t="n">
        <v>45251</v>
      </c>
      <c r="C876" s="1" t="n">
        <v>45964</v>
      </c>
      <c r="D876" t="inlineStr">
        <is>
          <t>VÄSTERBOTTENS LÄN</t>
        </is>
      </c>
      <c r="E876" t="inlineStr">
        <is>
          <t>SKELLEFTEÅ</t>
        </is>
      </c>
      <c r="G876" t="n">
        <v>3.2</v>
      </c>
      <c r="H876" t="n">
        <v>0</v>
      </c>
      <c r="I876" t="n">
        <v>0</v>
      </c>
      <c r="J876" t="n">
        <v>0</v>
      </c>
      <c r="K876" t="n">
        <v>0</v>
      </c>
      <c r="L876" t="n">
        <v>0</v>
      </c>
      <c r="M876" t="n">
        <v>0</v>
      </c>
      <c r="N876" t="n">
        <v>0</v>
      </c>
      <c r="O876" t="n">
        <v>0</v>
      </c>
      <c r="P876" t="n">
        <v>0</v>
      </c>
      <c r="Q876" t="n">
        <v>0</v>
      </c>
      <c r="R876" s="2" t="inlineStr"/>
    </row>
    <row r="877" ht="15" customHeight="1">
      <c r="A877" t="inlineStr">
        <is>
          <t>A 21222-2025</t>
        </is>
      </c>
      <c r="B877" s="1" t="n">
        <v>45779.5078125</v>
      </c>
      <c r="C877" s="1" t="n">
        <v>45964</v>
      </c>
      <c r="D877" t="inlineStr">
        <is>
          <t>VÄSTERBOTTENS LÄN</t>
        </is>
      </c>
      <c r="E877" t="inlineStr">
        <is>
          <t>SKELLEFTEÅ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59793-2023</t>
        </is>
      </c>
      <c r="B878" s="1" t="n">
        <v>45257.4577199074</v>
      </c>
      <c r="C878" s="1" t="n">
        <v>45964</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46107-2023</t>
        </is>
      </c>
      <c r="B879" s="1" t="n">
        <v>45190</v>
      </c>
      <c r="C879" s="1" t="n">
        <v>45964</v>
      </c>
      <c r="D879" t="inlineStr">
        <is>
          <t>VÄSTERBOTTENS LÄN</t>
        </is>
      </c>
      <c r="E879" t="inlineStr">
        <is>
          <t>SKELLEFTEÅ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21207-2025</t>
        </is>
      </c>
      <c r="B880" s="1" t="n">
        <v>45779.48564814815</v>
      </c>
      <c r="C880" s="1" t="n">
        <v>45964</v>
      </c>
      <c r="D880" t="inlineStr">
        <is>
          <t>VÄSTERBOTTENS LÄN</t>
        </is>
      </c>
      <c r="E880" t="inlineStr">
        <is>
          <t>SKELLEFTEÅ</t>
        </is>
      </c>
      <c r="F880" t="inlineStr">
        <is>
          <t>Holmen skog AB</t>
        </is>
      </c>
      <c r="G880" t="n">
        <v>4.8</v>
      </c>
      <c r="H880" t="n">
        <v>0</v>
      </c>
      <c r="I880" t="n">
        <v>0</v>
      </c>
      <c r="J880" t="n">
        <v>0</v>
      </c>
      <c r="K880" t="n">
        <v>0</v>
      </c>
      <c r="L880" t="n">
        <v>0</v>
      </c>
      <c r="M880" t="n">
        <v>0</v>
      </c>
      <c r="N880" t="n">
        <v>0</v>
      </c>
      <c r="O880" t="n">
        <v>0</v>
      </c>
      <c r="P880" t="n">
        <v>0</v>
      </c>
      <c r="Q880" t="n">
        <v>0</v>
      </c>
      <c r="R880" s="2" t="inlineStr"/>
    </row>
    <row r="881" ht="15" customHeight="1">
      <c r="A881" t="inlineStr">
        <is>
          <t>A 21131-2025</t>
        </is>
      </c>
      <c r="B881" s="1" t="n">
        <v>45778.36864583333</v>
      </c>
      <c r="C881" s="1" t="n">
        <v>45964</v>
      </c>
      <c r="D881" t="inlineStr">
        <is>
          <t>VÄSTERBOTTENS LÄN</t>
        </is>
      </c>
      <c r="E881" t="inlineStr">
        <is>
          <t>SKELLEFTEÅ</t>
        </is>
      </c>
      <c r="G881" t="n">
        <v>2</v>
      </c>
      <c r="H881" t="n">
        <v>0</v>
      </c>
      <c r="I881" t="n">
        <v>0</v>
      </c>
      <c r="J881" t="n">
        <v>0</v>
      </c>
      <c r="K881" t="n">
        <v>0</v>
      </c>
      <c r="L881" t="n">
        <v>0</v>
      </c>
      <c r="M881" t="n">
        <v>0</v>
      </c>
      <c r="N881" t="n">
        <v>0</v>
      </c>
      <c r="O881" t="n">
        <v>0</v>
      </c>
      <c r="P881" t="n">
        <v>0</v>
      </c>
      <c r="Q881" t="n">
        <v>0</v>
      </c>
      <c r="R881" s="2" t="inlineStr"/>
    </row>
    <row r="882" ht="15" customHeight="1">
      <c r="A882" t="inlineStr">
        <is>
          <t>A 23710-2023</t>
        </is>
      </c>
      <c r="B882" s="1" t="n">
        <v>45075</v>
      </c>
      <c r="C882" s="1" t="n">
        <v>45964</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21420-2025</t>
        </is>
      </c>
      <c r="B883" s="1" t="n">
        <v>45782.5021875</v>
      </c>
      <c r="C883" s="1" t="n">
        <v>45964</v>
      </c>
      <c r="D883" t="inlineStr">
        <is>
          <t>VÄSTERBOTTENS LÄN</t>
        </is>
      </c>
      <c r="E883" t="inlineStr">
        <is>
          <t>SKELLEFTEÅ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5252-2024</t>
        </is>
      </c>
      <c r="B884" s="1" t="n">
        <v>45330.93219907407</v>
      </c>
      <c r="C884" s="1" t="n">
        <v>45964</v>
      </c>
      <c r="D884" t="inlineStr">
        <is>
          <t>VÄSTERBOTTENS LÄN</t>
        </is>
      </c>
      <c r="E884" t="inlineStr">
        <is>
          <t>SKELLEFTEÅ</t>
        </is>
      </c>
      <c r="G884" t="n">
        <v>0.7</v>
      </c>
      <c r="H884" t="n">
        <v>0</v>
      </c>
      <c r="I884" t="n">
        <v>0</v>
      </c>
      <c r="J884" t="n">
        <v>0</v>
      </c>
      <c r="K884" t="n">
        <v>0</v>
      </c>
      <c r="L884" t="n">
        <v>0</v>
      </c>
      <c r="M884" t="n">
        <v>0</v>
      </c>
      <c r="N884" t="n">
        <v>0</v>
      </c>
      <c r="O884" t="n">
        <v>0</v>
      </c>
      <c r="P884" t="n">
        <v>0</v>
      </c>
      <c r="Q884" t="n">
        <v>0</v>
      </c>
      <c r="R884" s="2" t="inlineStr"/>
    </row>
    <row r="885" ht="15" customHeight="1">
      <c r="A885" t="inlineStr">
        <is>
          <t>A 46492-2023</t>
        </is>
      </c>
      <c r="B885" s="1" t="n">
        <v>45194</v>
      </c>
      <c r="C885" s="1" t="n">
        <v>45964</v>
      </c>
      <c r="D885" t="inlineStr">
        <is>
          <t>VÄSTERBOTTENS LÄN</t>
        </is>
      </c>
      <c r="E885" t="inlineStr">
        <is>
          <t>SKELLEFTEÅ</t>
        </is>
      </c>
      <c r="G885" t="n">
        <v>0.8</v>
      </c>
      <c r="H885" t="n">
        <v>0</v>
      </c>
      <c r="I885" t="n">
        <v>0</v>
      </c>
      <c r="J885" t="n">
        <v>0</v>
      </c>
      <c r="K885" t="n">
        <v>0</v>
      </c>
      <c r="L885" t="n">
        <v>0</v>
      </c>
      <c r="M885" t="n">
        <v>0</v>
      </c>
      <c r="N885" t="n">
        <v>0</v>
      </c>
      <c r="O885" t="n">
        <v>0</v>
      </c>
      <c r="P885" t="n">
        <v>0</v>
      </c>
      <c r="Q885" t="n">
        <v>0</v>
      </c>
      <c r="R885" s="2" t="inlineStr"/>
    </row>
    <row r="886" ht="15" customHeight="1">
      <c r="A886" t="inlineStr">
        <is>
          <t>A 17173-2025</t>
        </is>
      </c>
      <c r="B886" s="1" t="n">
        <v>45756.37224537037</v>
      </c>
      <c r="C886" s="1" t="n">
        <v>45964</v>
      </c>
      <c r="D886" t="inlineStr">
        <is>
          <t>VÄSTERBOTTENS LÄN</t>
        </is>
      </c>
      <c r="E886" t="inlineStr">
        <is>
          <t>SKELLEFTEÅ</t>
        </is>
      </c>
      <c r="G886" t="n">
        <v>5.6</v>
      </c>
      <c r="H886" t="n">
        <v>0</v>
      </c>
      <c r="I886" t="n">
        <v>0</v>
      </c>
      <c r="J886" t="n">
        <v>0</v>
      </c>
      <c r="K886" t="n">
        <v>0</v>
      </c>
      <c r="L886" t="n">
        <v>0</v>
      </c>
      <c r="M886" t="n">
        <v>0</v>
      </c>
      <c r="N886" t="n">
        <v>0</v>
      </c>
      <c r="O886" t="n">
        <v>0</v>
      </c>
      <c r="P886" t="n">
        <v>0</v>
      </c>
      <c r="Q886" t="n">
        <v>0</v>
      </c>
      <c r="R886" s="2" t="inlineStr"/>
    </row>
    <row r="887" ht="15" customHeight="1">
      <c r="A887" t="inlineStr">
        <is>
          <t>A 57440-2023</t>
        </is>
      </c>
      <c r="B887" s="1" t="n">
        <v>45240</v>
      </c>
      <c r="C887" s="1" t="n">
        <v>45964</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21585-2025</t>
        </is>
      </c>
      <c r="B888" s="1" t="n">
        <v>45783</v>
      </c>
      <c r="C888" s="1" t="n">
        <v>45964</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52693-2024</t>
        </is>
      </c>
      <c r="B889" s="1" t="n">
        <v>45610.39756944445</v>
      </c>
      <c r="C889" s="1" t="n">
        <v>45964</v>
      </c>
      <c r="D889" t="inlineStr">
        <is>
          <t>VÄSTERBOTTENS LÄN</t>
        </is>
      </c>
      <c r="E889" t="inlineStr">
        <is>
          <t>SKELLEFTEÅ</t>
        </is>
      </c>
      <c r="F889" t="inlineStr">
        <is>
          <t>Holmen skog AB</t>
        </is>
      </c>
      <c r="G889" t="n">
        <v>8.4</v>
      </c>
      <c r="H889" t="n">
        <v>0</v>
      </c>
      <c r="I889" t="n">
        <v>0</v>
      </c>
      <c r="J889" t="n">
        <v>0</v>
      </c>
      <c r="K889" t="n">
        <v>0</v>
      </c>
      <c r="L889" t="n">
        <v>0</v>
      </c>
      <c r="M889" t="n">
        <v>0</v>
      </c>
      <c r="N889" t="n">
        <v>0</v>
      </c>
      <c r="O889" t="n">
        <v>0</v>
      </c>
      <c r="P889" t="n">
        <v>0</v>
      </c>
      <c r="Q889" t="n">
        <v>0</v>
      </c>
      <c r="R889" s="2" t="inlineStr"/>
    </row>
    <row r="890" ht="15" customHeight="1">
      <c r="A890" t="inlineStr">
        <is>
          <t>A 8911-2021</t>
        </is>
      </c>
      <c r="B890" s="1" t="n">
        <v>44245</v>
      </c>
      <c r="C890" s="1" t="n">
        <v>45964</v>
      </c>
      <c r="D890" t="inlineStr">
        <is>
          <t>VÄSTERBOTTENS LÄN</t>
        </is>
      </c>
      <c r="E890" t="inlineStr">
        <is>
          <t>SKELLEFTEÅ</t>
        </is>
      </c>
      <c r="G890" t="n">
        <v>4.5</v>
      </c>
      <c r="H890" t="n">
        <v>0</v>
      </c>
      <c r="I890" t="n">
        <v>0</v>
      </c>
      <c r="J890" t="n">
        <v>0</v>
      </c>
      <c r="K890" t="n">
        <v>0</v>
      </c>
      <c r="L890" t="n">
        <v>0</v>
      </c>
      <c r="M890" t="n">
        <v>0</v>
      </c>
      <c r="N890" t="n">
        <v>0</v>
      </c>
      <c r="O890" t="n">
        <v>0</v>
      </c>
      <c r="P890" t="n">
        <v>0</v>
      </c>
      <c r="Q890" t="n">
        <v>0</v>
      </c>
      <c r="R890" s="2" t="inlineStr"/>
    </row>
    <row r="891" ht="15" customHeight="1">
      <c r="A891" t="inlineStr">
        <is>
          <t>A 34638-2023</t>
        </is>
      </c>
      <c r="B891" s="1" t="n">
        <v>45140.65803240741</v>
      </c>
      <c r="C891" s="1" t="n">
        <v>45964</v>
      </c>
      <c r="D891" t="inlineStr">
        <is>
          <t>VÄSTERBOTTENS LÄN</t>
        </is>
      </c>
      <c r="E891" t="inlineStr">
        <is>
          <t>SKELLEFTEÅ</t>
        </is>
      </c>
      <c r="F891" t="inlineStr">
        <is>
          <t>Holmen skog AB</t>
        </is>
      </c>
      <c r="G891" t="n">
        <v>1.6</v>
      </c>
      <c r="H891" t="n">
        <v>0</v>
      </c>
      <c r="I891" t="n">
        <v>0</v>
      </c>
      <c r="J891" t="n">
        <v>0</v>
      </c>
      <c r="K891" t="n">
        <v>0</v>
      </c>
      <c r="L891" t="n">
        <v>0</v>
      </c>
      <c r="M891" t="n">
        <v>0</v>
      </c>
      <c r="N891" t="n">
        <v>0</v>
      </c>
      <c r="O891" t="n">
        <v>0</v>
      </c>
      <c r="P891" t="n">
        <v>0</v>
      </c>
      <c r="Q891" t="n">
        <v>0</v>
      </c>
      <c r="R891" s="2" t="inlineStr"/>
    </row>
    <row r="892" ht="15" customHeight="1">
      <c r="A892" t="inlineStr">
        <is>
          <t>A 34669-2023</t>
        </is>
      </c>
      <c r="B892" s="1" t="n">
        <v>45140.83063657407</v>
      </c>
      <c r="C892" s="1" t="n">
        <v>45964</v>
      </c>
      <c r="D892" t="inlineStr">
        <is>
          <t>VÄSTERBOTTENS LÄN</t>
        </is>
      </c>
      <c r="E892" t="inlineStr">
        <is>
          <t>SKELLEFTEÅ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56974-2024</t>
        </is>
      </c>
      <c r="B893" s="1" t="n">
        <v>45628.67204861111</v>
      </c>
      <c r="C893" s="1" t="n">
        <v>45964</v>
      </c>
      <c r="D893" t="inlineStr">
        <is>
          <t>VÄSTERBOTTENS LÄN</t>
        </is>
      </c>
      <c r="E893" t="inlineStr">
        <is>
          <t>SKELLEFTEÅ</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21381-2025</t>
        </is>
      </c>
      <c r="B894" s="1" t="n">
        <v>45782.45925925926</v>
      </c>
      <c r="C894" s="1" t="n">
        <v>45964</v>
      </c>
      <c r="D894" t="inlineStr">
        <is>
          <t>VÄSTERBOTTENS LÄN</t>
        </is>
      </c>
      <c r="E894" t="inlineStr">
        <is>
          <t>SKELLEFTEÅ</t>
        </is>
      </c>
      <c r="F894" t="inlineStr">
        <is>
          <t>Holmen skog AB</t>
        </is>
      </c>
      <c r="G894" t="n">
        <v>3</v>
      </c>
      <c r="H894" t="n">
        <v>0</v>
      </c>
      <c r="I894" t="n">
        <v>0</v>
      </c>
      <c r="J894" t="n">
        <v>0</v>
      </c>
      <c r="K894" t="n">
        <v>0</v>
      </c>
      <c r="L894" t="n">
        <v>0</v>
      </c>
      <c r="M894" t="n">
        <v>0</v>
      </c>
      <c r="N894" t="n">
        <v>0</v>
      </c>
      <c r="O894" t="n">
        <v>0</v>
      </c>
      <c r="P894" t="n">
        <v>0</v>
      </c>
      <c r="Q894" t="n">
        <v>0</v>
      </c>
      <c r="R894" s="2" t="inlineStr"/>
    </row>
    <row r="895" ht="15" customHeight="1">
      <c r="A895" t="inlineStr">
        <is>
          <t>A 30686-2023</t>
        </is>
      </c>
      <c r="B895" s="1" t="n">
        <v>45112</v>
      </c>
      <c r="C895" s="1" t="n">
        <v>45964</v>
      </c>
      <c r="D895" t="inlineStr">
        <is>
          <t>VÄSTERBOTTENS LÄN</t>
        </is>
      </c>
      <c r="E895" t="inlineStr">
        <is>
          <t>SKELLEFTEÅ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21350-2025</t>
        </is>
      </c>
      <c r="B896" s="1" t="n">
        <v>45782.40702546296</v>
      </c>
      <c r="C896" s="1" t="n">
        <v>45964</v>
      </c>
      <c r="D896" t="inlineStr">
        <is>
          <t>VÄSTERBOTTENS LÄN</t>
        </is>
      </c>
      <c r="E896" t="inlineStr">
        <is>
          <t>SKELLEFTEÅ</t>
        </is>
      </c>
      <c r="F896" t="inlineStr">
        <is>
          <t>Holmen skog AB</t>
        </is>
      </c>
      <c r="G896" t="n">
        <v>3.5</v>
      </c>
      <c r="H896" t="n">
        <v>0</v>
      </c>
      <c r="I896" t="n">
        <v>0</v>
      </c>
      <c r="J896" t="n">
        <v>0</v>
      </c>
      <c r="K896" t="n">
        <v>0</v>
      </c>
      <c r="L896" t="n">
        <v>0</v>
      </c>
      <c r="M896" t="n">
        <v>0</v>
      </c>
      <c r="N896" t="n">
        <v>0</v>
      </c>
      <c r="O896" t="n">
        <v>0</v>
      </c>
      <c r="P896" t="n">
        <v>0</v>
      </c>
      <c r="Q896" t="n">
        <v>0</v>
      </c>
      <c r="R896" s="2" t="inlineStr"/>
    </row>
    <row r="897" ht="15" customHeight="1">
      <c r="A897" t="inlineStr">
        <is>
          <t>A 61275-2022</t>
        </is>
      </c>
      <c r="B897" s="1" t="n">
        <v>44909</v>
      </c>
      <c r="C897" s="1" t="n">
        <v>45964</v>
      </c>
      <c r="D897" t="inlineStr">
        <is>
          <t>VÄSTERBOTTENS LÄN</t>
        </is>
      </c>
      <c r="E897" t="inlineStr">
        <is>
          <t>SKELLEFTEÅ</t>
        </is>
      </c>
      <c r="G897" t="n">
        <v>2.1</v>
      </c>
      <c r="H897" t="n">
        <v>0</v>
      </c>
      <c r="I897" t="n">
        <v>0</v>
      </c>
      <c r="J897" t="n">
        <v>0</v>
      </c>
      <c r="K897" t="n">
        <v>0</v>
      </c>
      <c r="L897" t="n">
        <v>0</v>
      </c>
      <c r="M897" t="n">
        <v>0</v>
      </c>
      <c r="N897" t="n">
        <v>0</v>
      </c>
      <c r="O897" t="n">
        <v>0</v>
      </c>
      <c r="P897" t="n">
        <v>0</v>
      </c>
      <c r="Q897" t="n">
        <v>0</v>
      </c>
      <c r="R897" s="2" t="inlineStr"/>
    </row>
    <row r="898" ht="15" customHeight="1">
      <c r="A898" t="inlineStr">
        <is>
          <t>A 21427-2025</t>
        </is>
      </c>
      <c r="B898" s="1" t="n">
        <v>45782.50858796296</v>
      </c>
      <c r="C898" s="1" t="n">
        <v>45964</v>
      </c>
      <c r="D898" t="inlineStr">
        <is>
          <t>VÄSTERBOTTENS LÄN</t>
        </is>
      </c>
      <c r="E898" t="inlineStr">
        <is>
          <t>SKELLEFTEÅ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21750-2025</t>
        </is>
      </c>
      <c r="B899" s="1" t="n">
        <v>45783.61346064815</v>
      </c>
      <c r="C899" s="1" t="n">
        <v>45964</v>
      </c>
      <c r="D899" t="inlineStr">
        <is>
          <t>VÄSTERBOTTENS LÄN</t>
        </is>
      </c>
      <c r="E899" t="inlineStr">
        <is>
          <t>SKELLEFTEÅ</t>
        </is>
      </c>
      <c r="F899" t="inlineStr">
        <is>
          <t>Kyrkan</t>
        </is>
      </c>
      <c r="G899" t="n">
        <v>0.9</v>
      </c>
      <c r="H899" t="n">
        <v>0</v>
      </c>
      <c r="I899" t="n">
        <v>0</v>
      </c>
      <c r="J899" t="n">
        <v>0</v>
      </c>
      <c r="K899" t="n">
        <v>0</v>
      </c>
      <c r="L899" t="n">
        <v>0</v>
      </c>
      <c r="M899" t="n">
        <v>0</v>
      </c>
      <c r="N899" t="n">
        <v>0</v>
      </c>
      <c r="O899" t="n">
        <v>0</v>
      </c>
      <c r="P899" t="n">
        <v>0</v>
      </c>
      <c r="Q899" t="n">
        <v>0</v>
      </c>
      <c r="R899" s="2" t="inlineStr"/>
    </row>
    <row r="900" ht="15" customHeight="1">
      <c r="A900" t="inlineStr">
        <is>
          <t>A 11973-2023</t>
        </is>
      </c>
      <c r="B900" s="1" t="n">
        <v>44994</v>
      </c>
      <c r="C900" s="1" t="n">
        <v>45964</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25009-2022</t>
        </is>
      </c>
      <c r="B901" s="1" t="n">
        <v>44728.92866898148</v>
      </c>
      <c r="C901" s="1" t="n">
        <v>45964</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21424-2025</t>
        </is>
      </c>
      <c r="B902" s="1" t="n">
        <v>45782.50584490741</v>
      </c>
      <c r="C902" s="1" t="n">
        <v>45964</v>
      </c>
      <c r="D902" t="inlineStr">
        <is>
          <t>VÄSTERBOTTENS LÄN</t>
        </is>
      </c>
      <c r="E902" t="inlineStr">
        <is>
          <t>SKELLEFTEÅ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41109-2023</t>
        </is>
      </c>
      <c r="B903" s="1" t="n">
        <v>45170</v>
      </c>
      <c r="C903" s="1" t="n">
        <v>45964</v>
      </c>
      <c r="D903" t="inlineStr">
        <is>
          <t>VÄSTERBOTTENS LÄN</t>
        </is>
      </c>
      <c r="E903" t="inlineStr">
        <is>
          <t>SKELLEFTEÅ</t>
        </is>
      </c>
      <c r="G903" t="n">
        <v>5.9</v>
      </c>
      <c r="H903" t="n">
        <v>0</v>
      </c>
      <c r="I903" t="n">
        <v>0</v>
      </c>
      <c r="J903" t="n">
        <v>0</v>
      </c>
      <c r="K903" t="n">
        <v>0</v>
      </c>
      <c r="L903" t="n">
        <v>0</v>
      </c>
      <c r="M903" t="n">
        <v>0</v>
      </c>
      <c r="N903" t="n">
        <v>0</v>
      </c>
      <c r="O903" t="n">
        <v>0</v>
      </c>
      <c r="P903" t="n">
        <v>0</v>
      </c>
      <c r="Q903" t="n">
        <v>0</v>
      </c>
      <c r="R903" s="2" t="inlineStr"/>
    </row>
    <row r="904" ht="15" customHeight="1">
      <c r="A904" t="inlineStr">
        <is>
          <t>A 21755-2025</t>
        </is>
      </c>
      <c r="B904" s="1" t="n">
        <v>45783.61917824074</v>
      </c>
      <c r="C904" s="1" t="n">
        <v>45964</v>
      </c>
      <c r="D904" t="inlineStr">
        <is>
          <t>VÄSTERBOTTENS LÄN</t>
        </is>
      </c>
      <c r="E904" t="inlineStr">
        <is>
          <t>SKELLEFTEÅ</t>
        </is>
      </c>
      <c r="G904" t="n">
        <v>13.6</v>
      </c>
      <c r="H904" t="n">
        <v>0</v>
      </c>
      <c r="I904" t="n">
        <v>0</v>
      </c>
      <c r="J904" t="n">
        <v>0</v>
      </c>
      <c r="K904" t="n">
        <v>0</v>
      </c>
      <c r="L904" t="n">
        <v>0</v>
      </c>
      <c r="M904" t="n">
        <v>0</v>
      </c>
      <c r="N904" t="n">
        <v>0</v>
      </c>
      <c r="O904" t="n">
        <v>0</v>
      </c>
      <c r="P904" t="n">
        <v>0</v>
      </c>
      <c r="Q904" t="n">
        <v>0</v>
      </c>
      <c r="R904" s="2" t="inlineStr"/>
    </row>
    <row r="905" ht="15" customHeight="1">
      <c r="A905" t="inlineStr">
        <is>
          <t>A 21757-2025</t>
        </is>
      </c>
      <c r="B905" s="1" t="n">
        <v>45783</v>
      </c>
      <c r="C905" s="1" t="n">
        <v>45964</v>
      </c>
      <c r="D905" t="inlineStr">
        <is>
          <t>VÄSTERBOTTENS LÄN</t>
        </is>
      </c>
      <c r="E905" t="inlineStr">
        <is>
          <t>SKELLEFTEÅ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70168-2021</t>
        </is>
      </c>
      <c r="B906" s="1" t="n">
        <v>44533.82237268519</v>
      </c>
      <c r="C906" s="1" t="n">
        <v>45964</v>
      </c>
      <c r="D906" t="inlineStr">
        <is>
          <t>VÄSTERBOTTENS LÄN</t>
        </is>
      </c>
      <c r="E906" t="inlineStr">
        <is>
          <t>SKELLEFTEÅ</t>
        </is>
      </c>
      <c r="F906" t="inlineStr">
        <is>
          <t>Sveaskog</t>
        </is>
      </c>
      <c r="G906" t="n">
        <v>3.4</v>
      </c>
      <c r="H906" t="n">
        <v>0</v>
      </c>
      <c r="I906" t="n">
        <v>0</v>
      </c>
      <c r="J906" t="n">
        <v>0</v>
      </c>
      <c r="K906" t="n">
        <v>0</v>
      </c>
      <c r="L906" t="n">
        <v>0</v>
      </c>
      <c r="M906" t="n">
        <v>0</v>
      </c>
      <c r="N906" t="n">
        <v>0</v>
      </c>
      <c r="O906" t="n">
        <v>0</v>
      </c>
      <c r="P906" t="n">
        <v>0</v>
      </c>
      <c r="Q906" t="n">
        <v>0</v>
      </c>
      <c r="R906" s="2" t="inlineStr"/>
    </row>
    <row r="907" ht="15" customHeight="1">
      <c r="A907" t="inlineStr">
        <is>
          <t>A 38935-2024</t>
        </is>
      </c>
      <c r="B907" s="1" t="n">
        <v>45548.3350462963</v>
      </c>
      <c r="C907" s="1" t="n">
        <v>45964</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33529-2022</t>
        </is>
      </c>
      <c r="B908" s="1" t="n">
        <v>44789.33445601852</v>
      </c>
      <c r="C908" s="1" t="n">
        <v>45964</v>
      </c>
      <c r="D908" t="inlineStr">
        <is>
          <t>VÄSTERBOTTENS LÄN</t>
        </is>
      </c>
      <c r="E908" t="inlineStr">
        <is>
          <t>SKELLEFTEÅ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50862-2024</t>
        </is>
      </c>
      <c r="B909" s="1" t="n">
        <v>45602.6346412037</v>
      </c>
      <c r="C909" s="1" t="n">
        <v>45964</v>
      </c>
      <c r="D909" t="inlineStr">
        <is>
          <t>VÄSTERBOTTENS LÄN</t>
        </is>
      </c>
      <c r="E909" t="inlineStr">
        <is>
          <t>SKELLEFTEÅ</t>
        </is>
      </c>
      <c r="F909" t="inlineStr">
        <is>
          <t>Holmen skog AB</t>
        </is>
      </c>
      <c r="G909" t="n">
        <v>3</v>
      </c>
      <c r="H909" t="n">
        <v>0</v>
      </c>
      <c r="I909" t="n">
        <v>0</v>
      </c>
      <c r="J909" t="n">
        <v>0</v>
      </c>
      <c r="K909" t="n">
        <v>0</v>
      </c>
      <c r="L909" t="n">
        <v>0</v>
      </c>
      <c r="M909" t="n">
        <v>0</v>
      </c>
      <c r="N909" t="n">
        <v>0</v>
      </c>
      <c r="O909" t="n">
        <v>0</v>
      </c>
      <c r="P909" t="n">
        <v>0</v>
      </c>
      <c r="Q909" t="n">
        <v>0</v>
      </c>
      <c r="R909" s="2" t="inlineStr"/>
    </row>
    <row r="910" ht="15" customHeight="1">
      <c r="A910" t="inlineStr">
        <is>
          <t>A 30485-2023</t>
        </is>
      </c>
      <c r="B910" s="1" t="n">
        <v>45111.60275462963</v>
      </c>
      <c r="C910" s="1" t="n">
        <v>45964</v>
      </c>
      <c r="D910" t="inlineStr">
        <is>
          <t>VÄSTERBOTTENS LÄN</t>
        </is>
      </c>
      <c r="E910" t="inlineStr">
        <is>
          <t>SKELLEFTEÅ</t>
        </is>
      </c>
      <c r="F910" t="inlineStr">
        <is>
          <t>Sveaskog</t>
        </is>
      </c>
      <c r="G910" t="n">
        <v>6.3</v>
      </c>
      <c r="H910" t="n">
        <v>0</v>
      </c>
      <c r="I910" t="n">
        <v>0</v>
      </c>
      <c r="J910" t="n">
        <v>0</v>
      </c>
      <c r="K910" t="n">
        <v>0</v>
      </c>
      <c r="L910" t="n">
        <v>0</v>
      </c>
      <c r="M910" t="n">
        <v>0</v>
      </c>
      <c r="N910" t="n">
        <v>0</v>
      </c>
      <c r="O910" t="n">
        <v>0</v>
      </c>
      <c r="P910" t="n">
        <v>0</v>
      </c>
      <c r="Q910" t="n">
        <v>0</v>
      </c>
      <c r="R910" s="2" t="inlineStr"/>
    </row>
    <row r="911" ht="15" customHeight="1">
      <c r="A911" t="inlineStr">
        <is>
          <t>A 21035-2022</t>
        </is>
      </c>
      <c r="B911" s="1" t="n">
        <v>44704</v>
      </c>
      <c r="C911" s="1" t="n">
        <v>45964</v>
      </c>
      <c r="D911" t="inlineStr">
        <is>
          <t>VÄSTERBOTTENS LÄN</t>
        </is>
      </c>
      <c r="E911" t="inlineStr">
        <is>
          <t>SKELLEFTEÅ</t>
        </is>
      </c>
      <c r="G911" t="n">
        <v>26.9</v>
      </c>
      <c r="H911" t="n">
        <v>0</v>
      </c>
      <c r="I911" t="n">
        <v>0</v>
      </c>
      <c r="J911" t="n">
        <v>0</v>
      </c>
      <c r="K911" t="n">
        <v>0</v>
      </c>
      <c r="L911" t="n">
        <v>0</v>
      </c>
      <c r="M911" t="n">
        <v>0</v>
      </c>
      <c r="N911" t="n">
        <v>0</v>
      </c>
      <c r="O911" t="n">
        <v>0</v>
      </c>
      <c r="P911" t="n">
        <v>0</v>
      </c>
      <c r="Q911" t="n">
        <v>0</v>
      </c>
      <c r="R911" s="2" t="inlineStr"/>
    </row>
    <row r="912" ht="15" customHeight="1">
      <c r="A912" t="inlineStr">
        <is>
          <t>A 10079-2025</t>
        </is>
      </c>
      <c r="B912" s="1" t="n">
        <v>45719</v>
      </c>
      <c r="C912" s="1" t="n">
        <v>45964</v>
      </c>
      <c r="D912" t="inlineStr">
        <is>
          <t>VÄSTERBOTTENS LÄN</t>
        </is>
      </c>
      <c r="E912" t="inlineStr">
        <is>
          <t>SKELLEFTEÅ</t>
        </is>
      </c>
      <c r="G912" t="n">
        <v>3.1</v>
      </c>
      <c r="H912" t="n">
        <v>0</v>
      </c>
      <c r="I912" t="n">
        <v>0</v>
      </c>
      <c r="J912" t="n">
        <v>0</v>
      </c>
      <c r="K912" t="n">
        <v>0</v>
      </c>
      <c r="L912" t="n">
        <v>0</v>
      </c>
      <c r="M912" t="n">
        <v>0</v>
      </c>
      <c r="N912" t="n">
        <v>0</v>
      </c>
      <c r="O912" t="n">
        <v>0</v>
      </c>
      <c r="P912" t="n">
        <v>0</v>
      </c>
      <c r="Q912" t="n">
        <v>0</v>
      </c>
      <c r="R912" s="2" t="inlineStr"/>
    </row>
    <row r="913" ht="15" customHeight="1">
      <c r="A913" t="inlineStr">
        <is>
          <t>A 57849-2022</t>
        </is>
      </c>
      <c r="B913" s="1" t="n">
        <v>44898.00163194445</v>
      </c>
      <c r="C913" s="1" t="n">
        <v>45964</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21587-2025</t>
        </is>
      </c>
      <c r="B914" s="1" t="n">
        <v>45783</v>
      </c>
      <c r="C914" s="1" t="n">
        <v>45964</v>
      </c>
      <c r="D914" t="inlineStr">
        <is>
          <t>VÄSTERBOTTENS LÄN</t>
        </is>
      </c>
      <c r="E914" t="inlineStr">
        <is>
          <t>SKELLEFTEÅ</t>
        </is>
      </c>
      <c r="G914" t="n">
        <v>0.4</v>
      </c>
      <c r="H914" t="n">
        <v>0</v>
      </c>
      <c r="I914" t="n">
        <v>0</v>
      </c>
      <c r="J914" t="n">
        <v>0</v>
      </c>
      <c r="K914" t="n">
        <v>0</v>
      </c>
      <c r="L914" t="n">
        <v>0</v>
      </c>
      <c r="M914" t="n">
        <v>0</v>
      </c>
      <c r="N914" t="n">
        <v>0</v>
      </c>
      <c r="O914" t="n">
        <v>0</v>
      </c>
      <c r="P914" t="n">
        <v>0</v>
      </c>
      <c r="Q914" t="n">
        <v>0</v>
      </c>
      <c r="R914" s="2" t="inlineStr"/>
    </row>
    <row r="915" ht="15" customHeight="1">
      <c r="A915" t="inlineStr">
        <is>
          <t>A 35119-2022</t>
        </is>
      </c>
      <c r="B915" s="1" t="n">
        <v>44797</v>
      </c>
      <c r="C915" s="1" t="n">
        <v>45964</v>
      </c>
      <c r="D915" t="inlineStr">
        <is>
          <t>VÄSTERBOTTENS LÄN</t>
        </is>
      </c>
      <c r="E915" t="inlineStr">
        <is>
          <t>SKELLEFTEÅ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8436-2022</t>
        </is>
      </c>
      <c r="B916" s="1" t="n">
        <v>44612.63918981481</v>
      </c>
      <c r="C916" s="1" t="n">
        <v>45964</v>
      </c>
      <c r="D916" t="inlineStr">
        <is>
          <t>VÄSTERBOTTENS LÄN</t>
        </is>
      </c>
      <c r="E916" t="inlineStr">
        <is>
          <t>SKELLEFTEÅ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48722-2022</t>
        </is>
      </c>
      <c r="B917" s="1" t="n">
        <v>44855</v>
      </c>
      <c r="C917" s="1" t="n">
        <v>45964</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53646-2022</t>
        </is>
      </c>
      <c r="B918" s="1" t="n">
        <v>44879</v>
      </c>
      <c r="C918" s="1" t="n">
        <v>45964</v>
      </c>
      <c r="D918" t="inlineStr">
        <is>
          <t>VÄSTERBOTTENS LÄN</t>
        </is>
      </c>
      <c r="E918" t="inlineStr">
        <is>
          <t>SKELLEFTEÅ</t>
        </is>
      </c>
      <c r="G918" t="n">
        <v>10.6</v>
      </c>
      <c r="H918" t="n">
        <v>0</v>
      </c>
      <c r="I918" t="n">
        <v>0</v>
      </c>
      <c r="J918" t="n">
        <v>0</v>
      </c>
      <c r="K918" t="n">
        <v>0</v>
      </c>
      <c r="L918" t="n">
        <v>0</v>
      </c>
      <c r="M918" t="n">
        <v>0</v>
      </c>
      <c r="N918" t="n">
        <v>0</v>
      </c>
      <c r="O918" t="n">
        <v>0</v>
      </c>
      <c r="P918" t="n">
        <v>0</v>
      </c>
      <c r="Q918" t="n">
        <v>0</v>
      </c>
      <c r="R918" s="2" t="inlineStr"/>
    </row>
    <row r="919" ht="15" customHeight="1">
      <c r="A919" t="inlineStr">
        <is>
          <t>A 44480-2024</t>
        </is>
      </c>
      <c r="B919" s="1" t="n">
        <v>45574</v>
      </c>
      <c r="C919" s="1" t="n">
        <v>45964</v>
      </c>
      <c r="D919" t="inlineStr">
        <is>
          <t>VÄSTERBOTTENS LÄN</t>
        </is>
      </c>
      <c r="E919" t="inlineStr">
        <is>
          <t>SKELLEFTEÅ</t>
        </is>
      </c>
      <c r="G919" t="n">
        <v>0.7</v>
      </c>
      <c r="H919" t="n">
        <v>0</v>
      </c>
      <c r="I919" t="n">
        <v>0</v>
      </c>
      <c r="J919" t="n">
        <v>0</v>
      </c>
      <c r="K919" t="n">
        <v>0</v>
      </c>
      <c r="L919" t="n">
        <v>0</v>
      </c>
      <c r="M919" t="n">
        <v>0</v>
      </c>
      <c r="N919" t="n">
        <v>0</v>
      </c>
      <c r="O919" t="n">
        <v>0</v>
      </c>
      <c r="P919" t="n">
        <v>0</v>
      </c>
      <c r="Q919" t="n">
        <v>0</v>
      </c>
      <c r="R919" s="2" t="inlineStr"/>
    </row>
    <row r="920" ht="15" customHeight="1">
      <c r="A920" t="inlineStr">
        <is>
          <t>A 4008-2024</t>
        </is>
      </c>
      <c r="B920" s="1" t="n">
        <v>45323</v>
      </c>
      <c r="C920" s="1" t="n">
        <v>45964</v>
      </c>
      <c r="D920" t="inlineStr">
        <is>
          <t>VÄSTERBOTTENS LÄN</t>
        </is>
      </c>
      <c r="E920" t="inlineStr">
        <is>
          <t>SKELLEFTEÅ</t>
        </is>
      </c>
      <c r="G920" t="n">
        <v>0.8</v>
      </c>
      <c r="H920" t="n">
        <v>0</v>
      </c>
      <c r="I920" t="n">
        <v>0</v>
      </c>
      <c r="J920" t="n">
        <v>0</v>
      </c>
      <c r="K920" t="n">
        <v>0</v>
      </c>
      <c r="L920" t="n">
        <v>0</v>
      </c>
      <c r="M920" t="n">
        <v>0</v>
      </c>
      <c r="N920" t="n">
        <v>0</v>
      </c>
      <c r="O920" t="n">
        <v>0</v>
      </c>
      <c r="P920" t="n">
        <v>0</v>
      </c>
      <c r="Q920" t="n">
        <v>0</v>
      </c>
      <c r="R920" s="2" t="inlineStr"/>
    </row>
    <row r="921" ht="15" customHeight="1">
      <c r="A921" t="inlineStr">
        <is>
          <t>A 69996-2021</t>
        </is>
      </c>
      <c r="B921" s="1" t="n">
        <v>44533</v>
      </c>
      <c r="C921" s="1" t="n">
        <v>45964</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60612-2023</t>
        </is>
      </c>
      <c r="B922" s="1" t="n">
        <v>45260</v>
      </c>
      <c r="C922" s="1" t="n">
        <v>45964</v>
      </c>
      <c r="D922" t="inlineStr">
        <is>
          <t>VÄSTERBOTTENS LÄN</t>
        </is>
      </c>
      <c r="E922" t="inlineStr">
        <is>
          <t>SKELLEFTEÅ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5972-2022</t>
        </is>
      </c>
      <c r="B923" s="1" t="n">
        <v>44599.3759375</v>
      </c>
      <c r="C923" s="1" t="n">
        <v>45964</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16461-2025</t>
        </is>
      </c>
      <c r="B924" s="1" t="n">
        <v>45750</v>
      </c>
      <c r="C924" s="1" t="n">
        <v>45964</v>
      </c>
      <c r="D924" t="inlineStr">
        <is>
          <t>VÄSTERBOTTENS LÄN</t>
        </is>
      </c>
      <c r="E924" t="inlineStr">
        <is>
          <t>SKELLEFTEÅ</t>
        </is>
      </c>
      <c r="G924" t="n">
        <v>7.3</v>
      </c>
      <c r="H924" t="n">
        <v>0</v>
      </c>
      <c r="I924" t="n">
        <v>0</v>
      </c>
      <c r="J924" t="n">
        <v>0</v>
      </c>
      <c r="K924" t="n">
        <v>0</v>
      </c>
      <c r="L924" t="n">
        <v>0</v>
      </c>
      <c r="M924" t="n">
        <v>0</v>
      </c>
      <c r="N924" t="n">
        <v>0</v>
      </c>
      <c r="O924" t="n">
        <v>0</v>
      </c>
      <c r="P924" t="n">
        <v>0</v>
      </c>
      <c r="Q924" t="n">
        <v>0</v>
      </c>
      <c r="R924" s="2" t="inlineStr"/>
    </row>
    <row r="925" ht="15" customHeight="1">
      <c r="A925" t="inlineStr">
        <is>
          <t>A 35558-2022</t>
        </is>
      </c>
      <c r="B925" s="1" t="n">
        <v>44799.38560185185</v>
      </c>
      <c r="C925" s="1" t="n">
        <v>45964</v>
      </c>
      <c r="D925" t="inlineStr">
        <is>
          <t>VÄSTERBOTTENS LÄN</t>
        </is>
      </c>
      <c r="E925" t="inlineStr">
        <is>
          <t>SKELLEFTEÅ</t>
        </is>
      </c>
      <c r="F925" t="inlineStr">
        <is>
          <t>Sveaskog</t>
        </is>
      </c>
      <c r="G925" t="n">
        <v>21.8</v>
      </c>
      <c r="H925" t="n">
        <v>0</v>
      </c>
      <c r="I925" t="n">
        <v>0</v>
      </c>
      <c r="J925" t="n">
        <v>0</v>
      </c>
      <c r="K925" t="n">
        <v>0</v>
      </c>
      <c r="L925" t="n">
        <v>0</v>
      </c>
      <c r="M925" t="n">
        <v>0</v>
      </c>
      <c r="N925" t="n">
        <v>0</v>
      </c>
      <c r="O925" t="n">
        <v>0</v>
      </c>
      <c r="P925" t="n">
        <v>0</v>
      </c>
      <c r="Q925" t="n">
        <v>0</v>
      </c>
      <c r="R925" s="2" t="inlineStr"/>
    </row>
    <row r="926" ht="15" customHeight="1">
      <c r="A926" t="inlineStr">
        <is>
          <t>A 41198-2024</t>
        </is>
      </c>
      <c r="B926" s="1" t="n">
        <v>45559.51533564815</v>
      </c>
      <c r="C926" s="1" t="n">
        <v>45964</v>
      </c>
      <c r="D926" t="inlineStr">
        <is>
          <t>VÄSTERBOTTENS LÄN</t>
        </is>
      </c>
      <c r="E926" t="inlineStr">
        <is>
          <t>SKELLEFTEÅ</t>
        </is>
      </c>
      <c r="F926" t="inlineStr">
        <is>
          <t>Holmen skog AB</t>
        </is>
      </c>
      <c r="G926" t="n">
        <v>1.4</v>
      </c>
      <c r="H926" t="n">
        <v>0</v>
      </c>
      <c r="I926" t="n">
        <v>0</v>
      </c>
      <c r="J926" t="n">
        <v>0</v>
      </c>
      <c r="K926" t="n">
        <v>0</v>
      </c>
      <c r="L926" t="n">
        <v>0</v>
      </c>
      <c r="M926" t="n">
        <v>0</v>
      </c>
      <c r="N926" t="n">
        <v>0</v>
      </c>
      <c r="O926" t="n">
        <v>0</v>
      </c>
      <c r="P926" t="n">
        <v>0</v>
      </c>
      <c r="Q926" t="n">
        <v>0</v>
      </c>
      <c r="R926" s="2" t="inlineStr"/>
    </row>
    <row r="927" ht="15" customHeight="1">
      <c r="A927" t="inlineStr">
        <is>
          <t>A 61378-2024</t>
        </is>
      </c>
      <c r="B927" s="1" t="n">
        <v>45645</v>
      </c>
      <c r="C927" s="1" t="n">
        <v>45964</v>
      </c>
      <c r="D927" t="inlineStr">
        <is>
          <t>VÄSTERBOTTENS LÄN</t>
        </is>
      </c>
      <c r="E927" t="inlineStr">
        <is>
          <t>SKELLEFTEÅ</t>
        </is>
      </c>
      <c r="G927" t="n">
        <v>2.3</v>
      </c>
      <c r="H927" t="n">
        <v>0</v>
      </c>
      <c r="I927" t="n">
        <v>0</v>
      </c>
      <c r="J927" t="n">
        <v>0</v>
      </c>
      <c r="K927" t="n">
        <v>0</v>
      </c>
      <c r="L927" t="n">
        <v>0</v>
      </c>
      <c r="M927" t="n">
        <v>0</v>
      </c>
      <c r="N927" t="n">
        <v>0</v>
      </c>
      <c r="O927" t="n">
        <v>0</v>
      </c>
      <c r="P927" t="n">
        <v>0</v>
      </c>
      <c r="Q927" t="n">
        <v>0</v>
      </c>
      <c r="R927" s="2" t="inlineStr"/>
    </row>
    <row r="928" ht="15" customHeight="1">
      <c r="A928" t="inlineStr">
        <is>
          <t>A 35491-2022</t>
        </is>
      </c>
      <c r="B928" s="1" t="n">
        <v>44798</v>
      </c>
      <c r="C928" s="1" t="n">
        <v>45964</v>
      </c>
      <c r="D928" t="inlineStr">
        <is>
          <t>VÄSTERBOTTENS LÄN</t>
        </is>
      </c>
      <c r="E928" t="inlineStr">
        <is>
          <t>SKELLEFTEÅ</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21910-2025</t>
        </is>
      </c>
      <c r="B929" s="1" t="n">
        <v>45784.47021990741</v>
      </c>
      <c r="C929" s="1" t="n">
        <v>45964</v>
      </c>
      <c r="D929" t="inlineStr">
        <is>
          <t>VÄSTERBOTTENS LÄN</t>
        </is>
      </c>
      <c r="E929" t="inlineStr">
        <is>
          <t>SKELLEFTEÅ</t>
        </is>
      </c>
      <c r="F929" t="inlineStr">
        <is>
          <t>Holmen skog AB</t>
        </is>
      </c>
      <c r="G929" t="n">
        <v>4.3</v>
      </c>
      <c r="H929" t="n">
        <v>0</v>
      </c>
      <c r="I929" t="n">
        <v>0</v>
      </c>
      <c r="J929" t="n">
        <v>0</v>
      </c>
      <c r="K929" t="n">
        <v>0</v>
      </c>
      <c r="L929" t="n">
        <v>0</v>
      </c>
      <c r="M929" t="n">
        <v>0</v>
      </c>
      <c r="N929" t="n">
        <v>0</v>
      </c>
      <c r="O929" t="n">
        <v>0</v>
      </c>
      <c r="P929" t="n">
        <v>0</v>
      </c>
      <c r="Q929" t="n">
        <v>0</v>
      </c>
      <c r="R929" s="2" t="inlineStr"/>
    </row>
    <row r="930" ht="15" customHeight="1">
      <c r="A930" t="inlineStr">
        <is>
          <t>A 33289-2023</t>
        </is>
      </c>
      <c r="B930" s="1" t="n">
        <v>45116</v>
      </c>
      <c r="C930" s="1" t="n">
        <v>45964</v>
      </c>
      <c r="D930" t="inlineStr">
        <is>
          <t>VÄSTERBOTTENS LÄN</t>
        </is>
      </c>
      <c r="E930" t="inlineStr">
        <is>
          <t>SKELLEFTEÅ</t>
        </is>
      </c>
      <c r="G930" t="n">
        <v>4.5</v>
      </c>
      <c r="H930" t="n">
        <v>0</v>
      </c>
      <c r="I930" t="n">
        <v>0</v>
      </c>
      <c r="J930" t="n">
        <v>0</v>
      </c>
      <c r="K930" t="n">
        <v>0</v>
      </c>
      <c r="L930" t="n">
        <v>0</v>
      </c>
      <c r="M930" t="n">
        <v>0</v>
      </c>
      <c r="N930" t="n">
        <v>0</v>
      </c>
      <c r="O930" t="n">
        <v>0</v>
      </c>
      <c r="P930" t="n">
        <v>0</v>
      </c>
      <c r="Q930" t="n">
        <v>0</v>
      </c>
      <c r="R930" s="2" t="inlineStr"/>
    </row>
    <row r="931" ht="15" customHeight="1">
      <c r="A931" t="inlineStr">
        <is>
          <t>A 38809-2023</t>
        </is>
      </c>
      <c r="B931" s="1" t="n">
        <v>45161</v>
      </c>
      <c r="C931" s="1" t="n">
        <v>45964</v>
      </c>
      <c r="D931" t="inlineStr">
        <is>
          <t>VÄSTERBOTTENS LÄN</t>
        </is>
      </c>
      <c r="E931" t="inlineStr">
        <is>
          <t>SKELLEFTEÅ</t>
        </is>
      </c>
      <c r="G931" t="n">
        <v>4</v>
      </c>
      <c r="H931" t="n">
        <v>0</v>
      </c>
      <c r="I931" t="n">
        <v>0</v>
      </c>
      <c r="J931" t="n">
        <v>0</v>
      </c>
      <c r="K931" t="n">
        <v>0</v>
      </c>
      <c r="L931" t="n">
        <v>0</v>
      </c>
      <c r="M931" t="n">
        <v>0</v>
      </c>
      <c r="N931" t="n">
        <v>0</v>
      </c>
      <c r="O931" t="n">
        <v>0</v>
      </c>
      <c r="P931" t="n">
        <v>0</v>
      </c>
      <c r="Q931" t="n">
        <v>0</v>
      </c>
      <c r="R931" s="2" t="inlineStr"/>
    </row>
    <row r="932" ht="15" customHeight="1">
      <c r="A932" t="inlineStr">
        <is>
          <t>A 1113-2025</t>
        </is>
      </c>
      <c r="B932" s="1" t="n">
        <v>45666</v>
      </c>
      <c r="C932" s="1" t="n">
        <v>45964</v>
      </c>
      <c r="D932" t="inlineStr">
        <is>
          <t>VÄSTERBOTTENS LÄN</t>
        </is>
      </c>
      <c r="E932" t="inlineStr">
        <is>
          <t>SKELLEFTEÅ</t>
        </is>
      </c>
      <c r="G932" t="n">
        <v>7.4</v>
      </c>
      <c r="H932" t="n">
        <v>0</v>
      </c>
      <c r="I932" t="n">
        <v>0</v>
      </c>
      <c r="J932" t="n">
        <v>0</v>
      </c>
      <c r="K932" t="n">
        <v>0</v>
      </c>
      <c r="L932" t="n">
        <v>0</v>
      </c>
      <c r="M932" t="n">
        <v>0</v>
      </c>
      <c r="N932" t="n">
        <v>0</v>
      </c>
      <c r="O932" t="n">
        <v>0</v>
      </c>
      <c r="P932" t="n">
        <v>0</v>
      </c>
      <c r="Q932" t="n">
        <v>0</v>
      </c>
      <c r="R932" s="2" t="inlineStr"/>
    </row>
    <row r="933" ht="15" customHeight="1">
      <c r="A933" t="inlineStr">
        <is>
          <t>A 4900-2024</t>
        </is>
      </c>
      <c r="B933" s="1" t="n">
        <v>45329</v>
      </c>
      <c r="C933" s="1" t="n">
        <v>45964</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26645-2023</t>
        </is>
      </c>
      <c r="B934" s="1" t="n">
        <v>45092.92415509259</v>
      </c>
      <c r="C934" s="1" t="n">
        <v>45964</v>
      </c>
      <c r="D934" t="inlineStr">
        <is>
          <t>VÄSTERBOTTENS LÄN</t>
        </is>
      </c>
      <c r="E934" t="inlineStr">
        <is>
          <t>SKELLEFTEÅ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12256-2025</t>
        </is>
      </c>
      <c r="B935" s="1" t="n">
        <v>45729.61527777778</v>
      </c>
      <c r="C935" s="1" t="n">
        <v>45964</v>
      </c>
      <c r="D935" t="inlineStr">
        <is>
          <t>VÄSTERBOTTENS LÄN</t>
        </is>
      </c>
      <c r="E935" t="inlineStr">
        <is>
          <t>SKELLEFTEÅ</t>
        </is>
      </c>
      <c r="G935" t="n">
        <v>3.5</v>
      </c>
      <c r="H935" t="n">
        <v>0</v>
      </c>
      <c r="I935" t="n">
        <v>0</v>
      </c>
      <c r="J935" t="n">
        <v>0</v>
      </c>
      <c r="K935" t="n">
        <v>0</v>
      </c>
      <c r="L935" t="n">
        <v>0</v>
      </c>
      <c r="M935" t="n">
        <v>0</v>
      </c>
      <c r="N935" t="n">
        <v>0</v>
      </c>
      <c r="O935" t="n">
        <v>0</v>
      </c>
      <c r="P935" t="n">
        <v>0</v>
      </c>
      <c r="Q935" t="n">
        <v>0</v>
      </c>
      <c r="R935" s="2" t="inlineStr"/>
    </row>
    <row r="936" ht="15" customHeight="1">
      <c r="A936" t="inlineStr">
        <is>
          <t>A 60237-2022</t>
        </is>
      </c>
      <c r="B936" s="1" t="n">
        <v>44903</v>
      </c>
      <c r="C936" s="1" t="n">
        <v>45964</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54316-2022</t>
        </is>
      </c>
      <c r="B937" s="1" t="n">
        <v>44879</v>
      </c>
      <c r="C937" s="1" t="n">
        <v>45964</v>
      </c>
      <c r="D937" t="inlineStr">
        <is>
          <t>VÄSTERBOTTENS LÄN</t>
        </is>
      </c>
      <c r="E937" t="inlineStr">
        <is>
          <t>SKELLEFTEÅ</t>
        </is>
      </c>
      <c r="G937" t="n">
        <v>5.8</v>
      </c>
      <c r="H937" t="n">
        <v>0</v>
      </c>
      <c r="I937" t="n">
        <v>0</v>
      </c>
      <c r="J937" t="n">
        <v>0</v>
      </c>
      <c r="K937" t="n">
        <v>0</v>
      </c>
      <c r="L937" t="n">
        <v>0</v>
      </c>
      <c r="M937" t="n">
        <v>0</v>
      </c>
      <c r="N937" t="n">
        <v>0</v>
      </c>
      <c r="O937" t="n">
        <v>0</v>
      </c>
      <c r="P937" t="n">
        <v>0</v>
      </c>
      <c r="Q937" t="n">
        <v>0</v>
      </c>
      <c r="R937" s="2" t="inlineStr"/>
    </row>
    <row r="938" ht="15" customHeight="1">
      <c r="A938" t="inlineStr">
        <is>
          <t>A 23445-2024</t>
        </is>
      </c>
      <c r="B938" s="1" t="n">
        <v>45453</v>
      </c>
      <c r="C938" s="1" t="n">
        <v>45964</v>
      </c>
      <c r="D938" t="inlineStr">
        <is>
          <t>VÄSTERBOTTENS LÄN</t>
        </is>
      </c>
      <c r="E938" t="inlineStr">
        <is>
          <t>SKELLEFTEÅ</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33530-2024</t>
        </is>
      </c>
      <c r="B939" s="1" t="n">
        <v>45519.67211805555</v>
      </c>
      <c r="C939" s="1" t="n">
        <v>45964</v>
      </c>
      <c r="D939" t="inlineStr">
        <is>
          <t>VÄSTERBOTTENS LÄN</t>
        </is>
      </c>
      <c r="E939" t="inlineStr">
        <is>
          <t>SKELLEFTEÅ</t>
        </is>
      </c>
      <c r="G939" t="n">
        <v>5</v>
      </c>
      <c r="H939" t="n">
        <v>0</v>
      </c>
      <c r="I939" t="n">
        <v>0</v>
      </c>
      <c r="J939" t="n">
        <v>0</v>
      </c>
      <c r="K939" t="n">
        <v>0</v>
      </c>
      <c r="L939" t="n">
        <v>0</v>
      </c>
      <c r="M939" t="n">
        <v>0</v>
      </c>
      <c r="N939" t="n">
        <v>0</v>
      </c>
      <c r="O939" t="n">
        <v>0</v>
      </c>
      <c r="P939" t="n">
        <v>0</v>
      </c>
      <c r="Q939" t="n">
        <v>0</v>
      </c>
      <c r="R939" s="2" t="inlineStr"/>
    </row>
    <row r="940" ht="15" customHeight="1">
      <c r="A940" t="inlineStr">
        <is>
          <t>A 27504-2023</t>
        </is>
      </c>
      <c r="B940" s="1" t="n">
        <v>45097</v>
      </c>
      <c r="C940" s="1" t="n">
        <v>45964</v>
      </c>
      <c r="D940" t="inlineStr">
        <is>
          <t>VÄSTERBOTTENS LÄN</t>
        </is>
      </c>
      <c r="E940" t="inlineStr">
        <is>
          <t>SKELLEFTEÅ</t>
        </is>
      </c>
      <c r="G940" t="n">
        <v>4.2</v>
      </c>
      <c r="H940" t="n">
        <v>0</v>
      </c>
      <c r="I940" t="n">
        <v>0</v>
      </c>
      <c r="J940" t="n">
        <v>0</v>
      </c>
      <c r="K940" t="n">
        <v>0</v>
      </c>
      <c r="L940" t="n">
        <v>0</v>
      </c>
      <c r="M940" t="n">
        <v>0</v>
      </c>
      <c r="N940" t="n">
        <v>0</v>
      </c>
      <c r="O940" t="n">
        <v>0</v>
      </c>
      <c r="P940" t="n">
        <v>0</v>
      </c>
      <c r="Q940" t="n">
        <v>0</v>
      </c>
      <c r="R940" s="2" t="inlineStr"/>
    </row>
    <row r="941" ht="15" customHeight="1">
      <c r="A941" t="inlineStr">
        <is>
          <t>A 38026-2021</t>
        </is>
      </c>
      <c r="B941" s="1" t="n">
        <v>44404</v>
      </c>
      <c r="C941" s="1" t="n">
        <v>45964</v>
      </c>
      <c r="D941" t="inlineStr">
        <is>
          <t>VÄSTERBOTTENS LÄN</t>
        </is>
      </c>
      <c r="E941" t="inlineStr">
        <is>
          <t>SKELLEFTEÅ</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21992-2025</t>
        </is>
      </c>
      <c r="B942" s="1" t="n">
        <v>45784.66221064814</v>
      </c>
      <c r="C942" s="1" t="n">
        <v>45964</v>
      </c>
      <c r="D942" t="inlineStr">
        <is>
          <t>VÄSTERBOTTENS LÄN</t>
        </is>
      </c>
      <c r="E942" t="inlineStr">
        <is>
          <t>SKELLEFTEÅ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18357-2023</t>
        </is>
      </c>
      <c r="B943" s="1" t="n">
        <v>45041</v>
      </c>
      <c r="C943" s="1" t="n">
        <v>45964</v>
      </c>
      <c r="D943" t="inlineStr">
        <is>
          <t>VÄSTERBOTTENS LÄN</t>
        </is>
      </c>
      <c r="E943" t="inlineStr">
        <is>
          <t>SKELLEFTEÅ</t>
        </is>
      </c>
      <c r="G943" t="n">
        <v>11.2</v>
      </c>
      <c r="H943" t="n">
        <v>0</v>
      </c>
      <c r="I943" t="n">
        <v>0</v>
      </c>
      <c r="J943" t="n">
        <v>0</v>
      </c>
      <c r="K943" t="n">
        <v>0</v>
      </c>
      <c r="L943" t="n">
        <v>0</v>
      </c>
      <c r="M943" t="n">
        <v>0</v>
      </c>
      <c r="N943" t="n">
        <v>0</v>
      </c>
      <c r="O943" t="n">
        <v>0</v>
      </c>
      <c r="P943" t="n">
        <v>0</v>
      </c>
      <c r="Q943" t="n">
        <v>0</v>
      </c>
      <c r="R943" s="2" t="inlineStr"/>
    </row>
    <row r="944" ht="15" customHeight="1">
      <c r="A944" t="inlineStr">
        <is>
          <t>A 38395-2023</t>
        </is>
      </c>
      <c r="B944" s="1" t="n">
        <v>45162.31554398148</v>
      </c>
      <c r="C944" s="1" t="n">
        <v>45964</v>
      </c>
      <c r="D944" t="inlineStr">
        <is>
          <t>VÄSTERBOTTENS LÄN</t>
        </is>
      </c>
      <c r="E944" t="inlineStr">
        <is>
          <t>SKELLEFTEÅ</t>
        </is>
      </c>
      <c r="F944" t="inlineStr">
        <is>
          <t>Sveaskog</t>
        </is>
      </c>
      <c r="G944" t="n">
        <v>18.9</v>
      </c>
      <c r="H944" t="n">
        <v>0</v>
      </c>
      <c r="I944" t="n">
        <v>0</v>
      </c>
      <c r="J944" t="n">
        <v>0</v>
      </c>
      <c r="K944" t="n">
        <v>0</v>
      </c>
      <c r="L944" t="n">
        <v>0</v>
      </c>
      <c r="M944" t="n">
        <v>0</v>
      </c>
      <c r="N944" t="n">
        <v>0</v>
      </c>
      <c r="O944" t="n">
        <v>0</v>
      </c>
      <c r="P944" t="n">
        <v>0</v>
      </c>
      <c r="Q944" t="n">
        <v>0</v>
      </c>
      <c r="R944" s="2" t="inlineStr"/>
    </row>
    <row r="945" ht="15" customHeight="1">
      <c r="A945" t="inlineStr">
        <is>
          <t>A 5986-2025</t>
        </is>
      </c>
      <c r="B945" s="1" t="n">
        <v>45695</v>
      </c>
      <c r="C945" s="1" t="n">
        <v>45964</v>
      </c>
      <c r="D945" t="inlineStr">
        <is>
          <t>VÄSTERBOTTENS LÄN</t>
        </is>
      </c>
      <c r="E945" t="inlineStr">
        <is>
          <t>SKELLEFTEÅ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38818-2023</t>
        </is>
      </c>
      <c r="B946" s="1" t="n">
        <v>45161</v>
      </c>
      <c r="C946" s="1" t="n">
        <v>45964</v>
      </c>
      <c r="D946" t="inlineStr">
        <is>
          <t>VÄSTERBOTTENS LÄN</t>
        </is>
      </c>
      <c r="E946" t="inlineStr">
        <is>
          <t>SKELLEFTEÅ</t>
        </is>
      </c>
      <c r="G946" t="n">
        <v>2.8</v>
      </c>
      <c r="H946" t="n">
        <v>0</v>
      </c>
      <c r="I946" t="n">
        <v>0</v>
      </c>
      <c r="J946" t="n">
        <v>0</v>
      </c>
      <c r="K946" t="n">
        <v>0</v>
      </c>
      <c r="L946" t="n">
        <v>0</v>
      </c>
      <c r="M946" t="n">
        <v>0</v>
      </c>
      <c r="N946" t="n">
        <v>0</v>
      </c>
      <c r="O946" t="n">
        <v>0</v>
      </c>
      <c r="P946" t="n">
        <v>0</v>
      </c>
      <c r="Q946" t="n">
        <v>0</v>
      </c>
      <c r="R946" s="2" t="inlineStr"/>
    </row>
    <row r="947" ht="15" customHeight="1">
      <c r="A947" t="inlineStr">
        <is>
          <t>A 31167-2024</t>
        </is>
      </c>
      <c r="B947" s="1" t="n">
        <v>45503.39758101852</v>
      </c>
      <c r="C947" s="1" t="n">
        <v>45964</v>
      </c>
      <c r="D947" t="inlineStr">
        <is>
          <t>VÄSTERBOTTENS LÄN</t>
        </is>
      </c>
      <c r="E947" t="inlineStr">
        <is>
          <t>SKELLEFTEÅ</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23823-2024</t>
        </is>
      </c>
      <c r="B948" s="1" t="n">
        <v>45455</v>
      </c>
      <c r="C948" s="1" t="n">
        <v>45964</v>
      </c>
      <c r="D948" t="inlineStr">
        <is>
          <t>VÄSTERBOTTENS LÄN</t>
        </is>
      </c>
      <c r="E948" t="inlineStr">
        <is>
          <t>SKELLEFTEÅ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54384-2021</t>
        </is>
      </c>
      <c r="B949" s="1" t="n">
        <v>44473</v>
      </c>
      <c r="C949" s="1" t="n">
        <v>45964</v>
      </c>
      <c r="D949" t="inlineStr">
        <is>
          <t>VÄSTERBOTTENS LÄN</t>
        </is>
      </c>
      <c r="E949" t="inlineStr">
        <is>
          <t>SKELLEFTEÅ</t>
        </is>
      </c>
      <c r="G949" t="n">
        <v>3.5</v>
      </c>
      <c r="H949" t="n">
        <v>0</v>
      </c>
      <c r="I949" t="n">
        <v>0</v>
      </c>
      <c r="J949" t="n">
        <v>0</v>
      </c>
      <c r="K949" t="n">
        <v>0</v>
      </c>
      <c r="L949" t="n">
        <v>0</v>
      </c>
      <c r="M949" t="n">
        <v>0</v>
      </c>
      <c r="N949" t="n">
        <v>0</v>
      </c>
      <c r="O949" t="n">
        <v>0</v>
      </c>
      <c r="P949" t="n">
        <v>0</v>
      </c>
      <c r="Q949" t="n">
        <v>0</v>
      </c>
      <c r="R949" s="2" t="inlineStr"/>
    </row>
    <row r="950" ht="15" customHeight="1">
      <c r="A950" t="inlineStr">
        <is>
          <t>A 22031-2025</t>
        </is>
      </c>
      <c r="B950" s="1" t="n">
        <v>45785.27292824074</v>
      </c>
      <c r="C950" s="1" t="n">
        <v>45964</v>
      </c>
      <c r="D950" t="inlineStr">
        <is>
          <t>VÄSTERBOTTENS LÄN</t>
        </is>
      </c>
      <c r="E950" t="inlineStr">
        <is>
          <t>SKELLEFTEÅ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10647-2023</t>
        </is>
      </c>
      <c r="B951" s="1" t="n">
        <v>44984</v>
      </c>
      <c r="C951" s="1" t="n">
        <v>45964</v>
      </c>
      <c r="D951" t="inlineStr">
        <is>
          <t>VÄSTERBOTTENS LÄN</t>
        </is>
      </c>
      <c r="E951" t="inlineStr">
        <is>
          <t>SKELLEFTEÅ</t>
        </is>
      </c>
      <c r="G951" t="n">
        <v>2.9</v>
      </c>
      <c r="H951" t="n">
        <v>0</v>
      </c>
      <c r="I951" t="n">
        <v>0</v>
      </c>
      <c r="J951" t="n">
        <v>0</v>
      </c>
      <c r="K951" t="n">
        <v>0</v>
      </c>
      <c r="L951" t="n">
        <v>0</v>
      </c>
      <c r="M951" t="n">
        <v>0</v>
      </c>
      <c r="N951" t="n">
        <v>0</v>
      </c>
      <c r="O951" t="n">
        <v>0</v>
      </c>
      <c r="P951" t="n">
        <v>0</v>
      </c>
      <c r="Q951" t="n">
        <v>0</v>
      </c>
      <c r="R951" s="2" t="inlineStr"/>
    </row>
    <row r="952" ht="15" customHeight="1">
      <c r="A952" t="inlineStr">
        <is>
          <t>A 48394-2023</t>
        </is>
      </c>
      <c r="B952" s="1" t="n">
        <v>45201</v>
      </c>
      <c r="C952" s="1" t="n">
        <v>45964</v>
      </c>
      <c r="D952" t="inlineStr">
        <is>
          <t>VÄSTERBOTTENS LÄN</t>
        </is>
      </c>
      <c r="E952" t="inlineStr">
        <is>
          <t>SKELLEFTEÅ</t>
        </is>
      </c>
      <c r="G952" t="n">
        <v>2.8</v>
      </c>
      <c r="H952" t="n">
        <v>0</v>
      </c>
      <c r="I952" t="n">
        <v>0</v>
      </c>
      <c r="J952" t="n">
        <v>0</v>
      </c>
      <c r="K952" t="n">
        <v>0</v>
      </c>
      <c r="L952" t="n">
        <v>0</v>
      </c>
      <c r="M952" t="n">
        <v>0</v>
      </c>
      <c r="N952" t="n">
        <v>0</v>
      </c>
      <c r="O952" t="n">
        <v>0</v>
      </c>
      <c r="P952" t="n">
        <v>0</v>
      </c>
      <c r="Q952" t="n">
        <v>0</v>
      </c>
      <c r="R952" s="2" t="inlineStr"/>
    </row>
    <row r="953" ht="15" customHeight="1">
      <c r="A953" t="inlineStr">
        <is>
          <t>A 52141-2022</t>
        </is>
      </c>
      <c r="B953" s="1" t="n">
        <v>44868</v>
      </c>
      <c r="C953" s="1" t="n">
        <v>45964</v>
      </c>
      <c r="D953" t="inlineStr">
        <is>
          <t>VÄSTERBOTTENS LÄN</t>
        </is>
      </c>
      <c r="E953" t="inlineStr">
        <is>
          <t>SKELLEFTEÅ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29115-2021</t>
        </is>
      </c>
      <c r="B954" s="1" t="n">
        <v>44358</v>
      </c>
      <c r="C954" s="1" t="n">
        <v>45964</v>
      </c>
      <c r="D954" t="inlineStr">
        <is>
          <t>VÄSTERBOTTENS LÄN</t>
        </is>
      </c>
      <c r="E954" t="inlineStr">
        <is>
          <t>SKELLEFTEÅ</t>
        </is>
      </c>
      <c r="G954" t="n">
        <v>4.4</v>
      </c>
      <c r="H954" t="n">
        <v>0</v>
      </c>
      <c r="I954" t="n">
        <v>0</v>
      </c>
      <c r="J954" t="n">
        <v>0</v>
      </c>
      <c r="K954" t="n">
        <v>0</v>
      </c>
      <c r="L954" t="n">
        <v>0</v>
      </c>
      <c r="M954" t="n">
        <v>0</v>
      </c>
      <c r="N954" t="n">
        <v>0</v>
      </c>
      <c r="O954" t="n">
        <v>0</v>
      </c>
      <c r="P954" t="n">
        <v>0</v>
      </c>
      <c r="Q954" t="n">
        <v>0</v>
      </c>
      <c r="R954" s="2" t="inlineStr"/>
    </row>
    <row r="955" ht="15" customHeight="1">
      <c r="A955" t="inlineStr">
        <is>
          <t>A 55907-2024</t>
        </is>
      </c>
      <c r="B955" s="1" t="n">
        <v>45623.58414351852</v>
      </c>
      <c r="C955" s="1" t="n">
        <v>45964</v>
      </c>
      <c r="D955" t="inlineStr">
        <is>
          <t>VÄSTERBOTTENS LÄN</t>
        </is>
      </c>
      <c r="E955" t="inlineStr">
        <is>
          <t>SKELLEFTEÅ</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34332-2024</t>
        </is>
      </c>
      <c r="B956" s="1" t="n">
        <v>45524.89719907408</v>
      </c>
      <c r="C956" s="1" t="n">
        <v>45964</v>
      </c>
      <c r="D956" t="inlineStr">
        <is>
          <t>VÄSTERBOTTENS LÄN</t>
        </is>
      </c>
      <c r="E956" t="inlineStr">
        <is>
          <t>SKELLEFTEÅ</t>
        </is>
      </c>
      <c r="F956" t="inlineStr">
        <is>
          <t>Sveaskog</t>
        </is>
      </c>
      <c r="G956" t="n">
        <v>9.5</v>
      </c>
      <c r="H956" t="n">
        <v>0</v>
      </c>
      <c r="I956" t="n">
        <v>0</v>
      </c>
      <c r="J956" t="n">
        <v>0</v>
      </c>
      <c r="K956" t="n">
        <v>0</v>
      </c>
      <c r="L956" t="n">
        <v>0</v>
      </c>
      <c r="M956" t="n">
        <v>0</v>
      </c>
      <c r="N956" t="n">
        <v>0</v>
      </c>
      <c r="O956" t="n">
        <v>0</v>
      </c>
      <c r="P956" t="n">
        <v>0</v>
      </c>
      <c r="Q956" t="n">
        <v>0</v>
      </c>
      <c r="R956" s="2" t="inlineStr"/>
    </row>
    <row r="957" ht="15" customHeight="1">
      <c r="A957" t="inlineStr">
        <is>
          <t>A 61730-2023</t>
        </is>
      </c>
      <c r="B957" s="1" t="n">
        <v>45264</v>
      </c>
      <c r="C957" s="1" t="n">
        <v>45964</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35035-2024</t>
        </is>
      </c>
      <c r="B958" s="1" t="n">
        <v>45527.61482638889</v>
      </c>
      <c r="C958" s="1" t="n">
        <v>45964</v>
      </c>
      <c r="D958" t="inlineStr">
        <is>
          <t>VÄSTERBOTTENS LÄN</t>
        </is>
      </c>
      <c r="E958" t="inlineStr">
        <is>
          <t>SKELLEFTEÅ</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55940-2024</t>
        </is>
      </c>
      <c r="B959" s="1" t="n">
        <v>45623.61108796296</v>
      </c>
      <c r="C959" s="1" t="n">
        <v>45964</v>
      </c>
      <c r="D959" t="inlineStr">
        <is>
          <t>VÄSTERBOTTENS LÄN</t>
        </is>
      </c>
      <c r="E959" t="inlineStr">
        <is>
          <t>SKELLEFTEÅ</t>
        </is>
      </c>
      <c r="F959" t="inlineStr">
        <is>
          <t>Holmen skog AB</t>
        </is>
      </c>
      <c r="G959" t="n">
        <v>3.9</v>
      </c>
      <c r="H959" t="n">
        <v>0</v>
      </c>
      <c r="I959" t="n">
        <v>0</v>
      </c>
      <c r="J959" t="n">
        <v>0</v>
      </c>
      <c r="K959" t="n">
        <v>0</v>
      </c>
      <c r="L959" t="n">
        <v>0</v>
      </c>
      <c r="M959" t="n">
        <v>0</v>
      </c>
      <c r="N959" t="n">
        <v>0</v>
      </c>
      <c r="O959" t="n">
        <v>0</v>
      </c>
      <c r="P959" t="n">
        <v>0</v>
      </c>
      <c r="Q959" t="n">
        <v>0</v>
      </c>
      <c r="R959" s="2" t="inlineStr"/>
    </row>
    <row r="960" ht="15" customHeight="1">
      <c r="A960" t="inlineStr">
        <is>
          <t>A 35114-2024</t>
        </is>
      </c>
      <c r="B960" s="1" t="n">
        <v>45529.92038194444</v>
      </c>
      <c r="C960" s="1" t="n">
        <v>45964</v>
      </c>
      <c r="D960" t="inlineStr">
        <is>
          <t>VÄSTERBOTTENS LÄN</t>
        </is>
      </c>
      <c r="E960" t="inlineStr">
        <is>
          <t>SKELLEFTEÅ</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68334-2021</t>
        </is>
      </c>
      <c r="B961" s="1" t="n">
        <v>44527</v>
      </c>
      <c r="C961" s="1" t="n">
        <v>45964</v>
      </c>
      <c r="D961" t="inlineStr">
        <is>
          <t>VÄSTERBOTTENS LÄN</t>
        </is>
      </c>
      <c r="E961" t="inlineStr">
        <is>
          <t>SKELLEFTEÅ</t>
        </is>
      </c>
      <c r="G961" t="n">
        <v>1.4</v>
      </c>
      <c r="H961" t="n">
        <v>0</v>
      </c>
      <c r="I961" t="n">
        <v>0</v>
      </c>
      <c r="J961" t="n">
        <v>0</v>
      </c>
      <c r="K961" t="n">
        <v>0</v>
      </c>
      <c r="L961" t="n">
        <v>0</v>
      </c>
      <c r="M961" t="n">
        <v>0</v>
      </c>
      <c r="N961" t="n">
        <v>0</v>
      </c>
      <c r="O961" t="n">
        <v>0</v>
      </c>
      <c r="P961" t="n">
        <v>0</v>
      </c>
      <c r="Q961" t="n">
        <v>0</v>
      </c>
      <c r="R961" s="2" t="inlineStr"/>
    </row>
    <row r="962" ht="15" customHeight="1">
      <c r="A962" t="inlineStr">
        <is>
          <t>A 24238-2021</t>
        </is>
      </c>
      <c r="B962" s="1" t="n">
        <v>44336.9187962963</v>
      </c>
      <c r="C962" s="1" t="n">
        <v>45964</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18478-2023</t>
        </is>
      </c>
      <c r="B963" s="1" t="n">
        <v>45042.58392361111</v>
      </c>
      <c r="C963" s="1" t="n">
        <v>45964</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22530-2025</t>
        </is>
      </c>
      <c r="B964" s="1" t="n">
        <v>45786</v>
      </c>
      <c r="C964" s="1" t="n">
        <v>45964</v>
      </c>
      <c r="D964" t="inlineStr">
        <is>
          <t>VÄSTERBOTTENS LÄN</t>
        </is>
      </c>
      <c r="E964" t="inlineStr">
        <is>
          <t>SKELLEFTEÅ</t>
        </is>
      </c>
      <c r="G964" t="n">
        <v>2.2</v>
      </c>
      <c r="H964" t="n">
        <v>0</v>
      </c>
      <c r="I964" t="n">
        <v>0</v>
      </c>
      <c r="J964" t="n">
        <v>0</v>
      </c>
      <c r="K964" t="n">
        <v>0</v>
      </c>
      <c r="L964" t="n">
        <v>0</v>
      </c>
      <c r="M964" t="n">
        <v>0</v>
      </c>
      <c r="N964" t="n">
        <v>0</v>
      </c>
      <c r="O964" t="n">
        <v>0</v>
      </c>
      <c r="P964" t="n">
        <v>0</v>
      </c>
      <c r="Q964" t="n">
        <v>0</v>
      </c>
      <c r="R964" s="2" t="inlineStr"/>
    </row>
    <row r="965" ht="15" customHeight="1">
      <c r="A965" t="inlineStr">
        <is>
          <t>A 22311-2025</t>
        </is>
      </c>
      <c r="B965" s="1" t="n">
        <v>45786</v>
      </c>
      <c r="C965" s="1" t="n">
        <v>45964</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37792-2021</t>
        </is>
      </c>
      <c r="B966" s="1" t="n">
        <v>44401</v>
      </c>
      <c r="C966" s="1" t="n">
        <v>45964</v>
      </c>
      <c r="D966" t="inlineStr">
        <is>
          <t>VÄSTERBOTTENS LÄN</t>
        </is>
      </c>
      <c r="E966" t="inlineStr">
        <is>
          <t>SKELLEFTEÅ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22735-2023</t>
        </is>
      </c>
      <c r="B967" s="1" t="n">
        <v>45071</v>
      </c>
      <c r="C967" s="1" t="n">
        <v>45964</v>
      </c>
      <c r="D967" t="inlineStr">
        <is>
          <t>VÄSTERBOTTENS LÄN</t>
        </is>
      </c>
      <c r="E967" t="inlineStr">
        <is>
          <t>SKELLEFTEÅ</t>
        </is>
      </c>
      <c r="G967" t="n">
        <v>3.9</v>
      </c>
      <c r="H967" t="n">
        <v>0</v>
      </c>
      <c r="I967" t="n">
        <v>0</v>
      </c>
      <c r="J967" t="n">
        <v>0</v>
      </c>
      <c r="K967" t="n">
        <v>0</v>
      </c>
      <c r="L967" t="n">
        <v>0</v>
      </c>
      <c r="M967" t="n">
        <v>0</v>
      </c>
      <c r="N967" t="n">
        <v>0</v>
      </c>
      <c r="O967" t="n">
        <v>0</v>
      </c>
      <c r="P967" t="n">
        <v>0</v>
      </c>
      <c r="Q967" t="n">
        <v>0</v>
      </c>
      <c r="R967" s="2" t="inlineStr"/>
    </row>
    <row r="968" ht="15" customHeight="1">
      <c r="A968" t="inlineStr">
        <is>
          <t>A 30901-2024</t>
        </is>
      </c>
      <c r="B968" s="1" t="n">
        <v>45498</v>
      </c>
      <c r="C968" s="1" t="n">
        <v>45964</v>
      </c>
      <c r="D968" t="inlineStr">
        <is>
          <t>VÄSTERBOTTENS LÄN</t>
        </is>
      </c>
      <c r="E968" t="inlineStr">
        <is>
          <t>SKELLEFTEÅ</t>
        </is>
      </c>
      <c r="G968" t="n">
        <v>4</v>
      </c>
      <c r="H968" t="n">
        <v>0</v>
      </c>
      <c r="I968" t="n">
        <v>0</v>
      </c>
      <c r="J968" t="n">
        <v>0</v>
      </c>
      <c r="K968" t="n">
        <v>0</v>
      </c>
      <c r="L968" t="n">
        <v>0</v>
      </c>
      <c r="M968" t="n">
        <v>0</v>
      </c>
      <c r="N968" t="n">
        <v>0</v>
      </c>
      <c r="O968" t="n">
        <v>0</v>
      </c>
      <c r="P968" t="n">
        <v>0</v>
      </c>
      <c r="Q968" t="n">
        <v>0</v>
      </c>
      <c r="R968" s="2" t="inlineStr"/>
    </row>
    <row r="969" ht="15" customHeight="1">
      <c r="A969" t="inlineStr">
        <is>
          <t>A 44240-2024</t>
        </is>
      </c>
      <c r="B969" s="1" t="n">
        <v>45573.42513888889</v>
      </c>
      <c r="C969" s="1" t="n">
        <v>45964</v>
      </c>
      <c r="D969" t="inlineStr">
        <is>
          <t>VÄSTERBOTTENS LÄN</t>
        </is>
      </c>
      <c r="E969" t="inlineStr">
        <is>
          <t>SKELLEFTEÅ</t>
        </is>
      </c>
      <c r="G969" t="n">
        <v>0.5</v>
      </c>
      <c r="H969" t="n">
        <v>0</v>
      </c>
      <c r="I969" t="n">
        <v>0</v>
      </c>
      <c r="J969" t="n">
        <v>0</v>
      </c>
      <c r="K969" t="n">
        <v>0</v>
      </c>
      <c r="L969" t="n">
        <v>0</v>
      </c>
      <c r="M969" t="n">
        <v>0</v>
      </c>
      <c r="N969" t="n">
        <v>0</v>
      </c>
      <c r="O969" t="n">
        <v>0</v>
      </c>
      <c r="P969" t="n">
        <v>0</v>
      </c>
      <c r="Q969" t="n">
        <v>0</v>
      </c>
      <c r="R969" s="2" t="inlineStr"/>
    </row>
    <row r="970" ht="15" customHeight="1">
      <c r="A970" t="inlineStr">
        <is>
          <t>A 3465-2024</t>
        </is>
      </c>
      <c r="B970" s="1" t="n">
        <v>45320.40229166667</v>
      </c>
      <c r="C970" s="1" t="n">
        <v>45964</v>
      </c>
      <c r="D970" t="inlineStr">
        <is>
          <t>VÄSTERBOTTENS LÄN</t>
        </is>
      </c>
      <c r="E970" t="inlineStr">
        <is>
          <t>SKELLEFTEÅ</t>
        </is>
      </c>
      <c r="G970" t="n">
        <v>17.4</v>
      </c>
      <c r="H970" t="n">
        <v>0</v>
      </c>
      <c r="I970" t="n">
        <v>0</v>
      </c>
      <c r="J970" t="n">
        <v>0</v>
      </c>
      <c r="K970" t="n">
        <v>0</v>
      </c>
      <c r="L970" t="n">
        <v>0</v>
      </c>
      <c r="M970" t="n">
        <v>0</v>
      </c>
      <c r="N970" t="n">
        <v>0</v>
      </c>
      <c r="O970" t="n">
        <v>0</v>
      </c>
      <c r="P970" t="n">
        <v>0</v>
      </c>
      <c r="Q970" t="n">
        <v>0</v>
      </c>
      <c r="R970" s="2" t="inlineStr"/>
    </row>
    <row r="971" ht="15" customHeight="1">
      <c r="A971" t="inlineStr">
        <is>
          <t>A 50549-2023</t>
        </is>
      </c>
      <c r="B971" s="1" t="n">
        <v>45217.36358796297</v>
      </c>
      <c r="C971" s="1" t="n">
        <v>45964</v>
      </c>
      <c r="D971" t="inlineStr">
        <is>
          <t>VÄSTERBOTTENS LÄN</t>
        </is>
      </c>
      <c r="E971" t="inlineStr">
        <is>
          <t>SKELLEFTEÅ</t>
        </is>
      </c>
      <c r="F971" t="inlineStr">
        <is>
          <t>Holmen skog AB</t>
        </is>
      </c>
      <c r="G971" t="n">
        <v>28.5</v>
      </c>
      <c r="H971" t="n">
        <v>0</v>
      </c>
      <c r="I971" t="n">
        <v>0</v>
      </c>
      <c r="J971" t="n">
        <v>0</v>
      </c>
      <c r="K971" t="n">
        <v>0</v>
      </c>
      <c r="L971" t="n">
        <v>0</v>
      </c>
      <c r="M971" t="n">
        <v>0</v>
      </c>
      <c r="N971" t="n">
        <v>0</v>
      </c>
      <c r="O971" t="n">
        <v>0</v>
      </c>
      <c r="P971" t="n">
        <v>0</v>
      </c>
      <c r="Q971" t="n">
        <v>0</v>
      </c>
      <c r="R971" s="2" t="inlineStr"/>
    </row>
    <row r="972" ht="15" customHeight="1">
      <c r="A972" t="inlineStr">
        <is>
          <t>A 54251-2024</t>
        </is>
      </c>
      <c r="B972" s="1" t="n">
        <v>45616.69726851852</v>
      </c>
      <c r="C972" s="1" t="n">
        <v>45964</v>
      </c>
      <c r="D972" t="inlineStr">
        <is>
          <t>VÄSTERBOTTENS LÄN</t>
        </is>
      </c>
      <c r="E972" t="inlineStr">
        <is>
          <t>SKELLEFTEÅ</t>
        </is>
      </c>
      <c r="G972" t="n">
        <v>0.6</v>
      </c>
      <c r="H972" t="n">
        <v>0</v>
      </c>
      <c r="I972" t="n">
        <v>0</v>
      </c>
      <c r="J972" t="n">
        <v>0</v>
      </c>
      <c r="K972" t="n">
        <v>0</v>
      </c>
      <c r="L972" t="n">
        <v>0</v>
      </c>
      <c r="M972" t="n">
        <v>0</v>
      </c>
      <c r="N972" t="n">
        <v>0</v>
      </c>
      <c r="O972" t="n">
        <v>0</v>
      </c>
      <c r="P972" t="n">
        <v>0</v>
      </c>
      <c r="Q972" t="n">
        <v>0</v>
      </c>
      <c r="R972" s="2" t="inlineStr"/>
    </row>
    <row r="973" ht="15" customHeight="1">
      <c r="A973" t="inlineStr">
        <is>
          <t>A 60785-2022</t>
        </is>
      </c>
      <c r="B973" s="1" t="n">
        <v>44907</v>
      </c>
      <c r="C973" s="1" t="n">
        <v>45964</v>
      </c>
      <c r="D973" t="inlineStr">
        <is>
          <t>VÄSTERBOTTENS LÄN</t>
        </is>
      </c>
      <c r="E973" t="inlineStr">
        <is>
          <t>SKELLEFTEÅ</t>
        </is>
      </c>
      <c r="G973" t="n">
        <v>4.9</v>
      </c>
      <c r="H973" t="n">
        <v>0</v>
      </c>
      <c r="I973" t="n">
        <v>0</v>
      </c>
      <c r="J973" t="n">
        <v>0</v>
      </c>
      <c r="K973" t="n">
        <v>0</v>
      </c>
      <c r="L973" t="n">
        <v>0</v>
      </c>
      <c r="M973" t="n">
        <v>0</v>
      </c>
      <c r="N973" t="n">
        <v>0</v>
      </c>
      <c r="O973" t="n">
        <v>0</v>
      </c>
      <c r="P973" t="n">
        <v>0</v>
      </c>
      <c r="Q973" t="n">
        <v>0</v>
      </c>
      <c r="R973" s="2" t="inlineStr"/>
    </row>
    <row r="974" ht="15" customHeight="1">
      <c r="A974" t="inlineStr">
        <is>
          <t>A 48501-2023</t>
        </is>
      </c>
      <c r="B974" s="1" t="n">
        <v>45207.82268518519</v>
      </c>
      <c r="C974" s="1" t="n">
        <v>45964</v>
      </c>
      <c r="D974" t="inlineStr">
        <is>
          <t>VÄSTERBOTTENS LÄN</t>
        </is>
      </c>
      <c r="E974" t="inlineStr">
        <is>
          <t>SKELLEFTEÅ</t>
        </is>
      </c>
      <c r="G974" t="n">
        <v>0.2</v>
      </c>
      <c r="H974" t="n">
        <v>0</v>
      </c>
      <c r="I974" t="n">
        <v>0</v>
      </c>
      <c r="J974" t="n">
        <v>0</v>
      </c>
      <c r="K974" t="n">
        <v>0</v>
      </c>
      <c r="L974" t="n">
        <v>0</v>
      </c>
      <c r="M974" t="n">
        <v>0</v>
      </c>
      <c r="N974" t="n">
        <v>0</v>
      </c>
      <c r="O974" t="n">
        <v>0</v>
      </c>
      <c r="P974" t="n">
        <v>0</v>
      </c>
      <c r="Q974" t="n">
        <v>0</v>
      </c>
      <c r="R974" s="2" t="inlineStr"/>
    </row>
    <row r="975" ht="15" customHeight="1">
      <c r="A975" t="inlineStr">
        <is>
          <t>A 48516-2023</t>
        </is>
      </c>
      <c r="B975" s="1" t="n">
        <v>45208.32671296296</v>
      </c>
      <c r="C975" s="1" t="n">
        <v>45964</v>
      </c>
      <c r="D975" t="inlineStr">
        <is>
          <t>VÄSTERBOTTENS LÄN</t>
        </is>
      </c>
      <c r="E975" t="inlineStr">
        <is>
          <t>SKELLEFTEÅ</t>
        </is>
      </c>
      <c r="G975" t="n">
        <v>4.8</v>
      </c>
      <c r="H975" t="n">
        <v>0</v>
      </c>
      <c r="I975" t="n">
        <v>0</v>
      </c>
      <c r="J975" t="n">
        <v>0</v>
      </c>
      <c r="K975" t="n">
        <v>0</v>
      </c>
      <c r="L975" t="n">
        <v>0</v>
      </c>
      <c r="M975" t="n">
        <v>0</v>
      </c>
      <c r="N975" t="n">
        <v>0</v>
      </c>
      <c r="O975" t="n">
        <v>0</v>
      </c>
      <c r="P975" t="n">
        <v>0</v>
      </c>
      <c r="Q975" t="n">
        <v>0</v>
      </c>
      <c r="R975" s="2" t="inlineStr"/>
    </row>
    <row r="976" ht="15" customHeight="1">
      <c r="A976" t="inlineStr">
        <is>
          <t>A 22284-2025</t>
        </is>
      </c>
      <c r="B976" s="1" t="n">
        <v>45786.34259259259</v>
      </c>
      <c r="C976" s="1" t="n">
        <v>45964</v>
      </c>
      <c r="D976" t="inlineStr">
        <is>
          <t>VÄSTERBOTTENS LÄN</t>
        </is>
      </c>
      <c r="E976" t="inlineStr">
        <is>
          <t>SKELLEFTEÅ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38558-2024</t>
        </is>
      </c>
      <c r="B977" s="1" t="n">
        <v>45546.62606481482</v>
      </c>
      <c r="C977" s="1" t="n">
        <v>45964</v>
      </c>
      <c r="D977" t="inlineStr">
        <is>
          <t>VÄSTERBOTTENS LÄN</t>
        </is>
      </c>
      <c r="E977" t="inlineStr">
        <is>
          <t>SKELLEFTEÅ</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38568-2024</t>
        </is>
      </c>
      <c r="B978" s="1" t="n">
        <v>45546.63684027778</v>
      </c>
      <c r="C978" s="1" t="n">
        <v>45964</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62249-2022</t>
        </is>
      </c>
      <c r="B979" s="1" t="n">
        <v>44922.92351851852</v>
      </c>
      <c r="C979" s="1" t="n">
        <v>45964</v>
      </c>
      <c r="D979" t="inlineStr">
        <is>
          <t>VÄSTERBOTTENS LÄN</t>
        </is>
      </c>
      <c r="E979" t="inlineStr">
        <is>
          <t>SKELLEFTEÅ</t>
        </is>
      </c>
      <c r="G979" t="n">
        <v>18.2</v>
      </c>
      <c r="H979" t="n">
        <v>0</v>
      </c>
      <c r="I979" t="n">
        <v>0</v>
      </c>
      <c r="J979" t="n">
        <v>0</v>
      </c>
      <c r="K979" t="n">
        <v>0</v>
      </c>
      <c r="L979" t="n">
        <v>0</v>
      </c>
      <c r="M979" t="n">
        <v>0</v>
      </c>
      <c r="N979" t="n">
        <v>0</v>
      </c>
      <c r="O979" t="n">
        <v>0</v>
      </c>
      <c r="P979" t="n">
        <v>0</v>
      </c>
      <c r="Q979" t="n">
        <v>0</v>
      </c>
      <c r="R979" s="2" t="inlineStr"/>
    </row>
    <row r="980" ht="15" customHeight="1">
      <c r="A980" t="inlineStr">
        <is>
          <t>A 56154-2024</t>
        </is>
      </c>
      <c r="B980" s="1" t="n">
        <v>45623</v>
      </c>
      <c r="C980" s="1" t="n">
        <v>45964</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21763-2025</t>
        </is>
      </c>
      <c r="B981" s="1" t="n">
        <v>45783</v>
      </c>
      <c r="C981" s="1" t="n">
        <v>45964</v>
      </c>
      <c r="D981" t="inlineStr">
        <is>
          <t>VÄSTERBOTTENS LÄN</t>
        </is>
      </c>
      <c r="E981" t="inlineStr">
        <is>
          <t>SKELLEFTEÅ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528-2022</t>
        </is>
      </c>
      <c r="B982" s="1" t="n">
        <v>44566.59707175926</v>
      </c>
      <c r="C982" s="1" t="n">
        <v>45964</v>
      </c>
      <c r="D982" t="inlineStr">
        <is>
          <t>VÄSTERBOTTENS LÄN</t>
        </is>
      </c>
      <c r="E982" t="inlineStr">
        <is>
          <t>SKELLEFTEÅ</t>
        </is>
      </c>
      <c r="G982" t="n">
        <v>2.2</v>
      </c>
      <c r="H982" t="n">
        <v>0</v>
      </c>
      <c r="I982" t="n">
        <v>0</v>
      </c>
      <c r="J982" t="n">
        <v>0</v>
      </c>
      <c r="K982" t="n">
        <v>0</v>
      </c>
      <c r="L982" t="n">
        <v>0</v>
      </c>
      <c r="M982" t="n">
        <v>0</v>
      </c>
      <c r="N982" t="n">
        <v>0</v>
      </c>
      <c r="O982" t="n">
        <v>0</v>
      </c>
      <c r="P982" t="n">
        <v>0</v>
      </c>
      <c r="Q982" t="n">
        <v>0</v>
      </c>
      <c r="R982" s="2" t="inlineStr"/>
    </row>
    <row r="983" ht="15" customHeight="1">
      <c r="A983" t="inlineStr">
        <is>
          <t>A 53419-2024</t>
        </is>
      </c>
      <c r="B983" s="1" t="n">
        <v>45614.51157407407</v>
      </c>
      <c r="C983" s="1" t="n">
        <v>45964</v>
      </c>
      <c r="D983" t="inlineStr">
        <is>
          <t>VÄSTERBOTTENS LÄN</t>
        </is>
      </c>
      <c r="E983" t="inlineStr">
        <is>
          <t>SKELLEFTEÅ</t>
        </is>
      </c>
      <c r="G983" t="n">
        <v>4.2</v>
      </c>
      <c r="H983" t="n">
        <v>0</v>
      </c>
      <c r="I983" t="n">
        <v>0</v>
      </c>
      <c r="J983" t="n">
        <v>0</v>
      </c>
      <c r="K983" t="n">
        <v>0</v>
      </c>
      <c r="L983" t="n">
        <v>0</v>
      </c>
      <c r="M983" t="n">
        <v>0</v>
      </c>
      <c r="N983" t="n">
        <v>0</v>
      </c>
      <c r="O983" t="n">
        <v>0</v>
      </c>
      <c r="P983" t="n">
        <v>0</v>
      </c>
      <c r="Q983" t="n">
        <v>0</v>
      </c>
      <c r="R983" s="2" t="inlineStr"/>
    </row>
    <row r="984" ht="15" customHeight="1">
      <c r="A984" t="inlineStr">
        <is>
          <t>A 16971-2025</t>
        </is>
      </c>
      <c r="B984" s="1" t="n">
        <v>45755.46940972222</v>
      </c>
      <c r="C984" s="1" t="n">
        <v>45964</v>
      </c>
      <c r="D984" t="inlineStr">
        <is>
          <t>VÄSTERBOTTENS LÄN</t>
        </is>
      </c>
      <c r="E984" t="inlineStr">
        <is>
          <t>SKELLEFTEÅ</t>
        </is>
      </c>
      <c r="G984" t="n">
        <v>2.3</v>
      </c>
      <c r="H984" t="n">
        <v>0</v>
      </c>
      <c r="I984" t="n">
        <v>0</v>
      </c>
      <c r="J984" t="n">
        <v>0</v>
      </c>
      <c r="K984" t="n">
        <v>0</v>
      </c>
      <c r="L984" t="n">
        <v>0</v>
      </c>
      <c r="M984" t="n">
        <v>0</v>
      </c>
      <c r="N984" t="n">
        <v>0</v>
      </c>
      <c r="O984" t="n">
        <v>0</v>
      </c>
      <c r="P984" t="n">
        <v>0</v>
      </c>
      <c r="Q984" t="n">
        <v>0</v>
      </c>
      <c r="R984" s="2" t="inlineStr"/>
    </row>
    <row r="985" ht="15" customHeight="1">
      <c r="A985" t="inlineStr">
        <is>
          <t>A 17008-2025</t>
        </is>
      </c>
      <c r="B985" s="1" t="n">
        <v>45755.54644675926</v>
      </c>
      <c r="C985" s="1" t="n">
        <v>45964</v>
      </c>
      <c r="D985" t="inlineStr">
        <is>
          <t>VÄSTERBOTTENS LÄN</t>
        </is>
      </c>
      <c r="E985" t="inlineStr">
        <is>
          <t>SKELLEFTEÅ</t>
        </is>
      </c>
      <c r="G985" t="n">
        <v>7.6</v>
      </c>
      <c r="H985" t="n">
        <v>0</v>
      </c>
      <c r="I985" t="n">
        <v>0</v>
      </c>
      <c r="J985" t="n">
        <v>0</v>
      </c>
      <c r="K985" t="n">
        <v>0</v>
      </c>
      <c r="L985" t="n">
        <v>0</v>
      </c>
      <c r="M985" t="n">
        <v>0</v>
      </c>
      <c r="N985" t="n">
        <v>0</v>
      </c>
      <c r="O985" t="n">
        <v>0</v>
      </c>
      <c r="P985" t="n">
        <v>0</v>
      </c>
      <c r="Q985" t="n">
        <v>0</v>
      </c>
      <c r="R985" s="2" t="inlineStr"/>
    </row>
    <row r="986" ht="15" customHeight="1">
      <c r="A986" t="inlineStr">
        <is>
          <t>A 55645-2024</t>
        </is>
      </c>
      <c r="B986" s="1" t="n">
        <v>45621</v>
      </c>
      <c r="C986" s="1" t="n">
        <v>45964</v>
      </c>
      <c r="D986" t="inlineStr">
        <is>
          <t>VÄSTERBOTTENS LÄN</t>
        </is>
      </c>
      <c r="E986" t="inlineStr">
        <is>
          <t>SKELLEFTEÅ</t>
        </is>
      </c>
      <c r="G986" t="n">
        <v>2.8</v>
      </c>
      <c r="H986" t="n">
        <v>0</v>
      </c>
      <c r="I986" t="n">
        <v>0</v>
      </c>
      <c r="J986" t="n">
        <v>0</v>
      </c>
      <c r="K986" t="n">
        <v>0</v>
      </c>
      <c r="L986" t="n">
        <v>0</v>
      </c>
      <c r="M986" t="n">
        <v>0</v>
      </c>
      <c r="N986" t="n">
        <v>0</v>
      </c>
      <c r="O986" t="n">
        <v>0</v>
      </c>
      <c r="P986" t="n">
        <v>0</v>
      </c>
      <c r="Q986" t="n">
        <v>0</v>
      </c>
      <c r="R986" s="2" t="inlineStr"/>
    </row>
    <row r="987" ht="15" customHeight="1">
      <c r="A987" t="inlineStr">
        <is>
          <t>A 12547-2025</t>
        </is>
      </c>
      <c r="B987" s="1" t="n">
        <v>45730.89319444444</v>
      </c>
      <c r="C987" s="1" t="n">
        <v>45964</v>
      </c>
      <c r="D987" t="inlineStr">
        <is>
          <t>VÄSTERBOTTENS LÄN</t>
        </is>
      </c>
      <c r="E987" t="inlineStr">
        <is>
          <t>SKELLEFTEÅ</t>
        </is>
      </c>
      <c r="G987" t="n">
        <v>3</v>
      </c>
      <c r="H987" t="n">
        <v>0</v>
      </c>
      <c r="I987" t="n">
        <v>0</v>
      </c>
      <c r="J987" t="n">
        <v>0</v>
      </c>
      <c r="K987" t="n">
        <v>0</v>
      </c>
      <c r="L987" t="n">
        <v>0</v>
      </c>
      <c r="M987" t="n">
        <v>0</v>
      </c>
      <c r="N987" t="n">
        <v>0</v>
      </c>
      <c r="O987" t="n">
        <v>0</v>
      </c>
      <c r="P987" t="n">
        <v>0</v>
      </c>
      <c r="Q987" t="n">
        <v>0</v>
      </c>
      <c r="R987" s="2" t="inlineStr"/>
    </row>
    <row r="988" ht="15" customHeight="1">
      <c r="A988" t="inlineStr">
        <is>
          <t>A 22531-2025</t>
        </is>
      </c>
      <c r="B988" s="1" t="n">
        <v>45786</v>
      </c>
      <c r="C988" s="1" t="n">
        <v>45964</v>
      </c>
      <c r="D988" t="inlineStr">
        <is>
          <t>VÄSTERBOTTENS LÄN</t>
        </is>
      </c>
      <c r="E988" t="inlineStr">
        <is>
          <t>SKELLEFTEÅ</t>
        </is>
      </c>
      <c r="G988" t="n">
        <v>7.3</v>
      </c>
      <c r="H988" t="n">
        <v>0</v>
      </c>
      <c r="I988" t="n">
        <v>0</v>
      </c>
      <c r="J988" t="n">
        <v>0</v>
      </c>
      <c r="K988" t="n">
        <v>0</v>
      </c>
      <c r="L988" t="n">
        <v>0</v>
      </c>
      <c r="M988" t="n">
        <v>0</v>
      </c>
      <c r="N988" t="n">
        <v>0</v>
      </c>
      <c r="O988" t="n">
        <v>0</v>
      </c>
      <c r="P988" t="n">
        <v>0</v>
      </c>
      <c r="Q988" t="n">
        <v>0</v>
      </c>
      <c r="R988" s="2" t="inlineStr"/>
    </row>
    <row r="989" ht="15" customHeight="1">
      <c r="A989" t="inlineStr">
        <is>
          <t>A 15461-2025</t>
        </is>
      </c>
      <c r="B989" s="1" t="n">
        <v>45747.51061342593</v>
      </c>
      <c r="C989" s="1" t="n">
        <v>45964</v>
      </c>
      <c r="D989" t="inlineStr">
        <is>
          <t>VÄSTERBOTTENS LÄN</t>
        </is>
      </c>
      <c r="E989" t="inlineStr">
        <is>
          <t>SKELLEFTEÅ</t>
        </is>
      </c>
      <c r="F989" t="inlineStr">
        <is>
          <t>Holmen skog AB</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16202-2025</t>
        </is>
      </c>
      <c r="B990" s="1" t="n">
        <v>45750.61587962963</v>
      </c>
      <c r="C990" s="1" t="n">
        <v>45964</v>
      </c>
      <c r="D990" t="inlineStr">
        <is>
          <t>VÄSTERBOTTENS LÄN</t>
        </is>
      </c>
      <c r="E990" t="inlineStr">
        <is>
          <t>SKELLEFTEÅ</t>
        </is>
      </c>
      <c r="G990" t="n">
        <v>7.3</v>
      </c>
      <c r="H990" t="n">
        <v>0</v>
      </c>
      <c r="I990" t="n">
        <v>0</v>
      </c>
      <c r="J990" t="n">
        <v>0</v>
      </c>
      <c r="K990" t="n">
        <v>0</v>
      </c>
      <c r="L990" t="n">
        <v>0</v>
      </c>
      <c r="M990" t="n">
        <v>0</v>
      </c>
      <c r="N990" t="n">
        <v>0</v>
      </c>
      <c r="O990" t="n">
        <v>0</v>
      </c>
      <c r="P990" t="n">
        <v>0</v>
      </c>
      <c r="Q990" t="n">
        <v>0</v>
      </c>
      <c r="R990" s="2" t="inlineStr"/>
    </row>
    <row r="991" ht="15" customHeight="1">
      <c r="A991" t="inlineStr">
        <is>
          <t>A 1149-2021</t>
        </is>
      </c>
      <c r="B991" s="1" t="n">
        <v>44207</v>
      </c>
      <c r="C991" s="1" t="n">
        <v>45964</v>
      </c>
      <c r="D991" t="inlineStr">
        <is>
          <t>VÄSTERBOTTENS LÄN</t>
        </is>
      </c>
      <c r="E991" t="inlineStr">
        <is>
          <t>SKELLEFTEÅ</t>
        </is>
      </c>
      <c r="G991" t="n">
        <v>3.1</v>
      </c>
      <c r="H991" t="n">
        <v>0</v>
      </c>
      <c r="I991" t="n">
        <v>0</v>
      </c>
      <c r="J991" t="n">
        <v>0</v>
      </c>
      <c r="K991" t="n">
        <v>0</v>
      </c>
      <c r="L991" t="n">
        <v>0</v>
      </c>
      <c r="M991" t="n">
        <v>0</v>
      </c>
      <c r="N991" t="n">
        <v>0</v>
      </c>
      <c r="O991" t="n">
        <v>0</v>
      </c>
      <c r="P991" t="n">
        <v>0</v>
      </c>
      <c r="Q991" t="n">
        <v>0</v>
      </c>
      <c r="R991" s="2" t="inlineStr"/>
    </row>
    <row r="992" ht="15" customHeight="1">
      <c r="A992" t="inlineStr">
        <is>
          <t>A 26293-2024</t>
        </is>
      </c>
      <c r="B992" s="1" t="n">
        <v>45468.81053240741</v>
      </c>
      <c r="C992" s="1" t="n">
        <v>45964</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60896-2023</t>
        </is>
      </c>
      <c r="B993" s="1" t="n">
        <v>45261</v>
      </c>
      <c r="C993" s="1" t="n">
        <v>45964</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60898-2023</t>
        </is>
      </c>
      <c r="B994" s="1" t="n">
        <v>45261.35170138889</v>
      </c>
      <c r="C994" s="1" t="n">
        <v>45964</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14759-2022</t>
        </is>
      </c>
      <c r="B995" s="1" t="n">
        <v>44656</v>
      </c>
      <c r="C995" s="1" t="n">
        <v>45964</v>
      </c>
      <c r="D995" t="inlineStr">
        <is>
          <t>VÄSTERBOTTENS LÄN</t>
        </is>
      </c>
      <c r="E995" t="inlineStr">
        <is>
          <t>SKELLEFTEÅ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15706-2023</t>
        </is>
      </c>
      <c r="B996" s="1" t="n">
        <v>45020</v>
      </c>
      <c r="C996" s="1" t="n">
        <v>45964</v>
      </c>
      <c r="D996" t="inlineStr">
        <is>
          <t>VÄSTERBOTTENS LÄN</t>
        </is>
      </c>
      <c r="E996" t="inlineStr">
        <is>
          <t>SKELLEFTEÅ</t>
        </is>
      </c>
      <c r="G996" t="n">
        <v>2.8</v>
      </c>
      <c r="H996" t="n">
        <v>0</v>
      </c>
      <c r="I996" t="n">
        <v>0</v>
      </c>
      <c r="J996" t="n">
        <v>0</v>
      </c>
      <c r="K996" t="n">
        <v>0</v>
      </c>
      <c r="L996" t="n">
        <v>0</v>
      </c>
      <c r="M996" t="n">
        <v>0</v>
      </c>
      <c r="N996" t="n">
        <v>0</v>
      </c>
      <c r="O996" t="n">
        <v>0</v>
      </c>
      <c r="P996" t="n">
        <v>0</v>
      </c>
      <c r="Q996" t="n">
        <v>0</v>
      </c>
      <c r="R996" s="2" t="inlineStr"/>
    </row>
    <row r="997" ht="15" customHeight="1">
      <c r="A997" t="inlineStr">
        <is>
          <t>A 50531-2022</t>
        </is>
      </c>
      <c r="B997" s="1" t="n">
        <v>44866.57714120371</v>
      </c>
      <c r="C997" s="1" t="n">
        <v>45964</v>
      </c>
      <c r="D997" t="inlineStr">
        <is>
          <t>VÄSTERBOTTENS LÄN</t>
        </is>
      </c>
      <c r="E997" t="inlineStr">
        <is>
          <t>SKELLEFTEÅ</t>
        </is>
      </c>
      <c r="G997" t="n">
        <v>8.1</v>
      </c>
      <c r="H997" t="n">
        <v>0</v>
      </c>
      <c r="I997" t="n">
        <v>0</v>
      </c>
      <c r="J997" t="n">
        <v>0</v>
      </c>
      <c r="K997" t="n">
        <v>0</v>
      </c>
      <c r="L997" t="n">
        <v>0</v>
      </c>
      <c r="M997" t="n">
        <v>0</v>
      </c>
      <c r="N997" t="n">
        <v>0</v>
      </c>
      <c r="O997" t="n">
        <v>0</v>
      </c>
      <c r="P997" t="n">
        <v>0</v>
      </c>
      <c r="Q997" t="n">
        <v>0</v>
      </c>
      <c r="R997" s="2" t="inlineStr"/>
    </row>
    <row r="998" ht="15" customHeight="1">
      <c r="A998" t="inlineStr">
        <is>
          <t>A 6286-2025</t>
        </is>
      </c>
      <c r="B998" s="1" t="n">
        <v>45698</v>
      </c>
      <c r="C998" s="1" t="n">
        <v>45964</v>
      </c>
      <c r="D998" t="inlineStr">
        <is>
          <t>VÄSTERBOTTENS LÄN</t>
        </is>
      </c>
      <c r="E998" t="inlineStr">
        <is>
          <t>SKELLEFTEÅ</t>
        </is>
      </c>
      <c r="G998" t="n">
        <v>3.9</v>
      </c>
      <c r="H998" t="n">
        <v>0</v>
      </c>
      <c r="I998" t="n">
        <v>0</v>
      </c>
      <c r="J998" t="n">
        <v>0</v>
      </c>
      <c r="K998" t="n">
        <v>0</v>
      </c>
      <c r="L998" t="n">
        <v>0</v>
      </c>
      <c r="M998" t="n">
        <v>0</v>
      </c>
      <c r="N998" t="n">
        <v>0</v>
      </c>
      <c r="O998" t="n">
        <v>0</v>
      </c>
      <c r="P998" t="n">
        <v>0</v>
      </c>
      <c r="Q998" t="n">
        <v>0</v>
      </c>
      <c r="R998" s="2" t="inlineStr"/>
    </row>
    <row r="999" ht="15" customHeight="1">
      <c r="A999" t="inlineStr">
        <is>
          <t>A 28273-2024</t>
        </is>
      </c>
      <c r="B999" s="1" t="n">
        <v>45477.4503587963</v>
      </c>
      <c r="C999" s="1" t="n">
        <v>45964</v>
      </c>
      <c r="D999" t="inlineStr">
        <is>
          <t>VÄSTERBOTTENS LÄN</t>
        </is>
      </c>
      <c r="E999" t="inlineStr">
        <is>
          <t>SKELLEFTEÅ</t>
        </is>
      </c>
      <c r="G999" t="n">
        <v>2.8</v>
      </c>
      <c r="H999" t="n">
        <v>0</v>
      </c>
      <c r="I999" t="n">
        <v>0</v>
      </c>
      <c r="J999" t="n">
        <v>0</v>
      </c>
      <c r="K999" t="n">
        <v>0</v>
      </c>
      <c r="L999" t="n">
        <v>0</v>
      </c>
      <c r="M999" t="n">
        <v>0</v>
      </c>
      <c r="N999" t="n">
        <v>0</v>
      </c>
      <c r="O999" t="n">
        <v>0</v>
      </c>
      <c r="P999" t="n">
        <v>0</v>
      </c>
      <c r="Q999" t="n">
        <v>0</v>
      </c>
      <c r="R999" s="2" t="inlineStr"/>
    </row>
    <row r="1000" ht="15" customHeight="1">
      <c r="A1000" t="inlineStr">
        <is>
          <t>A 56838-2024</t>
        </is>
      </c>
      <c r="B1000" s="1" t="n">
        <v>45628.50866898148</v>
      </c>
      <c r="C1000" s="1" t="n">
        <v>45964</v>
      </c>
      <c r="D1000" t="inlineStr">
        <is>
          <t>VÄSTERBOTTENS LÄN</t>
        </is>
      </c>
      <c r="E1000" t="inlineStr">
        <is>
          <t>SKELLEFTEÅ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17444-2023</t>
        </is>
      </c>
      <c r="B1001" s="1" t="n">
        <v>45035.94489583333</v>
      </c>
      <c r="C1001" s="1" t="n">
        <v>45964</v>
      </c>
      <c r="D1001" t="inlineStr">
        <is>
          <t>VÄSTERBOTTENS LÄN</t>
        </is>
      </c>
      <c r="E1001" t="inlineStr">
        <is>
          <t>SKELLEFTEÅ</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29085-2022</t>
        </is>
      </c>
      <c r="B1002" s="1" t="n">
        <v>44749</v>
      </c>
      <c r="C1002" s="1" t="n">
        <v>45964</v>
      </c>
      <c r="D1002" t="inlineStr">
        <is>
          <t>VÄSTERBOTTENS LÄN</t>
        </is>
      </c>
      <c r="E1002" t="inlineStr">
        <is>
          <t>SKELLEFTEÅ</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19782-2024</t>
        </is>
      </c>
      <c r="B1003" s="1" t="n">
        <v>45432</v>
      </c>
      <c r="C1003" s="1" t="n">
        <v>45964</v>
      </c>
      <c r="D1003" t="inlineStr">
        <is>
          <t>VÄSTERBOTTENS LÄN</t>
        </is>
      </c>
      <c r="E1003" t="inlineStr">
        <is>
          <t>SKELLEFTEÅ</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22838-2025</t>
        </is>
      </c>
      <c r="B1004" s="1" t="n">
        <v>45790.28381944444</v>
      </c>
      <c r="C1004" s="1" t="n">
        <v>45964</v>
      </c>
      <c r="D1004" t="inlineStr">
        <is>
          <t>VÄSTERBOTTENS LÄN</t>
        </is>
      </c>
      <c r="E1004" t="inlineStr">
        <is>
          <t>SKELLEFTEÅ</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24832-2022</t>
        </is>
      </c>
      <c r="B1005" s="1" t="n">
        <v>44728</v>
      </c>
      <c r="C1005" s="1" t="n">
        <v>45964</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43599-2024</t>
        </is>
      </c>
      <c r="B1006" s="1" t="n">
        <v>45569</v>
      </c>
      <c r="C1006" s="1" t="n">
        <v>45964</v>
      </c>
      <c r="D1006" t="inlineStr">
        <is>
          <t>VÄSTERBOTTENS LÄN</t>
        </is>
      </c>
      <c r="E1006" t="inlineStr">
        <is>
          <t>SKELLEFTEÅ</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2177-2023</t>
        </is>
      </c>
      <c r="B1007" s="1" t="n">
        <v>44942.29836805556</v>
      </c>
      <c r="C1007" s="1" t="n">
        <v>45964</v>
      </c>
      <c r="D1007" t="inlineStr">
        <is>
          <t>VÄSTERBOTTENS LÄN</t>
        </is>
      </c>
      <c r="E1007" t="inlineStr">
        <is>
          <t>SKELLEFTEÅ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16201-2025</t>
        </is>
      </c>
      <c r="B1008" s="1" t="n">
        <v>45750</v>
      </c>
      <c r="C1008" s="1" t="n">
        <v>45964</v>
      </c>
      <c r="D1008" t="inlineStr">
        <is>
          <t>VÄSTERBOTTENS LÄN</t>
        </is>
      </c>
      <c r="E1008" t="inlineStr">
        <is>
          <t>SKELLEFTEÅ</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23213-2025</t>
        </is>
      </c>
      <c r="B1009" s="1" t="n">
        <v>45791</v>
      </c>
      <c r="C1009" s="1" t="n">
        <v>45964</v>
      </c>
      <c r="D1009" t="inlineStr">
        <is>
          <t>VÄSTERBOTTENS LÄN</t>
        </is>
      </c>
      <c r="E1009" t="inlineStr">
        <is>
          <t>SKELLEFTEÅ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62483-2022</t>
        </is>
      </c>
      <c r="B1010" s="1" t="n">
        <v>44924.56034722222</v>
      </c>
      <c r="C1010" s="1" t="n">
        <v>45964</v>
      </c>
      <c r="D1010" t="inlineStr">
        <is>
          <t>VÄSTERBOTTENS LÄN</t>
        </is>
      </c>
      <c r="E1010" t="inlineStr">
        <is>
          <t>SKELLEFTEÅ</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23327-2025</t>
        </is>
      </c>
      <c r="B1011" s="1" t="n">
        <v>45791.62792824074</v>
      </c>
      <c r="C1011" s="1" t="n">
        <v>45964</v>
      </c>
      <c r="D1011" t="inlineStr">
        <is>
          <t>VÄSTERBOTTENS LÄN</t>
        </is>
      </c>
      <c r="E1011" t="inlineStr">
        <is>
          <t>SKELLEFTEÅ</t>
        </is>
      </c>
      <c r="F1011" t="inlineStr">
        <is>
          <t>Holmen skog AB</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11956-2025</t>
        </is>
      </c>
      <c r="B1012" s="1" t="n">
        <v>45728.56809027777</v>
      </c>
      <c r="C1012" s="1" t="n">
        <v>45964</v>
      </c>
      <c r="D1012" t="inlineStr">
        <is>
          <t>VÄSTERBOTTENS LÄN</t>
        </is>
      </c>
      <c r="E1012" t="inlineStr">
        <is>
          <t>SKELLEFTEÅ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23208-2025</t>
        </is>
      </c>
      <c r="B1013" s="1" t="n">
        <v>45791</v>
      </c>
      <c r="C1013" s="1" t="n">
        <v>45964</v>
      </c>
      <c r="D1013" t="inlineStr">
        <is>
          <t>VÄSTERBOTTENS LÄN</t>
        </is>
      </c>
      <c r="E1013" t="inlineStr">
        <is>
          <t>SKELLEFTEÅ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45727-2023</t>
        </is>
      </c>
      <c r="B1014" s="1" t="n">
        <v>45189</v>
      </c>
      <c r="C1014" s="1" t="n">
        <v>45964</v>
      </c>
      <c r="D1014" t="inlineStr">
        <is>
          <t>VÄSTERBOTTENS LÄN</t>
        </is>
      </c>
      <c r="E1014" t="inlineStr">
        <is>
          <t>SKELLEFTEÅ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11638-2023</t>
        </is>
      </c>
      <c r="B1015" s="1" t="n">
        <v>44994.44827546296</v>
      </c>
      <c r="C1015" s="1" t="n">
        <v>45964</v>
      </c>
      <c r="D1015" t="inlineStr">
        <is>
          <t>VÄSTERBOTTENS LÄN</t>
        </is>
      </c>
      <c r="E1015" t="inlineStr">
        <is>
          <t>SKELLEFTEÅ</t>
        </is>
      </c>
      <c r="G1015" t="n">
        <v>19.8</v>
      </c>
      <c r="H1015" t="n">
        <v>0</v>
      </c>
      <c r="I1015" t="n">
        <v>0</v>
      </c>
      <c r="J1015" t="n">
        <v>0</v>
      </c>
      <c r="K1015" t="n">
        <v>0</v>
      </c>
      <c r="L1015" t="n">
        <v>0</v>
      </c>
      <c r="M1015" t="n">
        <v>0</v>
      </c>
      <c r="N1015" t="n">
        <v>0</v>
      </c>
      <c r="O1015" t="n">
        <v>0</v>
      </c>
      <c r="P1015" t="n">
        <v>0</v>
      </c>
      <c r="Q1015" t="n">
        <v>0</v>
      </c>
      <c r="R1015" s="2" t="inlineStr"/>
    </row>
    <row r="1016" ht="15" customHeight="1">
      <c r="A1016" t="inlineStr">
        <is>
          <t>A 57620-2020</t>
        </is>
      </c>
      <c r="B1016" s="1" t="n">
        <v>44140</v>
      </c>
      <c r="C1016" s="1" t="n">
        <v>45964</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23018-2025</t>
        </is>
      </c>
      <c r="B1017" s="1" t="n">
        <v>45790.6446875</v>
      </c>
      <c r="C1017" s="1" t="n">
        <v>45964</v>
      </c>
      <c r="D1017" t="inlineStr">
        <is>
          <t>VÄSTERBOTTENS LÄN</t>
        </is>
      </c>
      <c r="E1017" t="inlineStr">
        <is>
          <t>SKELLEFTEÅ</t>
        </is>
      </c>
      <c r="F1017" t="inlineStr">
        <is>
          <t>Holmen skog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11971-2025</t>
        </is>
      </c>
      <c r="B1018" s="1" t="n">
        <v>45728</v>
      </c>
      <c r="C1018" s="1" t="n">
        <v>45964</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23104-2025</t>
        </is>
      </c>
      <c r="B1019" s="1" t="n">
        <v>45791.35722222222</v>
      </c>
      <c r="C1019" s="1" t="n">
        <v>45964</v>
      </c>
      <c r="D1019" t="inlineStr">
        <is>
          <t>VÄSTERBOTTENS LÄN</t>
        </is>
      </c>
      <c r="E1019" t="inlineStr">
        <is>
          <t>SKELLEFTEÅ</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12009-2022</t>
        </is>
      </c>
      <c r="B1020" s="1" t="n">
        <v>44635</v>
      </c>
      <c r="C1020" s="1" t="n">
        <v>45964</v>
      </c>
      <c r="D1020" t="inlineStr">
        <is>
          <t>VÄSTERBOTTENS LÄN</t>
        </is>
      </c>
      <c r="E1020" t="inlineStr">
        <is>
          <t>SKELLEFTEÅ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3373-2025</t>
        </is>
      </c>
      <c r="B1021" s="1" t="n">
        <v>45680.30523148148</v>
      </c>
      <c r="C1021" s="1" t="n">
        <v>45964</v>
      </c>
      <c r="D1021" t="inlineStr">
        <is>
          <t>VÄSTERBOTTENS LÄN</t>
        </is>
      </c>
      <c r="E1021" t="inlineStr">
        <is>
          <t>SKELLEFTEÅ</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23153-2025</t>
        </is>
      </c>
      <c r="B1022" s="1" t="n">
        <v>45791</v>
      </c>
      <c r="C1022" s="1" t="n">
        <v>45964</v>
      </c>
      <c r="D1022" t="inlineStr">
        <is>
          <t>VÄSTERBOTTENS LÄN</t>
        </is>
      </c>
      <c r="E1022" t="inlineStr">
        <is>
          <t>SKELLEFTEÅ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64723-2023</t>
        </is>
      </c>
      <c r="B1023" s="1" t="n">
        <v>45281</v>
      </c>
      <c r="C1023" s="1" t="n">
        <v>45964</v>
      </c>
      <c r="D1023" t="inlineStr">
        <is>
          <t>VÄSTERBOTTENS LÄN</t>
        </is>
      </c>
      <c r="E1023" t="inlineStr">
        <is>
          <t>SKELLEFTEÅ</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57569-2022</t>
        </is>
      </c>
      <c r="B1024" s="1" t="n">
        <v>44896.92769675926</v>
      </c>
      <c r="C1024" s="1" t="n">
        <v>45964</v>
      </c>
      <c r="D1024" t="inlineStr">
        <is>
          <t>VÄSTERBOTTENS LÄN</t>
        </is>
      </c>
      <c r="E1024" t="inlineStr">
        <is>
          <t>SKELLEFTEÅ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59442-2024</t>
        </is>
      </c>
      <c r="B1025" s="1" t="n">
        <v>45638.44524305555</v>
      </c>
      <c r="C1025" s="1" t="n">
        <v>45964</v>
      </c>
      <c r="D1025" t="inlineStr">
        <is>
          <t>VÄSTERBOTTENS LÄN</t>
        </is>
      </c>
      <c r="E1025" t="inlineStr">
        <is>
          <t>SKELLEFTEÅ</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59443-2024</t>
        </is>
      </c>
      <c r="B1026" s="1" t="n">
        <v>45638.44944444444</v>
      </c>
      <c r="C1026" s="1" t="n">
        <v>45964</v>
      </c>
      <c r="D1026" t="inlineStr">
        <is>
          <t>VÄSTERBOTTENS LÄN</t>
        </is>
      </c>
      <c r="E1026" t="inlineStr">
        <is>
          <t>SKELLEFTEÅ</t>
        </is>
      </c>
      <c r="F1026" t="inlineStr">
        <is>
          <t>Sveaskog</t>
        </is>
      </c>
      <c r="G1026" t="n">
        <v>11.7</v>
      </c>
      <c r="H1026" t="n">
        <v>0</v>
      </c>
      <c r="I1026" t="n">
        <v>0</v>
      </c>
      <c r="J1026" t="n">
        <v>0</v>
      </c>
      <c r="K1026" t="n">
        <v>0</v>
      </c>
      <c r="L1026" t="n">
        <v>0</v>
      </c>
      <c r="M1026" t="n">
        <v>0</v>
      </c>
      <c r="N1026" t="n">
        <v>0</v>
      </c>
      <c r="O1026" t="n">
        <v>0</v>
      </c>
      <c r="P1026" t="n">
        <v>0</v>
      </c>
      <c r="Q1026" t="n">
        <v>0</v>
      </c>
      <c r="R1026" s="2" t="inlineStr"/>
    </row>
    <row r="1027" ht="15" customHeight="1">
      <c r="A1027" t="inlineStr">
        <is>
          <t>A 57577-2022</t>
        </is>
      </c>
      <c r="B1027" s="1" t="n">
        <v>44896.92947916667</v>
      </c>
      <c r="C1027" s="1" t="n">
        <v>45964</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26546-2024</t>
        </is>
      </c>
      <c r="B1028" s="1" t="n">
        <v>45469.61939814815</v>
      </c>
      <c r="C1028" s="1" t="n">
        <v>45964</v>
      </c>
      <c r="D1028" t="inlineStr">
        <is>
          <t>VÄSTERBOTTENS LÄN</t>
        </is>
      </c>
      <c r="E1028" t="inlineStr">
        <is>
          <t>SKELLEFTEÅ</t>
        </is>
      </c>
      <c r="F1028" t="inlineStr">
        <is>
          <t>Sveaskog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48620-2024</t>
        </is>
      </c>
      <c r="B1029" s="1" t="n">
        <v>45593</v>
      </c>
      <c r="C1029" s="1" t="n">
        <v>45964</v>
      </c>
      <c r="D1029" t="inlineStr">
        <is>
          <t>VÄSTERBOTTENS LÄN</t>
        </is>
      </c>
      <c r="E1029" t="inlineStr">
        <is>
          <t>SKELLEFTEÅ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32200-2022</t>
        </is>
      </c>
      <c r="B1030" s="1" t="n">
        <v>44781</v>
      </c>
      <c r="C1030" s="1" t="n">
        <v>45964</v>
      </c>
      <c r="D1030" t="inlineStr">
        <is>
          <t>VÄSTERBOTTENS LÄN</t>
        </is>
      </c>
      <c r="E1030" t="inlineStr">
        <is>
          <t>SKELLEFTEÅ</t>
        </is>
      </c>
      <c r="F1030" t="inlineStr">
        <is>
          <t>Kommuner</t>
        </is>
      </c>
      <c r="G1030" t="n">
        <v>20.6</v>
      </c>
      <c r="H1030" t="n">
        <v>0</v>
      </c>
      <c r="I1030" t="n">
        <v>0</v>
      </c>
      <c r="J1030" t="n">
        <v>0</v>
      </c>
      <c r="K1030" t="n">
        <v>0</v>
      </c>
      <c r="L1030" t="n">
        <v>0</v>
      </c>
      <c r="M1030" t="n">
        <v>0</v>
      </c>
      <c r="N1030" t="n">
        <v>0</v>
      </c>
      <c r="O1030" t="n">
        <v>0</v>
      </c>
      <c r="P1030" t="n">
        <v>0</v>
      </c>
      <c r="Q1030" t="n">
        <v>0</v>
      </c>
      <c r="R1030" s="2" t="inlineStr"/>
    </row>
    <row r="1031" ht="15" customHeight="1">
      <c r="A1031" t="inlineStr">
        <is>
          <t>A 46440-2023</t>
        </is>
      </c>
      <c r="B1031" s="1" t="n">
        <v>45197.5899537037</v>
      </c>
      <c r="C1031" s="1" t="n">
        <v>45964</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58517-2023</t>
        </is>
      </c>
      <c r="B1032" s="1" t="n">
        <v>45251</v>
      </c>
      <c r="C1032" s="1" t="n">
        <v>45964</v>
      </c>
      <c r="D1032" t="inlineStr">
        <is>
          <t>VÄSTERBOTTENS LÄN</t>
        </is>
      </c>
      <c r="E1032" t="inlineStr">
        <is>
          <t>SKELLEFTEÅ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19349-2023</t>
        </is>
      </c>
      <c r="B1033" s="1" t="n">
        <v>45049.59215277778</v>
      </c>
      <c r="C1033" s="1" t="n">
        <v>45964</v>
      </c>
      <c r="D1033" t="inlineStr">
        <is>
          <t>VÄSTERBOTTENS LÄN</t>
        </is>
      </c>
      <c r="E1033" t="inlineStr">
        <is>
          <t>SKELLEFTEÅ</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64340-2023</t>
        </is>
      </c>
      <c r="B1034" s="1" t="n">
        <v>45280.45571759259</v>
      </c>
      <c r="C1034" s="1" t="n">
        <v>45964</v>
      </c>
      <c r="D1034" t="inlineStr">
        <is>
          <t>VÄSTERBOTTENS LÄN</t>
        </is>
      </c>
      <c r="E1034" t="inlineStr">
        <is>
          <t>SKELLEFTEÅ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22921-2025</t>
        </is>
      </c>
      <c r="B1035" s="1" t="n">
        <v>45790.43959490741</v>
      </c>
      <c r="C1035" s="1" t="n">
        <v>45964</v>
      </c>
      <c r="D1035" t="inlineStr">
        <is>
          <t>VÄSTERBOTTENS LÄN</t>
        </is>
      </c>
      <c r="E1035" t="inlineStr">
        <is>
          <t>SKELLEFTEÅ</t>
        </is>
      </c>
      <c r="F1035" t="inlineStr">
        <is>
          <t>Holmen skog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23241-2025</t>
        </is>
      </c>
      <c r="B1036" s="1" t="n">
        <v>45791.50141203704</v>
      </c>
      <c r="C1036" s="1" t="n">
        <v>45964</v>
      </c>
      <c r="D1036" t="inlineStr">
        <is>
          <t>VÄSTERBOTTENS LÄN</t>
        </is>
      </c>
      <c r="E1036" t="inlineStr">
        <is>
          <t>SKELLEFTEÅ</t>
        </is>
      </c>
      <c r="F1036" t="inlineStr">
        <is>
          <t>Holmen skog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17257-2022</t>
        </is>
      </c>
      <c r="B1037" s="1" t="n">
        <v>44678.3941550926</v>
      </c>
      <c r="C1037" s="1" t="n">
        <v>45964</v>
      </c>
      <c r="D1037" t="inlineStr">
        <is>
          <t>VÄSTERBOTTENS LÄN</t>
        </is>
      </c>
      <c r="E1037" t="inlineStr">
        <is>
          <t>SKELLEFTEÅ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43714-2024</t>
        </is>
      </c>
      <c r="B1038" s="1" t="n">
        <v>45569</v>
      </c>
      <c r="C1038" s="1" t="n">
        <v>45964</v>
      </c>
      <c r="D1038" t="inlineStr">
        <is>
          <t>VÄSTERBOTTENS LÄN</t>
        </is>
      </c>
      <c r="E1038" t="inlineStr">
        <is>
          <t>SKELLEFTEÅ</t>
        </is>
      </c>
      <c r="G1038" t="n">
        <v>12.2</v>
      </c>
      <c r="H1038" t="n">
        <v>0</v>
      </c>
      <c r="I1038" t="n">
        <v>0</v>
      </c>
      <c r="J1038" t="n">
        <v>0</v>
      </c>
      <c r="K1038" t="n">
        <v>0</v>
      </c>
      <c r="L1038" t="n">
        <v>0</v>
      </c>
      <c r="M1038" t="n">
        <v>0</v>
      </c>
      <c r="N1038" t="n">
        <v>0</v>
      </c>
      <c r="O1038" t="n">
        <v>0</v>
      </c>
      <c r="P1038" t="n">
        <v>0</v>
      </c>
      <c r="Q1038" t="n">
        <v>0</v>
      </c>
      <c r="R1038" s="2" t="inlineStr"/>
    </row>
    <row r="1039" ht="15" customHeight="1">
      <c r="A1039" t="inlineStr">
        <is>
          <t>A 20610-2022</t>
        </is>
      </c>
      <c r="B1039" s="1" t="n">
        <v>44700</v>
      </c>
      <c r="C1039" s="1" t="n">
        <v>45964</v>
      </c>
      <c r="D1039" t="inlineStr">
        <is>
          <t>VÄSTERBOTTENS LÄN</t>
        </is>
      </c>
      <c r="E1039" t="inlineStr">
        <is>
          <t>SKELLEFTEÅ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23886-2025</t>
        </is>
      </c>
      <c r="B1040" s="1" t="n">
        <v>45793</v>
      </c>
      <c r="C1040" s="1" t="n">
        <v>45964</v>
      </c>
      <c r="D1040" t="inlineStr">
        <is>
          <t>VÄSTERBOTTENS LÄN</t>
        </is>
      </c>
      <c r="E1040" t="inlineStr">
        <is>
          <t>SKELLEFTEÅ</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23847-2025</t>
        </is>
      </c>
      <c r="B1041" s="1" t="n">
        <v>45793.62730324074</v>
      </c>
      <c r="C1041" s="1" t="n">
        <v>45964</v>
      </c>
      <c r="D1041" t="inlineStr">
        <is>
          <t>VÄSTERBOTTENS LÄN</t>
        </is>
      </c>
      <c r="E1041" t="inlineStr">
        <is>
          <t>SKELLEFTEÅ</t>
        </is>
      </c>
      <c r="F1041" t="inlineStr">
        <is>
          <t>Holmen skog AB</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26293-2025</t>
        </is>
      </c>
      <c r="B1042" s="1" t="n">
        <v>45805</v>
      </c>
      <c r="C1042" s="1" t="n">
        <v>45964</v>
      </c>
      <c r="D1042" t="inlineStr">
        <is>
          <t>VÄSTERBOTTENS LÄN</t>
        </is>
      </c>
      <c r="E1042" t="inlineStr">
        <is>
          <t>SKELLEFTEÅ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23676-2025</t>
        </is>
      </c>
      <c r="B1043" s="1" t="n">
        <v>45793.31434027778</v>
      </c>
      <c r="C1043" s="1" t="n">
        <v>45964</v>
      </c>
      <c r="D1043" t="inlineStr">
        <is>
          <t>VÄSTERBOTTENS LÄN</t>
        </is>
      </c>
      <c r="E1043" t="inlineStr">
        <is>
          <t>SKELLEFTEÅ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2955-2024</t>
        </is>
      </c>
      <c r="B1044" s="1" t="n">
        <v>45315.64509259259</v>
      </c>
      <c r="C1044" s="1" t="n">
        <v>45964</v>
      </c>
      <c r="D1044" t="inlineStr">
        <is>
          <t>VÄSTERBOTTENS LÄN</t>
        </is>
      </c>
      <c r="E1044" t="inlineStr">
        <is>
          <t>SKELLEFTEÅ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54037-2024</t>
        </is>
      </c>
      <c r="B1045" s="1" t="n">
        <v>45616.42424768519</v>
      </c>
      <c r="C1045" s="1" t="n">
        <v>45964</v>
      </c>
      <c r="D1045" t="inlineStr">
        <is>
          <t>VÄSTERBOTTENS LÄN</t>
        </is>
      </c>
      <c r="E1045" t="inlineStr">
        <is>
          <t>SKELLEFTEÅ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48116-2024</t>
        </is>
      </c>
      <c r="B1046" s="1" t="n">
        <v>45589.634375</v>
      </c>
      <c r="C1046" s="1" t="n">
        <v>45964</v>
      </c>
      <c r="D1046" t="inlineStr">
        <is>
          <t>VÄSTERBOTTENS LÄN</t>
        </is>
      </c>
      <c r="E1046" t="inlineStr">
        <is>
          <t>SKELLEFTEÅ</t>
        </is>
      </c>
      <c r="F1046" t="inlineStr">
        <is>
          <t>Kommuner</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58555-2023</t>
        </is>
      </c>
      <c r="B1047" s="1" t="n">
        <v>45251.43552083334</v>
      </c>
      <c r="C1047" s="1" t="n">
        <v>45964</v>
      </c>
      <c r="D1047" t="inlineStr">
        <is>
          <t>VÄSTERBOTTENS LÄN</t>
        </is>
      </c>
      <c r="E1047" t="inlineStr">
        <is>
          <t>SKELLEFTEÅ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19748-2021</t>
        </is>
      </c>
      <c r="B1048" s="1" t="n">
        <v>44312</v>
      </c>
      <c r="C1048" s="1" t="n">
        <v>45964</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16219-2025</t>
        </is>
      </c>
      <c r="B1049" s="1" t="n">
        <v>45750</v>
      </c>
      <c r="C1049" s="1" t="n">
        <v>45964</v>
      </c>
      <c r="D1049" t="inlineStr">
        <is>
          <t>VÄSTERBOTTENS LÄN</t>
        </is>
      </c>
      <c r="E1049" t="inlineStr">
        <is>
          <t>SKELLEFTEÅ</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19731-2025</t>
        </is>
      </c>
      <c r="B1050" s="1" t="n">
        <v>45771.36564814814</v>
      </c>
      <c r="C1050" s="1" t="n">
        <v>45964</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37134-2023</t>
        </is>
      </c>
      <c r="B1051" s="1" t="n">
        <v>45155.57627314814</v>
      </c>
      <c r="C1051" s="1" t="n">
        <v>45964</v>
      </c>
      <c r="D1051" t="inlineStr">
        <is>
          <t>VÄSTERBOTTENS LÄN</t>
        </is>
      </c>
      <c r="E1051" t="inlineStr">
        <is>
          <t>SKELLEFTEÅ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44829-2024</t>
        </is>
      </c>
      <c r="B1052" s="1" t="n">
        <v>45574.67832175926</v>
      </c>
      <c r="C1052" s="1" t="n">
        <v>45964</v>
      </c>
      <c r="D1052" t="inlineStr">
        <is>
          <t>VÄSTERBOTTENS LÄN</t>
        </is>
      </c>
      <c r="E1052" t="inlineStr">
        <is>
          <t>SKELLEFTEÅ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23537-2025</t>
        </is>
      </c>
      <c r="B1053" s="1" t="n">
        <v>45792.54960648148</v>
      </c>
      <c r="C1053" s="1" t="n">
        <v>45964</v>
      </c>
      <c r="D1053" t="inlineStr">
        <is>
          <t>VÄSTERBOTTENS LÄN</t>
        </is>
      </c>
      <c r="E1053" t="inlineStr">
        <is>
          <t>SKELLEFTEÅ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23696-2025</t>
        </is>
      </c>
      <c r="B1054" s="1" t="n">
        <v>45793</v>
      </c>
      <c r="C1054" s="1" t="n">
        <v>45964</v>
      </c>
      <c r="D1054" t="inlineStr">
        <is>
          <t>VÄSTERBOTTENS LÄN</t>
        </is>
      </c>
      <c r="E1054" t="inlineStr">
        <is>
          <t>SKELLEFTEÅ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58114-2022</t>
        </is>
      </c>
      <c r="B1055" s="1" t="n">
        <v>44893</v>
      </c>
      <c r="C1055" s="1" t="n">
        <v>45964</v>
      </c>
      <c r="D1055" t="inlineStr">
        <is>
          <t>VÄSTERBOTTENS LÄN</t>
        </is>
      </c>
      <c r="E1055" t="inlineStr">
        <is>
          <t>SKELLEFTEÅ</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6656-2023</t>
        </is>
      </c>
      <c r="B1056" s="1" t="n">
        <v>44963</v>
      </c>
      <c r="C1056" s="1" t="n">
        <v>45964</v>
      </c>
      <c r="D1056" t="inlineStr">
        <is>
          <t>VÄSTERBOTTENS LÄN</t>
        </is>
      </c>
      <c r="E1056" t="inlineStr">
        <is>
          <t>SKELLEFTEÅ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55739-2023</t>
        </is>
      </c>
      <c r="B1057" s="1" t="n">
        <v>45239</v>
      </c>
      <c r="C1057" s="1" t="n">
        <v>45964</v>
      </c>
      <c r="D1057" t="inlineStr">
        <is>
          <t>VÄSTERBOTTENS LÄN</t>
        </is>
      </c>
      <c r="E1057" t="inlineStr">
        <is>
          <t>SKELLEFTEÅ</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55744-2023</t>
        </is>
      </c>
      <c r="B1058" s="1" t="n">
        <v>45239.4444212963</v>
      </c>
      <c r="C1058" s="1" t="n">
        <v>45964</v>
      </c>
      <c r="D1058" t="inlineStr">
        <is>
          <t>VÄSTERBOTTENS LÄN</t>
        </is>
      </c>
      <c r="E1058" t="inlineStr">
        <is>
          <t>SKELLEFTEÅ</t>
        </is>
      </c>
      <c r="G1058" t="n">
        <v>12.4</v>
      </c>
      <c r="H1058" t="n">
        <v>0</v>
      </c>
      <c r="I1058" t="n">
        <v>0</v>
      </c>
      <c r="J1058" t="n">
        <v>0</v>
      </c>
      <c r="K1058" t="n">
        <v>0</v>
      </c>
      <c r="L1058" t="n">
        <v>0</v>
      </c>
      <c r="M1058" t="n">
        <v>0</v>
      </c>
      <c r="N1058" t="n">
        <v>0</v>
      </c>
      <c r="O1058" t="n">
        <v>0</v>
      </c>
      <c r="P1058" t="n">
        <v>0</v>
      </c>
      <c r="Q1058" t="n">
        <v>0</v>
      </c>
      <c r="R1058" s="2" t="inlineStr"/>
    </row>
    <row r="1059" ht="15" customHeight="1">
      <c r="A1059" t="inlineStr">
        <is>
          <t>A 59945-2023</t>
        </is>
      </c>
      <c r="B1059" s="1" t="n">
        <v>45254</v>
      </c>
      <c r="C1059" s="1" t="n">
        <v>45964</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57578-2022</t>
        </is>
      </c>
      <c r="B1060" s="1" t="n">
        <v>44896.93035879629</v>
      </c>
      <c r="C1060" s="1" t="n">
        <v>45964</v>
      </c>
      <c r="D1060" t="inlineStr">
        <is>
          <t>VÄSTERBOTTENS LÄN</t>
        </is>
      </c>
      <c r="E1060" t="inlineStr">
        <is>
          <t>SKELLEFTEÅ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57583-2022</t>
        </is>
      </c>
      <c r="B1061" s="1" t="n">
        <v>44896.9309375</v>
      </c>
      <c r="C1061" s="1" t="n">
        <v>45964</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23678-2025</t>
        </is>
      </c>
      <c r="B1062" s="1" t="n">
        <v>45793.32435185185</v>
      </c>
      <c r="C1062" s="1" t="n">
        <v>45964</v>
      </c>
      <c r="D1062" t="inlineStr">
        <is>
          <t>VÄSTERBOTTENS LÄN</t>
        </is>
      </c>
      <c r="E1062" t="inlineStr">
        <is>
          <t>SKELLEFTEÅ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23881-2025</t>
        </is>
      </c>
      <c r="B1063" s="1" t="n">
        <v>45793</v>
      </c>
      <c r="C1063" s="1" t="n">
        <v>45964</v>
      </c>
      <c r="D1063" t="inlineStr">
        <is>
          <t>VÄSTERBOTTENS LÄN</t>
        </is>
      </c>
      <c r="E1063" t="inlineStr">
        <is>
          <t>SKELLEFTEÅ</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23373-2025</t>
        </is>
      </c>
      <c r="B1064" s="1" t="n">
        <v>45791.75634259259</v>
      </c>
      <c r="C1064" s="1" t="n">
        <v>45964</v>
      </c>
      <c r="D1064" t="inlineStr">
        <is>
          <t>VÄSTERBOTTENS LÄN</t>
        </is>
      </c>
      <c r="E1064" t="inlineStr">
        <is>
          <t>SKELLEFTEÅ</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10852-2023</t>
        </is>
      </c>
      <c r="B1065" s="1" t="n">
        <v>44985</v>
      </c>
      <c r="C1065" s="1" t="n">
        <v>45964</v>
      </c>
      <c r="D1065" t="inlineStr">
        <is>
          <t>VÄSTERBOTTENS LÄN</t>
        </is>
      </c>
      <c r="E1065" t="inlineStr">
        <is>
          <t>SKELLEFTEÅ</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40828-2021</t>
        </is>
      </c>
      <c r="B1066" s="1" t="n">
        <v>44421.39377314815</v>
      </c>
      <c r="C1066" s="1" t="n">
        <v>45964</v>
      </c>
      <c r="D1066" t="inlineStr">
        <is>
          <t>VÄSTERBOTTENS LÄN</t>
        </is>
      </c>
      <c r="E1066" t="inlineStr">
        <is>
          <t>SKELLEFTEÅ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37210-2021</t>
        </is>
      </c>
      <c r="B1067" s="1" t="n">
        <v>44396</v>
      </c>
      <c r="C1067" s="1" t="n">
        <v>45964</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17842-2023</t>
        </is>
      </c>
      <c r="B1068" s="1" t="n">
        <v>45037.65628472222</v>
      </c>
      <c r="C1068" s="1" t="n">
        <v>45964</v>
      </c>
      <c r="D1068" t="inlineStr">
        <is>
          <t>VÄSTERBOTTENS LÄN</t>
        </is>
      </c>
      <c r="E1068" t="inlineStr">
        <is>
          <t>SKELLEFTEÅ</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70851-2021</t>
        </is>
      </c>
      <c r="B1069" s="1" t="n">
        <v>44536</v>
      </c>
      <c r="C1069" s="1" t="n">
        <v>45964</v>
      </c>
      <c r="D1069" t="inlineStr">
        <is>
          <t>VÄSTERBOTTENS LÄN</t>
        </is>
      </c>
      <c r="E1069" t="inlineStr">
        <is>
          <t>SKELLEFTEÅ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24064-2025</t>
        </is>
      </c>
      <c r="B1070" s="1" t="n">
        <v>45796.53480324074</v>
      </c>
      <c r="C1070" s="1" t="n">
        <v>45964</v>
      </c>
      <c r="D1070" t="inlineStr">
        <is>
          <t>VÄSTERBOTTENS LÄN</t>
        </is>
      </c>
      <c r="E1070" t="inlineStr">
        <is>
          <t>SKELLEFTEÅ</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24067-2025</t>
        </is>
      </c>
      <c r="B1071" s="1" t="n">
        <v>45796.53820601852</v>
      </c>
      <c r="C1071" s="1" t="n">
        <v>45964</v>
      </c>
      <c r="D1071" t="inlineStr">
        <is>
          <t>VÄSTERBOTTENS LÄN</t>
        </is>
      </c>
      <c r="E1071" t="inlineStr">
        <is>
          <t>SKELLEFTEÅ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45421-2024</t>
        </is>
      </c>
      <c r="B1072" s="1" t="n">
        <v>45576.60200231482</v>
      </c>
      <c r="C1072" s="1" t="n">
        <v>45964</v>
      </c>
      <c r="D1072" t="inlineStr">
        <is>
          <t>VÄSTERBOTTENS LÄN</t>
        </is>
      </c>
      <c r="E1072" t="inlineStr">
        <is>
          <t>SKELLEFTEÅ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10693-2024</t>
        </is>
      </c>
      <c r="B1073" s="1" t="n">
        <v>45369</v>
      </c>
      <c r="C1073" s="1" t="n">
        <v>45964</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68564-2020</t>
        </is>
      </c>
      <c r="B1074" s="1" t="n">
        <v>44186</v>
      </c>
      <c r="C1074" s="1" t="n">
        <v>45964</v>
      </c>
      <c r="D1074" t="inlineStr">
        <is>
          <t>VÄSTERBOTTENS LÄN</t>
        </is>
      </c>
      <c r="E1074" t="inlineStr">
        <is>
          <t>SKELLEFTEÅ</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41072-2024</t>
        </is>
      </c>
      <c r="B1075" s="1" t="n">
        <v>45559.39484953704</v>
      </c>
      <c r="C1075" s="1" t="n">
        <v>45964</v>
      </c>
      <c r="D1075" t="inlineStr">
        <is>
          <t>VÄSTERBOTTENS LÄN</t>
        </is>
      </c>
      <c r="E1075" t="inlineStr">
        <is>
          <t>SKELLEFTEÅ</t>
        </is>
      </c>
      <c r="F1075" t="inlineStr">
        <is>
          <t>Holmen skog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38588-2024</t>
        </is>
      </c>
      <c r="B1076" s="1" t="n">
        <v>45546.65261574074</v>
      </c>
      <c r="C1076" s="1" t="n">
        <v>45964</v>
      </c>
      <c r="D1076" t="inlineStr">
        <is>
          <t>VÄSTERBOTTENS LÄN</t>
        </is>
      </c>
      <c r="E1076" t="inlineStr">
        <is>
          <t>SKELLEFTEÅ</t>
        </is>
      </c>
      <c r="F1076" t="inlineStr">
        <is>
          <t>Holmen skog AB</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24205-2025</t>
        </is>
      </c>
      <c r="B1077" s="1" t="n">
        <v>45797.32711805555</v>
      </c>
      <c r="C1077" s="1" t="n">
        <v>45964</v>
      </c>
      <c r="D1077" t="inlineStr">
        <is>
          <t>VÄSTERBOTTENS LÄN</t>
        </is>
      </c>
      <c r="E1077" t="inlineStr">
        <is>
          <t>SKELLEFTEÅ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544-2025</t>
        </is>
      </c>
      <c r="B1078" s="1" t="n">
        <v>45660</v>
      </c>
      <c r="C1078" s="1" t="n">
        <v>45964</v>
      </c>
      <c r="D1078" t="inlineStr">
        <is>
          <t>VÄSTERBOTTENS LÄN</t>
        </is>
      </c>
      <c r="E1078" t="inlineStr">
        <is>
          <t>SKELLEFTEÅ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59180-2021</t>
        </is>
      </c>
      <c r="B1079" s="1" t="n">
        <v>44489</v>
      </c>
      <c r="C1079" s="1" t="n">
        <v>45964</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32420-2022</t>
        </is>
      </c>
      <c r="B1080" s="1" t="n">
        <v>44782</v>
      </c>
      <c r="C1080" s="1" t="n">
        <v>45964</v>
      </c>
      <c r="D1080" t="inlineStr">
        <is>
          <t>VÄSTERBOTTENS LÄN</t>
        </is>
      </c>
      <c r="E1080" t="inlineStr">
        <is>
          <t>SKELLEFTEÅ</t>
        </is>
      </c>
      <c r="F1080" t="inlineStr">
        <is>
          <t>Kommuner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32427-2022</t>
        </is>
      </c>
      <c r="B1081" s="1" t="n">
        <v>44782</v>
      </c>
      <c r="C1081" s="1" t="n">
        <v>45964</v>
      </c>
      <c r="D1081" t="inlineStr">
        <is>
          <t>VÄSTERBOTTENS LÄN</t>
        </is>
      </c>
      <c r="E1081" t="inlineStr">
        <is>
          <t>SKELLEFTEÅ</t>
        </is>
      </c>
      <c r="F1081" t="inlineStr">
        <is>
          <t>Kommuner</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14952-2022</t>
        </is>
      </c>
      <c r="B1082" s="1" t="n">
        <v>44657</v>
      </c>
      <c r="C1082" s="1" t="n">
        <v>45964</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706-2023</t>
        </is>
      </c>
      <c r="B1083" s="1" t="n">
        <v>44930</v>
      </c>
      <c r="C1083" s="1" t="n">
        <v>45964</v>
      </c>
      <c r="D1083" t="inlineStr">
        <is>
          <t>VÄSTERBOTTENS LÄN</t>
        </is>
      </c>
      <c r="E1083" t="inlineStr">
        <is>
          <t>SKELLEFTEÅ</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28148-2023</t>
        </is>
      </c>
      <c r="B1084" s="1" t="n">
        <v>45099.48684027778</v>
      </c>
      <c r="C1084" s="1" t="n">
        <v>45964</v>
      </c>
      <c r="D1084" t="inlineStr">
        <is>
          <t>VÄSTERBOTTENS LÄN</t>
        </is>
      </c>
      <c r="E1084" t="inlineStr">
        <is>
          <t>SKELLEFTEÅ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54880-2024</t>
        </is>
      </c>
      <c r="B1085" s="1" t="n">
        <v>45618.61046296296</v>
      </c>
      <c r="C1085" s="1" t="n">
        <v>45964</v>
      </c>
      <c r="D1085" t="inlineStr">
        <is>
          <t>VÄSTERBOTTENS LÄN</t>
        </is>
      </c>
      <c r="E1085" t="inlineStr">
        <is>
          <t>SKELLEFTEÅ</t>
        </is>
      </c>
      <c r="F1085" t="inlineStr">
        <is>
          <t>Sveaskog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28171-2023</t>
        </is>
      </c>
      <c r="B1086" s="1" t="n">
        <v>45096</v>
      </c>
      <c r="C1086" s="1" t="n">
        <v>45964</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36208-2022</t>
        </is>
      </c>
      <c r="B1087" s="1" t="n">
        <v>44803</v>
      </c>
      <c r="C1087" s="1" t="n">
        <v>45964</v>
      </c>
      <c r="D1087" t="inlineStr">
        <is>
          <t>VÄSTERBOTTENS LÄN</t>
        </is>
      </c>
      <c r="E1087" t="inlineStr">
        <is>
          <t>SKELLEFTEÅ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52062-2023</t>
        </is>
      </c>
      <c r="B1088" s="1" t="n">
        <v>45216</v>
      </c>
      <c r="C1088" s="1" t="n">
        <v>45964</v>
      </c>
      <c r="D1088" t="inlineStr">
        <is>
          <t>VÄSTERBOTTENS LÄN</t>
        </is>
      </c>
      <c r="E1088" t="inlineStr">
        <is>
          <t>SKELLEFTEÅ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24264-2025</t>
        </is>
      </c>
      <c r="B1089" s="1" t="n">
        <v>45797.42381944445</v>
      </c>
      <c r="C1089" s="1" t="n">
        <v>45964</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61145-2023</t>
        </is>
      </c>
      <c r="B1090" s="1" t="n">
        <v>45261.96739583334</v>
      </c>
      <c r="C1090" s="1" t="n">
        <v>45964</v>
      </c>
      <c r="D1090" t="inlineStr">
        <is>
          <t>VÄSTERBOTTENS LÄN</t>
        </is>
      </c>
      <c r="E1090" t="inlineStr">
        <is>
          <t>SKELLEFTEÅ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24066-2025</t>
        </is>
      </c>
      <c r="B1091" s="1" t="n">
        <v>45796.53686342593</v>
      </c>
      <c r="C1091" s="1" t="n">
        <v>45964</v>
      </c>
      <c r="D1091" t="inlineStr">
        <is>
          <t>VÄSTERBOTTENS LÄN</t>
        </is>
      </c>
      <c r="E1091" t="inlineStr">
        <is>
          <t>SKELLEFTEÅ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24070-2025</t>
        </is>
      </c>
      <c r="B1092" s="1" t="n">
        <v>45796.54060185186</v>
      </c>
      <c r="C1092" s="1" t="n">
        <v>45964</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12798-2024</t>
        </is>
      </c>
      <c r="B1093" s="1" t="n">
        <v>45384</v>
      </c>
      <c r="C1093" s="1" t="n">
        <v>45964</v>
      </c>
      <c r="D1093" t="inlineStr">
        <is>
          <t>VÄSTERBOTTENS LÄN</t>
        </is>
      </c>
      <c r="E1093" t="inlineStr">
        <is>
          <t>SKELLEFTEÅ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25515-2021</t>
        </is>
      </c>
      <c r="B1094" s="1" t="n">
        <v>44342.94759259259</v>
      </c>
      <c r="C1094" s="1" t="n">
        <v>45964</v>
      </c>
      <c r="D1094" t="inlineStr">
        <is>
          <t>VÄSTERBOTTENS LÄN</t>
        </is>
      </c>
      <c r="E1094" t="inlineStr">
        <is>
          <t>SKELLEFTEÅ</t>
        </is>
      </c>
      <c r="F1094" t="inlineStr">
        <is>
          <t>SCA</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70748-2021</t>
        </is>
      </c>
      <c r="B1095" s="1" t="n">
        <v>44537.63729166667</v>
      </c>
      <c r="C1095" s="1" t="n">
        <v>45964</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28291-2021</t>
        </is>
      </c>
      <c r="B1096" s="1" t="n">
        <v>44356.27717592593</v>
      </c>
      <c r="C1096" s="1" t="n">
        <v>45964</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35338-2023</t>
        </is>
      </c>
      <c r="B1097" s="1" t="n">
        <v>45145</v>
      </c>
      <c r="C1097" s="1" t="n">
        <v>45964</v>
      </c>
      <c r="D1097" t="inlineStr">
        <is>
          <t>VÄSTERBOTTENS LÄN</t>
        </is>
      </c>
      <c r="E1097" t="inlineStr">
        <is>
          <t>SKELLEFTEÅ</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29321-2024</t>
        </is>
      </c>
      <c r="B1098" s="1" t="n">
        <v>45483.4243287037</v>
      </c>
      <c r="C1098" s="1" t="n">
        <v>45964</v>
      </c>
      <c r="D1098" t="inlineStr">
        <is>
          <t>VÄSTERBOTTENS LÄN</t>
        </is>
      </c>
      <c r="E1098" t="inlineStr">
        <is>
          <t>SKELLEFTEÅ</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40898-2021</t>
        </is>
      </c>
      <c r="B1099" s="1" t="n">
        <v>44421.48540509259</v>
      </c>
      <c r="C1099" s="1" t="n">
        <v>45964</v>
      </c>
      <c r="D1099" t="inlineStr">
        <is>
          <t>VÄSTERBOTTENS LÄN</t>
        </is>
      </c>
      <c r="E1099" t="inlineStr">
        <is>
          <t>SKELLEFTEÅ</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58939-2024</t>
        </is>
      </c>
      <c r="B1100" s="1" t="n">
        <v>45636.53543981481</v>
      </c>
      <c r="C1100" s="1" t="n">
        <v>45964</v>
      </c>
      <c r="D1100" t="inlineStr">
        <is>
          <t>VÄSTERBOTTENS LÄN</t>
        </is>
      </c>
      <c r="E1100" t="inlineStr">
        <is>
          <t>SKELLEFTEÅ</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24068-2025</t>
        </is>
      </c>
      <c r="B1101" s="1" t="n">
        <v>45796.53878472222</v>
      </c>
      <c r="C1101" s="1" t="n">
        <v>45964</v>
      </c>
      <c r="D1101" t="inlineStr">
        <is>
          <t>VÄSTERBOTTENS LÄN</t>
        </is>
      </c>
      <c r="E1101" t="inlineStr">
        <is>
          <t>SKELLEFTEÅ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33771-2023</t>
        </is>
      </c>
      <c r="B1102" s="1" t="n">
        <v>45133.49151620371</v>
      </c>
      <c r="C1102" s="1" t="n">
        <v>45964</v>
      </c>
      <c r="D1102" t="inlineStr">
        <is>
          <t>VÄSTERBOTTENS LÄN</t>
        </is>
      </c>
      <c r="E1102" t="inlineStr">
        <is>
          <t>SKELLEFTEÅ</t>
        </is>
      </c>
      <c r="F1102" t="inlineStr">
        <is>
          <t>Holmen skog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24577-2022</t>
        </is>
      </c>
      <c r="B1103" s="1" t="n">
        <v>44727</v>
      </c>
      <c r="C1103" s="1" t="n">
        <v>45964</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24583-2022</t>
        </is>
      </c>
      <c r="B1104" s="1" t="n">
        <v>44727</v>
      </c>
      <c r="C1104" s="1" t="n">
        <v>45964</v>
      </c>
      <c r="D1104" t="inlineStr">
        <is>
          <t>VÄSTERBOTTENS LÄN</t>
        </is>
      </c>
      <c r="E1104" t="inlineStr">
        <is>
          <t>SKELLEFTEÅ</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24261-2025</t>
        </is>
      </c>
      <c r="B1105" s="1" t="n">
        <v>45797</v>
      </c>
      <c r="C1105" s="1" t="n">
        <v>45964</v>
      </c>
      <c r="D1105" t="inlineStr">
        <is>
          <t>VÄSTERBOTTENS LÄN</t>
        </is>
      </c>
      <c r="E1105" t="inlineStr">
        <is>
          <t>SKELLEFTEÅ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56806-2024</t>
        </is>
      </c>
      <c r="B1106" s="1" t="n">
        <v>45628.47483796296</v>
      </c>
      <c r="C1106" s="1" t="n">
        <v>45964</v>
      </c>
      <c r="D1106" t="inlineStr">
        <is>
          <t>VÄSTERBOTTENS LÄN</t>
        </is>
      </c>
      <c r="E1106" t="inlineStr">
        <is>
          <t>SKELLEFTEÅ</t>
        </is>
      </c>
      <c r="F1106" t="inlineStr">
        <is>
          <t>Holmen skog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24061-2025</t>
        </is>
      </c>
      <c r="B1107" s="1" t="n">
        <v>45796.52805555556</v>
      </c>
      <c r="C1107" s="1" t="n">
        <v>45964</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46268-2024</t>
        </is>
      </c>
      <c r="B1108" s="1" t="n">
        <v>45581</v>
      </c>
      <c r="C1108" s="1" t="n">
        <v>45964</v>
      </c>
      <c r="D1108" t="inlineStr">
        <is>
          <t>VÄSTERBOTTENS LÄN</t>
        </is>
      </c>
      <c r="E1108" t="inlineStr">
        <is>
          <t>SKELLEFTEÅ</t>
        </is>
      </c>
      <c r="F1108" t="inlineStr">
        <is>
          <t>Holmen skog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56965-2024</t>
        </is>
      </c>
      <c r="B1109" s="1" t="n">
        <v>45628.65949074074</v>
      </c>
      <c r="C1109" s="1" t="n">
        <v>45964</v>
      </c>
      <c r="D1109" t="inlineStr">
        <is>
          <t>VÄSTERBOTTENS LÄN</t>
        </is>
      </c>
      <c r="E1109" t="inlineStr">
        <is>
          <t>SKELLEFTEÅ</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46377-2024</t>
        </is>
      </c>
      <c r="B1110" s="1" t="n">
        <v>45582</v>
      </c>
      <c r="C1110" s="1" t="n">
        <v>45964</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24065-2025</t>
        </is>
      </c>
      <c r="B1111" s="1" t="n">
        <v>45796.5358449074</v>
      </c>
      <c r="C1111" s="1" t="n">
        <v>45964</v>
      </c>
      <c r="D1111" t="inlineStr">
        <is>
          <t>VÄSTERBOTTENS LÄN</t>
        </is>
      </c>
      <c r="E1111" t="inlineStr">
        <is>
          <t>SKELLEFTEÅ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35437-2023</t>
        </is>
      </c>
      <c r="B1112" s="1" t="n">
        <v>45146</v>
      </c>
      <c r="C1112" s="1" t="n">
        <v>45964</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46968-2024</t>
        </is>
      </c>
      <c r="B1113" s="1" t="n">
        <v>45586</v>
      </c>
      <c r="C1113" s="1" t="n">
        <v>45964</v>
      </c>
      <c r="D1113" t="inlineStr">
        <is>
          <t>VÄSTERBOTTENS LÄN</t>
        </is>
      </c>
      <c r="E1113" t="inlineStr">
        <is>
          <t>SKELLEFTEÅ</t>
        </is>
      </c>
      <c r="F1113" t="inlineStr">
        <is>
          <t>Sveaskog</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25512-2021</t>
        </is>
      </c>
      <c r="B1114" s="1" t="n">
        <v>44342</v>
      </c>
      <c r="C1114" s="1" t="n">
        <v>45964</v>
      </c>
      <c r="D1114" t="inlineStr">
        <is>
          <t>VÄSTERBOTTENS LÄN</t>
        </is>
      </c>
      <c r="E1114" t="inlineStr">
        <is>
          <t>SKELLEFTEÅ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19765-2025</t>
        </is>
      </c>
      <c r="B1115" s="1" t="n">
        <v>45771.4071875</v>
      </c>
      <c r="C1115" s="1" t="n">
        <v>45964</v>
      </c>
      <c r="D1115" t="inlineStr">
        <is>
          <t>VÄSTERBOTTENS LÄN</t>
        </is>
      </c>
      <c r="E1115" t="inlineStr">
        <is>
          <t>SKELLEFTEÅ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19779-2025</t>
        </is>
      </c>
      <c r="B1116" s="1" t="n">
        <v>45771.42736111111</v>
      </c>
      <c r="C1116" s="1" t="n">
        <v>45964</v>
      </c>
      <c r="D1116" t="inlineStr">
        <is>
          <t>VÄSTERBOTTENS LÄN</t>
        </is>
      </c>
      <c r="E1116" t="inlineStr">
        <is>
          <t>SKELLEFTEÅ</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24569-2025</t>
        </is>
      </c>
      <c r="B1117" s="1" t="n">
        <v>45798.46928240741</v>
      </c>
      <c r="C1117" s="1" t="n">
        <v>45964</v>
      </c>
      <c r="D1117" t="inlineStr">
        <is>
          <t>VÄSTERBOTTENS LÄN</t>
        </is>
      </c>
      <c r="E1117" t="inlineStr">
        <is>
          <t>SKELLEFTEÅ</t>
        </is>
      </c>
      <c r="G1117" t="n">
        <v>20.9</v>
      </c>
      <c r="H1117" t="n">
        <v>0</v>
      </c>
      <c r="I1117" t="n">
        <v>0</v>
      </c>
      <c r="J1117" t="n">
        <v>0</v>
      </c>
      <c r="K1117" t="n">
        <v>0</v>
      </c>
      <c r="L1117" t="n">
        <v>0</v>
      </c>
      <c r="M1117" t="n">
        <v>0</v>
      </c>
      <c r="N1117" t="n">
        <v>0</v>
      </c>
      <c r="O1117" t="n">
        <v>0</v>
      </c>
      <c r="P1117" t="n">
        <v>0</v>
      </c>
      <c r="Q1117" t="n">
        <v>0</v>
      </c>
      <c r="R1117" s="2" t="inlineStr"/>
    </row>
    <row r="1118" ht="15" customHeight="1">
      <c r="A1118" t="inlineStr">
        <is>
          <t>A 30900-2024</t>
        </is>
      </c>
      <c r="B1118" s="1" t="n">
        <v>45498</v>
      </c>
      <c r="C1118" s="1" t="n">
        <v>45964</v>
      </c>
      <c r="D1118" t="inlineStr">
        <is>
          <t>VÄSTERBOTTENS LÄN</t>
        </is>
      </c>
      <c r="E1118" t="inlineStr">
        <is>
          <t>SKELLEFTEÅ</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14384-2025</t>
        </is>
      </c>
      <c r="B1119" s="1" t="n">
        <v>45741.41962962963</v>
      </c>
      <c r="C1119" s="1" t="n">
        <v>45964</v>
      </c>
      <c r="D1119" t="inlineStr">
        <is>
          <t>VÄSTERBOTTENS LÄN</t>
        </is>
      </c>
      <c r="E1119" t="inlineStr">
        <is>
          <t>SKELLEFTEÅ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53642-2022</t>
        </is>
      </c>
      <c r="B1120" s="1" t="n">
        <v>44879</v>
      </c>
      <c r="C1120" s="1" t="n">
        <v>45964</v>
      </c>
      <c r="D1120" t="inlineStr">
        <is>
          <t>VÄSTERBOTTENS LÄN</t>
        </is>
      </c>
      <c r="E1120" t="inlineStr">
        <is>
          <t>SKELLEFTEÅ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44968-2024</t>
        </is>
      </c>
      <c r="B1121" s="1" t="n">
        <v>45575.45949074074</v>
      </c>
      <c r="C1121" s="1" t="n">
        <v>45964</v>
      </c>
      <c r="D1121" t="inlineStr">
        <is>
          <t>VÄSTERBOTTENS LÄN</t>
        </is>
      </c>
      <c r="E1121" t="inlineStr">
        <is>
          <t>SKELLEFTEÅ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25046-2025</t>
        </is>
      </c>
      <c r="B1122" s="1" t="n">
        <v>45799.6671412037</v>
      </c>
      <c r="C1122" s="1" t="n">
        <v>45964</v>
      </c>
      <c r="D1122" t="inlineStr">
        <is>
          <t>VÄSTERBOTTENS LÄN</t>
        </is>
      </c>
      <c r="E1122" t="inlineStr">
        <is>
          <t>SKELLEFTEÅ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44872-2023</t>
        </is>
      </c>
      <c r="B1123" s="1" t="n">
        <v>45190.60226851852</v>
      </c>
      <c r="C1123" s="1" t="n">
        <v>45964</v>
      </c>
      <c r="D1123" t="inlineStr">
        <is>
          <t>VÄSTERBOTTENS LÄN</t>
        </is>
      </c>
      <c r="E1123" t="inlineStr">
        <is>
          <t>SKELLEFTEÅ</t>
        </is>
      </c>
      <c r="F1123" t="inlineStr">
        <is>
          <t>Holmen skog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16539-2025</t>
        </is>
      </c>
      <c r="B1124" s="1" t="n">
        <v>45751.66283564815</v>
      </c>
      <c r="C1124" s="1" t="n">
        <v>45964</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53716-2024</t>
        </is>
      </c>
      <c r="B1125" s="1" t="n">
        <v>45615.43059027778</v>
      </c>
      <c r="C1125" s="1" t="n">
        <v>45964</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37855-2023</t>
        </is>
      </c>
      <c r="B1126" s="1" t="n">
        <v>45160.40148148148</v>
      </c>
      <c r="C1126" s="1" t="n">
        <v>45964</v>
      </c>
      <c r="D1126" t="inlineStr">
        <is>
          <t>VÄSTERBOTTENS LÄN</t>
        </is>
      </c>
      <c r="E1126" t="inlineStr">
        <is>
          <t>SKELLEFTEÅ</t>
        </is>
      </c>
      <c r="F1126" t="inlineStr">
        <is>
          <t>Holmen skog AB</t>
        </is>
      </c>
      <c r="G1126" t="n">
        <v>12.3</v>
      </c>
      <c r="H1126" t="n">
        <v>0</v>
      </c>
      <c r="I1126" t="n">
        <v>0</v>
      </c>
      <c r="J1126" t="n">
        <v>0</v>
      </c>
      <c r="K1126" t="n">
        <v>0</v>
      </c>
      <c r="L1126" t="n">
        <v>0</v>
      </c>
      <c r="M1126" t="n">
        <v>0</v>
      </c>
      <c r="N1126" t="n">
        <v>0</v>
      </c>
      <c r="O1126" t="n">
        <v>0</v>
      </c>
      <c r="P1126" t="n">
        <v>0</v>
      </c>
      <c r="Q1126" t="n">
        <v>0</v>
      </c>
      <c r="R1126" s="2" t="inlineStr"/>
    </row>
    <row r="1127" ht="15" customHeight="1">
      <c r="A1127" t="inlineStr">
        <is>
          <t>A 19905-2024</t>
        </is>
      </c>
      <c r="B1127" s="1" t="n">
        <v>45433.56965277778</v>
      </c>
      <c r="C1127" s="1" t="n">
        <v>45964</v>
      </c>
      <c r="D1127" t="inlineStr">
        <is>
          <t>VÄSTERBOTTENS LÄN</t>
        </is>
      </c>
      <c r="E1127" t="inlineStr">
        <is>
          <t>SKELLEFTEÅ</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27560-2022</t>
        </is>
      </c>
      <c r="B1128" s="1" t="n">
        <v>44742.9269212963</v>
      </c>
      <c r="C1128" s="1" t="n">
        <v>45964</v>
      </c>
      <c r="D1128" t="inlineStr">
        <is>
          <t>VÄSTERBOTTENS LÄN</t>
        </is>
      </c>
      <c r="E1128" t="inlineStr">
        <is>
          <t>SKELLEFTEÅ</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43515-2022</t>
        </is>
      </c>
      <c r="B1129" s="1" t="n">
        <v>44837.3690162037</v>
      </c>
      <c r="C1129" s="1" t="n">
        <v>45964</v>
      </c>
      <c r="D1129" t="inlineStr">
        <is>
          <t>VÄSTERBOTTENS LÄN</t>
        </is>
      </c>
      <c r="E1129" t="inlineStr">
        <is>
          <t>SKELLEFTEÅ</t>
        </is>
      </c>
      <c r="F1129" t="inlineStr">
        <is>
          <t>Holmen skog AB</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38995-2022</t>
        </is>
      </c>
      <c r="B1130" s="1" t="n">
        <v>44816</v>
      </c>
      <c r="C1130" s="1" t="n">
        <v>45964</v>
      </c>
      <c r="D1130" t="inlineStr">
        <is>
          <t>VÄSTERBOTTENS LÄN</t>
        </is>
      </c>
      <c r="E1130" t="inlineStr">
        <is>
          <t>SKELLEFTEÅ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24728-2025</t>
        </is>
      </c>
      <c r="B1131" s="1" t="n">
        <v>45799</v>
      </c>
      <c r="C1131" s="1" t="n">
        <v>45964</v>
      </c>
      <c r="D1131" t="inlineStr">
        <is>
          <t>VÄSTERBOTTENS LÄN</t>
        </is>
      </c>
      <c r="E1131" t="inlineStr">
        <is>
          <t>SKELLEFTEÅ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54813-2023</t>
        </is>
      </c>
      <c r="B1132" s="1" t="n">
        <v>45236</v>
      </c>
      <c r="C1132" s="1" t="n">
        <v>45964</v>
      </c>
      <c r="D1132" t="inlineStr">
        <is>
          <t>VÄSTERBOTTENS LÄN</t>
        </is>
      </c>
      <c r="E1132" t="inlineStr">
        <is>
          <t>SKELLEFTEÅ</t>
        </is>
      </c>
      <c r="F1132" t="inlineStr">
        <is>
          <t>Sveaskog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17478-2023</t>
        </is>
      </c>
      <c r="B1133" s="1" t="n">
        <v>45034</v>
      </c>
      <c r="C1133" s="1" t="n">
        <v>45964</v>
      </c>
      <c r="D1133" t="inlineStr">
        <is>
          <t>VÄSTERBOTTENS LÄN</t>
        </is>
      </c>
      <c r="E1133" t="inlineStr">
        <is>
          <t>SKELLEFTEÅ</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40966-2024</t>
        </is>
      </c>
      <c r="B1134" s="1" t="n">
        <v>45558.67207175926</v>
      </c>
      <c r="C1134" s="1" t="n">
        <v>45964</v>
      </c>
      <c r="D1134" t="inlineStr">
        <is>
          <t>VÄSTERBOTTENS LÄN</t>
        </is>
      </c>
      <c r="E1134" t="inlineStr">
        <is>
          <t>SKELLEFTEÅ</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16602-2025</t>
        </is>
      </c>
      <c r="B1135" s="1" t="n">
        <v>45753.53373842593</v>
      </c>
      <c r="C1135" s="1" t="n">
        <v>45964</v>
      </c>
      <c r="D1135" t="inlineStr">
        <is>
          <t>VÄSTERBOTTENS LÄN</t>
        </is>
      </c>
      <c r="E1135" t="inlineStr">
        <is>
          <t>SKELLEFTEÅ</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53083-2022</t>
        </is>
      </c>
      <c r="B1136" s="1" t="n">
        <v>44876</v>
      </c>
      <c r="C1136" s="1" t="n">
        <v>45964</v>
      </c>
      <c r="D1136" t="inlineStr">
        <is>
          <t>VÄSTERBOTTENS LÄN</t>
        </is>
      </c>
      <c r="E1136" t="inlineStr">
        <is>
          <t>SKELLEFTEÅ</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12842-2025</t>
        </is>
      </c>
      <c r="B1137" s="1" t="n">
        <v>45733.64532407407</v>
      </c>
      <c r="C1137" s="1" t="n">
        <v>45964</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18637-2025</t>
        </is>
      </c>
      <c r="B1138" s="1" t="n">
        <v>45763.56527777778</v>
      </c>
      <c r="C1138" s="1" t="n">
        <v>45964</v>
      </c>
      <c r="D1138" t="inlineStr">
        <is>
          <t>VÄSTERBOTTENS LÄN</t>
        </is>
      </c>
      <c r="E1138" t="inlineStr">
        <is>
          <t>SKELLEFTEÅ</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64391-2021</t>
        </is>
      </c>
      <c r="B1139" s="1" t="n">
        <v>44511</v>
      </c>
      <c r="C1139" s="1" t="n">
        <v>45964</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62642-2022</t>
        </is>
      </c>
      <c r="B1140" s="1" t="n">
        <v>44925</v>
      </c>
      <c r="C1140" s="1" t="n">
        <v>45964</v>
      </c>
      <c r="D1140" t="inlineStr">
        <is>
          <t>VÄSTERBOTTENS LÄN</t>
        </is>
      </c>
      <c r="E1140" t="inlineStr">
        <is>
          <t>SKELLEFTEÅ</t>
        </is>
      </c>
      <c r="F1140" t="inlineStr">
        <is>
          <t>Holmen skog AB</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24858-2025</t>
        </is>
      </c>
      <c r="B1141" s="1" t="n">
        <v>45799.47877314815</v>
      </c>
      <c r="C1141" s="1" t="n">
        <v>45964</v>
      </c>
      <c r="D1141" t="inlineStr">
        <is>
          <t>VÄSTERBOTTENS LÄN</t>
        </is>
      </c>
      <c r="E1141" t="inlineStr">
        <is>
          <t>SKELLEFTEÅ</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53183-2023</t>
        </is>
      </c>
      <c r="B1142" s="1" t="n">
        <v>45229.41625</v>
      </c>
      <c r="C1142" s="1" t="n">
        <v>45964</v>
      </c>
      <c r="D1142" t="inlineStr">
        <is>
          <t>VÄSTERBOTTENS LÄN</t>
        </is>
      </c>
      <c r="E1142" t="inlineStr">
        <is>
          <t>SKELLEFTEÅ</t>
        </is>
      </c>
      <c r="F1142" t="inlineStr">
        <is>
          <t>Sveaskog</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54113-2023</t>
        </is>
      </c>
      <c r="B1143" s="1" t="n">
        <v>45232.39173611111</v>
      </c>
      <c r="C1143" s="1" t="n">
        <v>45964</v>
      </c>
      <c r="D1143" t="inlineStr">
        <is>
          <t>VÄSTERBOTTENS LÄN</t>
        </is>
      </c>
      <c r="E1143" t="inlineStr">
        <is>
          <t>SKELLEFTEÅ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24829-2025</t>
        </is>
      </c>
      <c r="B1144" s="1" t="n">
        <v>45799.45777777778</v>
      </c>
      <c r="C1144" s="1" t="n">
        <v>45964</v>
      </c>
      <c r="D1144" t="inlineStr">
        <is>
          <t>VÄSTERBOTTENS LÄN</t>
        </is>
      </c>
      <c r="E1144" t="inlineStr">
        <is>
          <t>SKELLEFTEÅ</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17483-2023</t>
        </is>
      </c>
      <c r="B1145" s="1" t="n">
        <v>45034</v>
      </c>
      <c r="C1145" s="1" t="n">
        <v>45964</v>
      </c>
      <c r="D1145" t="inlineStr">
        <is>
          <t>VÄSTERBOTTENS LÄN</t>
        </is>
      </c>
      <c r="E1145" t="inlineStr">
        <is>
          <t>SKELLEFTEÅ</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48133-2022</t>
        </is>
      </c>
      <c r="B1146" s="1" t="n">
        <v>44857</v>
      </c>
      <c r="C1146" s="1" t="n">
        <v>45964</v>
      </c>
      <c r="D1146" t="inlineStr">
        <is>
          <t>VÄSTERBOTTENS LÄN</t>
        </is>
      </c>
      <c r="E1146" t="inlineStr">
        <is>
          <t>SKELLEFTEÅ</t>
        </is>
      </c>
      <c r="F1146" t="inlineStr">
        <is>
          <t>Sveaskog</t>
        </is>
      </c>
      <c r="G1146" t="n">
        <v>18.3</v>
      </c>
      <c r="H1146" t="n">
        <v>0</v>
      </c>
      <c r="I1146" t="n">
        <v>0</v>
      </c>
      <c r="J1146" t="n">
        <v>0</v>
      </c>
      <c r="K1146" t="n">
        <v>0</v>
      </c>
      <c r="L1146" t="n">
        <v>0</v>
      </c>
      <c r="M1146" t="n">
        <v>0</v>
      </c>
      <c r="N1146" t="n">
        <v>0</v>
      </c>
      <c r="O1146" t="n">
        <v>0</v>
      </c>
      <c r="P1146" t="n">
        <v>0</v>
      </c>
      <c r="Q1146" t="n">
        <v>0</v>
      </c>
      <c r="R1146" s="2" t="inlineStr"/>
    </row>
    <row r="1147" ht="15" customHeight="1">
      <c r="A1147" t="inlineStr">
        <is>
          <t>A 58557-2024</t>
        </is>
      </c>
      <c r="B1147" s="1" t="n">
        <v>45635.46780092592</v>
      </c>
      <c r="C1147" s="1" t="n">
        <v>45964</v>
      </c>
      <c r="D1147" t="inlineStr">
        <is>
          <t>VÄSTERBOTTENS LÄN</t>
        </is>
      </c>
      <c r="E1147" t="inlineStr">
        <is>
          <t>SKELLEFTEÅ</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45384-2021</t>
        </is>
      </c>
      <c r="B1148" s="1" t="n">
        <v>44440.3184375</v>
      </c>
      <c r="C1148" s="1" t="n">
        <v>45964</v>
      </c>
      <c r="D1148" t="inlineStr">
        <is>
          <t>VÄSTERBOTTENS LÄN</t>
        </is>
      </c>
      <c r="E1148" t="inlineStr">
        <is>
          <t>SKELLEFTEÅ</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42808-2022</t>
        </is>
      </c>
      <c r="B1149" s="1" t="n">
        <v>44832</v>
      </c>
      <c r="C1149" s="1" t="n">
        <v>45964</v>
      </c>
      <c r="D1149" t="inlineStr">
        <is>
          <t>VÄSTERBOTTENS LÄN</t>
        </is>
      </c>
      <c r="E1149" t="inlineStr">
        <is>
          <t>SKELLEFTEÅ</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56923-2024</t>
        </is>
      </c>
      <c r="B1150" s="1" t="n">
        <v>45628.60170138889</v>
      </c>
      <c r="C1150" s="1" t="n">
        <v>45964</v>
      </c>
      <c r="D1150" t="inlineStr">
        <is>
          <t>VÄSTERBOTTENS LÄN</t>
        </is>
      </c>
      <c r="E1150" t="inlineStr">
        <is>
          <t>SKELLEFTEÅ</t>
        </is>
      </c>
      <c r="F1150" t="inlineStr">
        <is>
          <t>Holmen skog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59324-2024</t>
        </is>
      </c>
      <c r="B1151" s="1" t="n">
        <v>45637.72047453704</v>
      </c>
      <c r="C1151" s="1" t="n">
        <v>45964</v>
      </c>
      <c r="D1151" t="inlineStr">
        <is>
          <t>VÄSTERBOTTENS LÄN</t>
        </is>
      </c>
      <c r="E1151" t="inlineStr">
        <is>
          <t>SKELLEFTEÅ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24727-2025</t>
        </is>
      </c>
      <c r="B1152" s="1" t="n">
        <v>45799.33260416667</v>
      </c>
      <c r="C1152" s="1" t="n">
        <v>45964</v>
      </c>
      <c r="D1152" t="inlineStr">
        <is>
          <t>VÄSTERBOTTENS LÄN</t>
        </is>
      </c>
      <c r="E1152" t="inlineStr">
        <is>
          <t>SKELLEFTEÅ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55233-2024</t>
        </is>
      </c>
      <c r="B1153" s="1" t="n">
        <v>45620</v>
      </c>
      <c r="C1153" s="1" t="n">
        <v>45964</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55253-2024</t>
        </is>
      </c>
      <c r="B1154" s="1" t="n">
        <v>45620</v>
      </c>
      <c r="C1154" s="1" t="n">
        <v>45964</v>
      </c>
      <c r="D1154" t="inlineStr">
        <is>
          <t>VÄSTERBOTTENS LÄN</t>
        </is>
      </c>
      <c r="E1154" t="inlineStr">
        <is>
          <t>SKELLEFTEÅ</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25688-2025</t>
        </is>
      </c>
      <c r="B1155" s="1" t="n">
        <v>45800</v>
      </c>
      <c r="C1155" s="1" t="n">
        <v>45964</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1964-2025</t>
        </is>
      </c>
      <c r="B1156" s="1" t="n">
        <v>45672.37693287037</v>
      </c>
      <c r="C1156" s="1" t="n">
        <v>45964</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1980-2025</t>
        </is>
      </c>
      <c r="B1157" s="1" t="n">
        <v>45671</v>
      </c>
      <c r="C1157" s="1" t="n">
        <v>45964</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22072-2024</t>
        </is>
      </c>
      <c r="B1158" s="1" t="n">
        <v>45443.63575231482</v>
      </c>
      <c r="C1158" s="1" t="n">
        <v>45964</v>
      </c>
      <c r="D1158" t="inlineStr">
        <is>
          <t>VÄSTERBOTTENS LÄN</t>
        </is>
      </c>
      <c r="E1158" t="inlineStr">
        <is>
          <t>SKELLEFTEÅ</t>
        </is>
      </c>
      <c r="F1158" t="inlineStr">
        <is>
          <t>Holmen skog AB</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60134-2024</t>
        </is>
      </c>
      <c r="B1159" s="1" t="n">
        <v>45642.60092592592</v>
      </c>
      <c r="C1159" s="1" t="n">
        <v>45964</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35189-2022</t>
        </is>
      </c>
      <c r="B1160" s="1" t="n">
        <v>44797</v>
      </c>
      <c r="C1160" s="1" t="n">
        <v>45964</v>
      </c>
      <c r="D1160" t="inlineStr">
        <is>
          <t>VÄSTERBOTTENS LÄN</t>
        </is>
      </c>
      <c r="E1160" t="inlineStr">
        <is>
          <t>SKELLEFTEÅ</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7027-2025</t>
        </is>
      </c>
      <c r="B1161" s="1" t="n">
        <v>45701.63026620371</v>
      </c>
      <c r="C1161" s="1" t="n">
        <v>45964</v>
      </c>
      <c r="D1161" t="inlineStr">
        <is>
          <t>VÄSTERBOTTENS LÄN</t>
        </is>
      </c>
      <c r="E1161" t="inlineStr">
        <is>
          <t>SKELLEFTEÅ</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25525-2025</t>
        </is>
      </c>
      <c r="B1162" s="1" t="n">
        <v>45803.3865162037</v>
      </c>
      <c r="C1162" s="1" t="n">
        <v>45964</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38578-2022</t>
        </is>
      </c>
      <c r="B1163" s="1" t="n">
        <v>44813.48444444445</v>
      </c>
      <c r="C1163" s="1" t="n">
        <v>45964</v>
      </c>
      <c r="D1163" t="inlineStr">
        <is>
          <t>VÄSTERBOTTENS LÄN</t>
        </is>
      </c>
      <c r="E1163" t="inlineStr">
        <is>
          <t>SKELLEFTEÅ</t>
        </is>
      </c>
      <c r="F1163" t="inlineStr">
        <is>
          <t>Holmen skog AB</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62504-2023</t>
        </is>
      </c>
      <c r="B1164" s="1" t="n">
        <v>45268</v>
      </c>
      <c r="C1164" s="1" t="n">
        <v>45964</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25542-2025</t>
        </is>
      </c>
      <c r="B1165" s="1" t="n">
        <v>45803.42774305555</v>
      </c>
      <c r="C1165" s="1" t="n">
        <v>45964</v>
      </c>
      <c r="D1165" t="inlineStr">
        <is>
          <t>VÄSTERBOTTENS LÄN</t>
        </is>
      </c>
      <c r="E1165" t="inlineStr">
        <is>
          <t>SKELLEFTEÅ</t>
        </is>
      </c>
      <c r="F1165" t="inlineStr">
        <is>
          <t>Holmen skog AB</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60339-2023</t>
        </is>
      </c>
      <c r="B1166" s="1" t="n">
        <v>45259</v>
      </c>
      <c r="C1166" s="1" t="n">
        <v>45964</v>
      </c>
      <c r="D1166" t="inlineStr">
        <is>
          <t>VÄSTERBOTTENS LÄN</t>
        </is>
      </c>
      <c r="E1166" t="inlineStr">
        <is>
          <t>SKELLEFTEÅ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25641-2025</t>
        </is>
      </c>
      <c r="B1167" s="1" t="n">
        <v>45803.60377314815</v>
      </c>
      <c r="C1167" s="1" t="n">
        <v>45964</v>
      </c>
      <c r="D1167" t="inlineStr">
        <is>
          <t>VÄSTERBOTTENS LÄN</t>
        </is>
      </c>
      <c r="E1167" t="inlineStr">
        <is>
          <t>SKELLEFTEÅ</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57191-2023</t>
        </is>
      </c>
      <c r="B1168" s="1" t="n">
        <v>45245</v>
      </c>
      <c r="C1168" s="1" t="n">
        <v>45964</v>
      </c>
      <c r="D1168" t="inlineStr">
        <is>
          <t>VÄSTERBOTTENS LÄN</t>
        </is>
      </c>
      <c r="E1168" t="inlineStr">
        <is>
          <t>SKELLEFTEÅ</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59640-2024</t>
        </is>
      </c>
      <c r="B1169" s="1" t="n">
        <v>45639.30232638889</v>
      </c>
      <c r="C1169" s="1" t="n">
        <v>45964</v>
      </c>
      <c r="D1169" t="inlineStr">
        <is>
          <t>VÄSTERBOTTENS LÄN</t>
        </is>
      </c>
      <c r="E1169" t="inlineStr">
        <is>
          <t>SKELLEFTEÅ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24963-2023</t>
        </is>
      </c>
      <c r="B1170" s="1" t="n">
        <v>45085</v>
      </c>
      <c r="C1170" s="1" t="n">
        <v>45964</v>
      </c>
      <c r="D1170" t="inlineStr">
        <is>
          <t>VÄSTERBOTTENS LÄN</t>
        </is>
      </c>
      <c r="E1170" t="inlineStr">
        <is>
          <t>SKELLEFTEÅ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25403-2025</t>
        </is>
      </c>
      <c r="B1171" s="1" t="n">
        <v>45800.65652777778</v>
      </c>
      <c r="C1171" s="1" t="n">
        <v>45964</v>
      </c>
      <c r="D1171" t="inlineStr">
        <is>
          <t>VÄSTERBOTTENS LÄN</t>
        </is>
      </c>
      <c r="E1171" t="inlineStr">
        <is>
          <t>SKELLEFTEÅ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4510-2025</t>
        </is>
      </c>
      <c r="B1172" s="1" t="n">
        <v>45686</v>
      </c>
      <c r="C1172" s="1" t="n">
        <v>45964</v>
      </c>
      <c r="D1172" t="inlineStr">
        <is>
          <t>VÄSTERBOTTENS LÄN</t>
        </is>
      </c>
      <c r="E1172" t="inlineStr">
        <is>
          <t>SKELLEFTEÅ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34622-2024</t>
        </is>
      </c>
      <c r="B1173" s="1" t="n">
        <v>45526.44155092593</v>
      </c>
      <c r="C1173" s="1" t="n">
        <v>45964</v>
      </c>
      <c r="D1173" t="inlineStr">
        <is>
          <t>VÄSTERBOTTENS LÄN</t>
        </is>
      </c>
      <c r="E1173" t="inlineStr">
        <is>
          <t>SKELLEFTEÅ</t>
        </is>
      </c>
      <c r="F1173" t="inlineStr">
        <is>
          <t>Holmen skog AB</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25527-2025</t>
        </is>
      </c>
      <c r="B1174" s="1" t="n">
        <v>45803.38699074074</v>
      </c>
      <c r="C1174" s="1" t="n">
        <v>45964</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21077-2024</t>
        </is>
      </c>
      <c r="B1175" s="1" t="n">
        <v>45439.92695601852</v>
      </c>
      <c r="C1175" s="1" t="n">
        <v>45964</v>
      </c>
      <c r="D1175" t="inlineStr">
        <is>
          <t>VÄSTERBOTTENS LÄN</t>
        </is>
      </c>
      <c r="E1175" t="inlineStr">
        <is>
          <t>SKELLEFTEÅ</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59744-2022</t>
        </is>
      </c>
      <c r="B1176" s="1" t="n">
        <v>44908</v>
      </c>
      <c r="C1176" s="1" t="n">
        <v>45964</v>
      </c>
      <c r="D1176" t="inlineStr">
        <is>
          <t>VÄSTERBOTTENS LÄN</t>
        </is>
      </c>
      <c r="E1176" t="inlineStr">
        <is>
          <t>SKELLEFTEÅ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8839-2025</t>
        </is>
      </c>
      <c r="B1177" s="1" t="n">
        <v>45713</v>
      </c>
      <c r="C1177" s="1" t="n">
        <v>45964</v>
      </c>
      <c r="D1177" t="inlineStr">
        <is>
          <t>VÄSTERBOTTENS LÄN</t>
        </is>
      </c>
      <c r="E1177" t="inlineStr">
        <is>
          <t>SKELLEFTEÅ</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8840-2025</t>
        </is>
      </c>
      <c r="B1178" s="1" t="n">
        <v>45713.30810185185</v>
      </c>
      <c r="C1178" s="1" t="n">
        <v>45964</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10978-2025</t>
        </is>
      </c>
      <c r="B1179" s="1" t="n">
        <v>45723</v>
      </c>
      <c r="C1179" s="1" t="n">
        <v>45964</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10980-2025</t>
        </is>
      </c>
      <c r="B1180" s="1" t="n">
        <v>45723</v>
      </c>
      <c r="C1180" s="1" t="n">
        <v>45964</v>
      </c>
      <c r="D1180" t="inlineStr">
        <is>
          <t>VÄSTERBOTTENS LÄN</t>
        </is>
      </c>
      <c r="E1180" t="inlineStr">
        <is>
          <t>SKELLEFTEÅ</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25801-2025</t>
        </is>
      </c>
      <c r="B1181" s="1" t="n">
        <v>45803</v>
      </c>
      <c r="C1181" s="1" t="n">
        <v>45964</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25804-2025</t>
        </is>
      </c>
      <c r="B1182" s="1" t="n">
        <v>45803</v>
      </c>
      <c r="C1182" s="1" t="n">
        <v>45964</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18368-2024</t>
        </is>
      </c>
      <c r="B1183" s="1" t="n">
        <v>45422</v>
      </c>
      <c r="C1183" s="1" t="n">
        <v>45964</v>
      </c>
      <c r="D1183" t="inlineStr">
        <is>
          <t>VÄSTERBOTTENS LÄN</t>
        </is>
      </c>
      <c r="E1183" t="inlineStr">
        <is>
          <t>SKELLEFTEÅ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27627-2024</t>
        </is>
      </c>
      <c r="B1184" s="1" t="n">
        <v>45474.9281712963</v>
      </c>
      <c r="C1184" s="1" t="n">
        <v>45964</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44616-2022</t>
        </is>
      </c>
      <c r="B1185" s="1" t="n">
        <v>44839</v>
      </c>
      <c r="C1185" s="1" t="n">
        <v>45964</v>
      </c>
      <c r="D1185" t="inlineStr">
        <is>
          <t>VÄSTERBOTTENS LÄN</t>
        </is>
      </c>
      <c r="E1185" t="inlineStr">
        <is>
          <t>SKELLEFTEÅ</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25514-2025</t>
        </is>
      </c>
      <c r="B1186" s="1" t="n">
        <v>45803.36482638889</v>
      </c>
      <c r="C1186" s="1" t="n">
        <v>45964</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25526-2025</t>
        </is>
      </c>
      <c r="B1187" s="1" t="n">
        <v>45803.38655092593</v>
      </c>
      <c r="C1187" s="1" t="n">
        <v>45964</v>
      </c>
      <c r="D1187" t="inlineStr">
        <is>
          <t>VÄSTERBOTTENS LÄN</t>
        </is>
      </c>
      <c r="E1187" t="inlineStr">
        <is>
          <t>SKELLEFTEÅ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14089-2023</t>
        </is>
      </c>
      <c r="B1188" s="1" t="n">
        <v>45009.33761574074</v>
      </c>
      <c r="C1188" s="1" t="n">
        <v>45964</v>
      </c>
      <c r="D1188" t="inlineStr">
        <is>
          <t>VÄSTERBOTTENS LÄN</t>
        </is>
      </c>
      <c r="E1188" t="inlineStr">
        <is>
          <t>SKELLEFTEÅ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45389-2021</t>
        </is>
      </c>
      <c r="B1189" s="1" t="n">
        <v>44440</v>
      </c>
      <c r="C1189" s="1" t="n">
        <v>45964</v>
      </c>
      <c r="D1189" t="inlineStr">
        <is>
          <t>VÄSTERBOTTENS LÄN</t>
        </is>
      </c>
      <c r="E1189" t="inlineStr">
        <is>
          <t>SKELLEFTEÅ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36895-2024</t>
        </is>
      </c>
      <c r="B1190" s="1" t="n">
        <v>45538.61855324074</v>
      </c>
      <c r="C1190" s="1" t="n">
        <v>45964</v>
      </c>
      <c r="D1190" t="inlineStr">
        <is>
          <t>VÄSTERBOTTENS LÄN</t>
        </is>
      </c>
      <c r="E1190" t="inlineStr">
        <is>
          <t>SKELLEFTEÅ</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25773-2025</t>
        </is>
      </c>
      <c r="B1191" s="1" t="n">
        <v>45804.34528935186</v>
      </c>
      <c r="C1191" s="1" t="n">
        <v>45964</v>
      </c>
      <c r="D1191" t="inlineStr">
        <is>
          <t>VÄSTERBOTTENS LÄN</t>
        </is>
      </c>
      <c r="E1191" t="inlineStr">
        <is>
          <t>SKELLEFTEÅ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1257-2024</t>
        </is>
      </c>
      <c r="B1192" s="1" t="n">
        <v>45302</v>
      </c>
      <c r="C1192" s="1" t="n">
        <v>45964</v>
      </c>
      <c r="D1192" t="inlineStr">
        <is>
          <t>VÄSTERBOTTENS LÄN</t>
        </is>
      </c>
      <c r="E1192" t="inlineStr">
        <is>
          <t>SKELLEFTEÅ</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3924-2022</t>
        </is>
      </c>
      <c r="B1193" s="1" t="n">
        <v>44587</v>
      </c>
      <c r="C1193" s="1" t="n">
        <v>45964</v>
      </c>
      <c r="D1193" t="inlineStr">
        <is>
          <t>VÄSTERBOTTENS LÄN</t>
        </is>
      </c>
      <c r="E1193" t="inlineStr">
        <is>
          <t>SKELLEFTEÅ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28166-2023</t>
        </is>
      </c>
      <c r="B1194" s="1" t="n">
        <v>45096</v>
      </c>
      <c r="C1194" s="1" t="n">
        <v>45964</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41642-2024</t>
        </is>
      </c>
      <c r="B1195" s="1" t="n">
        <v>45560.63359953704</v>
      </c>
      <c r="C1195" s="1" t="n">
        <v>45964</v>
      </c>
      <c r="D1195" t="inlineStr">
        <is>
          <t>VÄSTERBOTTENS LÄN</t>
        </is>
      </c>
      <c r="E1195" t="inlineStr">
        <is>
          <t>SKELLEFTEÅ</t>
        </is>
      </c>
      <c r="F1195" t="inlineStr">
        <is>
          <t>Holmen skog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25958-2025</t>
        </is>
      </c>
      <c r="B1196" s="1" t="n">
        <v>45804.60783564814</v>
      </c>
      <c r="C1196" s="1" t="n">
        <v>45964</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1933-2023</t>
        </is>
      </c>
      <c r="B1197" s="1" t="n">
        <v>44938</v>
      </c>
      <c r="C1197" s="1" t="n">
        <v>45964</v>
      </c>
      <c r="D1197" t="inlineStr">
        <is>
          <t>VÄSTERBOTTENS LÄN</t>
        </is>
      </c>
      <c r="E1197" t="inlineStr">
        <is>
          <t>SKELLEFTEÅ</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26045-2025</t>
        </is>
      </c>
      <c r="B1198" s="1" t="n">
        <v>45804.70626157407</v>
      </c>
      <c r="C1198" s="1" t="n">
        <v>45964</v>
      </c>
      <c r="D1198" t="inlineStr">
        <is>
          <t>VÄSTERBOTTENS LÄN</t>
        </is>
      </c>
      <c r="E1198" t="inlineStr">
        <is>
          <t>SKELLEFTEÅ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26286-2025</t>
        </is>
      </c>
      <c r="B1199" s="1" t="n">
        <v>45805.62082175926</v>
      </c>
      <c r="C1199" s="1" t="n">
        <v>45964</v>
      </c>
      <c r="D1199" t="inlineStr">
        <is>
          <t>VÄSTERBOTTENS LÄN</t>
        </is>
      </c>
      <c r="E1199" t="inlineStr">
        <is>
          <t>SKELLEFTEÅ</t>
        </is>
      </c>
      <c r="F1199" t="inlineStr">
        <is>
          <t>Sveaskog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5828-2022</t>
        </is>
      </c>
      <c r="B1200" s="1" t="n">
        <v>44596</v>
      </c>
      <c r="C1200" s="1" t="n">
        <v>45964</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47014-2024</t>
        </is>
      </c>
      <c r="B1201" s="1" t="n">
        <v>45586.38862268518</v>
      </c>
      <c r="C1201" s="1" t="n">
        <v>45964</v>
      </c>
      <c r="D1201" t="inlineStr">
        <is>
          <t>VÄSTERBOTTENS LÄN</t>
        </is>
      </c>
      <c r="E1201" t="inlineStr">
        <is>
          <t>SKELLEFTEÅ</t>
        </is>
      </c>
      <c r="G1201" t="n">
        <v>14.7</v>
      </c>
      <c r="H1201" t="n">
        <v>0</v>
      </c>
      <c r="I1201" t="n">
        <v>0</v>
      </c>
      <c r="J1201" t="n">
        <v>0</v>
      </c>
      <c r="K1201" t="n">
        <v>0</v>
      </c>
      <c r="L1201" t="n">
        <v>0</v>
      </c>
      <c r="M1201" t="n">
        <v>0</v>
      </c>
      <c r="N1201" t="n">
        <v>0</v>
      </c>
      <c r="O1201" t="n">
        <v>0</v>
      </c>
      <c r="P1201" t="n">
        <v>0</v>
      </c>
      <c r="Q1201" t="n">
        <v>0</v>
      </c>
      <c r="R1201" s="2" t="inlineStr"/>
    </row>
    <row r="1202" ht="15" customHeight="1">
      <c r="A1202" t="inlineStr">
        <is>
          <t>A 10051-2021</t>
        </is>
      </c>
      <c r="B1202" s="1" t="n">
        <v>44256</v>
      </c>
      <c r="C1202" s="1" t="n">
        <v>45964</v>
      </c>
      <c r="D1202" t="inlineStr">
        <is>
          <t>VÄSTERBOTTENS LÄN</t>
        </is>
      </c>
      <c r="E1202" t="inlineStr">
        <is>
          <t>SKELLEFTEÅ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34063-2023</t>
        </is>
      </c>
      <c r="B1203" s="1" t="n">
        <v>45135.4729050926</v>
      </c>
      <c r="C1203" s="1" t="n">
        <v>45964</v>
      </c>
      <c r="D1203" t="inlineStr">
        <is>
          <t>VÄSTERBOTTENS LÄN</t>
        </is>
      </c>
      <c r="E1203" t="inlineStr">
        <is>
          <t>SKELLEFTEÅ</t>
        </is>
      </c>
      <c r="F1203" t="inlineStr">
        <is>
          <t>Holmen skog AB</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26483-2022</t>
        </is>
      </c>
      <c r="B1204" s="1" t="n">
        <v>44739</v>
      </c>
      <c r="C1204" s="1" t="n">
        <v>45964</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34082-2022</t>
        </is>
      </c>
      <c r="B1205" s="1" t="n">
        <v>44791</v>
      </c>
      <c r="C1205" s="1" t="n">
        <v>45964</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58926-2022</t>
        </is>
      </c>
      <c r="B1206" s="1" t="n">
        <v>44896</v>
      </c>
      <c r="C1206" s="1" t="n">
        <v>45964</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19839-2024</t>
        </is>
      </c>
      <c r="B1207" s="1" t="n">
        <v>45433</v>
      </c>
      <c r="C1207" s="1" t="n">
        <v>45964</v>
      </c>
      <c r="D1207" t="inlineStr">
        <is>
          <t>VÄSTERBOTTENS LÄN</t>
        </is>
      </c>
      <c r="E1207" t="inlineStr">
        <is>
          <t>SKELLEFTEÅ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42557-2021</t>
        </is>
      </c>
      <c r="B1208" s="1" t="n">
        <v>44428</v>
      </c>
      <c r="C1208" s="1" t="n">
        <v>45964</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53075-2022</t>
        </is>
      </c>
      <c r="B1209" s="1" t="n">
        <v>44876</v>
      </c>
      <c r="C1209" s="1" t="n">
        <v>45964</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26215-2025</t>
        </is>
      </c>
      <c r="B1210" s="1" t="n">
        <v>45805.54438657407</v>
      </c>
      <c r="C1210" s="1" t="n">
        <v>45964</v>
      </c>
      <c r="D1210" t="inlineStr">
        <is>
          <t>VÄSTERBOTTENS LÄN</t>
        </is>
      </c>
      <c r="E1210" t="inlineStr">
        <is>
          <t>SKELLEFTEÅ</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31419-2021</t>
        </is>
      </c>
      <c r="B1211" s="1" t="n">
        <v>44368</v>
      </c>
      <c r="C1211" s="1" t="n">
        <v>45964</v>
      </c>
      <c r="D1211" t="inlineStr">
        <is>
          <t>VÄSTERBOTTENS LÄN</t>
        </is>
      </c>
      <c r="E1211" t="inlineStr">
        <is>
          <t>SKELLEFTEÅ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21395-2022</t>
        </is>
      </c>
      <c r="B1212" s="1" t="n">
        <v>44705.92563657407</v>
      </c>
      <c r="C1212" s="1" t="n">
        <v>45964</v>
      </c>
      <c r="D1212" t="inlineStr">
        <is>
          <t>VÄSTERBOTTENS LÄN</t>
        </is>
      </c>
      <c r="E1212" t="inlineStr">
        <is>
          <t>SKELLEFTEÅ</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11260-2022</t>
        </is>
      </c>
      <c r="B1213" s="1" t="n">
        <v>44629</v>
      </c>
      <c r="C1213" s="1" t="n">
        <v>45964</v>
      </c>
      <c r="D1213" t="inlineStr">
        <is>
          <t>VÄSTERBOTTENS LÄN</t>
        </is>
      </c>
      <c r="E1213" t="inlineStr">
        <is>
          <t>SKELLEFTEÅ</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32746-2023</t>
        </is>
      </c>
      <c r="B1214" s="1" t="n">
        <v>45122</v>
      </c>
      <c r="C1214" s="1" t="n">
        <v>45964</v>
      </c>
      <c r="D1214" t="inlineStr">
        <is>
          <t>VÄSTERBOTTENS LÄN</t>
        </is>
      </c>
      <c r="E1214" t="inlineStr">
        <is>
          <t>SKELLEFTEÅ</t>
        </is>
      </c>
      <c r="F1214" t="inlineStr">
        <is>
          <t>Holmen skog AB</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5959-2023</t>
        </is>
      </c>
      <c r="B1215" s="1" t="n">
        <v>44963.95042824074</v>
      </c>
      <c r="C1215" s="1" t="n">
        <v>45964</v>
      </c>
      <c r="D1215" t="inlineStr">
        <is>
          <t>VÄSTERBOTTENS LÄN</t>
        </is>
      </c>
      <c r="E1215" t="inlineStr">
        <is>
          <t>SKELLEFTEÅ</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58429-2022</t>
        </is>
      </c>
      <c r="B1216" s="1" t="n">
        <v>44901</v>
      </c>
      <c r="C1216" s="1" t="n">
        <v>45964</v>
      </c>
      <c r="D1216" t="inlineStr">
        <is>
          <t>VÄSTERBOTTENS LÄN</t>
        </is>
      </c>
      <c r="E1216" t="inlineStr">
        <is>
          <t>SKELLEFTEÅ</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34713-2024</t>
        </is>
      </c>
      <c r="B1217" s="1" t="n">
        <v>45526.56255787037</v>
      </c>
      <c r="C1217" s="1" t="n">
        <v>45964</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25774-2025</t>
        </is>
      </c>
      <c r="B1218" s="1" t="n">
        <v>45804.34530092592</v>
      </c>
      <c r="C1218" s="1" t="n">
        <v>45964</v>
      </c>
      <c r="D1218" t="inlineStr">
        <is>
          <t>VÄSTERBOTTENS LÄN</t>
        </is>
      </c>
      <c r="E1218" t="inlineStr">
        <is>
          <t>SKELLEFTEÅ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39589-2021</t>
        </is>
      </c>
      <c r="B1219" s="1" t="n">
        <v>44413</v>
      </c>
      <c r="C1219" s="1" t="n">
        <v>45964</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8689-2025</t>
        </is>
      </c>
      <c r="B1220" s="1" t="n">
        <v>45712</v>
      </c>
      <c r="C1220" s="1" t="n">
        <v>45964</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30743-2023</t>
        </is>
      </c>
      <c r="B1221" s="1" t="n">
        <v>45112.6362037037</v>
      </c>
      <c r="C1221" s="1" t="n">
        <v>45964</v>
      </c>
      <c r="D1221" t="inlineStr">
        <is>
          <t>VÄSTERBOTTENS LÄN</t>
        </is>
      </c>
      <c r="E1221" t="inlineStr">
        <is>
          <t>SKELLEFTEÅ</t>
        </is>
      </c>
      <c r="F1221" t="inlineStr">
        <is>
          <t>Sveaskog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10655-2024</t>
        </is>
      </c>
      <c r="B1222" s="1" t="n">
        <v>45368</v>
      </c>
      <c r="C1222" s="1" t="n">
        <v>45964</v>
      </c>
      <c r="D1222" t="inlineStr">
        <is>
          <t>VÄSTERBOTTENS LÄN</t>
        </is>
      </c>
      <c r="E1222" t="inlineStr">
        <is>
          <t>SKELLEFTEÅ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26049-2025</t>
        </is>
      </c>
      <c r="B1223" s="1" t="n">
        <v>45804.71578703704</v>
      </c>
      <c r="C1223" s="1" t="n">
        <v>45964</v>
      </c>
      <c r="D1223" t="inlineStr">
        <is>
          <t>VÄSTERBOTTENS LÄN</t>
        </is>
      </c>
      <c r="E1223" t="inlineStr">
        <is>
          <t>SKELLEFTEÅ</t>
        </is>
      </c>
      <c r="G1223" t="n">
        <v>12.5</v>
      </c>
      <c r="H1223" t="n">
        <v>0</v>
      </c>
      <c r="I1223" t="n">
        <v>0</v>
      </c>
      <c r="J1223" t="n">
        <v>0</v>
      </c>
      <c r="K1223" t="n">
        <v>0</v>
      </c>
      <c r="L1223" t="n">
        <v>0</v>
      </c>
      <c r="M1223" t="n">
        <v>0</v>
      </c>
      <c r="N1223" t="n">
        <v>0</v>
      </c>
      <c r="O1223" t="n">
        <v>0</v>
      </c>
      <c r="P1223" t="n">
        <v>0</v>
      </c>
      <c r="Q1223" t="n">
        <v>0</v>
      </c>
      <c r="R1223" s="2" t="inlineStr"/>
    </row>
    <row r="1224" ht="15" customHeight="1">
      <c r="A1224" t="inlineStr">
        <is>
          <t>A 16355-2025</t>
        </is>
      </c>
      <c r="B1224" s="1" t="n">
        <v>45751.38821759259</v>
      </c>
      <c r="C1224" s="1" t="n">
        <v>45964</v>
      </c>
      <c r="D1224" t="inlineStr">
        <is>
          <t>VÄSTERBOTTENS LÄN</t>
        </is>
      </c>
      <c r="E1224" t="inlineStr">
        <is>
          <t>SKELLEFTEÅ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22044-2024</t>
        </is>
      </c>
      <c r="B1225" s="1" t="n">
        <v>45443</v>
      </c>
      <c r="C1225" s="1" t="n">
        <v>45964</v>
      </c>
      <c r="D1225" t="inlineStr">
        <is>
          <t>VÄSTERBOTTENS LÄN</t>
        </is>
      </c>
      <c r="E1225" t="inlineStr">
        <is>
          <t>SKELLEFTEÅ</t>
        </is>
      </c>
      <c r="F1225" t="inlineStr">
        <is>
          <t>Holmen skog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26425-2025</t>
        </is>
      </c>
      <c r="B1226" s="1" t="n">
        <v>45807.38453703704</v>
      </c>
      <c r="C1226" s="1" t="n">
        <v>45964</v>
      </c>
      <c r="D1226" t="inlineStr">
        <is>
          <t>VÄSTERBOTTENS LÄN</t>
        </is>
      </c>
      <c r="E1226" t="inlineStr">
        <is>
          <t>SKELLEFTEÅ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54081-2022</t>
        </is>
      </c>
      <c r="B1227" s="1" t="n">
        <v>44881</v>
      </c>
      <c r="C1227" s="1" t="n">
        <v>45964</v>
      </c>
      <c r="D1227" t="inlineStr">
        <is>
          <t>VÄSTERBOTTENS LÄN</t>
        </is>
      </c>
      <c r="E1227" t="inlineStr">
        <is>
          <t>SKELLEFTEÅ</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26194-2025</t>
        </is>
      </c>
      <c r="B1228" s="1" t="n">
        <v>45805.48989583334</v>
      </c>
      <c r="C1228" s="1" t="n">
        <v>45964</v>
      </c>
      <c r="D1228" t="inlineStr">
        <is>
          <t>VÄSTERBOTTENS LÄN</t>
        </is>
      </c>
      <c r="E1228" t="inlineStr">
        <is>
          <t>SKELLEFTEÅ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26542-2025</t>
        </is>
      </c>
      <c r="B1229" s="1" t="n">
        <v>45807.58521990741</v>
      </c>
      <c r="C1229" s="1" t="n">
        <v>45964</v>
      </c>
      <c r="D1229" t="inlineStr">
        <is>
          <t>VÄSTERBOTTENS LÄN</t>
        </is>
      </c>
      <c r="E1229" t="inlineStr">
        <is>
          <t>SKELLEFTEÅ</t>
        </is>
      </c>
      <c r="F1229" t="inlineStr">
        <is>
          <t>Holmen skog AB</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1955-2025</t>
        </is>
      </c>
      <c r="B1230" s="1" t="n">
        <v>45671</v>
      </c>
      <c r="C1230" s="1" t="n">
        <v>45964</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27631-2022</t>
        </is>
      </c>
      <c r="B1231" s="1" t="n">
        <v>44743</v>
      </c>
      <c r="C1231" s="1" t="n">
        <v>45964</v>
      </c>
      <c r="D1231" t="inlineStr">
        <is>
          <t>VÄSTERBOTTENS LÄN</t>
        </is>
      </c>
      <c r="E1231" t="inlineStr">
        <is>
          <t>SKELLEFTEÅ</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56203-2023</t>
        </is>
      </c>
      <c r="B1232" s="1" t="n">
        <v>45240</v>
      </c>
      <c r="C1232" s="1" t="n">
        <v>45964</v>
      </c>
      <c r="D1232" t="inlineStr">
        <is>
          <t>VÄSTERBOTTENS LÄN</t>
        </is>
      </c>
      <c r="E1232" t="inlineStr">
        <is>
          <t>SKELLEFTEÅ</t>
        </is>
      </c>
      <c r="F1232" t="inlineStr">
        <is>
          <t>Holmen skog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17628-2025</t>
        </is>
      </c>
      <c r="B1233" s="1" t="n">
        <v>45757.97299768519</v>
      </c>
      <c r="C1233" s="1" t="n">
        <v>45964</v>
      </c>
      <c r="D1233" t="inlineStr">
        <is>
          <t>VÄSTERBOTTENS LÄN</t>
        </is>
      </c>
      <c r="E1233" t="inlineStr">
        <is>
          <t>SKELLEFTEÅ</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46181-2022</t>
        </is>
      </c>
      <c r="B1234" s="1" t="n">
        <v>44845</v>
      </c>
      <c r="C1234" s="1" t="n">
        <v>45964</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18584-2022</t>
        </is>
      </c>
      <c r="B1235" s="1" t="n">
        <v>44687</v>
      </c>
      <c r="C1235" s="1" t="n">
        <v>45964</v>
      </c>
      <c r="D1235" t="inlineStr">
        <is>
          <t>VÄSTERBOTTENS LÄN</t>
        </is>
      </c>
      <c r="E1235" t="inlineStr">
        <is>
          <t>SKELLEFTEÅ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8652-2021</t>
        </is>
      </c>
      <c r="B1236" s="1" t="n">
        <v>44245</v>
      </c>
      <c r="C1236" s="1" t="n">
        <v>45964</v>
      </c>
      <c r="D1236" t="inlineStr">
        <is>
          <t>VÄSTERBOTTENS LÄN</t>
        </is>
      </c>
      <c r="E1236" t="inlineStr">
        <is>
          <t>SKELLEFTEÅ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51789-2021</t>
        </is>
      </c>
      <c r="B1237" s="1" t="n">
        <v>44461</v>
      </c>
      <c r="C1237" s="1" t="n">
        <v>45964</v>
      </c>
      <c r="D1237" t="inlineStr">
        <is>
          <t>VÄSTERBOTTENS LÄN</t>
        </is>
      </c>
      <c r="E1237" t="inlineStr">
        <is>
          <t>SKELLEFTEÅ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53903-2022</t>
        </is>
      </c>
      <c r="B1238" s="1" t="n">
        <v>44880</v>
      </c>
      <c r="C1238" s="1" t="n">
        <v>45964</v>
      </c>
      <c r="D1238" t="inlineStr">
        <is>
          <t>VÄSTERBOTTENS LÄN</t>
        </is>
      </c>
      <c r="E1238" t="inlineStr">
        <is>
          <t>SKELLEFTEÅ</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44301-2023</t>
        </is>
      </c>
      <c r="B1239" s="1" t="n">
        <v>45188</v>
      </c>
      <c r="C1239" s="1" t="n">
        <v>45964</v>
      </c>
      <c r="D1239" t="inlineStr">
        <is>
          <t>VÄSTERBOTTENS LÄN</t>
        </is>
      </c>
      <c r="E1239" t="inlineStr">
        <is>
          <t>SKELLEFTEÅ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54162-2024</t>
        </is>
      </c>
      <c r="B1240" s="1" t="n">
        <v>45616</v>
      </c>
      <c r="C1240" s="1" t="n">
        <v>45964</v>
      </c>
      <c r="D1240" t="inlineStr">
        <is>
          <t>VÄSTERBOTTENS LÄN</t>
        </is>
      </c>
      <c r="E1240" t="inlineStr">
        <is>
          <t>SKELLEFTEÅ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36779-2024</t>
        </is>
      </c>
      <c r="B1241" s="1" t="n">
        <v>45538.41059027778</v>
      </c>
      <c r="C1241" s="1" t="n">
        <v>45964</v>
      </c>
      <c r="D1241" t="inlineStr">
        <is>
          <t>VÄSTERBOTTENS LÄN</t>
        </is>
      </c>
      <c r="E1241" t="inlineStr">
        <is>
          <t>SKELLEFTEÅ</t>
        </is>
      </c>
      <c r="F1241" t="inlineStr">
        <is>
          <t>Holmen skog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37819-2022</t>
        </is>
      </c>
      <c r="B1242" s="1" t="n">
        <v>44810</v>
      </c>
      <c r="C1242" s="1" t="n">
        <v>45964</v>
      </c>
      <c r="D1242" t="inlineStr">
        <is>
          <t>VÄSTERBOTTENS LÄN</t>
        </is>
      </c>
      <c r="E1242" t="inlineStr">
        <is>
          <t>SKELLEFTEÅ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27091-2025</t>
        </is>
      </c>
      <c r="B1243" s="1" t="n">
        <v>45811.66915509259</v>
      </c>
      <c r="C1243" s="1" t="n">
        <v>45964</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58119-2024</t>
        </is>
      </c>
      <c r="B1244" s="1" t="n">
        <v>45632.39261574074</v>
      </c>
      <c r="C1244" s="1" t="n">
        <v>45964</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45011-2022</t>
        </is>
      </c>
      <c r="B1245" s="1" t="n">
        <v>44840</v>
      </c>
      <c r="C1245" s="1" t="n">
        <v>45964</v>
      </c>
      <c r="D1245" t="inlineStr">
        <is>
          <t>VÄSTERBOTTENS LÄN</t>
        </is>
      </c>
      <c r="E1245" t="inlineStr">
        <is>
          <t>SKELLEFTEÅ</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35435-2021</t>
        </is>
      </c>
      <c r="B1246" s="1" t="n">
        <v>44385</v>
      </c>
      <c r="C1246" s="1" t="n">
        <v>45964</v>
      </c>
      <c r="D1246" t="inlineStr">
        <is>
          <t>VÄSTERBOTTENS LÄN</t>
        </is>
      </c>
      <c r="E1246" t="inlineStr">
        <is>
          <t>SKELLEFTEÅ</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23704-2023</t>
        </is>
      </c>
      <c r="B1247" s="1" t="n">
        <v>45075</v>
      </c>
      <c r="C1247" s="1" t="n">
        <v>45964</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50082-2024</t>
        </is>
      </c>
      <c r="B1248" s="1" t="n">
        <v>45597</v>
      </c>
      <c r="C1248" s="1" t="n">
        <v>45964</v>
      </c>
      <c r="D1248" t="inlineStr">
        <is>
          <t>VÄSTERBOTTENS LÄN</t>
        </is>
      </c>
      <c r="E1248" t="inlineStr">
        <is>
          <t>SKELLEFTEÅ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41231-2024</t>
        </is>
      </c>
      <c r="B1249" s="1" t="n">
        <v>45559.56412037037</v>
      </c>
      <c r="C1249" s="1" t="n">
        <v>45964</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26909-2025</t>
        </is>
      </c>
      <c r="B1250" s="1" t="n">
        <v>45811.3458912037</v>
      </c>
      <c r="C1250" s="1" t="n">
        <v>45964</v>
      </c>
      <c r="D1250" t="inlineStr">
        <is>
          <t>VÄSTERBOTTENS LÄN</t>
        </is>
      </c>
      <c r="E1250" t="inlineStr">
        <is>
          <t>SKELLEFTEÅ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51592-2024</t>
        </is>
      </c>
      <c r="B1251" s="1" t="n">
        <v>45604.64886574074</v>
      </c>
      <c r="C1251" s="1" t="n">
        <v>45964</v>
      </c>
      <c r="D1251" t="inlineStr">
        <is>
          <t>VÄSTERBOTTENS LÄN</t>
        </is>
      </c>
      <c r="E1251" t="inlineStr">
        <is>
          <t>SKELLEFTEÅ</t>
        </is>
      </c>
      <c r="F1251" t="inlineStr">
        <is>
          <t>Sveaskog</t>
        </is>
      </c>
      <c r="G1251" t="n">
        <v>15.1</v>
      </c>
      <c r="H1251" t="n">
        <v>0</v>
      </c>
      <c r="I1251" t="n">
        <v>0</v>
      </c>
      <c r="J1251" t="n">
        <v>0</v>
      </c>
      <c r="K1251" t="n">
        <v>0</v>
      </c>
      <c r="L1251" t="n">
        <v>0</v>
      </c>
      <c r="M1251" t="n">
        <v>0</v>
      </c>
      <c r="N1251" t="n">
        <v>0</v>
      </c>
      <c r="O1251" t="n">
        <v>0</v>
      </c>
      <c r="P1251" t="n">
        <v>0</v>
      </c>
      <c r="Q1251" t="n">
        <v>0</v>
      </c>
      <c r="R1251" s="2" t="inlineStr"/>
    </row>
    <row r="1252" ht="15" customHeight="1">
      <c r="A1252" t="inlineStr">
        <is>
          <t>A 121-2023</t>
        </is>
      </c>
      <c r="B1252" s="1" t="n">
        <v>44918</v>
      </c>
      <c r="C1252" s="1" t="n">
        <v>45964</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27010-2025</t>
        </is>
      </c>
      <c r="B1253" s="1" t="n">
        <v>45811.56021990741</v>
      </c>
      <c r="C1253" s="1" t="n">
        <v>45964</v>
      </c>
      <c r="D1253" t="inlineStr">
        <is>
          <t>VÄSTERBOTTENS LÄN</t>
        </is>
      </c>
      <c r="E1253" t="inlineStr">
        <is>
          <t>SKELLEFTEÅ</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3265-2022</t>
        </is>
      </c>
      <c r="B1254" s="1" t="n">
        <v>44583.7693287037</v>
      </c>
      <c r="C1254" s="1" t="n">
        <v>45964</v>
      </c>
      <c r="D1254" t="inlineStr">
        <is>
          <t>VÄSTERBOTTENS LÄN</t>
        </is>
      </c>
      <c r="E1254" t="inlineStr">
        <is>
          <t>SKELLEFTEÅ</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21336-2023</t>
        </is>
      </c>
      <c r="B1255" s="1" t="n">
        <v>45062</v>
      </c>
      <c r="C1255" s="1" t="n">
        <v>45964</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35771-2022</t>
        </is>
      </c>
      <c r="B1256" s="1" t="n">
        <v>44801</v>
      </c>
      <c r="C1256" s="1" t="n">
        <v>45964</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52999-2024</t>
        </is>
      </c>
      <c r="B1257" s="1" t="n">
        <v>45611.38667824074</v>
      </c>
      <c r="C1257" s="1" t="n">
        <v>45964</v>
      </c>
      <c r="D1257" t="inlineStr">
        <is>
          <t>VÄSTERBOTTENS LÄN</t>
        </is>
      </c>
      <c r="E1257" t="inlineStr">
        <is>
          <t>SKELLEFTEÅ</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26601-2025</t>
        </is>
      </c>
      <c r="B1258" s="1" t="n">
        <v>45808.88428240741</v>
      </c>
      <c r="C1258" s="1" t="n">
        <v>45964</v>
      </c>
      <c r="D1258" t="inlineStr">
        <is>
          <t>VÄSTERBOTTENS LÄN</t>
        </is>
      </c>
      <c r="E1258" t="inlineStr">
        <is>
          <t>SKELLEFTEÅ</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40442-2023</t>
        </is>
      </c>
      <c r="B1259" s="1" t="n">
        <v>45170.27015046297</v>
      </c>
      <c r="C1259" s="1" t="n">
        <v>45964</v>
      </c>
      <c r="D1259" t="inlineStr">
        <is>
          <t>VÄSTERBOTTENS LÄN</t>
        </is>
      </c>
      <c r="E1259" t="inlineStr">
        <is>
          <t>SKELLEFTEÅ</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65379-2020</t>
        </is>
      </c>
      <c r="B1260" s="1" t="n">
        <v>44173</v>
      </c>
      <c r="C1260" s="1" t="n">
        <v>45964</v>
      </c>
      <c r="D1260" t="inlineStr">
        <is>
          <t>VÄSTERBOTTENS LÄN</t>
        </is>
      </c>
      <c r="E1260" t="inlineStr">
        <is>
          <t>SKELLEFTEÅ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46304-2024</t>
        </is>
      </c>
      <c r="B1261" s="1" t="n">
        <v>45581</v>
      </c>
      <c r="C1261" s="1" t="n">
        <v>45964</v>
      </c>
      <c r="D1261" t="inlineStr">
        <is>
          <t>VÄSTERBOTTENS LÄN</t>
        </is>
      </c>
      <c r="E1261" t="inlineStr">
        <is>
          <t>SKELLEFTEÅ</t>
        </is>
      </c>
      <c r="F1261" t="inlineStr">
        <is>
          <t>Holmen skog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35736-2023</t>
        </is>
      </c>
      <c r="B1262" s="1" t="n">
        <v>45147</v>
      </c>
      <c r="C1262" s="1" t="n">
        <v>45964</v>
      </c>
      <c r="D1262" t="inlineStr">
        <is>
          <t>VÄSTERBOTTENS LÄN</t>
        </is>
      </c>
      <c r="E1262" t="inlineStr">
        <is>
          <t>SKELLEFTEÅ</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12928-2021</t>
        </is>
      </c>
      <c r="B1263" s="1" t="n">
        <v>44270</v>
      </c>
      <c r="C1263" s="1" t="n">
        <v>45964</v>
      </c>
      <c r="D1263" t="inlineStr">
        <is>
          <t>VÄSTERBOTTENS LÄN</t>
        </is>
      </c>
      <c r="E1263" t="inlineStr">
        <is>
          <t>SKELLEFTEÅ</t>
        </is>
      </c>
      <c r="G1263" t="n">
        <v>17.8</v>
      </c>
      <c r="H1263" t="n">
        <v>0</v>
      </c>
      <c r="I1263" t="n">
        <v>0</v>
      </c>
      <c r="J1263" t="n">
        <v>0</v>
      </c>
      <c r="K1263" t="n">
        <v>0</v>
      </c>
      <c r="L1263" t="n">
        <v>0</v>
      </c>
      <c r="M1263" t="n">
        <v>0</v>
      </c>
      <c r="N1263" t="n">
        <v>0</v>
      </c>
      <c r="O1263" t="n">
        <v>0</v>
      </c>
      <c r="P1263" t="n">
        <v>0</v>
      </c>
      <c r="Q1263" t="n">
        <v>0</v>
      </c>
      <c r="R1263" s="2" t="inlineStr"/>
    </row>
    <row r="1264" ht="15" customHeight="1">
      <c r="A1264" t="inlineStr">
        <is>
          <t>A 65096-2020</t>
        </is>
      </c>
      <c r="B1264" s="1" t="n">
        <v>44167</v>
      </c>
      <c r="C1264" s="1" t="n">
        <v>45964</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27817-2022</t>
        </is>
      </c>
      <c r="B1265" s="1" t="n">
        <v>44743</v>
      </c>
      <c r="C1265" s="1" t="n">
        <v>45964</v>
      </c>
      <c r="D1265" t="inlineStr">
        <is>
          <t>VÄSTERBOTTENS LÄN</t>
        </is>
      </c>
      <c r="E1265" t="inlineStr">
        <is>
          <t>SKELLEFTEÅ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26646-2025</t>
        </is>
      </c>
      <c r="B1266" s="1" t="n">
        <v>45810.38410879629</v>
      </c>
      <c r="C1266" s="1" t="n">
        <v>45964</v>
      </c>
      <c r="D1266" t="inlineStr">
        <is>
          <t>VÄSTERBOTTENS LÄN</t>
        </is>
      </c>
      <c r="E1266" t="inlineStr">
        <is>
          <t>SKELLEFTEÅ</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60614-2023</t>
        </is>
      </c>
      <c r="B1267" s="1" t="n">
        <v>45260</v>
      </c>
      <c r="C1267" s="1" t="n">
        <v>45964</v>
      </c>
      <c r="D1267" t="inlineStr">
        <is>
          <t>VÄSTERBOTTENS LÄN</t>
        </is>
      </c>
      <c r="E1267" t="inlineStr">
        <is>
          <t>SKELLEFTEÅ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11771-2023</t>
        </is>
      </c>
      <c r="B1268" s="1" t="n">
        <v>44994.6418287037</v>
      </c>
      <c r="C1268" s="1" t="n">
        <v>45964</v>
      </c>
      <c r="D1268" t="inlineStr">
        <is>
          <t>VÄSTERBOTTENS LÄN</t>
        </is>
      </c>
      <c r="E1268" t="inlineStr">
        <is>
          <t>SKELLEFTEÅ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27082-2025</t>
        </is>
      </c>
      <c r="B1269" s="1" t="n">
        <v>45811.65423611111</v>
      </c>
      <c r="C1269" s="1" t="n">
        <v>45964</v>
      </c>
      <c r="D1269" t="inlineStr">
        <is>
          <t>VÄSTERBOTTENS LÄN</t>
        </is>
      </c>
      <c r="E1269" t="inlineStr">
        <is>
          <t>SKELLEFTEÅ</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41409-2022</t>
        </is>
      </c>
      <c r="B1270" s="1" t="n">
        <v>44826.63581018519</v>
      </c>
      <c r="C1270" s="1" t="n">
        <v>45964</v>
      </c>
      <c r="D1270" t="inlineStr">
        <is>
          <t>VÄSTERBOTTENS LÄN</t>
        </is>
      </c>
      <c r="E1270" t="inlineStr">
        <is>
          <t>SKELLEFTEÅ</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52444-2023</t>
        </is>
      </c>
      <c r="B1271" s="1" t="n">
        <v>45225.37877314815</v>
      </c>
      <c r="C1271" s="1" t="n">
        <v>45964</v>
      </c>
      <c r="D1271" t="inlineStr">
        <is>
          <t>VÄSTERBOTTENS LÄN</t>
        </is>
      </c>
      <c r="E1271" t="inlineStr">
        <is>
          <t>SKELLEFTEÅ</t>
        </is>
      </c>
      <c r="F1271" t="inlineStr">
        <is>
          <t>Sveaskog</t>
        </is>
      </c>
      <c r="G1271" t="n">
        <v>28.5</v>
      </c>
      <c r="H1271" t="n">
        <v>0</v>
      </c>
      <c r="I1271" t="n">
        <v>0</v>
      </c>
      <c r="J1271" t="n">
        <v>0</v>
      </c>
      <c r="K1271" t="n">
        <v>0</v>
      </c>
      <c r="L1271" t="n">
        <v>0</v>
      </c>
      <c r="M1271" t="n">
        <v>0</v>
      </c>
      <c r="N1271" t="n">
        <v>0</v>
      </c>
      <c r="O1271" t="n">
        <v>0</v>
      </c>
      <c r="P1271" t="n">
        <v>0</v>
      </c>
      <c r="Q1271" t="n">
        <v>0</v>
      </c>
      <c r="R1271" s="2" t="inlineStr"/>
    </row>
    <row r="1272" ht="15" customHeight="1">
      <c r="A1272" t="inlineStr">
        <is>
          <t>A 26767-2025</t>
        </is>
      </c>
      <c r="B1272" s="1" t="n">
        <v>45810.56726851852</v>
      </c>
      <c r="C1272" s="1" t="n">
        <v>45964</v>
      </c>
      <c r="D1272" t="inlineStr">
        <is>
          <t>VÄSTERBOTTENS LÄN</t>
        </is>
      </c>
      <c r="E1272" t="inlineStr">
        <is>
          <t>SKELLEFTEÅ</t>
        </is>
      </c>
      <c r="F1272" t="inlineStr">
        <is>
          <t>Holmen skog AB</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15825-2023</t>
        </is>
      </c>
      <c r="B1273" s="1" t="n">
        <v>45021.94521990741</v>
      </c>
      <c r="C1273" s="1" t="n">
        <v>45964</v>
      </c>
      <c r="D1273" t="inlineStr">
        <is>
          <t>VÄSTERBOTTENS LÄN</t>
        </is>
      </c>
      <c r="E1273" t="inlineStr">
        <is>
          <t>SKELLEFTEÅ</t>
        </is>
      </c>
      <c r="F1273" t="inlineStr">
        <is>
          <t>SCA</t>
        </is>
      </c>
      <c r="G1273" t="n">
        <v>16.8</v>
      </c>
      <c r="H1273" t="n">
        <v>0</v>
      </c>
      <c r="I1273" t="n">
        <v>0</v>
      </c>
      <c r="J1273" t="n">
        <v>0</v>
      </c>
      <c r="K1273" t="n">
        <v>0</v>
      </c>
      <c r="L1273" t="n">
        <v>0</v>
      </c>
      <c r="M1273" t="n">
        <v>0</v>
      </c>
      <c r="N1273" t="n">
        <v>0</v>
      </c>
      <c r="O1273" t="n">
        <v>0</v>
      </c>
      <c r="P1273" t="n">
        <v>0</v>
      </c>
      <c r="Q1273" t="n">
        <v>0</v>
      </c>
      <c r="R1273" s="2" t="inlineStr"/>
    </row>
    <row r="1274" ht="15" customHeight="1">
      <c r="A1274" t="inlineStr">
        <is>
          <t>A 5636-2024</t>
        </is>
      </c>
      <c r="B1274" s="1" t="n">
        <v>45334.61045138889</v>
      </c>
      <c r="C1274" s="1" t="n">
        <v>45964</v>
      </c>
      <c r="D1274" t="inlineStr">
        <is>
          <t>VÄSTERBOTTENS LÄN</t>
        </is>
      </c>
      <c r="E1274" t="inlineStr">
        <is>
          <t>SKELLEFTEÅ</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48202-2024</t>
        </is>
      </c>
      <c r="B1275" s="1" t="n">
        <v>45589</v>
      </c>
      <c r="C1275" s="1" t="n">
        <v>45964</v>
      </c>
      <c r="D1275" t="inlineStr">
        <is>
          <t>VÄSTERBOTTENS LÄN</t>
        </is>
      </c>
      <c r="E1275" t="inlineStr">
        <is>
          <t>SKELLEFTEÅ</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36201-2024</t>
        </is>
      </c>
      <c r="B1276" s="1" t="n">
        <v>45534.43785879629</v>
      </c>
      <c r="C1276" s="1" t="n">
        <v>45964</v>
      </c>
      <c r="D1276" t="inlineStr">
        <is>
          <t>VÄSTERBOTTENS LÄN</t>
        </is>
      </c>
      <c r="E1276" t="inlineStr">
        <is>
          <t>SKELLEFTEÅ</t>
        </is>
      </c>
      <c r="F1276" t="inlineStr">
        <is>
          <t>Holmen skog AB</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65009-2023</t>
        </is>
      </c>
      <c r="B1277" s="1" t="n">
        <v>45287.37836805556</v>
      </c>
      <c r="C1277" s="1" t="n">
        <v>45964</v>
      </c>
      <c r="D1277" t="inlineStr">
        <is>
          <t>VÄSTERBOTTENS LÄN</t>
        </is>
      </c>
      <c r="E1277" t="inlineStr">
        <is>
          <t>SKELLEFTEÅ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10291-2023</t>
        </is>
      </c>
      <c r="B1278" s="1" t="n">
        <v>44986</v>
      </c>
      <c r="C1278" s="1" t="n">
        <v>45964</v>
      </c>
      <c r="D1278" t="inlineStr">
        <is>
          <t>VÄSTERBOTTENS LÄN</t>
        </is>
      </c>
      <c r="E1278" t="inlineStr">
        <is>
          <t>SKELLEFTEÅ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27477-2025</t>
        </is>
      </c>
      <c r="B1279" s="1" t="n">
        <v>45813.37619212963</v>
      </c>
      <c r="C1279" s="1" t="n">
        <v>45964</v>
      </c>
      <c r="D1279" t="inlineStr">
        <is>
          <t>VÄSTERBOTTENS LÄN</t>
        </is>
      </c>
      <c r="E1279" t="inlineStr">
        <is>
          <t>SKELLEFTEÅ</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12763-2024</t>
        </is>
      </c>
      <c r="B1280" s="1" t="n">
        <v>45384</v>
      </c>
      <c r="C1280" s="1" t="n">
        <v>45964</v>
      </c>
      <c r="D1280" t="inlineStr">
        <is>
          <t>VÄSTERBOTTENS LÄN</t>
        </is>
      </c>
      <c r="E1280" t="inlineStr">
        <is>
          <t>SKELLEFTEÅ</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27851-2024</t>
        </is>
      </c>
      <c r="B1281" s="1" t="n">
        <v>45475.6459837963</v>
      </c>
      <c r="C1281" s="1" t="n">
        <v>45964</v>
      </c>
      <c r="D1281" t="inlineStr">
        <is>
          <t>VÄSTERBOTTENS LÄN</t>
        </is>
      </c>
      <c r="E1281" t="inlineStr">
        <is>
          <t>SKELLEFTEÅ</t>
        </is>
      </c>
      <c r="F1281" t="inlineStr">
        <is>
          <t>Sveaskog</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52105-2023</t>
        </is>
      </c>
      <c r="B1282" s="1" t="n">
        <v>45223.92668981481</v>
      </c>
      <c r="C1282" s="1" t="n">
        <v>45964</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27641-2025</t>
        </is>
      </c>
      <c r="B1283" s="1" t="n">
        <v>45813.58498842592</v>
      </c>
      <c r="C1283" s="1" t="n">
        <v>45964</v>
      </c>
      <c r="D1283" t="inlineStr">
        <is>
          <t>VÄSTERBOTTENS LÄN</t>
        </is>
      </c>
      <c r="E1283" t="inlineStr">
        <is>
          <t>SKELLEFTEÅ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38577-2023</t>
        </is>
      </c>
      <c r="B1284" s="1" t="n">
        <v>45161</v>
      </c>
      <c r="C1284" s="1" t="n">
        <v>45964</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47534-2023</t>
        </is>
      </c>
      <c r="B1285" s="1" t="n">
        <v>45203.36484953704</v>
      </c>
      <c r="C1285" s="1" t="n">
        <v>45964</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28822-2021</t>
        </is>
      </c>
      <c r="B1286" s="1" t="n">
        <v>44357.62862268519</v>
      </c>
      <c r="C1286" s="1" t="n">
        <v>45964</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61584-2024</t>
        </is>
      </c>
      <c r="B1287" s="1" t="n">
        <v>45646.62739583333</v>
      </c>
      <c r="C1287" s="1" t="n">
        <v>45964</v>
      </c>
      <c r="D1287" t="inlineStr">
        <is>
          <t>VÄSTERBOTTENS LÄN</t>
        </is>
      </c>
      <c r="E1287" t="inlineStr">
        <is>
          <t>SKELLEFTEÅ</t>
        </is>
      </c>
      <c r="F1287" t="inlineStr">
        <is>
          <t>Sveaskog</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2486-2022</t>
        </is>
      </c>
      <c r="B1288" s="1" t="n">
        <v>44579</v>
      </c>
      <c r="C1288" s="1" t="n">
        <v>45964</v>
      </c>
      <c r="D1288" t="inlineStr">
        <is>
          <t>VÄSTERBOTTENS LÄN</t>
        </is>
      </c>
      <c r="E1288" t="inlineStr">
        <is>
          <t>SKELLEFTEÅ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27400-2025</t>
        </is>
      </c>
      <c r="B1289" s="1" t="n">
        <v>45812.69835648148</v>
      </c>
      <c r="C1289" s="1" t="n">
        <v>45964</v>
      </c>
      <c r="D1289" t="inlineStr">
        <is>
          <t>VÄSTERBOTTENS LÄN</t>
        </is>
      </c>
      <c r="E1289" t="inlineStr">
        <is>
          <t>SKELLEFTEÅ</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7462-2022</t>
        </is>
      </c>
      <c r="B1290" s="1" t="n">
        <v>44606</v>
      </c>
      <c r="C1290" s="1" t="n">
        <v>45964</v>
      </c>
      <c r="D1290" t="inlineStr">
        <is>
          <t>VÄSTERBOTTENS LÄN</t>
        </is>
      </c>
      <c r="E1290" t="inlineStr">
        <is>
          <t>SKELLEFTEÅ</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27437-2025</t>
        </is>
      </c>
      <c r="B1291" s="1" t="n">
        <v>45813.31398148148</v>
      </c>
      <c r="C1291" s="1" t="n">
        <v>45964</v>
      </c>
      <c r="D1291" t="inlineStr">
        <is>
          <t>VÄSTERBOTTENS LÄN</t>
        </is>
      </c>
      <c r="E1291" t="inlineStr">
        <is>
          <t>SKELLEFTEÅ</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46731-2024</t>
        </is>
      </c>
      <c r="B1292" s="1" t="n">
        <v>45583</v>
      </c>
      <c r="C1292" s="1" t="n">
        <v>45964</v>
      </c>
      <c r="D1292" t="inlineStr">
        <is>
          <t>VÄSTERBOTTENS LÄN</t>
        </is>
      </c>
      <c r="E1292" t="inlineStr">
        <is>
          <t>SKELLEFTEÅ</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10568-2023</t>
        </is>
      </c>
      <c r="B1293" s="1" t="n">
        <v>44981</v>
      </c>
      <c r="C1293" s="1" t="n">
        <v>45964</v>
      </c>
      <c r="D1293" t="inlineStr">
        <is>
          <t>VÄSTERBOTTENS LÄN</t>
        </is>
      </c>
      <c r="E1293" t="inlineStr">
        <is>
          <t>SKELLEFTEÅ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55063-2022</t>
        </is>
      </c>
      <c r="B1294" s="1" t="n">
        <v>44886</v>
      </c>
      <c r="C1294" s="1" t="n">
        <v>45964</v>
      </c>
      <c r="D1294" t="inlineStr">
        <is>
          <t>VÄSTERBOTTENS LÄN</t>
        </is>
      </c>
      <c r="E1294" t="inlineStr">
        <is>
          <t>SKELLEFTEÅ</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27442-2025</t>
        </is>
      </c>
      <c r="B1295" s="1" t="n">
        <v>45813.31957175926</v>
      </c>
      <c r="C1295" s="1" t="n">
        <v>45964</v>
      </c>
      <c r="D1295" t="inlineStr">
        <is>
          <t>VÄSTERBOTTENS LÄN</t>
        </is>
      </c>
      <c r="E1295" t="inlineStr">
        <is>
          <t>SKELLEFTEÅ</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27433-2025</t>
        </is>
      </c>
      <c r="B1296" s="1" t="n">
        <v>45813.31068287037</v>
      </c>
      <c r="C1296" s="1" t="n">
        <v>45964</v>
      </c>
      <c r="D1296" t="inlineStr">
        <is>
          <t>VÄSTERBOTTENS LÄN</t>
        </is>
      </c>
      <c r="E1296" t="inlineStr">
        <is>
          <t>SKELLEFTEÅ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33283-2021</t>
        </is>
      </c>
      <c r="B1297" s="1" t="n">
        <v>44377.38222222222</v>
      </c>
      <c r="C1297" s="1" t="n">
        <v>45964</v>
      </c>
      <c r="D1297" t="inlineStr">
        <is>
          <t>VÄSTERBOTTENS LÄN</t>
        </is>
      </c>
      <c r="E1297" t="inlineStr">
        <is>
          <t>SKELLEFTEÅ</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15740-2022</t>
        </is>
      </c>
      <c r="B1298" s="1" t="n">
        <v>44663.51881944444</v>
      </c>
      <c r="C1298" s="1" t="n">
        <v>45964</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3143-2024</t>
        </is>
      </c>
      <c r="B1299" s="1" t="n">
        <v>45316.58484953704</v>
      </c>
      <c r="C1299" s="1" t="n">
        <v>45964</v>
      </c>
      <c r="D1299" t="inlineStr">
        <is>
          <t>VÄSTERBOTTENS LÄN</t>
        </is>
      </c>
      <c r="E1299" t="inlineStr">
        <is>
          <t>SKELLEFTEÅ</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16653-2022</t>
        </is>
      </c>
      <c r="B1300" s="1" t="n">
        <v>44672</v>
      </c>
      <c r="C1300" s="1" t="n">
        <v>45964</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65011-2023</t>
        </is>
      </c>
      <c r="B1301" s="1" t="n">
        <v>45287.38302083333</v>
      </c>
      <c r="C1301" s="1" t="n">
        <v>45964</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59406-2020</t>
        </is>
      </c>
      <c r="B1302" s="1" t="n">
        <v>44147</v>
      </c>
      <c r="C1302" s="1" t="n">
        <v>45964</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19160-2025</t>
        </is>
      </c>
      <c r="B1303" s="1" t="n">
        <v>45769.36587962963</v>
      </c>
      <c r="C1303" s="1" t="n">
        <v>45964</v>
      </c>
      <c r="D1303" t="inlineStr">
        <is>
          <t>VÄSTERBOTTENS LÄN</t>
        </is>
      </c>
      <c r="E1303" t="inlineStr">
        <is>
          <t>SKELLEFTEÅ</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39553-2021</t>
        </is>
      </c>
      <c r="B1304" s="1" t="n">
        <v>44416</v>
      </c>
      <c r="C1304" s="1" t="n">
        <v>45964</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34508-2023</t>
        </is>
      </c>
      <c r="B1305" s="1" t="n">
        <v>45133</v>
      </c>
      <c r="C1305" s="1" t="n">
        <v>45964</v>
      </c>
      <c r="D1305" t="inlineStr">
        <is>
          <t>VÄSTERBOTTENS LÄN</t>
        </is>
      </c>
      <c r="E1305" t="inlineStr">
        <is>
          <t>SKELLEFTEÅ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27578-2025</t>
        </is>
      </c>
      <c r="B1306" s="1" t="n">
        <v>45813</v>
      </c>
      <c r="C1306" s="1" t="n">
        <v>45964</v>
      </c>
      <c r="D1306" t="inlineStr">
        <is>
          <t>VÄSTERBOTTENS LÄN</t>
        </is>
      </c>
      <c r="E1306" t="inlineStr">
        <is>
          <t>SKELLEFTEÅ</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27579-2025</t>
        </is>
      </c>
      <c r="B1307" s="1" t="n">
        <v>45813</v>
      </c>
      <c r="C1307" s="1" t="n">
        <v>45964</v>
      </c>
      <c r="D1307" t="inlineStr">
        <is>
          <t>VÄSTERBOTTENS LÄN</t>
        </is>
      </c>
      <c r="E1307" t="inlineStr">
        <is>
          <t>SKELLEFTEÅ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27144-2025</t>
        </is>
      </c>
      <c r="B1308" s="1" t="n">
        <v>45812.28108796296</v>
      </c>
      <c r="C1308" s="1" t="n">
        <v>45964</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16415-2025</t>
        </is>
      </c>
      <c r="B1309" s="1" t="n">
        <v>45751.46192129629</v>
      </c>
      <c r="C1309" s="1" t="n">
        <v>45964</v>
      </c>
      <c r="D1309" t="inlineStr">
        <is>
          <t>VÄSTERBOTTENS LÄN</t>
        </is>
      </c>
      <c r="E1309" t="inlineStr">
        <is>
          <t>SKELLEFTEÅ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14983-2023</t>
        </is>
      </c>
      <c r="B1310" s="1" t="n">
        <v>45014</v>
      </c>
      <c r="C1310" s="1" t="n">
        <v>45964</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50872-2022</t>
        </is>
      </c>
      <c r="B1311" s="1" t="n">
        <v>44867</v>
      </c>
      <c r="C1311" s="1" t="n">
        <v>45964</v>
      </c>
      <c r="D1311" t="inlineStr">
        <is>
          <t>VÄSTERBOTTENS LÄN</t>
        </is>
      </c>
      <c r="E1311" t="inlineStr">
        <is>
          <t>SKELLEFTEÅ</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56435-2022</t>
        </is>
      </c>
      <c r="B1312" s="1" t="n">
        <v>44892.39662037037</v>
      </c>
      <c r="C1312" s="1" t="n">
        <v>45964</v>
      </c>
      <c r="D1312" t="inlineStr">
        <is>
          <t>VÄSTERBOTTENS LÄN</t>
        </is>
      </c>
      <c r="E1312" t="inlineStr">
        <is>
          <t>SKELLEFTEÅ</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6448-2024</t>
        </is>
      </c>
      <c r="B1313" s="1" t="n">
        <v>45338.67314814815</v>
      </c>
      <c r="C1313" s="1" t="n">
        <v>45964</v>
      </c>
      <c r="D1313" t="inlineStr">
        <is>
          <t>VÄSTERBOTTENS LÄN</t>
        </is>
      </c>
      <c r="E1313" t="inlineStr">
        <is>
          <t>SKELLEFTEÅ</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12545-2025</t>
        </is>
      </c>
      <c r="B1314" s="1" t="n">
        <v>45730.86586805555</v>
      </c>
      <c r="C1314" s="1" t="n">
        <v>45964</v>
      </c>
      <c r="D1314" t="inlineStr">
        <is>
          <t>VÄSTERBOTTENS LÄN</t>
        </is>
      </c>
      <c r="E1314" t="inlineStr">
        <is>
          <t>SKELLEFTEÅ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16409-2025</t>
        </is>
      </c>
      <c r="B1315" s="1" t="n">
        <v>45751.45391203704</v>
      </c>
      <c r="C1315" s="1" t="n">
        <v>45964</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3045-2024</t>
        </is>
      </c>
      <c r="B1316" s="1" t="n">
        <v>45316</v>
      </c>
      <c r="C1316" s="1" t="n">
        <v>45964</v>
      </c>
      <c r="D1316" t="inlineStr">
        <is>
          <t>VÄSTERBOTTENS LÄN</t>
        </is>
      </c>
      <c r="E1316" t="inlineStr">
        <is>
          <t>SKELLEFTEÅ</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14238-2025</t>
        </is>
      </c>
      <c r="B1317" s="1" t="n">
        <v>45740.6105787037</v>
      </c>
      <c r="C1317" s="1" t="n">
        <v>45964</v>
      </c>
      <c r="D1317" t="inlineStr">
        <is>
          <t>VÄSTERBOTTENS LÄN</t>
        </is>
      </c>
      <c r="E1317" t="inlineStr">
        <is>
          <t>SKELLEFTEÅ</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58776-2024</t>
        </is>
      </c>
      <c r="B1318" s="1" t="n">
        <v>45635.80726851852</v>
      </c>
      <c r="C1318" s="1" t="n">
        <v>45964</v>
      </c>
      <c r="D1318" t="inlineStr">
        <is>
          <t>VÄSTERBOTTENS LÄN</t>
        </is>
      </c>
      <c r="E1318" t="inlineStr">
        <is>
          <t>SKELLEFTEÅ</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42109-2022</t>
        </is>
      </c>
      <c r="B1319" s="1" t="n">
        <v>44827</v>
      </c>
      <c r="C1319" s="1" t="n">
        <v>45964</v>
      </c>
      <c r="D1319" t="inlineStr">
        <is>
          <t>VÄSTERBOTTENS LÄN</t>
        </is>
      </c>
      <c r="E1319" t="inlineStr">
        <is>
          <t>SKELLEFTEÅ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27875-2025</t>
        </is>
      </c>
      <c r="B1320" s="1" t="n">
        <v>45817.43524305556</v>
      </c>
      <c r="C1320" s="1" t="n">
        <v>45964</v>
      </c>
      <c r="D1320" t="inlineStr">
        <is>
          <t>VÄSTERBOTTENS LÄN</t>
        </is>
      </c>
      <c r="E1320" t="inlineStr">
        <is>
          <t>SKELLEFTEÅ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27877-2025</t>
        </is>
      </c>
      <c r="B1321" s="1" t="n">
        <v>45817.44212962963</v>
      </c>
      <c r="C1321" s="1" t="n">
        <v>45964</v>
      </c>
      <c r="D1321" t="inlineStr">
        <is>
          <t>VÄSTERBOTTENS LÄN</t>
        </is>
      </c>
      <c r="E1321" t="inlineStr">
        <is>
          <t>SKELLEFTEÅ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28327-2025</t>
        </is>
      </c>
      <c r="B1322" s="1" t="n">
        <v>45817</v>
      </c>
      <c r="C1322" s="1" t="n">
        <v>45964</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36792-2024</t>
        </is>
      </c>
      <c r="B1323" s="1" t="n">
        <v>45538.44001157407</v>
      </c>
      <c r="C1323" s="1" t="n">
        <v>45964</v>
      </c>
      <c r="D1323" t="inlineStr">
        <is>
          <t>VÄSTERBOTTENS LÄN</t>
        </is>
      </c>
      <c r="E1323" t="inlineStr">
        <is>
          <t>SKELLEFTEÅ</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36794-2024</t>
        </is>
      </c>
      <c r="B1324" s="1" t="n">
        <v>45538.44354166667</v>
      </c>
      <c r="C1324" s="1" t="n">
        <v>45964</v>
      </c>
      <c r="D1324" t="inlineStr">
        <is>
          <t>VÄSTERBOTTENS LÄN</t>
        </is>
      </c>
      <c r="E1324" t="inlineStr">
        <is>
          <t>SKELLEFTEÅ</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12515-2024</t>
        </is>
      </c>
      <c r="B1325" s="1" t="n">
        <v>45379</v>
      </c>
      <c r="C1325" s="1" t="n">
        <v>45964</v>
      </c>
      <c r="D1325" t="inlineStr">
        <is>
          <t>VÄSTERBOTTENS LÄN</t>
        </is>
      </c>
      <c r="E1325" t="inlineStr">
        <is>
          <t>SKELLEFTEÅ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35168-2024</t>
        </is>
      </c>
      <c r="B1326" s="1" t="n">
        <v>45530.40608796296</v>
      </c>
      <c r="C1326" s="1" t="n">
        <v>45964</v>
      </c>
      <c r="D1326" t="inlineStr">
        <is>
          <t>VÄSTERBOTTENS LÄN</t>
        </is>
      </c>
      <c r="E1326" t="inlineStr">
        <is>
          <t>SKELLEFTEÅ</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3852-2023</t>
        </is>
      </c>
      <c r="B1327" s="1" t="n">
        <v>44950</v>
      </c>
      <c r="C1327" s="1" t="n">
        <v>45964</v>
      </c>
      <c r="D1327" t="inlineStr">
        <is>
          <t>VÄSTERBOTTENS LÄN</t>
        </is>
      </c>
      <c r="E1327" t="inlineStr">
        <is>
          <t>SKELLEFTEÅ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58960-2024</t>
        </is>
      </c>
      <c r="B1328" s="1" t="n">
        <v>45635</v>
      </c>
      <c r="C1328" s="1" t="n">
        <v>45964</v>
      </c>
      <c r="D1328" t="inlineStr">
        <is>
          <t>VÄSTERBOTTENS LÄN</t>
        </is>
      </c>
      <c r="E1328" t="inlineStr">
        <is>
          <t>SKELLEFTEÅ</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38301-2023</t>
        </is>
      </c>
      <c r="B1329" s="1" t="n">
        <v>45160</v>
      </c>
      <c r="C1329" s="1" t="n">
        <v>45964</v>
      </c>
      <c r="D1329" t="inlineStr">
        <is>
          <t>VÄSTERBOTTENS LÄN</t>
        </is>
      </c>
      <c r="E1329" t="inlineStr">
        <is>
          <t>SKELLEFTEÅ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22121-2023</t>
        </is>
      </c>
      <c r="B1330" s="1" t="n">
        <v>45069.57740740741</v>
      </c>
      <c r="C1330" s="1" t="n">
        <v>45964</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25943-2024</t>
        </is>
      </c>
      <c r="B1331" s="1" t="n">
        <v>45467</v>
      </c>
      <c r="C1331" s="1" t="n">
        <v>45964</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9470-2024</t>
        </is>
      </c>
      <c r="B1332" s="1" t="n">
        <v>45359.55322916667</v>
      </c>
      <c r="C1332" s="1" t="n">
        <v>45964</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20559-2024</t>
        </is>
      </c>
      <c r="B1333" s="1" t="n">
        <v>45436</v>
      </c>
      <c r="C1333" s="1" t="n">
        <v>45964</v>
      </c>
      <c r="D1333" t="inlineStr">
        <is>
          <t>VÄSTERBOTTENS LÄN</t>
        </is>
      </c>
      <c r="E1333" t="inlineStr">
        <is>
          <t>SKELLEFTEÅ</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32919-2024</t>
        </is>
      </c>
      <c r="B1334" s="1" t="n">
        <v>45516.95201388889</v>
      </c>
      <c r="C1334" s="1" t="n">
        <v>45964</v>
      </c>
      <c r="D1334" t="inlineStr">
        <is>
          <t>VÄSTERBOTTENS LÄN</t>
        </is>
      </c>
      <c r="E1334" t="inlineStr">
        <is>
          <t>SKELLEFTEÅ</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28337-2025</t>
        </is>
      </c>
      <c r="B1335" s="1" t="n">
        <v>45817</v>
      </c>
      <c r="C1335" s="1" t="n">
        <v>45964</v>
      </c>
      <c r="D1335" t="inlineStr">
        <is>
          <t>VÄSTERBOTTENS LÄN</t>
        </is>
      </c>
      <c r="E1335" t="inlineStr">
        <is>
          <t>SKELLEFTEÅ</t>
        </is>
      </c>
      <c r="G1335" t="n">
        <v>16.4</v>
      </c>
      <c r="H1335" t="n">
        <v>0</v>
      </c>
      <c r="I1335" t="n">
        <v>0</v>
      </c>
      <c r="J1335" t="n">
        <v>0</v>
      </c>
      <c r="K1335" t="n">
        <v>0</v>
      </c>
      <c r="L1335" t="n">
        <v>0</v>
      </c>
      <c r="M1335" t="n">
        <v>0</v>
      </c>
      <c r="N1335" t="n">
        <v>0</v>
      </c>
      <c r="O1335" t="n">
        <v>0</v>
      </c>
      <c r="P1335" t="n">
        <v>0</v>
      </c>
      <c r="Q1335" t="n">
        <v>0</v>
      </c>
      <c r="R1335" s="2" t="inlineStr"/>
    </row>
    <row r="1336" ht="15" customHeight="1">
      <c r="A1336" t="inlineStr">
        <is>
          <t>A 12759-2024</t>
        </is>
      </c>
      <c r="B1336" s="1" t="n">
        <v>45384</v>
      </c>
      <c r="C1336" s="1" t="n">
        <v>45964</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702-2023</t>
        </is>
      </c>
      <c r="B1337" s="1" t="n">
        <v>44930.92688657407</v>
      </c>
      <c r="C1337" s="1" t="n">
        <v>45964</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27869-2025</t>
        </is>
      </c>
      <c r="B1338" s="1" t="n">
        <v>45817.42847222222</v>
      </c>
      <c r="C1338" s="1" t="n">
        <v>45964</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4447-2023</t>
        </is>
      </c>
      <c r="B1339" s="1" t="n">
        <v>44951</v>
      </c>
      <c r="C1339" s="1" t="n">
        <v>45964</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17086-2023</t>
        </is>
      </c>
      <c r="B1340" s="1" t="n">
        <v>45030</v>
      </c>
      <c r="C1340" s="1" t="n">
        <v>45964</v>
      </c>
      <c r="D1340" t="inlineStr">
        <is>
          <t>VÄSTERBOTTENS LÄN</t>
        </is>
      </c>
      <c r="E1340" t="inlineStr">
        <is>
          <t>SKELLEFTEÅ</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27715-2025</t>
        </is>
      </c>
      <c r="B1341" s="1" t="n">
        <v>45813.92237268519</v>
      </c>
      <c r="C1341" s="1" t="n">
        <v>45964</v>
      </c>
      <c r="D1341" t="inlineStr">
        <is>
          <t>VÄSTERBOTTENS LÄN</t>
        </is>
      </c>
      <c r="E1341" t="inlineStr">
        <is>
          <t>SKELLEFTEÅ</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61089-2023</t>
        </is>
      </c>
      <c r="B1342" s="1" t="n">
        <v>45260</v>
      </c>
      <c r="C1342" s="1" t="n">
        <v>45964</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27876-2025</t>
        </is>
      </c>
      <c r="B1343" s="1" t="n">
        <v>45817.43787037037</v>
      </c>
      <c r="C1343" s="1" t="n">
        <v>45964</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48093-2024</t>
        </is>
      </c>
      <c r="B1344" s="1" t="n">
        <v>45589.60805555555</v>
      </c>
      <c r="C1344" s="1" t="n">
        <v>45964</v>
      </c>
      <c r="D1344" t="inlineStr">
        <is>
          <t>VÄSTERBOTTENS LÄN</t>
        </is>
      </c>
      <c r="E1344" t="inlineStr">
        <is>
          <t>SKELLEFTEÅ</t>
        </is>
      </c>
      <c r="F1344" t="inlineStr">
        <is>
          <t>Holmen skog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64598-2023</t>
        </is>
      </c>
      <c r="B1345" s="1" t="n">
        <v>45281</v>
      </c>
      <c r="C1345" s="1" t="n">
        <v>45964</v>
      </c>
      <c r="D1345" t="inlineStr">
        <is>
          <t>VÄSTERBOTTENS LÄN</t>
        </is>
      </c>
      <c r="E1345" t="inlineStr">
        <is>
          <t>SKELLEFTEÅ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18104-2021</t>
        </is>
      </c>
      <c r="B1346" s="1" t="n">
        <v>44302</v>
      </c>
      <c r="C1346" s="1" t="n">
        <v>45964</v>
      </c>
      <c r="D1346" t="inlineStr">
        <is>
          <t>VÄSTERBOTTENS LÄN</t>
        </is>
      </c>
      <c r="E1346" t="inlineStr">
        <is>
          <t>SKELLEFTEÅ</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28221-2025</t>
        </is>
      </c>
      <c r="B1347" s="1" t="n">
        <v>45818</v>
      </c>
      <c r="C1347" s="1" t="n">
        <v>45964</v>
      </c>
      <c r="D1347" t="inlineStr">
        <is>
          <t>VÄSTERBOTTENS LÄN</t>
        </is>
      </c>
      <c r="E1347" t="inlineStr">
        <is>
          <t>SKELLEFTEÅ</t>
        </is>
      </c>
      <c r="F1347" t="inlineStr">
        <is>
          <t>Holmen skog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27864-2025</t>
        </is>
      </c>
      <c r="B1348" s="1" t="n">
        <v>45817.42127314815</v>
      </c>
      <c r="C1348" s="1" t="n">
        <v>45964</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56299-2022</t>
        </is>
      </c>
      <c r="B1349" s="1" t="n">
        <v>44887</v>
      </c>
      <c r="C1349" s="1" t="n">
        <v>45964</v>
      </c>
      <c r="D1349" t="inlineStr">
        <is>
          <t>VÄSTERBOTTENS LÄN</t>
        </is>
      </c>
      <c r="E1349" t="inlineStr">
        <is>
          <t>SKELLEFTEÅ</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28311-2025</t>
        </is>
      </c>
      <c r="B1350" s="1" t="n">
        <v>45818.62216435185</v>
      </c>
      <c r="C1350" s="1" t="n">
        <v>45964</v>
      </c>
      <c r="D1350" t="inlineStr">
        <is>
          <t>VÄSTERBOTTENS LÄN</t>
        </is>
      </c>
      <c r="E1350" t="inlineStr">
        <is>
          <t>SKELLEFTEÅ</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28316-2025</t>
        </is>
      </c>
      <c r="B1351" s="1" t="n">
        <v>45818.62799768519</v>
      </c>
      <c r="C1351" s="1" t="n">
        <v>45964</v>
      </c>
      <c r="D1351" t="inlineStr">
        <is>
          <t>VÄSTERBOTTENS LÄN</t>
        </is>
      </c>
      <c r="E1351" t="inlineStr">
        <is>
          <t>SKELLEFTEÅ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28360-2025</t>
        </is>
      </c>
      <c r="B1352" s="1" t="n">
        <v>45818.80997685185</v>
      </c>
      <c r="C1352" s="1" t="n">
        <v>45964</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60585-2022</t>
        </is>
      </c>
      <c r="B1353" s="1" t="n">
        <v>44911.58148148148</v>
      </c>
      <c r="C1353" s="1" t="n">
        <v>45964</v>
      </c>
      <c r="D1353" t="inlineStr">
        <is>
          <t>VÄSTERBOTTENS LÄN</t>
        </is>
      </c>
      <c r="E1353" t="inlineStr">
        <is>
          <t>SKELLEFTEÅ</t>
        </is>
      </c>
      <c r="F1353" t="inlineStr">
        <is>
          <t>Sveaskog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7800-2024</t>
        </is>
      </c>
      <c r="B1354" s="1" t="n">
        <v>45348</v>
      </c>
      <c r="C1354" s="1" t="n">
        <v>45964</v>
      </c>
      <c r="D1354" t="inlineStr">
        <is>
          <t>VÄSTERBOTTENS LÄN</t>
        </is>
      </c>
      <c r="E1354" t="inlineStr">
        <is>
          <t>SKELLEFTEÅ</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56500-2024</t>
        </is>
      </c>
      <c r="B1355" s="1" t="n">
        <v>45625.49765046296</v>
      </c>
      <c r="C1355" s="1" t="n">
        <v>45964</v>
      </c>
      <c r="D1355" t="inlineStr">
        <is>
          <t>VÄSTERBOTTENS LÄN</t>
        </is>
      </c>
      <c r="E1355" t="inlineStr">
        <is>
          <t>SKELLEFTEÅ</t>
        </is>
      </c>
      <c r="F1355" t="inlineStr">
        <is>
          <t>Holmen skog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56501-2024</t>
        </is>
      </c>
      <c r="B1356" s="1" t="n">
        <v>45625.49784722222</v>
      </c>
      <c r="C1356" s="1" t="n">
        <v>45964</v>
      </c>
      <c r="D1356" t="inlineStr">
        <is>
          <t>VÄSTERBOTTENS LÄN</t>
        </is>
      </c>
      <c r="E1356" t="inlineStr">
        <is>
          <t>SKELLEFTEÅ</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7832-2024</t>
        </is>
      </c>
      <c r="B1357" s="1" t="n">
        <v>45349.80663194445</v>
      </c>
      <c r="C1357" s="1" t="n">
        <v>45964</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21812-2024</t>
        </is>
      </c>
      <c r="B1358" s="1" t="n">
        <v>45442.67990740741</v>
      </c>
      <c r="C1358" s="1" t="n">
        <v>45964</v>
      </c>
      <c r="D1358" t="inlineStr">
        <is>
          <t>VÄSTERBOTTENS LÄN</t>
        </is>
      </c>
      <c r="E1358" t="inlineStr">
        <is>
          <t>SKELLEFTEÅ</t>
        </is>
      </c>
      <c r="F1358" t="inlineStr">
        <is>
          <t>Holmen skog AB</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45850-2024</t>
        </is>
      </c>
      <c r="B1359" s="1" t="n">
        <v>45580</v>
      </c>
      <c r="C1359" s="1" t="n">
        <v>45964</v>
      </c>
      <c r="D1359" t="inlineStr">
        <is>
          <t>VÄSTERBOTTENS LÄN</t>
        </is>
      </c>
      <c r="E1359" t="inlineStr">
        <is>
          <t>SKELLEFTEÅ</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46482-2024</t>
        </is>
      </c>
      <c r="B1360" s="1" t="n">
        <v>45582.57383101852</v>
      </c>
      <c r="C1360" s="1" t="n">
        <v>45964</v>
      </c>
      <c r="D1360" t="inlineStr">
        <is>
          <t>VÄSTERBOTTENS LÄN</t>
        </is>
      </c>
      <c r="E1360" t="inlineStr">
        <is>
          <t>SKELLEFTEÅ</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28359-2025</t>
        </is>
      </c>
      <c r="B1361" s="1" t="n">
        <v>45818.79951388889</v>
      </c>
      <c r="C1361" s="1" t="n">
        <v>45964</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73985-2021</t>
        </is>
      </c>
      <c r="B1362" s="1" t="n">
        <v>44555</v>
      </c>
      <c r="C1362" s="1" t="n">
        <v>45964</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28577-2025</t>
        </is>
      </c>
      <c r="B1363" s="1" t="n">
        <v>45819</v>
      </c>
      <c r="C1363" s="1" t="n">
        <v>45964</v>
      </c>
      <c r="D1363" t="inlineStr">
        <is>
          <t>VÄSTERBOTTENS LÄN</t>
        </is>
      </c>
      <c r="E1363" t="inlineStr">
        <is>
          <t>SKELLEFTEÅ</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28114-2025</t>
        </is>
      </c>
      <c r="B1364" s="1" t="n">
        <v>45817.96760416667</v>
      </c>
      <c r="C1364" s="1" t="n">
        <v>45964</v>
      </c>
      <c r="D1364" t="inlineStr">
        <is>
          <t>VÄSTERBOTTENS LÄN</t>
        </is>
      </c>
      <c r="E1364" t="inlineStr">
        <is>
          <t>SKELLEFTEÅ</t>
        </is>
      </c>
      <c r="F1364" t="inlineStr">
        <is>
          <t>Sveaskog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9035-2021</t>
        </is>
      </c>
      <c r="B1365" s="1" t="n">
        <v>44249</v>
      </c>
      <c r="C1365" s="1" t="n">
        <v>45964</v>
      </c>
      <c r="D1365" t="inlineStr">
        <is>
          <t>VÄSTERBOTTENS LÄN</t>
        </is>
      </c>
      <c r="E1365" t="inlineStr">
        <is>
          <t>SKELLEFTEÅ</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3944-2022</t>
        </is>
      </c>
      <c r="B1366" s="1" t="n">
        <v>44587</v>
      </c>
      <c r="C1366" s="1" t="n">
        <v>45964</v>
      </c>
      <c r="D1366" t="inlineStr">
        <is>
          <t>VÄSTERBOTTENS LÄN</t>
        </is>
      </c>
      <c r="E1366" t="inlineStr">
        <is>
          <t>SKELLEFTEÅ</t>
        </is>
      </c>
      <c r="F1366" t="inlineStr">
        <is>
          <t>Kommuner</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28373-2025</t>
        </is>
      </c>
      <c r="B1367" s="1" t="n">
        <v>45819</v>
      </c>
      <c r="C1367" s="1" t="n">
        <v>45964</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33792-2024</t>
        </is>
      </c>
      <c r="B1368" s="1" t="n">
        <v>45520</v>
      </c>
      <c r="C1368" s="1" t="n">
        <v>45964</v>
      </c>
      <c r="D1368" t="inlineStr">
        <is>
          <t>VÄSTERBOTTENS LÄN</t>
        </is>
      </c>
      <c r="E1368" t="inlineStr">
        <is>
          <t>SKELLEFTEÅ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28377-2025</t>
        </is>
      </c>
      <c r="B1369" s="1" t="n">
        <v>45819</v>
      </c>
      <c r="C1369" s="1" t="n">
        <v>45964</v>
      </c>
      <c r="D1369" t="inlineStr">
        <is>
          <t>VÄSTERBOTTENS LÄN</t>
        </is>
      </c>
      <c r="E1369" t="inlineStr">
        <is>
          <t>SKELLEFTEÅ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44483-2024</t>
        </is>
      </c>
      <c r="B1370" s="1" t="n">
        <v>45574</v>
      </c>
      <c r="C1370" s="1" t="n">
        <v>45964</v>
      </c>
      <c r="D1370" t="inlineStr">
        <is>
          <t>VÄSTERBOTTENS LÄN</t>
        </is>
      </c>
      <c r="E1370" t="inlineStr">
        <is>
          <t>SKELLEFTEÅ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28408-2025</t>
        </is>
      </c>
      <c r="B1371" s="1" t="n">
        <v>45819.34600694444</v>
      </c>
      <c r="C1371" s="1" t="n">
        <v>45964</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28354-2025</t>
        </is>
      </c>
      <c r="B1372" s="1" t="n">
        <v>45818.77484953704</v>
      </c>
      <c r="C1372" s="1" t="n">
        <v>45964</v>
      </c>
      <c r="D1372" t="inlineStr">
        <is>
          <t>VÄSTERBOTTENS LÄN</t>
        </is>
      </c>
      <c r="E1372" t="inlineStr">
        <is>
          <t>SKELLEFTEÅ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28358-2025</t>
        </is>
      </c>
      <c r="B1373" s="1" t="n">
        <v>45818.79246527778</v>
      </c>
      <c r="C1373" s="1" t="n">
        <v>45964</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28220-2025</t>
        </is>
      </c>
      <c r="B1374" s="1" t="n">
        <v>45818.47373842593</v>
      </c>
      <c r="C1374" s="1" t="n">
        <v>45964</v>
      </c>
      <c r="D1374" t="inlineStr">
        <is>
          <t>VÄSTERBOTTENS LÄN</t>
        </is>
      </c>
      <c r="E1374" t="inlineStr">
        <is>
          <t>SKELLEFTEÅ</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28153-2023</t>
        </is>
      </c>
      <c r="B1375" s="1" t="n">
        <v>45096</v>
      </c>
      <c r="C1375" s="1" t="n">
        <v>45964</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28158-2023</t>
        </is>
      </c>
      <c r="B1376" s="1" t="n">
        <v>45096</v>
      </c>
      <c r="C1376" s="1" t="n">
        <v>45964</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29134-2025</t>
        </is>
      </c>
      <c r="B1377" s="1" t="n">
        <v>45821.60568287037</v>
      </c>
      <c r="C1377" s="1" t="n">
        <v>45964</v>
      </c>
      <c r="D1377" t="inlineStr">
        <is>
          <t>VÄSTERBOTTENS LÄN</t>
        </is>
      </c>
      <c r="E1377" t="inlineStr">
        <is>
          <t>SKELLEFTEÅ</t>
        </is>
      </c>
      <c r="F1377" t="inlineStr">
        <is>
          <t>Holmen skog AB</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5470-2023</t>
        </is>
      </c>
      <c r="B1378" s="1" t="n">
        <v>44960</v>
      </c>
      <c r="C1378" s="1" t="n">
        <v>45964</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28787-2025</t>
        </is>
      </c>
      <c r="B1379" s="1" t="n">
        <v>45820.46806712963</v>
      </c>
      <c r="C1379" s="1" t="n">
        <v>45964</v>
      </c>
      <c r="D1379" t="inlineStr">
        <is>
          <t>VÄSTERBOTTENS LÄN</t>
        </is>
      </c>
      <c r="E1379" t="inlineStr">
        <is>
          <t>SKELLEFTEÅ</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31558-2023</t>
        </is>
      </c>
      <c r="B1380" s="1" t="n">
        <v>45104</v>
      </c>
      <c r="C1380" s="1" t="n">
        <v>45964</v>
      </c>
      <c r="D1380" t="inlineStr">
        <is>
          <t>VÄSTERBOTTENS LÄN</t>
        </is>
      </c>
      <c r="E1380" t="inlineStr">
        <is>
          <t>SKELLEFTEÅ</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33289-2023</t>
        </is>
      </c>
      <c r="B1381" s="1" t="n">
        <v>45116</v>
      </c>
      <c r="C1381" s="1" t="n">
        <v>45964</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50488-2023</t>
        </is>
      </c>
      <c r="B1382" s="1" t="n">
        <v>45216</v>
      </c>
      <c r="C1382" s="1" t="n">
        <v>45964</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31871-2024</t>
        </is>
      </c>
      <c r="B1383" s="1" t="n">
        <v>45509.92899305555</v>
      </c>
      <c r="C1383" s="1" t="n">
        <v>45964</v>
      </c>
      <c r="D1383" t="inlineStr">
        <is>
          <t>VÄSTERBOTTENS LÄN</t>
        </is>
      </c>
      <c r="E1383" t="inlineStr">
        <is>
          <t>SKELLEFTEÅ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45200-2024</t>
        </is>
      </c>
      <c r="B1384" s="1" t="n">
        <v>45575.69085648148</v>
      </c>
      <c r="C1384" s="1" t="n">
        <v>45964</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64370-2023</t>
        </is>
      </c>
      <c r="B1385" s="1" t="n">
        <v>45280</v>
      </c>
      <c r="C1385" s="1" t="n">
        <v>45964</v>
      </c>
      <c r="D1385" t="inlineStr">
        <is>
          <t>VÄSTERBOTTENS LÄN</t>
        </is>
      </c>
      <c r="E1385" t="inlineStr">
        <is>
          <t>SKELLEFTEÅ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28777-2025</t>
        </is>
      </c>
      <c r="B1386" s="1" t="n">
        <v>45820.44814814815</v>
      </c>
      <c r="C1386" s="1" t="n">
        <v>45964</v>
      </c>
      <c r="D1386" t="inlineStr">
        <is>
          <t>VÄSTERBOTTENS LÄN</t>
        </is>
      </c>
      <c r="E1386" t="inlineStr">
        <is>
          <t>SKELLEFTEÅ</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60000-2022</t>
        </is>
      </c>
      <c r="B1387" s="1" t="n">
        <v>44909.4678125</v>
      </c>
      <c r="C1387" s="1" t="n">
        <v>45964</v>
      </c>
      <c r="D1387" t="inlineStr">
        <is>
          <t>VÄSTERBOTTENS LÄN</t>
        </is>
      </c>
      <c r="E1387" t="inlineStr">
        <is>
          <t>SKELLEFTEÅ</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53505-2024</t>
        </is>
      </c>
      <c r="B1388" s="1" t="n">
        <v>45614.59049768518</v>
      </c>
      <c r="C1388" s="1" t="n">
        <v>45964</v>
      </c>
      <c r="D1388" t="inlineStr">
        <is>
          <t>VÄSTERBOTTENS LÄN</t>
        </is>
      </c>
      <c r="E1388" t="inlineStr">
        <is>
          <t>SKELLEFTEÅ</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60506-2022</t>
        </is>
      </c>
      <c r="B1389" s="1" t="n">
        <v>44911.44916666667</v>
      </c>
      <c r="C1389" s="1" t="n">
        <v>45964</v>
      </c>
      <c r="D1389" t="inlineStr">
        <is>
          <t>VÄSTERBOTTENS LÄN</t>
        </is>
      </c>
      <c r="E1389" t="inlineStr">
        <is>
          <t>SKELLEFTEÅ</t>
        </is>
      </c>
      <c r="F1389" t="inlineStr">
        <is>
          <t>Sveaskog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2720-2023</t>
        </is>
      </c>
      <c r="B1390" s="1" t="n">
        <v>44944</v>
      </c>
      <c r="C1390" s="1" t="n">
        <v>45964</v>
      </c>
      <c r="D1390" t="inlineStr">
        <is>
          <t>VÄSTERBOTTENS LÄN</t>
        </is>
      </c>
      <c r="E1390" t="inlineStr">
        <is>
          <t>SKELLEFTEÅ</t>
        </is>
      </c>
      <c r="G1390" t="n">
        <v>31.7</v>
      </c>
      <c r="H1390" t="n">
        <v>0</v>
      </c>
      <c r="I1390" t="n">
        <v>0</v>
      </c>
      <c r="J1390" t="n">
        <v>0</v>
      </c>
      <c r="K1390" t="n">
        <v>0</v>
      </c>
      <c r="L1390" t="n">
        <v>0</v>
      </c>
      <c r="M1390" t="n">
        <v>0</v>
      </c>
      <c r="N1390" t="n">
        <v>0</v>
      </c>
      <c r="O1390" t="n">
        <v>0</v>
      </c>
      <c r="P1390" t="n">
        <v>0</v>
      </c>
      <c r="Q1390" t="n">
        <v>0</v>
      </c>
      <c r="R1390" s="2" t="inlineStr"/>
    </row>
    <row r="1391" ht="15" customHeight="1">
      <c r="A1391" t="inlineStr">
        <is>
          <t>A 28989-2025</t>
        </is>
      </c>
      <c r="B1391" s="1" t="n">
        <v>45821.37027777778</v>
      </c>
      <c r="C1391" s="1" t="n">
        <v>45964</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58572-2022</t>
        </is>
      </c>
      <c r="B1392" s="1" t="n">
        <v>44902</v>
      </c>
      <c r="C1392" s="1" t="n">
        <v>45964</v>
      </c>
      <c r="D1392" t="inlineStr">
        <is>
          <t>VÄSTERBOTTENS LÄN</t>
        </is>
      </c>
      <c r="E1392" t="inlineStr">
        <is>
          <t>SKELLEFTEÅ</t>
        </is>
      </c>
      <c r="F1392" t="inlineStr">
        <is>
          <t>Sveaskog</t>
        </is>
      </c>
      <c r="G1392" t="n">
        <v>14.7</v>
      </c>
      <c r="H1392" t="n">
        <v>0</v>
      </c>
      <c r="I1392" t="n">
        <v>0</v>
      </c>
      <c r="J1392" t="n">
        <v>0</v>
      </c>
      <c r="K1392" t="n">
        <v>0</v>
      </c>
      <c r="L1392" t="n">
        <v>0</v>
      </c>
      <c r="M1392" t="n">
        <v>0</v>
      </c>
      <c r="N1392" t="n">
        <v>0</v>
      </c>
      <c r="O1392" t="n">
        <v>0</v>
      </c>
      <c r="P1392" t="n">
        <v>0</v>
      </c>
      <c r="Q1392" t="n">
        <v>0</v>
      </c>
      <c r="R1392" s="2" t="inlineStr"/>
    </row>
    <row r="1393" ht="15" customHeight="1">
      <c r="A1393" t="inlineStr">
        <is>
          <t>A 28984-2025</t>
        </is>
      </c>
      <c r="B1393" s="1" t="n">
        <v>45821.36861111111</v>
      </c>
      <c r="C1393" s="1" t="n">
        <v>45964</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64716-2023</t>
        </is>
      </c>
      <c r="B1394" s="1" t="n">
        <v>45281</v>
      </c>
      <c r="C1394" s="1" t="n">
        <v>45964</v>
      </c>
      <c r="D1394" t="inlineStr">
        <is>
          <t>VÄSTERBOTTENS LÄN</t>
        </is>
      </c>
      <c r="E1394" t="inlineStr">
        <is>
          <t>SKELLEFTEÅ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54476-2023</t>
        </is>
      </c>
      <c r="B1395" s="1" t="n">
        <v>45233.47082175926</v>
      </c>
      <c r="C1395" s="1" t="n">
        <v>45964</v>
      </c>
      <c r="D1395" t="inlineStr">
        <is>
          <t>VÄSTERBOTTENS LÄN</t>
        </is>
      </c>
      <c r="E1395" t="inlineStr">
        <is>
          <t>SKELLEFTEÅ</t>
        </is>
      </c>
      <c r="G1395" t="n">
        <v>11.3</v>
      </c>
      <c r="H1395" t="n">
        <v>0</v>
      </c>
      <c r="I1395" t="n">
        <v>0</v>
      </c>
      <c r="J1395" t="n">
        <v>0</v>
      </c>
      <c r="K1395" t="n">
        <v>0</v>
      </c>
      <c r="L1395" t="n">
        <v>0</v>
      </c>
      <c r="M1395" t="n">
        <v>0</v>
      </c>
      <c r="N1395" t="n">
        <v>0</v>
      </c>
      <c r="O1395" t="n">
        <v>0</v>
      </c>
      <c r="P1395" t="n">
        <v>0</v>
      </c>
      <c r="Q1395" t="n">
        <v>0</v>
      </c>
      <c r="R1395" s="2" t="inlineStr"/>
    </row>
    <row r="1396" ht="15" customHeight="1">
      <c r="A1396" t="inlineStr">
        <is>
          <t>A 22516-2023</t>
        </is>
      </c>
      <c r="B1396" s="1" t="n">
        <v>45069</v>
      </c>
      <c r="C1396" s="1" t="n">
        <v>45964</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28804-2025</t>
        </is>
      </c>
      <c r="B1397" s="1" t="n">
        <v>45820.50423611111</v>
      </c>
      <c r="C1397" s="1" t="n">
        <v>45964</v>
      </c>
      <c r="D1397" t="inlineStr">
        <is>
          <t>VÄSTERBOTTENS LÄN</t>
        </is>
      </c>
      <c r="E1397" t="inlineStr">
        <is>
          <t>SKELLEFTEÅ</t>
        </is>
      </c>
      <c r="F1397" t="inlineStr">
        <is>
          <t>Holmen skog AB</t>
        </is>
      </c>
      <c r="G1397" t="n">
        <v>10.5</v>
      </c>
      <c r="H1397" t="n">
        <v>0</v>
      </c>
      <c r="I1397" t="n">
        <v>0</v>
      </c>
      <c r="J1397" t="n">
        <v>0</v>
      </c>
      <c r="K1397" t="n">
        <v>0</v>
      </c>
      <c r="L1397" t="n">
        <v>0</v>
      </c>
      <c r="M1397" t="n">
        <v>0</v>
      </c>
      <c r="N1397" t="n">
        <v>0</v>
      </c>
      <c r="O1397" t="n">
        <v>0</v>
      </c>
      <c r="P1397" t="n">
        <v>0</v>
      </c>
      <c r="Q1397" t="n">
        <v>0</v>
      </c>
      <c r="R1397" s="2" t="inlineStr"/>
    </row>
    <row r="1398" ht="15" customHeight="1">
      <c r="A1398" t="inlineStr">
        <is>
          <t>A 5133-2025</t>
        </is>
      </c>
      <c r="B1398" s="1" t="n">
        <v>45691.57523148148</v>
      </c>
      <c r="C1398" s="1" t="n">
        <v>45964</v>
      </c>
      <c r="D1398" t="inlineStr">
        <is>
          <t>VÄSTERBOTTENS LÄN</t>
        </is>
      </c>
      <c r="E1398" t="inlineStr">
        <is>
          <t>SKELLEFTEÅ</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5147-2025</t>
        </is>
      </c>
      <c r="B1399" s="1" t="n">
        <v>45691.58826388889</v>
      </c>
      <c r="C1399" s="1" t="n">
        <v>45964</v>
      </c>
      <c r="D1399" t="inlineStr">
        <is>
          <t>VÄSTERBOTTENS LÄN</t>
        </is>
      </c>
      <c r="E1399" t="inlineStr">
        <is>
          <t>SKELLEFTEÅ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29277-2025</t>
        </is>
      </c>
      <c r="B1400" s="1" t="n">
        <v>45824.41894675926</v>
      </c>
      <c r="C1400" s="1" t="n">
        <v>45964</v>
      </c>
      <c r="D1400" t="inlineStr">
        <is>
          <t>VÄSTERBOTTENS LÄN</t>
        </is>
      </c>
      <c r="E1400" t="inlineStr">
        <is>
          <t>SKELLEFTEÅ</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38398-2024</t>
        </is>
      </c>
      <c r="B1401" s="1" t="n">
        <v>45546.33550925926</v>
      </c>
      <c r="C1401" s="1" t="n">
        <v>45964</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56157-2024</t>
        </is>
      </c>
      <c r="B1402" s="1" t="n">
        <v>45623</v>
      </c>
      <c r="C1402" s="1" t="n">
        <v>45964</v>
      </c>
      <c r="D1402" t="inlineStr">
        <is>
          <t>VÄSTERBOTTENS LÄN</t>
        </is>
      </c>
      <c r="E1402" t="inlineStr">
        <is>
          <t>SKELLEFTEÅ</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29455-2025</t>
        </is>
      </c>
      <c r="B1403" s="1" t="n">
        <v>45824.68148148148</v>
      </c>
      <c r="C1403" s="1" t="n">
        <v>45964</v>
      </c>
      <c r="D1403" t="inlineStr">
        <is>
          <t>VÄSTERBOTTENS LÄN</t>
        </is>
      </c>
      <c r="E1403" t="inlineStr">
        <is>
          <t>SKELLEFTEÅ</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15332-2023</t>
        </is>
      </c>
      <c r="B1404" s="1" t="n">
        <v>45016</v>
      </c>
      <c r="C1404" s="1" t="n">
        <v>45964</v>
      </c>
      <c r="D1404" t="inlineStr">
        <is>
          <t>VÄSTERBOTTENS LÄN</t>
        </is>
      </c>
      <c r="E1404" t="inlineStr">
        <is>
          <t>SKELLEFTEÅ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26031-2022</t>
        </is>
      </c>
      <c r="B1405" s="1" t="n">
        <v>44734.57721064815</v>
      </c>
      <c r="C1405" s="1" t="n">
        <v>45964</v>
      </c>
      <c r="D1405" t="inlineStr">
        <is>
          <t>VÄSTERBOTTENS LÄN</t>
        </is>
      </c>
      <c r="E1405" t="inlineStr">
        <is>
          <t>SKELLEFTEÅ</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29413-2025</t>
        </is>
      </c>
      <c r="B1406" s="1" t="n">
        <v>45824.62412037037</v>
      </c>
      <c r="C1406" s="1" t="n">
        <v>45964</v>
      </c>
      <c r="D1406" t="inlineStr">
        <is>
          <t>VÄSTERBOTTENS LÄN</t>
        </is>
      </c>
      <c r="E1406" t="inlineStr">
        <is>
          <t>SKELLEFTEÅ</t>
        </is>
      </c>
      <c r="F1406" t="inlineStr">
        <is>
          <t>Holmen skog AB</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19424-2023</t>
        </is>
      </c>
      <c r="B1407" s="1" t="n">
        <v>45049.92751157407</v>
      </c>
      <c r="C1407" s="1" t="n">
        <v>45964</v>
      </c>
      <c r="D1407" t="inlineStr">
        <is>
          <t>VÄSTERBOTTENS LÄN</t>
        </is>
      </c>
      <c r="E1407" t="inlineStr">
        <is>
          <t>SKELLEFTEÅ</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19428-2023</t>
        </is>
      </c>
      <c r="B1408" s="1" t="n">
        <v>45049.92771990741</v>
      </c>
      <c r="C1408" s="1" t="n">
        <v>45964</v>
      </c>
      <c r="D1408" t="inlineStr">
        <is>
          <t>VÄSTERBOTTENS LÄN</t>
        </is>
      </c>
      <c r="E1408" t="inlineStr">
        <is>
          <t>SKELLEFTEÅ</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55654-2024</t>
        </is>
      </c>
      <c r="B1409" s="1" t="n">
        <v>45621</v>
      </c>
      <c r="C1409" s="1" t="n">
        <v>45964</v>
      </c>
      <c r="D1409" t="inlineStr">
        <is>
          <t>VÄSTERBOTTENS LÄN</t>
        </is>
      </c>
      <c r="E1409" t="inlineStr">
        <is>
          <t>SKELLEFTEÅ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29442-2025</t>
        </is>
      </c>
      <c r="B1410" s="1" t="n">
        <v>45824.66078703704</v>
      </c>
      <c r="C1410" s="1" t="n">
        <v>45964</v>
      </c>
      <c r="D1410" t="inlineStr">
        <is>
          <t>VÄSTERBOTTENS LÄN</t>
        </is>
      </c>
      <c r="E1410" t="inlineStr">
        <is>
          <t>SKELLEFTEÅ</t>
        </is>
      </c>
      <c r="F1410" t="inlineStr">
        <is>
          <t>Holmen skog AB</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29194-2025</t>
        </is>
      </c>
      <c r="B1411" s="1" t="n">
        <v>45822</v>
      </c>
      <c r="C1411" s="1" t="n">
        <v>45964</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29152-2023</t>
        </is>
      </c>
      <c r="B1412" s="1" t="n">
        <v>45105</v>
      </c>
      <c r="C1412" s="1" t="n">
        <v>45964</v>
      </c>
      <c r="D1412" t="inlineStr">
        <is>
          <t>VÄSTERBOTTENS LÄN</t>
        </is>
      </c>
      <c r="E1412" t="inlineStr">
        <is>
          <t>SKELLEFTEÅ</t>
        </is>
      </c>
      <c r="F1412" t="inlineStr">
        <is>
          <t>Holmen skog AB</t>
        </is>
      </c>
      <c r="G1412" t="n">
        <v>18.5</v>
      </c>
      <c r="H1412" t="n">
        <v>0</v>
      </c>
      <c r="I1412" t="n">
        <v>0</v>
      </c>
      <c r="J1412" t="n">
        <v>0</v>
      </c>
      <c r="K1412" t="n">
        <v>0</v>
      </c>
      <c r="L1412" t="n">
        <v>0</v>
      </c>
      <c r="M1412" t="n">
        <v>0</v>
      </c>
      <c r="N1412" t="n">
        <v>0</v>
      </c>
      <c r="O1412" t="n">
        <v>0</v>
      </c>
      <c r="P1412" t="n">
        <v>0</v>
      </c>
      <c r="Q1412" t="n">
        <v>0</v>
      </c>
      <c r="R1412" s="2" t="inlineStr"/>
    </row>
    <row r="1413" ht="15" customHeight="1">
      <c r="A1413" t="inlineStr">
        <is>
          <t>A 35102-2023</t>
        </is>
      </c>
      <c r="B1413" s="1" t="n">
        <v>45145.46237268519</v>
      </c>
      <c r="C1413" s="1" t="n">
        <v>45964</v>
      </c>
      <c r="D1413" t="inlineStr">
        <is>
          <t>VÄSTERBOTTENS LÄN</t>
        </is>
      </c>
      <c r="E1413" t="inlineStr">
        <is>
          <t>SKELLEFTEÅ</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29694-2025</t>
        </is>
      </c>
      <c r="B1414" s="1" t="n">
        <v>45825.54637731481</v>
      </c>
      <c r="C1414" s="1" t="n">
        <v>45964</v>
      </c>
      <c r="D1414" t="inlineStr">
        <is>
          <t>VÄSTERBOTTENS LÄN</t>
        </is>
      </c>
      <c r="E1414" t="inlineStr">
        <is>
          <t>SKELLEFTEÅ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49171-2024</t>
        </is>
      </c>
      <c r="B1415" s="1" t="n">
        <v>45595.30685185185</v>
      </c>
      <c r="C1415" s="1" t="n">
        <v>45964</v>
      </c>
      <c r="D1415" t="inlineStr">
        <is>
          <t>VÄSTERBOTTENS LÄN</t>
        </is>
      </c>
      <c r="E1415" t="inlineStr">
        <is>
          <t>SKELLEFTEÅ</t>
        </is>
      </c>
      <c r="F1415" t="inlineStr">
        <is>
          <t>Sveaskog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29750-2025</t>
        </is>
      </c>
      <c r="B1416" s="1" t="n">
        <v>45825.60854166667</v>
      </c>
      <c r="C1416" s="1" t="n">
        <v>45964</v>
      </c>
      <c r="D1416" t="inlineStr">
        <is>
          <t>VÄSTERBOTTENS LÄN</t>
        </is>
      </c>
      <c r="E1416" t="inlineStr">
        <is>
          <t>SKELLEFTEÅ</t>
        </is>
      </c>
      <c r="F1416" t="inlineStr">
        <is>
          <t>Holmen skog AB</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29757-2025</t>
        </is>
      </c>
      <c r="B1417" s="1" t="n">
        <v>45825.61582175926</v>
      </c>
      <c r="C1417" s="1" t="n">
        <v>45964</v>
      </c>
      <c r="D1417" t="inlineStr">
        <is>
          <t>VÄSTERBOTTENS LÄN</t>
        </is>
      </c>
      <c r="E1417" t="inlineStr">
        <is>
          <t>SKELLEFTEÅ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21066-2021</t>
        </is>
      </c>
      <c r="B1418" s="1" t="n">
        <v>44319</v>
      </c>
      <c r="C1418" s="1" t="n">
        <v>45964</v>
      </c>
      <c r="D1418" t="inlineStr">
        <is>
          <t>VÄSTERBOTTENS LÄN</t>
        </is>
      </c>
      <c r="E1418" t="inlineStr">
        <is>
          <t>SKELLEFTEÅ</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47496-2024</t>
        </is>
      </c>
      <c r="B1419" s="1" t="n">
        <v>45587</v>
      </c>
      <c r="C1419" s="1" t="n">
        <v>45964</v>
      </c>
      <c r="D1419" t="inlineStr">
        <is>
          <t>VÄSTERBOTTENS LÄN</t>
        </is>
      </c>
      <c r="E1419" t="inlineStr">
        <is>
          <t>SKELLEFTEÅ</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40967-2024</t>
        </is>
      </c>
      <c r="B1420" s="1" t="n">
        <v>45558.67306712963</v>
      </c>
      <c r="C1420" s="1" t="n">
        <v>45964</v>
      </c>
      <c r="D1420" t="inlineStr">
        <is>
          <t>VÄSTERBOTTENS LÄN</t>
        </is>
      </c>
      <c r="E1420" t="inlineStr">
        <is>
          <t>SKELLEFTEÅ</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61348-2022</t>
        </is>
      </c>
      <c r="B1421" s="1" t="n">
        <v>44915.69402777778</v>
      </c>
      <c r="C1421" s="1" t="n">
        <v>45964</v>
      </c>
      <c r="D1421" t="inlineStr">
        <is>
          <t>VÄSTERBOTTENS LÄN</t>
        </is>
      </c>
      <c r="E1421" t="inlineStr">
        <is>
          <t>SKELLEFTEÅ</t>
        </is>
      </c>
      <c r="F1421" t="inlineStr">
        <is>
          <t>Sveaskog</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28169-2025</t>
        </is>
      </c>
      <c r="B1422" s="1" t="n">
        <v>45818</v>
      </c>
      <c r="C1422" s="1" t="n">
        <v>45964</v>
      </c>
      <c r="D1422" t="inlineStr">
        <is>
          <t>VÄSTERBOTTENS LÄN</t>
        </is>
      </c>
      <c r="E1422" t="inlineStr">
        <is>
          <t>SKELLEFTEÅ</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28961-2025</t>
        </is>
      </c>
      <c r="B1423" s="1" t="n">
        <v>45821.32046296296</v>
      </c>
      <c r="C1423" s="1" t="n">
        <v>45964</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29649-2021</t>
        </is>
      </c>
      <c r="B1424" s="1" t="n">
        <v>44362</v>
      </c>
      <c r="C1424" s="1" t="n">
        <v>45964</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29765-2025</t>
        </is>
      </c>
      <c r="B1425" s="1" t="n">
        <v>45825.61898148148</v>
      </c>
      <c r="C1425" s="1" t="n">
        <v>45964</v>
      </c>
      <c r="D1425" t="inlineStr">
        <is>
          <t>VÄSTERBOTTENS LÄN</t>
        </is>
      </c>
      <c r="E1425" t="inlineStr">
        <is>
          <t>SKELLEFTEÅ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29663-2025</t>
        </is>
      </c>
      <c r="B1426" s="1" t="n">
        <v>45825.48967592593</v>
      </c>
      <c r="C1426" s="1" t="n">
        <v>45964</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25473-2021</t>
        </is>
      </c>
      <c r="B1427" s="1" t="n">
        <v>44342.76399305555</v>
      </c>
      <c r="C1427" s="1" t="n">
        <v>45964</v>
      </c>
      <c r="D1427" t="inlineStr">
        <is>
          <t>VÄSTERBOTTENS LÄN</t>
        </is>
      </c>
      <c r="E1427" t="inlineStr">
        <is>
          <t>SKELLEFTEÅ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60601-2023</t>
        </is>
      </c>
      <c r="B1428" s="1" t="n">
        <v>45260</v>
      </c>
      <c r="C1428" s="1" t="n">
        <v>45964</v>
      </c>
      <c r="D1428" t="inlineStr">
        <is>
          <t>VÄSTERBOTTENS LÄN</t>
        </is>
      </c>
      <c r="E1428" t="inlineStr">
        <is>
          <t>SKELLEFTEÅ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12873-2025</t>
        </is>
      </c>
      <c r="B1429" s="1" t="n">
        <v>45733</v>
      </c>
      <c r="C1429" s="1" t="n">
        <v>45964</v>
      </c>
      <c r="D1429" t="inlineStr">
        <is>
          <t>VÄSTERBOTTENS LÄN</t>
        </is>
      </c>
      <c r="E1429" t="inlineStr">
        <is>
          <t>SKELLEFTEÅ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42249-2024</t>
        </is>
      </c>
      <c r="B1430" s="1" t="n">
        <v>45562.5778587963</v>
      </c>
      <c r="C1430" s="1" t="n">
        <v>45964</v>
      </c>
      <c r="D1430" t="inlineStr">
        <is>
          <t>VÄSTERBOTTENS LÄN</t>
        </is>
      </c>
      <c r="E1430" t="inlineStr">
        <is>
          <t>SKELLEFTEÅ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5602-2023</t>
        </is>
      </c>
      <c r="B1431" s="1" t="n">
        <v>44960.55158564815</v>
      </c>
      <c r="C1431" s="1" t="n">
        <v>45964</v>
      </c>
      <c r="D1431" t="inlineStr">
        <is>
          <t>VÄSTERBOTTENS LÄN</t>
        </is>
      </c>
      <c r="E1431" t="inlineStr">
        <is>
          <t>SKELLEFTEÅ</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57770-2020</t>
        </is>
      </c>
      <c r="B1432" s="1" t="n">
        <v>44141.33440972222</v>
      </c>
      <c r="C1432" s="1" t="n">
        <v>45964</v>
      </c>
      <c r="D1432" t="inlineStr">
        <is>
          <t>VÄSTERBOTTENS LÄN</t>
        </is>
      </c>
      <c r="E1432" t="inlineStr">
        <is>
          <t>SKELLEFTEÅ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29665-2025</t>
        </is>
      </c>
      <c r="B1433" s="1" t="n">
        <v>45825.49140046296</v>
      </c>
      <c r="C1433" s="1" t="n">
        <v>45964</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29613-2025</t>
        </is>
      </c>
      <c r="B1434" s="1" t="n">
        <v>45825</v>
      </c>
      <c r="C1434" s="1" t="n">
        <v>45964</v>
      </c>
      <c r="D1434" t="inlineStr">
        <is>
          <t>VÄSTERBOTTENS LÄN</t>
        </is>
      </c>
      <c r="E1434" t="inlineStr">
        <is>
          <t>SKELLEFTEÅ</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7579-2022</t>
        </is>
      </c>
      <c r="B1435" s="1" t="n">
        <v>44607</v>
      </c>
      <c r="C1435" s="1" t="n">
        <v>45964</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62319-2022</t>
        </is>
      </c>
      <c r="B1436" s="1" t="n">
        <v>44923</v>
      </c>
      <c r="C1436" s="1" t="n">
        <v>45964</v>
      </c>
      <c r="D1436" t="inlineStr">
        <is>
          <t>VÄSTERBOTTENS LÄN</t>
        </is>
      </c>
      <c r="E1436" t="inlineStr">
        <is>
          <t>SKELLEFTEÅ</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56995-2022</t>
        </is>
      </c>
      <c r="B1437" s="1" t="n">
        <v>44894</v>
      </c>
      <c r="C1437" s="1" t="n">
        <v>45964</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61569-2022</t>
        </is>
      </c>
      <c r="B1438" s="1" t="n">
        <v>44916</v>
      </c>
      <c r="C1438" s="1" t="n">
        <v>45964</v>
      </c>
      <c r="D1438" t="inlineStr">
        <is>
          <t>VÄSTERBOTTENS LÄN</t>
        </is>
      </c>
      <c r="E1438" t="inlineStr">
        <is>
          <t>SKELLEFTEÅ</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52218-2024</t>
        </is>
      </c>
      <c r="B1439" s="1" t="n">
        <v>45608.60149305555</v>
      </c>
      <c r="C1439" s="1" t="n">
        <v>45964</v>
      </c>
      <c r="D1439" t="inlineStr">
        <is>
          <t>VÄSTERBOTTENS LÄN</t>
        </is>
      </c>
      <c r="E1439" t="inlineStr">
        <is>
          <t>SKELLEFTEÅ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55775-2023</t>
        </is>
      </c>
      <c r="B1440" s="1" t="n">
        <v>45232</v>
      </c>
      <c r="C1440" s="1" t="n">
        <v>45964</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57085-2023</t>
        </is>
      </c>
      <c r="B1441" s="1" t="n">
        <v>45245.25636574074</v>
      </c>
      <c r="C1441" s="1" t="n">
        <v>45964</v>
      </c>
      <c r="D1441" t="inlineStr">
        <is>
          <t>VÄSTERBOTTENS LÄN</t>
        </is>
      </c>
      <c r="E1441" t="inlineStr">
        <is>
          <t>SKELLEFTEÅ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28244-2021</t>
        </is>
      </c>
      <c r="B1442" s="1" t="n">
        <v>44355</v>
      </c>
      <c r="C1442" s="1" t="n">
        <v>45964</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30081-2025</t>
        </is>
      </c>
      <c r="B1443" s="1" t="n">
        <v>45826.65171296296</v>
      </c>
      <c r="C1443" s="1" t="n">
        <v>45964</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59165-2023</t>
        </is>
      </c>
      <c r="B1444" s="1" t="n">
        <v>45251</v>
      </c>
      <c r="C1444" s="1" t="n">
        <v>45964</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41038-2024</t>
        </is>
      </c>
      <c r="B1445" s="1" t="n">
        <v>45559.36113425926</v>
      </c>
      <c r="C1445" s="1" t="n">
        <v>45964</v>
      </c>
      <c r="D1445" t="inlineStr">
        <is>
          <t>VÄSTERBOTTENS LÄN</t>
        </is>
      </c>
      <c r="E1445" t="inlineStr">
        <is>
          <t>SKELLEFTEÅ</t>
        </is>
      </c>
      <c r="F1445" t="inlineStr">
        <is>
          <t>Sveaskog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40347-2024</t>
        </is>
      </c>
      <c r="B1446" s="1" t="n">
        <v>45555.35193287037</v>
      </c>
      <c r="C1446" s="1" t="n">
        <v>45964</v>
      </c>
      <c r="D1446" t="inlineStr">
        <is>
          <t>VÄSTERBOTTENS LÄN</t>
        </is>
      </c>
      <c r="E1446" t="inlineStr">
        <is>
          <t>SKELLEFTEÅ</t>
        </is>
      </c>
      <c r="F1446" t="inlineStr">
        <is>
          <t>Kommuner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54401-2023</t>
        </is>
      </c>
      <c r="B1447" s="1" t="n">
        <v>45226</v>
      </c>
      <c r="C1447" s="1" t="n">
        <v>45964</v>
      </c>
      <c r="D1447" t="inlineStr">
        <is>
          <t>VÄSTERBOTTENS LÄN</t>
        </is>
      </c>
      <c r="E1447" t="inlineStr">
        <is>
          <t>SKELLEFTEÅ</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30438-2025</t>
        </is>
      </c>
      <c r="B1448" s="1" t="n">
        <v>45827.64153935185</v>
      </c>
      <c r="C1448" s="1" t="n">
        <v>45964</v>
      </c>
      <c r="D1448" t="inlineStr">
        <is>
          <t>VÄSTERBOTTENS LÄN</t>
        </is>
      </c>
      <c r="E1448" t="inlineStr">
        <is>
          <t>SKELLEFTEÅ</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34614-2024</t>
        </is>
      </c>
      <c r="B1449" s="1" t="n">
        <v>45526</v>
      </c>
      <c r="C1449" s="1" t="n">
        <v>45964</v>
      </c>
      <c r="D1449" t="inlineStr">
        <is>
          <t>VÄSTERBOTTENS LÄN</t>
        </is>
      </c>
      <c r="E1449" t="inlineStr">
        <is>
          <t>SKELLEFTEÅ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30172-2025</t>
        </is>
      </c>
      <c r="B1450" s="1" t="n">
        <v>45827</v>
      </c>
      <c r="C1450" s="1" t="n">
        <v>45964</v>
      </c>
      <c r="D1450" t="inlineStr">
        <is>
          <t>VÄSTERBOTTENS LÄN</t>
        </is>
      </c>
      <c r="E1450" t="inlineStr">
        <is>
          <t>SKELLEFTEÅ</t>
        </is>
      </c>
      <c r="F1450" t="inlineStr">
        <is>
          <t>Kyrkan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46302-2023</t>
        </is>
      </c>
      <c r="B1451" s="1" t="n">
        <v>45191</v>
      </c>
      <c r="C1451" s="1" t="n">
        <v>45964</v>
      </c>
      <c r="D1451" t="inlineStr">
        <is>
          <t>VÄSTERBOTTENS LÄN</t>
        </is>
      </c>
      <c r="E1451" t="inlineStr">
        <is>
          <t>SKELLEFTEÅ</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11076-2024</t>
        </is>
      </c>
      <c r="B1452" s="1" t="n">
        <v>45370</v>
      </c>
      <c r="C1452" s="1" t="n">
        <v>45964</v>
      </c>
      <c r="D1452" t="inlineStr">
        <is>
          <t>VÄSTERBOTTENS LÄN</t>
        </is>
      </c>
      <c r="E1452" t="inlineStr">
        <is>
          <t>SKELLEFTEÅ</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25596-2022</t>
        </is>
      </c>
      <c r="B1453" s="1" t="n">
        <v>44732</v>
      </c>
      <c r="C1453" s="1" t="n">
        <v>45964</v>
      </c>
      <c r="D1453" t="inlineStr">
        <is>
          <t>VÄSTERBOTTENS LÄN</t>
        </is>
      </c>
      <c r="E1453" t="inlineStr">
        <is>
          <t>SKELLEFTEÅ</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73159-2021</t>
        </is>
      </c>
      <c r="B1454" s="1" t="n">
        <v>44550</v>
      </c>
      <c r="C1454" s="1" t="n">
        <v>45964</v>
      </c>
      <c r="D1454" t="inlineStr">
        <is>
          <t>VÄSTERBOTTENS LÄN</t>
        </is>
      </c>
      <c r="E1454" t="inlineStr">
        <is>
          <t>SKELLEFTEÅ</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52462-2021</t>
        </is>
      </c>
      <c r="B1455" s="1" t="n">
        <v>44463</v>
      </c>
      <c r="C1455" s="1" t="n">
        <v>45964</v>
      </c>
      <c r="D1455" t="inlineStr">
        <is>
          <t>VÄSTERBOTTENS LÄN</t>
        </is>
      </c>
      <c r="E1455" t="inlineStr">
        <is>
          <t>SKELLEFTEÅ</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1627-2025</t>
        </is>
      </c>
      <c r="B1456" s="1" t="n">
        <v>45670.6259375</v>
      </c>
      <c r="C1456" s="1" t="n">
        <v>45964</v>
      </c>
      <c r="D1456" t="inlineStr">
        <is>
          <t>VÄSTERBOTTENS LÄN</t>
        </is>
      </c>
      <c r="E1456" t="inlineStr">
        <is>
          <t>SKELLEFTEÅ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2308-2025</t>
        </is>
      </c>
      <c r="B1457" s="1" t="n">
        <v>45673.60113425926</v>
      </c>
      <c r="C1457" s="1" t="n">
        <v>45964</v>
      </c>
      <c r="D1457" t="inlineStr">
        <is>
          <t>VÄSTERBOTTENS LÄN</t>
        </is>
      </c>
      <c r="E1457" t="inlineStr">
        <is>
          <t>SKELLEFTEÅ</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56952-2024</t>
        </is>
      </c>
      <c r="B1458" s="1" t="n">
        <v>45628</v>
      </c>
      <c r="C1458" s="1" t="n">
        <v>45964</v>
      </c>
      <c r="D1458" t="inlineStr">
        <is>
          <t>VÄSTERBOTTENS LÄN</t>
        </is>
      </c>
      <c r="E1458" t="inlineStr">
        <is>
          <t>SKELLEFTEÅ</t>
        </is>
      </c>
      <c r="F1458" t="inlineStr">
        <is>
          <t>Holmen skog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21996-2022</t>
        </is>
      </c>
      <c r="B1459" s="1" t="n">
        <v>44711.56952546296</v>
      </c>
      <c r="C1459" s="1" t="n">
        <v>45964</v>
      </c>
      <c r="D1459" t="inlineStr">
        <is>
          <t>VÄSTERBOTTENS LÄN</t>
        </is>
      </c>
      <c r="E1459" t="inlineStr">
        <is>
          <t>SKELLEFTEÅ</t>
        </is>
      </c>
      <c r="F1459" t="inlineStr">
        <is>
          <t>Holmen skog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30195-2025</t>
        </is>
      </c>
      <c r="B1460" s="1" t="n">
        <v>45827.35383101852</v>
      </c>
      <c r="C1460" s="1" t="n">
        <v>45964</v>
      </c>
      <c r="D1460" t="inlineStr">
        <is>
          <t>VÄSTERBOTTENS LÄN</t>
        </is>
      </c>
      <c r="E1460" t="inlineStr">
        <is>
          <t>SKELLEFTEÅ</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62325-2022</t>
        </is>
      </c>
      <c r="B1461" s="1" t="n">
        <v>44916</v>
      </c>
      <c r="C1461" s="1" t="n">
        <v>45964</v>
      </c>
      <c r="D1461" t="inlineStr">
        <is>
          <t>VÄSTERBOTTENS LÄN</t>
        </is>
      </c>
      <c r="E1461" t="inlineStr">
        <is>
          <t>SKELLEFTEÅ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45039-2023</t>
        </is>
      </c>
      <c r="B1462" s="1" t="n">
        <v>45191.32686342593</v>
      </c>
      <c r="C1462" s="1" t="n">
        <v>45964</v>
      </c>
      <c r="D1462" t="inlineStr">
        <is>
          <t>VÄSTERBOTTENS LÄN</t>
        </is>
      </c>
      <c r="E1462" t="inlineStr">
        <is>
          <t>SKELLEFTEÅ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7052-2022</t>
        </is>
      </c>
      <c r="B1463" s="1" t="n">
        <v>44603</v>
      </c>
      <c r="C1463" s="1" t="n">
        <v>45964</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55528-2023</t>
        </is>
      </c>
      <c r="B1464" s="1" t="n">
        <v>45238.59362268518</v>
      </c>
      <c r="C1464" s="1" t="n">
        <v>45964</v>
      </c>
      <c r="D1464" t="inlineStr">
        <is>
          <t>VÄSTERBOTTENS LÄN</t>
        </is>
      </c>
      <c r="E1464" t="inlineStr">
        <is>
          <t>SKELLEFTEÅ</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31077-2025</t>
        </is>
      </c>
      <c r="B1465" s="1" t="n">
        <v>45831</v>
      </c>
      <c r="C1465" s="1" t="n">
        <v>45964</v>
      </c>
      <c r="D1465" t="inlineStr">
        <is>
          <t>VÄSTERBOTTENS LÄN</t>
        </is>
      </c>
      <c r="E1465" t="inlineStr">
        <is>
          <t>SKELLEFTEÅ</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20163-2025</t>
        </is>
      </c>
      <c r="B1466" s="1" t="n">
        <v>45772.57280092593</v>
      </c>
      <c r="C1466" s="1" t="n">
        <v>45964</v>
      </c>
      <c r="D1466" t="inlineStr">
        <is>
          <t>VÄSTERBOTTENS LÄN</t>
        </is>
      </c>
      <c r="E1466" t="inlineStr">
        <is>
          <t>SKELLEFTEÅ</t>
        </is>
      </c>
      <c r="F1466" t="inlineStr">
        <is>
          <t>Holmen skog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20216-2025</t>
        </is>
      </c>
      <c r="B1467" s="1" t="n">
        <v>45772</v>
      </c>
      <c r="C1467" s="1" t="n">
        <v>45964</v>
      </c>
      <c r="D1467" t="inlineStr">
        <is>
          <t>VÄSTERBOTTENS LÄN</t>
        </is>
      </c>
      <c r="E1467" t="inlineStr">
        <is>
          <t>SKELLEFTEÅ</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20220-2025</t>
        </is>
      </c>
      <c r="B1468" s="1" t="n">
        <v>45772</v>
      </c>
      <c r="C1468" s="1" t="n">
        <v>45964</v>
      </c>
      <c r="D1468" t="inlineStr">
        <is>
          <t>VÄSTERBOTTENS LÄN</t>
        </is>
      </c>
      <c r="E1468" t="inlineStr">
        <is>
          <t>SKELLEFTEÅ</t>
        </is>
      </c>
      <c r="G1468" t="n">
        <v>18.6</v>
      </c>
      <c r="H1468" t="n">
        <v>0</v>
      </c>
      <c r="I1468" t="n">
        <v>0</v>
      </c>
      <c r="J1468" t="n">
        <v>0</v>
      </c>
      <c r="K1468" t="n">
        <v>0</v>
      </c>
      <c r="L1468" t="n">
        <v>0</v>
      </c>
      <c r="M1468" t="n">
        <v>0</v>
      </c>
      <c r="N1468" t="n">
        <v>0</v>
      </c>
      <c r="O1468" t="n">
        <v>0</v>
      </c>
      <c r="P1468" t="n">
        <v>0</v>
      </c>
      <c r="Q1468" t="n">
        <v>0</v>
      </c>
      <c r="R1468" s="2" t="inlineStr"/>
    </row>
    <row r="1469" ht="15" customHeight="1">
      <c r="A1469" t="inlineStr">
        <is>
          <t>A 11907-2025</t>
        </is>
      </c>
      <c r="B1469" s="1" t="n">
        <v>45728</v>
      </c>
      <c r="C1469" s="1" t="n">
        <v>45964</v>
      </c>
      <c r="D1469" t="inlineStr">
        <is>
          <t>VÄSTERBOTTENS LÄN</t>
        </is>
      </c>
      <c r="E1469" t="inlineStr">
        <is>
          <t>SKELLEFTEÅ</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5744-2023</t>
        </is>
      </c>
      <c r="B1470" s="1" t="n">
        <v>44962.86746527778</v>
      </c>
      <c r="C1470" s="1" t="n">
        <v>45964</v>
      </c>
      <c r="D1470" t="inlineStr">
        <is>
          <t>VÄSTERBOTTENS LÄN</t>
        </is>
      </c>
      <c r="E1470" t="inlineStr">
        <is>
          <t>SKELLEFTEÅ</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51874-2022</t>
        </is>
      </c>
      <c r="B1471" s="1" t="n">
        <v>44872.59645833333</v>
      </c>
      <c r="C1471" s="1" t="n">
        <v>45964</v>
      </c>
      <c r="D1471" t="inlineStr">
        <is>
          <t>VÄSTERBOTTENS LÄN</t>
        </is>
      </c>
      <c r="E1471" t="inlineStr">
        <is>
          <t>SKELLEFTEÅ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57197-2021</t>
        </is>
      </c>
      <c r="B1472" s="1" t="n">
        <v>44482.92284722222</v>
      </c>
      <c r="C1472" s="1" t="n">
        <v>45964</v>
      </c>
      <c r="D1472" t="inlineStr">
        <is>
          <t>VÄSTERBOTTENS LÄN</t>
        </is>
      </c>
      <c r="E1472" t="inlineStr">
        <is>
          <t>SKELLEFTEÅ</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55269-2024</t>
        </is>
      </c>
      <c r="B1473" s="1" t="n">
        <v>45621.61444444444</v>
      </c>
      <c r="C1473" s="1" t="n">
        <v>45964</v>
      </c>
      <c r="D1473" t="inlineStr">
        <is>
          <t>VÄSTERBOTTENS LÄN</t>
        </is>
      </c>
      <c r="E1473" t="inlineStr">
        <is>
          <t>SKELLEFTEÅ</t>
        </is>
      </c>
      <c r="F1473" t="inlineStr">
        <is>
          <t>Sveaskog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1076-2023</t>
        </is>
      </c>
      <c r="B1474" s="1" t="n">
        <v>44929</v>
      </c>
      <c r="C1474" s="1" t="n">
        <v>45964</v>
      </c>
      <c r="D1474" t="inlineStr">
        <is>
          <t>VÄSTERBOTTENS LÄN</t>
        </is>
      </c>
      <c r="E1474" t="inlineStr">
        <is>
          <t>SKELLEFTEÅ</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47039-2021</t>
        </is>
      </c>
      <c r="B1475" s="1" t="n">
        <v>44446</v>
      </c>
      <c r="C1475" s="1" t="n">
        <v>45964</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38590-2025</t>
        </is>
      </c>
      <c r="B1476" s="1" t="n">
        <v>45884.47512731481</v>
      </c>
      <c r="C1476" s="1" t="n">
        <v>45964</v>
      </c>
      <c r="D1476" t="inlineStr">
        <is>
          <t>VÄSTERBOTTENS LÄN</t>
        </is>
      </c>
      <c r="E1476" t="inlineStr">
        <is>
          <t>SKELLEFTEÅ</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57714-2021</t>
        </is>
      </c>
      <c r="B1477" s="1" t="n">
        <v>44484.48947916667</v>
      </c>
      <c r="C1477" s="1" t="n">
        <v>45964</v>
      </c>
      <c r="D1477" t="inlineStr">
        <is>
          <t>VÄSTERBOTTENS LÄN</t>
        </is>
      </c>
      <c r="E1477" t="inlineStr">
        <is>
          <t>SKELLEFTEÅ</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57899-2022</t>
        </is>
      </c>
      <c r="B1478" s="1" t="n">
        <v>44900</v>
      </c>
      <c r="C1478" s="1" t="n">
        <v>45964</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31168-2025</t>
        </is>
      </c>
      <c r="B1479" s="1" t="n">
        <v>45832.66167824074</v>
      </c>
      <c r="C1479" s="1" t="n">
        <v>45964</v>
      </c>
      <c r="D1479" t="inlineStr">
        <is>
          <t>VÄSTERBOTTENS LÄN</t>
        </is>
      </c>
      <c r="E1479" t="inlineStr">
        <is>
          <t>SKELLEFTEÅ</t>
        </is>
      </c>
      <c r="F1479" t="inlineStr">
        <is>
          <t>Holmen skog AB</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7981-2025</t>
        </is>
      </c>
      <c r="B1480" s="1" t="n">
        <v>45707.46899305555</v>
      </c>
      <c r="C1480" s="1" t="n">
        <v>45964</v>
      </c>
      <c r="D1480" t="inlineStr">
        <is>
          <t>VÄSTERBOTTENS LÄN</t>
        </is>
      </c>
      <c r="E1480" t="inlineStr">
        <is>
          <t>SKELLEFTEÅ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8010-2025</t>
        </is>
      </c>
      <c r="B1481" s="1" t="n">
        <v>45707.55104166667</v>
      </c>
      <c r="C1481" s="1" t="n">
        <v>45964</v>
      </c>
      <c r="D1481" t="inlineStr">
        <is>
          <t>VÄSTERBOTTENS LÄN</t>
        </is>
      </c>
      <c r="E1481" t="inlineStr">
        <is>
          <t>SKELLEFTEÅ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31178-2025</t>
        </is>
      </c>
      <c r="B1482" s="1" t="n">
        <v>45832.67209490741</v>
      </c>
      <c r="C1482" s="1" t="n">
        <v>45964</v>
      </c>
      <c r="D1482" t="inlineStr">
        <is>
          <t>VÄSTERBOTTENS LÄN</t>
        </is>
      </c>
      <c r="E1482" t="inlineStr">
        <is>
          <t>SKELLEFTEÅ</t>
        </is>
      </c>
      <c r="F1482" t="inlineStr">
        <is>
          <t>Holmen skog AB</t>
        </is>
      </c>
      <c r="G1482" t="n">
        <v>19.2</v>
      </c>
      <c r="H1482" t="n">
        <v>0</v>
      </c>
      <c r="I1482" t="n">
        <v>0</v>
      </c>
      <c r="J1482" t="n">
        <v>0</v>
      </c>
      <c r="K1482" t="n">
        <v>0</v>
      </c>
      <c r="L1482" t="n">
        <v>0</v>
      </c>
      <c r="M1482" t="n">
        <v>0</v>
      </c>
      <c r="N1482" t="n">
        <v>0</v>
      </c>
      <c r="O1482" t="n">
        <v>0</v>
      </c>
      <c r="P1482" t="n">
        <v>0</v>
      </c>
      <c r="Q1482" t="n">
        <v>0</v>
      </c>
      <c r="R1482" s="2" t="inlineStr"/>
    </row>
    <row r="1483" ht="15" customHeight="1">
      <c r="A1483" t="inlineStr">
        <is>
          <t>A 31108-2025</t>
        </is>
      </c>
      <c r="B1483" s="1" t="n">
        <v>45832</v>
      </c>
      <c r="C1483" s="1" t="n">
        <v>45964</v>
      </c>
      <c r="D1483" t="inlineStr">
        <is>
          <t>VÄSTERBOTTENS LÄN</t>
        </is>
      </c>
      <c r="E1483" t="inlineStr">
        <is>
          <t>SKELLEFTEÅ</t>
        </is>
      </c>
      <c r="F1483" t="inlineStr">
        <is>
          <t>Holmen skog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56960-2022</t>
        </is>
      </c>
      <c r="B1484" s="1" t="n">
        <v>44894</v>
      </c>
      <c r="C1484" s="1" t="n">
        <v>45964</v>
      </c>
      <c r="D1484" t="inlineStr">
        <is>
          <t>VÄSTERBOTTENS LÄN</t>
        </is>
      </c>
      <c r="E1484" t="inlineStr">
        <is>
          <t>SKELLEFTEÅ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31271-2025</t>
        </is>
      </c>
      <c r="B1485" s="1" t="n">
        <v>45833.33717592592</v>
      </c>
      <c r="C1485" s="1" t="n">
        <v>45964</v>
      </c>
      <c r="D1485" t="inlineStr">
        <is>
          <t>VÄSTERBOTTENS LÄN</t>
        </is>
      </c>
      <c r="E1485" t="inlineStr">
        <is>
          <t>SKELLEFTEÅ</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38493-2024</t>
        </is>
      </c>
      <c r="B1486" s="1" t="n">
        <v>45546</v>
      </c>
      <c r="C1486" s="1" t="n">
        <v>45964</v>
      </c>
      <c r="D1486" t="inlineStr">
        <is>
          <t>VÄSTERBOTTENS LÄN</t>
        </is>
      </c>
      <c r="E1486" t="inlineStr">
        <is>
          <t>SKELLEFTEÅ</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59648-2023</t>
        </is>
      </c>
      <c r="B1487" s="1" t="n">
        <v>45253</v>
      </c>
      <c r="C1487" s="1" t="n">
        <v>45964</v>
      </c>
      <c r="D1487" t="inlineStr">
        <is>
          <t>VÄSTERBOTTENS LÄN</t>
        </is>
      </c>
      <c r="E1487" t="inlineStr">
        <is>
          <t>SKELLEFTEÅ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41006-2023</t>
        </is>
      </c>
      <c r="B1488" s="1" t="n">
        <v>45173</v>
      </c>
      <c r="C1488" s="1" t="n">
        <v>45964</v>
      </c>
      <c r="D1488" t="inlineStr">
        <is>
          <t>VÄSTERBOTTENS LÄN</t>
        </is>
      </c>
      <c r="E1488" t="inlineStr">
        <is>
          <t>SKELLEFTEÅ</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17568-2024</t>
        </is>
      </c>
      <c r="B1489" s="1" t="n">
        <v>45415</v>
      </c>
      <c r="C1489" s="1" t="n">
        <v>45964</v>
      </c>
      <c r="D1489" t="inlineStr">
        <is>
          <t>VÄSTERBOTTENS LÄN</t>
        </is>
      </c>
      <c r="E1489" t="inlineStr">
        <is>
          <t>SKELLEFTEÅ</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31520-2025</t>
        </is>
      </c>
      <c r="B1490" s="1" t="n">
        <v>45833.60758101852</v>
      </c>
      <c r="C1490" s="1" t="n">
        <v>45964</v>
      </c>
      <c r="D1490" t="inlineStr">
        <is>
          <t>VÄSTERBOTTENS LÄN</t>
        </is>
      </c>
      <c r="E1490" t="inlineStr">
        <is>
          <t>SKELLEFTEÅ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31257-2025</t>
        </is>
      </c>
      <c r="B1491" s="1" t="n">
        <v>45833.32091435185</v>
      </c>
      <c r="C1491" s="1" t="n">
        <v>45964</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54449-2023</t>
        </is>
      </c>
      <c r="B1492" s="1" t="n">
        <v>45226</v>
      </c>
      <c r="C1492" s="1" t="n">
        <v>45964</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50821-2023</t>
        </is>
      </c>
      <c r="B1493" s="1" t="n">
        <v>45217.92206018518</v>
      </c>
      <c r="C1493" s="1" t="n">
        <v>45964</v>
      </c>
      <c r="D1493" t="inlineStr">
        <is>
          <t>VÄSTERBOTTENS LÄN</t>
        </is>
      </c>
      <c r="E1493" t="inlineStr">
        <is>
          <t>SKELLEFTEÅ</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58298-2022</t>
        </is>
      </c>
      <c r="B1494" s="1" t="n">
        <v>44901</v>
      </c>
      <c r="C1494" s="1" t="n">
        <v>45964</v>
      </c>
      <c r="D1494" t="inlineStr">
        <is>
          <t>VÄSTERBOTTENS LÄN</t>
        </is>
      </c>
      <c r="E1494" t="inlineStr">
        <is>
          <t>SKELLEFTEÅ</t>
        </is>
      </c>
      <c r="F1494" t="inlineStr">
        <is>
          <t>Sveaskog</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28525-2021</t>
        </is>
      </c>
      <c r="B1495" s="1" t="n">
        <v>44356</v>
      </c>
      <c r="C1495" s="1" t="n">
        <v>45964</v>
      </c>
      <c r="D1495" t="inlineStr">
        <is>
          <t>VÄSTERBOTTENS LÄN</t>
        </is>
      </c>
      <c r="E1495" t="inlineStr">
        <is>
          <t>SKELLEFTEÅ</t>
        </is>
      </c>
      <c r="F1495" t="inlineStr">
        <is>
          <t>Kyrkan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30212-2023</t>
        </is>
      </c>
      <c r="B1496" s="1" t="n">
        <v>45110</v>
      </c>
      <c r="C1496" s="1" t="n">
        <v>45964</v>
      </c>
      <c r="D1496" t="inlineStr">
        <is>
          <t>VÄSTERBOTTENS LÄN</t>
        </is>
      </c>
      <c r="E1496" t="inlineStr">
        <is>
          <t>SKELLEFTEÅ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6635-2021</t>
        </is>
      </c>
      <c r="B1497" s="1" t="n">
        <v>44236</v>
      </c>
      <c r="C1497" s="1" t="n">
        <v>45964</v>
      </c>
      <c r="D1497" t="inlineStr">
        <is>
          <t>VÄSTERBOTTENS LÄN</t>
        </is>
      </c>
      <c r="E1497" t="inlineStr">
        <is>
          <t>SKELLEFTEÅ</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9841-2025</t>
        </is>
      </c>
      <c r="B1498" s="1" t="n">
        <v>45716.60512731481</v>
      </c>
      <c r="C1498" s="1" t="n">
        <v>45964</v>
      </c>
      <c r="D1498" t="inlineStr">
        <is>
          <t>VÄSTERBOTTENS LÄN</t>
        </is>
      </c>
      <c r="E1498" t="inlineStr">
        <is>
          <t>SKELLEFTEÅ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31672-2023</t>
        </is>
      </c>
      <c r="B1499" s="1" t="n">
        <v>45117.65966435185</v>
      </c>
      <c r="C1499" s="1" t="n">
        <v>45964</v>
      </c>
      <c r="D1499" t="inlineStr">
        <is>
          <t>VÄSTERBOTTENS LÄN</t>
        </is>
      </c>
      <c r="E1499" t="inlineStr">
        <is>
          <t>SKELLEFTEÅ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23759-2023</t>
        </is>
      </c>
      <c r="B1500" s="1" t="n">
        <v>45077</v>
      </c>
      <c r="C1500" s="1" t="n">
        <v>45964</v>
      </c>
      <c r="D1500" t="inlineStr">
        <is>
          <t>VÄSTERBOTTENS LÄN</t>
        </is>
      </c>
      <c r="E1500" t="inlineStr">
        <is>
          <t>SKELLEFTEÅ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10825-2024</t>
        </is>
      </c>
      <c r="B1501" s="1" t="n">
        <v>45369</v>
      </c>
      <c r="C1501" s="1" t="n">
        <v>45964</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19066-2023</t>
        </is>
      </c>
      <c r="B1502" s="1" t="n">
        <v>45043</v>
      </c>
      <c r="C1502" s="1" t="n">
        <v>45964</v>
      </c>
      <c r="D1502" t="inlineStr">
        <is>
          <t>VÄSTERBOTTENS LÄN</t>
        </is>
      </c>
      <c r="E1502" t="inlineStr">
        <is>
          <t>SKELLEFTEÅ</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11314-2025</t>
        </is>
      </c>
      <c r="B1503" s="1" t="n">
        <v>45726.45561342593</v>
      </c>
      <c r="C1503" s="1" t="n">
        <v>45964</v>
      </c>
      <c r="D1503" t="inlineStr">
        <is>
          <t>VÄSTERBOTTENS LÄN</t>
        </is>
      </c>
      <c r="E1503" t="inlineStr">
        <is>
          <t>SKELLEFTEÅ</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1498-2024</t>
        </is>
      </c>
      <c r="B1504" s="1" t="n">
        <v>45306</v>
      </c>
      <c r="C1504" s="1" t="n">
        <v>45964</v>
      </c>
      <c r="D1504" t="inlineStr">
        <is>
          <t>VÄSTERBOTTENS LÄN</t>
        </is>
      </c>
      <c r="E1504" t="inlineStr">
        <is>
          <t>SKELLEFTEÅ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5996-2023</t>
        </is>
      </c>
      <c r="B1505" s="1" t="n">
        <v>44959</v>
      </c>
      <c r="C1505" s="1" t="n">
        <v>45964</v>
      </c>
      <c r="D1505" t="inlineStr">
        <is>
          <t>VÄSTERBOTTENS LÄN</t>
        </is>
      </c>
      <c r="E1505" t="inlineStr">
        <is>
          <t>SKELLEFTEÅ</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31779-2025</t>
        </is>
      </c>
      <c r="B1506" s="1" t="n">
        <v>45834.52873842593</v>
      </c>
      <c r="C1506" s="1" t="n">
        <v>45964</v>
      </c>
      <c r="D1506" t="inlineStr">
        <is>
          <t>VÄSTERBOTTENS LÄN</t>
        </is>
      </c>
      <c r="E1506" t="inlineStr">
        <is>
          <t>SKELLEFTEÅ</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31743-2025</t>
        </is>
      </c>
      <c r="B1507" s="1" t="n">
        <v>45834.47671296296</v>
      </c>
      <c r="C1507" s="1" t="n">
        <v>45964</v>
      </c>
      <c r="D1507" t="inlineStr">
        <is>
          <t>VÄSTERBOTTENS LÄN</t>
        </is>
      </c>
      <c r="E1507" t="inlineStr">
        <is>
          <t>SKELLEFTEÅ</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56444-2024</t>
        </is>
      </c>
      <c r="B1508" s="1" t="n">
        <v>45625.42461805556</v>
      </c>
      <c r="C1508" s="1" t="n">
        <v>45964</v>
      </c>
      <c r="D1508" t="inlineStr">
        <is>
          <t>VÄSTERBOTTENS LÄN</t>
        </is>
      </c>
      <c r="E1508" t="inlineStr">
        <is>
          <t>SKELLEFTEÅ</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45690-2024</t>
        </is>
      </c>
      <c r="B1509" s="1" t="n">
        <v>45579</v>
      </c>
      <c r="C1509" s="1" t="n">
        <v>45964</v>
      </c>
      <c r="D1509" t="inlineStr">
        <is>
          <t>VÄSTERBOTTENS LÄN</t>
        </is>
      </c>
      <c r="E1509" t="inlineStr">
        <is>
          <t>SKELLEFTEÅ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28567-2025</t>
        </is>
      </c>
      <c r="B1510" s="1" t="n">
        <v>45819</v>
      </c>
      <c r="C1510" s="1" t="n">
        <v>45964</v>
      </c>
      <c r="D1510" t="inlineStr">
        <is>
          <t>VÄSTERBOTTENS LÄN</t>
        </is>
      </c>
      <c r="E1510" t="inlineStr">
        <is>
          <t>SKELLEFTEÅ</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31628-2025</t>
        </is>
      </c>
      <c r="B1511" s="1" t="n">
        <v>45834.30734953703</v>
      </c>
      <c r="C1511" s="1" t="n">
        <v>45964</v>
      </c>
      <c r="D1511" t="inlineStr">
        <is>
          <t>VÄSTERBOTTENS LÄN</t>
        </is>
      </c>
      <c r="E1511" t="inlineStr">
        <is>
          <t>SKELLEFTEÅ</t>
        </is>
      </c>
      <c r="F1511" t="inlineStr">
        <is>
          <t>Holmen skog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31670-2025</t>
        </is>
      </c>
      <c r="B1512" s="1" t="n">
        <v>45834.36549768518</v>
      </c>
      <c r="C1512" s="1" t="n">
        <v>45964</v>
      </c>
      <c r="D1512" t="inlineStr">
        <is>
          <t>VÄSTERBOTTENS LÄN</t>
        </is>
      </c>
      <c r="E1512" t="inlineStr">
        <is>
          <t>SKELLEFTEÅ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45964</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45964</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42789-2023</t>
        </is>
      </c>
      <c r="B1515" s="1" t="n">
        <v>45181</v>
      </c>
      <c r="C1515" s="1" t="n">
        <v>45964</v>
      </c>
      <c r="D1515" t="inlineStr">
        <is>
          <t>VÄSTERBOTTENS LÄN</t>
        </is>
      </c>
      <c r="E1515" t="inlineStr">
        <is>
          <t>SKELLEFTEÅ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24505-2022</t>
        </is>
      </c>
      <c r="B1516" s="1" t="n">
        <v>44726.92622685185</v>
      </c>
      <c r="C1516" s="1" t="n">
        <v>45964</v>
      </c>
      <c r="D1516" t="inlineStr">
        <is>
          <t>VÄSTERBOTTENS LÄN</t>
        </is>
      </c>
      <c r="E1516" t="inlineStr">
        <is>
          <t>SKELLEFTEÅ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32047-2025</t>
        </is>
      </c>
      <c r="B1517" s="1" t="n">
        <v>45835.44034722223</v>
      </c>
      <c r="C1517" s="1" t="n">
        <v>45964</v>
      </c>
      <c r="D1517" t="inlineStr">
        <is>
          <t>VÄSTERBOTTENS LÄN</t>
        </is>
      </c>
      <c r="E1517" t="inlineStr">
        <is>
          <t>SKELLEFTEÅ</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60502-2022</t>
        </is>
      </c>
      <c r="B1518" s="1" t="n">
        <v>44911.44655092592</v>
      </c>
      <c r="C1518" s="1" t="n">
        <v>45964</v>
      </c>
      <c r="D1518" t="inlineStr">
        <is>
          <t>VÄSTERBOTTENS LÄN</t>
        </is>
      </c>
      <c r="E1518" t="inlineStr">
        <is>
          <t>SKELLEFTEÅ</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18081-2022</t>
        </is>
      </c>
      <c r="B1519" s="1" t="n">
        <v>44684</v>
      </c>
      <c r="C1519" s="1" t="n">
        <v>45964</v>
      </c>
      <c r="D1519" t="inlineStr">
        <is>
          <t>VÄSTERBOTTENS LÄN</t>
        </is>
      </c>
      <c r="E1519" t="inlineStr">
        <is>
          <t>SKELLEFTEÅ</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27028-2022</t>
        </is>
      </c>
      <c r="B1520" s="1" t="n">
        <v>44740</v>
      </c>
      <c r="C1520" s="1" t="n">
        <v>45964</v>
      </c>
      <c r="D1520" t="inlineStr">
        <is>
          <t>VÄSTERBOTTENS LÄN</t>
        </is>
      </c>
      <c r="E1520" t="inlineStr">
        <is>
          <t>SKELLEFTEÅ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31627-2025</t>
        </is>
      </c>
      <c r="B1521" s="1" t="n">
        <v>45834.30527777778</v>
      </c>
      <c r="C1521" s="1" t="n">
        <v>45964</v>
      </c>
      <c r="D1521" t="inlineStr">
        <is>
          <t>VÄSTERBOTTENS LÄN</t>
        </is>
      </c>
      <c r="E1521" t="inlineStr">
        <is>
          <t>SKELLEFTEÅ</t>
        </is>
      </c>
      <c r="F1521" t="inlineStr">
        <is>
          <t>Holmen skog AB</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31717-2025</t>
        </is>
      </c>
      <c r="B1522" s="1" t="n">
        <v>45834.46008101852</v>
      </c>
      <c r="C1522" s="1" t="n">
        <v>45964</v>
      </c>
      <c r="D1522" t="inlineStr">
        <is>
          <t>VÄSTERBOTTENS LÄN</t>
        </is>
      </c>
      <c r="E1522" t="inlineStr">
        <is>
          <t>SKELLEFTEÅ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31988-2025</t>
        </is>
      </c>
      <c r="B1523" s="1" t="n">
        <v>45835.363125</v>
      </c>
      <c r="C1523" s="1" t="n">
        <v>45964</v>
      </c>
      <c r="D1523" t="inlineStr">
        <is>
          <t>VÄSTERBOTTENS LÄN</t>
        </is>
      </c>
      <c r="E1523" t="inlineStr">
        <is>
          <t>SKELLEFTEÅ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58752-2023</t>
        </is>
      </c>
      <c r="B1524" s="1" t="n">
        <v>45251.92969907408</v>
      </c>
      <c r="C1524" s="1" t="n">
        <v>45964</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58755-2023</t>
        </is>
      </c>
      <c r="B1525" s="1" t="n">
        <v>45251</v>
      </c>
      <c r="C1525" s="1" t="n">
        <v>45964</v>
      </c>
      <c r="D1525" t="inlineStr">
        <is>
          <t>VÄSTERBOTTENS LÄN</t>
        </is>
      </c>
      <c r="E1525" t="inlineStr">
        <is>
          <t>SKELLEFTEÅ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31688-2025</t>
        </is>
      </c>
      <c r="B1526" s="1" t="n">
        <v>45834.40149305556</v>
      </c>
      <c r="C1526" s="1" t="n">
        <v>45964</v>
      </c>
      <c r="D1526" t="inlineStr">
        <is>
          <t>VÄSTERBOTTENS LÄN</t>
        </is>
      </c>
      <c r="E1526" t="inlineStr">
        <is>
          <t>SKELLEFTEÅ</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3674-2025</t>
        </is>
      </c>
      <c r="B1527" s="1" t="n">
        <v>45681.43738425926</v>
      </c>
      <c r="C1527" s="1" t="n">
        <v>45964</v>
      </c>
      <c r="D1527" t="inlineStr">
        <is>
          <t>VÄSTERBOTTENS LÄN</t>
        </is>
      </c>
      <c r="E1527" t="inlineStr">
        <is>
          <t>SKELLEFTEÅ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31727-2025</t>
        </is>
      </c>
      <c r="B1528" s="1" t="n">
        <v>45834.46859953704</v>
      </c>
      <c r="C1528" s="1" t="n">
        <v>45964</v>
      </c>
      <c r="D1528" t="inlineStr">
        <is>
          <t>VÄSTERBOTTENS LÄN</t>
        </is>
      </c>
      <c r="E1528" t="inlineStr">
        <is>
          <t>SKELLEFTEÅ</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62064-2024</t>
        </is>
      </c>
      <c r="B1529" s="1" t="n">
        <v>45656</v>
      </c>
      <c r="C1529" s="1" t="n">
        <v>45964</v>
      </c>
      <c r="D1529" t="inlineStr">
        <is>
          <t>VÄSTERBOTTENS LÄN</t>
        </is>
      </c>
      <c r="E1529" t="inlineStr">
        <is>
          <t>SKELLEFTEÅ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39918-2022</t>
        </is>
      </c>
      <c r="B1530" s="1" t="n">
        <v>44819.8053125</v>
      </c>
      <c r="C1530" s="1" t="n">
        <v>45964</v>
      </c>
      <c r="D1530" t="inlineStr">
        <is>
          <t>VÄSTERBOTTENS LÄN</t>
        </is>
      </c>
      <c r="E1530" t="inlineStr">
        <is>
          <t>SKELLEFTEÅ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34670-2023</t>
        </is>
      </c>
      <c r="B1531" s="1" t="n">
        <v>45140.83440972222</v>
      </c>
      <c r="C1531" s="1" t="n">
        <v>45964</v>
      </c>
      <c r="D1531" t="inlineStr">
        <is>
          <t>VÄSTERBOTTENS LÄN</t>
        </is>
      </c>
      <c r="E1531" t="inlineStr">
        <is>
          <t>SKELLEFTEÅ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34672-2023</t>
        </is>
      </c>
      <c r="B1532" s="1" t="n">
        <v>45140.84226851852</v>
      </c>
      <c r="C1532" s="1" t="n">
        <v>45964</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31739-2025</t>
        </is>
      </c>
      <c r="B1533" s="1" t="n">
        <v>45834.47350694444</v>
      </c>
      <c r="C1533" s="1" t="n">
        <v>45964</v>
      </c>
      <c r="D1533" t="inlineStr">
        <is>
          <t>VÄSTERBOTTENS LÄN</t>
        </is>
      </c>
      <c r="E1533" t="inlineStr">
        <is>
          <t>SKELLEFTEÅ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31958-2025</t>
        </is>
      </c>
      <c r="B1534" s="1" t="n">
        <v>45835.34219907408</v>
      </c>
      <c r="C1534" s="1" t="n">
        <v>45964</v>
      </c>
      <c r="D1534" t="inlineStr">
        <is>
          <t>VÄSTERBOTTENS LÄN</t>
        </is>
      </c>
      <c r="E1534" t="inlineStr">
        <is>
          <t>SKELLEFTEÅ</t>
        </is>
      </c>
      <c r="F1534" t="inlineStr">
        <is>
          <t>Holmen skog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31997-2025</t>
        </is>
      </c>
      <c r="B1535" s="1" t="n">
        <v>45835.37637731482</v>
      </c>
      <c r="C1535" s="1" t="n">
        <v>45964</v>
      </c>
      <c r="D1535" t="inlineStr">
        <is>
          <t>VÄSTERBOTTENS LÄN</t>
        </is>
      </c>
      <c r="E1535" t="inlineStr">
        <is>
          <t>SKELLEFTEÅ</t>
        </is>
      </c>
      <c r="F1535" t="inlineStr">
        <is>
          <t>Holmen skog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31797-2025</t>
        </is>
      </c>
      <c r="B1536" s="1" t="n">
        <v>45834.55078703703</v>
      </c>
      <c r="C1536" s="1" t="n">
        <v>45964</v>
      </c>
      <c r="D1536" t="inlineStr">
        <is>
          <t>VÄSTERBOTTENS LÄN</t>
        </is>
      </c>
      <c r="E1536" t="inlineStr">
        <is>
          <t>SKELLEFTEÅ</t>
        </is>
      </c>
      <c r="G1536" t="n">
        <v>19.1</v>
      </c>
      <c r="H1536" t="n">
        <v>0</v>
      </c>
      <c r="I1536" t="n">
        <v>0</v>
      </c>
      <c r="J1536" t="n">
        <v>0</v>
      </c>
      <c r="K1536" t="n">
        <v>0</v>
      </c>
      <c r="L1536" t="n">
        <v>0</v>
      </c>
      <c r="M1536" t="n">
        <v>0</v>
      </c>
      <c r="N1536" t="n">
        <v>0</v>
      </c>
      <c r="O1536" t="n">
        <v>0</v>
      </c>
      <c r="P1536" t="n">
        <v>0</v>
      </c>
      <c r="Q1536" t="n">
        <v>0</v>
      </c>
      <c r="R1536" s="2" t="inlineStr"/>
    </row>
    <row r="1537" ht="15" customHeight="1">
      <c r="A1537" t="inlineStr">
        <is>
          <t>A 31938-2025</t>
        </is>
      </c>
      <c r="B1537" s="1" t="n">
        <v>45835.29355324074</v>
      </c>
      <c r="C1537" s="1" t="n">
        <v>45964</v>
      </c>
      <c r="D1537" t="inlineStr">
        <is>
          <t>VÄSTERBOTTENS LÄN</t>
        </is>
      </c>
      <c r="E1537" t="inlineStr">
        <is>
          <t>SKELLEFTEÅ</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43474-2023</t>
        </is>
      </c>
      <c r="B1538" s="1" t="n">
        <v>45184.42844907408</v>
      </c>
      <c r="C1538" s="1" t="n">
        <v>45964</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32066-2025</t>
        </is>
      </c>
      <c r="B1539" s="1" t="n">
        <v>45835.44824074074</v>
      </c>
      <c r="C1539" s="1" t="n">
        <v>45964</v>
      </c>
      <c r="D1539" t="inlineStr">
        <is>
          <t>VÄSTERBOTTENS LÄN</t>
        </is>
      </c>
      <c r="E1539" t="inlineStr">
        <is>
          <t>SKELLEFTEÅ</t>
        </is>
      </c>
      <c r="F1539" t="inlineStr">
        <is>
          <t>Holmen skog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56983-2024</t>
        </is>
      </c>
      <c r="B1540" s="1" t="n">
        <v>45628.69109953703</v>
      </c>
      <c r="C1540" s="1" t="n">
        <v>45964</v>
      </c>
      <c r="D1540" t="inlineStr">
        <is>
          <t>VÄSTERBOTTENS LÄN</t>
        </is>
      </c>
      <c r="E1540" t="inlineStr">
        <is>
          <t>SKELLEFTEÅ</t>
        </is>
      </c>
      <c r="F1540" t="inlineStr">
        <is>
          <t>Holmen skog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57003-2024</t>
        </is>
      </c>
      <c r="B1541" s="1" t="n">
        <v>45628.73037037037</v>
      </c>
      <c r="C1541" s="1" t="n">
        <v>45964</v>
      </c>
      <c r="D1541" t="inlineStr">
        <is>
          <t>VÄSTERBOTTENS LÄN</t>
        </is>
      </c>
      <c r="E1541" t="inlineStr">
        <is>
          <t>SKELLEFTEÅ</t>
        </is>
      </c>
      <c r="F1541" t="inlineStr">
        <is>
          <t>Holmen skog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59932-2024</t>
        </is>
      </c>
      <c r="B1542" s="1" t="n">
        <v>45642.31251157408</v>
      </c>
      <c r="C1542" s="1" t="n">
        <v>45964</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47007-2024</t>
        </is>
      </c>
      <c r="B1543" s="1" t="n">
        <v>45586.38399305556</v>
      </c>
      <c r="C1543" s="1" t="n">
        <v>45964</v>
      </c>
      <c r="D1543" t="inlineStr">
        <is>
          <t>VÄSTERBOTTENS LÄN</t>
        </is>
      </c>
      <c r="E1543" t="inlineStr">
        <is>
          <t>SKELLEFTEÅ</t>
        </is>
      </c>
      <c r="G1543" t="n">
        <v>22.2</v>
      </c>
      <c r="H1543" t="n">
        <v>0</v>
      </c>
      <c r="I1543" t="n">
        <v>0</v>
      </c>
      <c r="J1543" t="n">
        <v>0</v>
      </c>
      <c r="K1543" t="n">
        <v>0</v>
      </c>
      <c r="L1543" t="n">
        <v>0</v>
      </c>
      <c r="M1543" t="n">
        <v>0</v>
      </c>
      <c r="N1543" t="n">
        <v>0</v>
      </c>
      <c r="O1543" t="n">
        <v>0</v>
      </c>
      <c r="P1543" t="n">
        <v>0</v>
      </c>
      <c r="Q1543" t="n">
        <v>0</v>
      </c>
      <c r="R1543" s="2" t="inlineStr"/>
    </row>
    <row r="1544" ht="15" customHeight="1">
      <c r="A1544" t="inlineStr">
        <is>
          <t>A 32780-2025</t>
        </is>
      </c>
      <c r="B1544" s="1" t="n">
        <v>45839.46975694445</v>
      </c>
      <c r="C1544" s="1" t="n">
        <v>45964</v>
      </c>
      <c r="D1544" t="inlineStr">
        <is>
          <t>VÄSTERBOTTENS LÄN</t>
        </is>
      </c>
      <c r="E1544" t="inlineStr">
        <is>
          <t>SKELLEFTEÅ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52245-2024</t>
        </is>
      </c>
      <c r="B1545" s="1" t="n">
        <v>45608.62322916667</v>
      </c>
      <c r="C1545" s="1" t="n">
        <v>45964</v>
      </c>
      <c r="D1545" t="inlineStr">
        <is>
          <t>VÄSTERBOTTENS LÄN</t>
        </is>
      </c>
      <c r="E1545" t="inlineStr">
        <is>
          <t>SKELLEFTEÅ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32450-2025</t>
        </is>
      </c>
      <c r="B1546" s="1" t="n">
        <v>45838.38953703704</v>
      </c>
      <c r="C1546" s="1" t="n">
        <v>45964</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32601-2025</t>
        </is>
      </c>
      <c r="B1547" s="1" t="n">
        <v>45838.62275462963</v>
      </c>
      <c r="C1547" s="1" t="n">
        <v>45964</v>
      </c>
      <c r="D1547" t="inlineStr">
        <is>
          <t>VÄSTERBOTTENS LÄN</t>
        </is>
      </c>
      <c r="E1547" t="inlineStr">
        <is>
          <t>SKELLEFTEÅ</t>
        </is>
      </c>
      <c r="F1547" t="inlineStr">
        <is>
          <t>Holmen skog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32640-2025</t>
        </is>
      </c>
      <c r="B1548" s="1" t="n">
        <v>45838.65730324074</v>
      </c>
      <c r="C1548" s="1" t="n">
        <v>45964</v>
      </c>
      <c r="D1548" t="inlineStr">
        <is>
          <t>VÄSTERBOTTENS LÄN</t>
        </is>
      </c>
      <c r="E1548" t="inlineStr">
        <is>
          <t>SKELLEFTEÅ</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52475-2022</t>
        </is>
      </c>
      <c r="B1549" s="1" t="n">
        <v>44869</v>
      </c>
      <c r="C1549" s="1" t="n">
        <v>45964</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32638-2025</t>
        </is>
      </c>
      <c r="B1550" s="1" t="n">
        <v>45838.65724537037</v>
      </c>
      <c r="C1550" s="1" t="n">
        <v>45964</v>
      </c>
      <c r="D1550" t="inlineStr">
        <is>
          <t>VÄSTERBOTTENS LÄN</t>
        </is>
      </c>
      <c r="E1550" t="inlineStr">
        <is>
          <t>SKELLEFTEÅ</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26999-2022</t>
        </is>
      </c>
      <c r="B1551" s="1" t="n">
        <v>44740</v>
      </c>
      <c r="C1551" s="1" t="n">
        <v>45964</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32781-2025</t>
        </is>
      </c>
      <c r="B1552" s="1" t="n">
        <v>45839.47243055556</v>
      </c>
      <c r="C1552" s="1" t="n">
        <v>45964</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32550-2025</t>
        </is>
      </c>
      <c r="B1553" s="1" t="n">
        <v>45838.54916666666</v>
      </c>
      <c r="C1553" s="1" t="n">
        <v>45964</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32931-2025</t>
        </is>
      </c>
      <c r="B1554" s="1" t="n">
        <v>45839.66858796297</v>
      </c>
      <c r="C1554" s="1" t="n">
        <v>45964</v>
      </c>
      <c r="D1554" t="inlineStr">
        <is>
          <t>VÄSTERBOTTENS LÄN</t>
        </is>
      </c>
      <c r="E1554" t="inlineStr">
        <is>
          <t>SKELLEFTEÅ</t>
        </is>
      </c>
      <c r="F1554" t="inlineStr">
        <is>
          <t>Holmen skog AB</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32955-2025</t>
        </is>
      </c>
      <c r="B1555" s="1" t="n">
        <v>45839</v>
      </c>
      <c r="C1555" s="1" t="n">
        <v>45964</v>
      </c>
      <c r="D1555" t="inlineStr">
        <is>
          <t>VÄSTERBOTTENS LÄN</t>
        </is>
      </c>
      <c r="E1555" t="inlineStr">
        <is>
          <t>SKELLEFTEÅ</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21152-2024</t>
        </is>
      </c>
      <c r="B1556" s="1" t="n">
        <v>45440</v>
      </c>
      <c r="C1556" s="1" t="n">
        <v>45964</v>
      </c>
      <c r="D1556" t="inlineStr">
        <is>
          <t>VÄSTERBOTTENS LÄN</t>
        </is>
      </c>
      <c r="E1556" t="inlineStr">
        <is>
          <t>SKELLEFTEÅ</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3164-2025</t>
        </is>
      </c>
      <c r="B1557" s="1" t="n">
        <v>45679.34158564815</v>
      </c>
      <c r="C1557" s="1" t="n">
        <v>45964</v>
      </c>
      <c r="D1557" t="inlineStr">
        <is>
          <t>VÄSTERBOTTENS LÄN</t>
        </is>
      </c>
      <c r="E1557" t="inlineStr">
        <is>
          <t>SKELLEFTEÅ</t>
        </is>
      </c>
      <c r="F1557" t="inlineStr">
        <is>
          <t>Holmen skog AB</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58012-2023</t>
        </is>
      </c>
      <c r="B1558" s="1" t="n">
        <v>45244</v>
      </c>
      <c r="C1558" s="1" t="n">
        <v>45964</v>
      </c>
      <c r="D1558" t="inlineStr">
        <is>
          <t>VÄSTERBOTTENS LÄN</t>
        </is>
      </c>
      <c r="E1558" t="inlineStr">
        <is>
          <t>SKELLEFTEÅ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32329-2025</t>
        </is>
      </c>
      <c r="B1559" s="1" t="n">
        <v>45836.48517361111</v>
      </c>
      <c r="C1559" s="1" t="n">
        <v>45964</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32551-2025</t>
        </is>
      </c>
      <c r="B1560" s="1" t="n">
        <v>45838.5503587963</v>
      </c>
      <c r="C1560" s="1" t="n">
        <v>45964</v>
      </c>
      <c r="D1560" t="inlineStr">
        <is>
          <t>VÄSTERBOTTENS LÄN</t>
        </is>
      </c>
      <c r="E1560" t="inlineStr">
        <is>
          <t>SKELLEFTEÅ</t>
        </is>
      </c>
      <c r="F1560" t="inlineStr">
        <is>
          <t>Holmen skog AB</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1022-2025</t>
        </is>
      </c>
      <c r="B1561" s="1" t="n">
        <v>45665</v>
      </c>
      <c r="C1561" s="1" t="n">
        <v>45964</v>
      </c>
      <c r="D1561" t="inlineStr">
        <is>
          <t>VÄSTERBOTTENS LÄN</t>
        </is>
      </c>
      <c r="E1561" t="inlineStr">
        <is>
          <t>SKELLEFTEÅ</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9925-2022</t>
        </is>
      </c>
      <c r="B1562" s="1" t="n">
        <v>44620.92208333333</v>
      </c>
      <c r="C1562" s="1" t="n">
        <v>45964</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59689-2024</t>
        </is>
      </c>
      <c r="B1563" s="1" t="n">
        <v>45639.40660879629</v>
      </c>
      <c r="C1563" s="1" t="n">
        <v>45964</v>
      </c>
      <c r="D1563" t="inlineStr">
        <is>
          <t>VÄSTERBOTTENS LÄN</t>
        </is>
      </c>
      <c r="E1563" t="inlineStr">
        <is>
          <t>SKELLEFTEÅ</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61064-2023</t>
        </is>
      </c>
      <c r="B1564" s="1" t="n">
        <v>45259</v>
      </c>
      <c r="C1564" s="1" t="n">
        <v>45964</v>
      </c>
      <c r="D1564" t="inlineStr">
        <is>
          <t>VÄSTERBOTTENS LÄN</t>
        </is>
      </c>
      <c r="E1564" t="inlineStr">
        <is>
          <t>SKELLEFTEÅ</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32485-2025</t>
        </is>
      </c>
      <c r="B1565" s="1" t="n">
        <v>45838.43662037037</v>
      </c>
      <c r="C1565" s="1" t="n">
        <v>45964</v>
      </c>
      <c r="D1565" t="inlineStr">
        <is>
          <t>VÄSTERBOTTENS LÄN</t>
        </is>
      </c>
      <c r="E1565" t="inlineStr">
        <is>
          <t>SKELLEFTEÅ</t>
        </is>
      </c>
      <c r="F1565" t="inlineStr">
        <is>
          <t>Holmen skog AB</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32486-2025</t>
        </is>
      </c>
      <c r="B1566" s="1" t="n">
        <v>45838.44112268519</v>
      </c>
      <c r="C1566" s="1" t="n">
        <v>45964</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32639-2025</t>
        </is>
      </c>
      <c r="B1567" s="1" t="n">
        <v>45838.65726851852</v>
      </c>
      <c r="C1567" s="1" t="n">
        <v>45964</v>
      </c>
      <c r="D1567" t="inlineStr">
        <is>
          <t>VÄSTERBOTTENS LÄN</t>
        </is>
      </c>
      <c r="E1567" t="inlineStr">
        <is>
          <t>SKELLEFTEÅ</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50464-2023</t>
        </is>
      </c>
      <c r="B1568" s="1" t="n">
        <v>45216.84891203704</v>
      </c>
      <c r="C1568" s="1" t="n">
        <v>45964</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16494-2023</t>
        </is>
      </c>
      <c r="B1569" s="1" t="n">
        <v>45029.60325231482</v>
      </c>
      <c r="C1569" s="1" t="n">
        <v>45964</v>
      </c>
      <c r="D1569" t="inlineStr">
        <is>
          <t>VÄSTERBOTTENS LÄN</t>
        </is>
      </c>
      <c r="E1569" t="inlineStr">
        <is>
          <t>SKELLEFTEÅ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1667-2025</t>
        </is>
      </c>
      <c r="B1570" s="1" t="n">
        <v>45670</v>
      </c>
      <c r="C1570" s="1" t="n">
        <v>45964</v>
      </c>
      <c r="D1570" t="inlineStr">
        <is>
          <t>VÄSTERBOTTENS LÄN</t>
        </is>
      </c>
      <c r="E1570" t="inlineStr">
        <is>
          <t>SKELLEFTEÅ</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32451-2025</t>
        </is>
      </c>
      <c r="B1571" s="1" t="n">
        <v>45838.39283564815</v>
      </c>
      <c r="C1571" s="1" t="n">
        <v>45964</v>
      </c>
      <c r="D1571" t="inlineStr">
        <is>
          <t>VÄSTERBOTTENS LÄN</t>
        </is>
      </c>
      <c r="E1571" t="inlineStr">
        <is>
          <t>SKELLEFTEÅ</t>
        </is>
      </c>
      <c r="F1571" t="inlineStr">
        <is>
          <t>Holmen skog AB</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11078-2024</t>
        </is>
      </c>
      <c r="B1572" s="1" t="n">
        <v>45370</v>
      </c>
      <c r="C1572" s="1" t="n">
        <v>45964</v>
      </c>
      <c r="D1572" t="inlineStr">
        <is>
          <t>VÄSTERBOTTENS LÄN</t>
        </is>
      </c>
      <c r="E1572" t="inlineStr">
        <is>
          <t>SKELLEFTEÅ</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32578-2025</t>
        </is>
      </c>
      <c r="B1573" s="1" t="n">
        <v>45838.59311342592</v>
      </c>
      <c r="C1573" s="1" t="n">
        <v>45964</v>
      </c>
      <c r="D1573" t="inlineStr">
        <is>
          <t>VÄSTERBOTTENS LÄN</t>
        </is>
      </c>
      <c r="E1573" t="inlineStr">
        <is>
          <t>SKELLEFTEÅ</t>
        </is>
      </c>
      <c r="F1573" t="inlineStr">
        <is>
          <t>Holmen skog AB</t>
        </is>
      </c>
      <c r="G1573" t="n">
        <v>12.3</v>
      </c>
      <c r="H1573" t="n">
        <v>0</v>
      </c>
      <c r="I1573" t="n">
        <v>0</v>
      </c>
      <c r="J1573" t="n">
        <v>0</v>
      </c>
      <c r="K1573" t="n">
        <v>0</v>
      </c>
      <c r="L1573" t="n">
        <v>0</v>
      </c>
      <c r="M1573" t="n">
        <v>0</v>
      </c>
      <c r="N1573" t="n">
        <v>0</v>
      </c>
      <c r="O1573" t="n">
        <v>0</v>
      </c>
      <c r="P1573" t="n">
        <v>0</v>
      </c>
      <c r="Q1573" t="n">
        <v>0</v>
      </c>
      <c r="R1573" s="2" t="inlineStr"/>
    </row>
    <row r="1574" ht="15" customHeight="1">
      <c r="A1574" t="inlineStr">
        <is>
          <t>A 31955-2025</t>
        </is>
      </c>
      <c r="B1574" s="1" t="n">
        <v>45835</v>
      </c>
      <c r="C1574" s="1" t="n">
        <v>45964</v>
      </c>
      <c r="D1574" t="inlineStr">
        <is>
          <t>VÄSTERBOTTENS LÄN</t>
        </is>
      </c>
      <c r="E1574" t="inlineStr">
        <is>
          <t>SKELLEFTEÅ</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900-2023</t>
        </is>
      </c>
      <c r="B1575" s="1" t="n">
        <v>44931.9255324074</v>
      </c>
      <c r="C1575" s="1" t="n">
        <v>45964</v>
      </c>
      <c r="D1575" t="inlineStr">
        <is>
          <t>VÄSTERBOTTENS LÄN</t>
        </is>
      </c>
      <c r="E1575" t="inlineStr">
        <is>
          <t>SKELLEFTEÅ</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53311-2023</t>
        </is>
      </c>
      <c r="B1576" s="1" t="n">
        <v>45229.59980324074</v>
      </c>
      <c r="C1576" s="1" t="n">
        <v>45964</v>
      </c>
      <c r="D1576" t="inlineStr">
        <is>
          <t>VÄSTERBOTTENS LÄN</t>
        </is>
      </c>
      <c r="E1576" t="inlineStr">
        <is>
          <t>SKELLEFTEÅ</t>
        </is>
      </c>
      <c r="F1576" t="inlineStr">
        <is>
          <t>Holmen skog AB</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32933-2025</t>
        </is>
      </c>
      <c r="B1577" s="1" t="n">
        <v>45839.67144675926</v>
      </c>
      <c r="C1577" s="1" t="n">
        <v>45964</v>
      </c>
      <c r="D1577" t="inlineStr">
        <is>
          <t>VÄSTERBOTTENS LÄN</t>
        </is>
      </c>
      <c r="E1577" t="inlineStr">
        <is>
          <t>SKELLEFTEÅ</t>
        </is>
      </c>
      <c r="F1577" t="inlineStr">
        <is>
          <t>Holmen skog AB</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38954-2025</t>
        </is>
      </c>
      <c r="B1578" s="1" t="n">
        <v>45887.66715277778</v>
      </c>
      <c r="C1578" s="1" t="n">
        <v>45964</v>
      </c>
      <c r="D1578" t="inlineStr">
        <is>
          <t>VÄSTERBOTTENS LÄN</t>
        </is>
      </c>
      <c r="E1578" t="inlineStr">
        <is>
          <t>SKELLEFTEÅ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26708-2024</t>
        </is>
      </c>
      <c r="B1579" s="1" t="n">
        <v>45470</v>
      </c>
      <c r="C1579" s="1" t="n">
        <v>45964</v>
      </c>
      <c r="D1579" t="inlineStr">
        <is>
          <t>VÄSTERBOTTENS LÄN</t>
        </is>
      </c>
      <c r="E1579" t="inlineStr">
        <is>
          <t>SKELLEFTEÅ</t>
        </is>
      </c>
      <c r="F1579" t="inlineStr">
        <is>
          <t>Sveaskog</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39089-2025</t>
        </is>
      </c>
      <c r="B1580" s="1" t="n">
        <v>45887</v>
      </c>
      <c r="C1580" s="1" t="n">
        <v>45964</v>
      </c>
      <c r="D1580" t="inlineStr">
        <is>
          <t>VÄSTERBOTTENS LÄN</t>
        </is>
      </c>
      <c r="E1580" t="inlineStr">
        <is>
          <t>SKELLEFTEÅ</t>
        </is>
      </c>
      <c r="G1580" t="n">
        <v>31.5</v>
      </c>
      <c r="H1580" t="n">
        <v>0</v>
      </c>
      <c r="I1580" t="n">
        <v>0</v>
      </c>
      <c r="J1580" t="n">
        <v>0</v>
      </c>
      <c r="K1580" t="n">
        <v>0</v>
      </c>
      <c r="L1580" t="n">
        <v>0</v>
      </c>
      <c r="M1580" t="n">
        <v>0</v>
      </c>
      <c r="N1580" t="n">
        <v>0</v>
      </c>
      <c r="O1580" t="n">
        <v>0</v>
      </c>
      <c r="P1580" t="n">
        <v>0</v>
      </c>
      <c r="Q1580" t="n">
        <v>0</v>
      </c>
      <c r="R1580" s="2" t="inlineStr"/>
    </row>
    <row r="1581" ht="15" customHeight="1">
      <c r="A1581" t="inlineStr">
        <is>
          <t>A 46282-2024</t>
        </is>
      </c>
      <c r="B1581" s="1" t="n">
        <v>45581.6378587963</v>
      </c>
      <c r="C1581" s="1" t="n">
        <v>45964</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42357-2022</t>
        </is>
      </c>
      <c r="B1582" s="1" t="n">
        <v>44827</v>
      </c>
      <c r="C1582" s="1" t="n">
        <v>45964</v>
      </c>
      <c r="D1582" t="inlineStr">
        <is>
          <t>VÄSTERBOTTENS LÄN</t>
        </is>
      </c>
      <c r="E1582" t="inlineStr">
        <is>
          <t>SKELLEFTEÅ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34242-2024</t>
        </is>
      </c>
      <c r="B1583" s="1" t="n">
        <v>45524.58086805556</v>
      </c>
      <c r="C1583" s="1" t="n">
        <v>45964</v>
      </c>
      <c r="D1583" t="inlineStr">
        <is>
          <t>VÄSTERBOTTENS LÄN</t>
        </is>
      </c>
      <c r="E1583" t="inlineStr">
        <is>
          <t>SKELLEFTEÅ</t>
        </is>
      </c>
      <c r="F1583" t="inlineStr">
        <is>
          <t>Sveaskog</t>
        </is>
      </c>
      <c r="G1583" t="n">
        <v>19.8</v>
      </c>
      <c r="H1583" t="n">
        <v>0</v>
      </c>
      <c r="I1583" t="n">
        <v>0</v>
      </c>
      <c r="J1583" t="n">
        <v>0</v>
      </c>
      <c r="K1583" t="n">
        <v>0</v>
      </c>
      <c r="L1583" t="n">
        <v>0</v>
      </c>
      <c r="M1583" t="n">
        <v>0</v>
      </c>
      <c r="N1583" t="n">
        <v>0</v>
      </c>
      <c r="O1583" t="n">
        <v>0</v>
      </c>
      <c r="P1583" t="n">
        <v>0</v>
      </c>
      <c r="Q1583" t="n">
        <v>0</v>
      </c>
      <c r="R1583" s="2" t="inlineStr"/>
    </row>
    <row r="1584" ht="15" customHeight="1">
      <c r="A1584" t="inlineStr">
        <is>
          <t>A 62284-2022</t>
        </is>
      </c>
      <c r="B1584" s="1" t="n">
        <v>44923.40487268518</v>
      </c>
      <c r="C1584" s="1" t="n">
        <v>45964</v>
      </c>
      <c r="D1584" t="inlineStr">
        <is>
          <t>VÄSTERBOTTENS LÄN</t>
        </is>
      </c>
      <c r="E1584" t="inlineStr">
        <is>
          <t>SKELLEFTEÅ</t>
        </is>
      </c>
      <c r="F1584" t="inlineStr">
        <is>
          <t>Sveaskog</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24496-2025</t>
        </is>
      </c>
      <c r="B1585" s="1" t="n">
        <v>45798</v>
      </c>
      <c r="C1585" s="1" t="n">
        <v>45964</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33521-2021</t>
        </is>
      </c>
      <c r="B1586" s="1" t="n">
        <v>44377</v>
      </c>
      <c r="C1586" s="1" t="n">
        <v>45964</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56471-2023</t>
        </is>
      </c>
      <c r="B1587" s="1" t="n">
        <v>45243</v>
      </c>
      <c r="C1587" s="1" t="n">
        <v>45964</v>
      </c>
      <c r="D1587" t="inlineStr">
        <is>
          <t>VÄSTERBOTTENS LÄN</t>
        </is>
      </c>
      <c r="E1587" t="inlineStr">
        <is>
          <t>SKELLEFTEÅ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33093-2025</t>
        </is>
      </c>
      <c r="B1588" s="1" t="n">
        <v>45840.47180555556</v>
      </c>
      <c r="C1588" s="1" t="n">
        <v>45964</v>
      </c>
      <c r="D1588" t="inlineStr">
        <is>
          <t>VÄSTERBOTTENS LÄN</t>
        </is>
      </c>
      <c r="E1588" t="inlineStr">
        <is>
          <t>SKELLEFTEÅ</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33304-2025</t>
        </is>
      </c>
      <c r="B1589" s="1" t="n">
        <v>45841.29636574074</v>
      </c>
      <c r="C1589" s="1" t="n">
        <v>45964</v>
      </c>
      <c r="D1589" t="inlineStr">
        <is>
          <t>VÄSTERBOTTENS LÄN</t>
        </is>
      </c>
      <c r="E1589" t="inlineStr">
        <is>
          <t>SKELLEFTEÅ</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11945-2023</t>
        </is>
      </c>
      <c r="B1590" s="1" t="n">
        <v>44995</v>
      </c>
      <c r="C1590" s="1" t="n">
        <v>45964</v>
      </c>
      <c r="D1590" t="inlineStr">
        <is>
          <t>VÄSTERBOTTENS LÄN</t>
        </is>
      </c>
      <c r="E1590" t="inlineStr">
        <is>
          <t>SKELLEFTEÅ</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11454-2021</t>
        </is>
      </c>
      <c r="B1591" s="1" t="n">
        <v>44264</v>
      </c>
      <c r="C1591" s="1" t="n">
        <v>45964</v>
      </c>
      <c r="D1591" t="inlineStr">
        <is>
          <t>VÄSTERBOTTENS LÄN</t>
        </is>
      </c>
      <c r="E1591" t="inlineStr">
        <is>
          <t>SKELLEFTEÅ</t>
        </is>
      </c>
      <c r="G1591" t="n">
        <v>14.6</v>
      </c>
      <c r="H1591" t="n">
        <v>0</v>
      </c>
      <c r="I1591" t="n">
        <v>0</v>
      </c>
      <c r="J1591" t="n">
        <v>0</v>
      </c>
      <c r="K1591" t="n">
        <v>0</v>
      </c>
      <c r="L1591" t="n">
        <v>0</v>
      </c>
      <c r="M1591" t="n">
        <v>0</v>
      </c>
      <c r="N1591" t="n">
        <v>0</v>
      </c>
      <c r="O1591" t="n">
        <v>0</v>
      </c>
      <c r="P1591" t="n">
        <v>0</v>
      </c>
      <c r="Q1591" t="n">
        <v>0</v>
      </c>
      <c r="R1591" s="2" t="inlineStr"/>
    </row>
    <row r="1592" ht="15" customHeight="1">
      <c r="A1592" t="inlineStr">
        <is>
          <t>A 11499-2021</t>
        </is>
      </c>
      <c r="B1592" s="1" t="n">
        <v>44264.37333333334</v>
      </c>
      <c r="C1592" s="1" t="n">
        <v>45964</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64920-2023</t>
        </is>
      </c>
      <c r="B1593" s="1" t="n">
        <v>45282.68806712963</v>
      </c>
      <c r="C1593" s="1" t="n">
        <v>45964</v>
      </c>
      <c r="D1593" t="inlineStr">
        <is>
          <t>VÄSTERBOTTENS LÄN</t>
        </is>
      </c>
      <c r="E1593" t="inlineStr">
        <is>
          <t>SKELLEFTEÅ</t>
        </is>
      </c>
      <c r="F1593" t="inlineStr">
        <is>
          <t>Sveaskog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29263-2025</t>
        </is>
      </c>
      <c r="B1594" s="1" t="n">
        <v>45824.39538194444</v>
      </c>
      <c r="C1594" s="1" t="n">
        <v>45964</v>
      </c>
      <c r="D1594" t="inlineStr">
        <is>
          <t>VÄSTERBOTTENS LÄN</t>
        </is>
      </c>
      <c r="E1594" t="inlineStr">
        <is>
          <t>SKELLEFTEÅ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33073-2025</t>
        </is>
      </c>
      <c r="B1595" s="1" t="n">
        <v>45840.45332175926</v>
      </c>
      <c r="C1595" s="1" t="n">
        <v>45964</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30986-2024</t>
        </is>
      </c>
      <c r="B1596" s="1" t="n">
        <v>45499.52881944444</v>
      </c>
      <c r="C1596" s="1" t="n">
        <v>45964</v>
      </c>
      <c r="D1596" t="inlineStr">
        <is>
          <t>VÄSTERBOTTENS LÄN</t>
        </is>
      </c>
      <c r="E1596" t="inlineStr">
        <is>
          <t>SKELLEFTEÅ</t>
        </is>
      </c>
      <c r="F1596" t="inlineStr">
        <is>
          <t>Sveaskog</t>
        </is>
      </c>
      <c r="G1596" t="n">
        <v>13.9</v>
      </c>
      <c r="H1596" t="n">
        <v>0</v>
      </c>
      <c r="I1596" t="n">
        <v>0</v>
      </c>
      <c r="J1596" t="n">
        <v>0</v>
      </c>
      <c r="K1596" t="n">
        <v>0</v>
      </c>
      <c r="L1596" t="n">
        <v>0</v>
      </c>
      <c r="M1596" t="n">
        <v>0</v>
      </c>
      <c r="N1596" t="n">
        <v>0</v>
      </c>
      <c r="O1596" t="n">
        <v>0</v>
      </c>
      <c r="P1596" t="n">
        <v>0</v>
      </c>
      <c r="Q1596" t="n">
        <v>0</v>
      </c>
      <c r="R1596" s="2" t="inlineStr"/>
    </row>
    <row r="1597" ht="15" customHeight="1">
      <c r="A1597" t="inlineStr">
        <is>
          <t>A 32820-2023</t>
        </is>
      </c>
      <c r="B1597" s="1" t="n">
        <v>45112</v>
      </c>
      <c r="C1597" s="1" t="n">
        <v>45964</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33303-2025</t>
        </is>
      </c>
      <c r="B1598" s="1" t="n">
        <v>45841.29267361111</v>
      </c>
      <c r="C1598" s="1" t="n">
        <v>45964</v>
      </c>
      <c r="D1598" t="inlineStr">
        <is>
          <t>VÄSTERBOTTENS LÄN</t>
        </is>
      </c>
      <c r="E1598" t="inlineStr">
        <is>
          <t>SKELLEFTEÅ</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33305-2025</t>
        </is>
      </c>
      <c r="B1599" s="1" t="n">
        <v>45841.30456018518</v>
      </c>
      <c r="C1599" s="1" t="n">
        <v>45964</v>
      </c>
      <c r="D1599" t="inlineStr">
        <is>
          <t>VÄSTERBOTTENS LÄN</t>
        </is>
      </c>
      <c r="E1599" t="inlineStr">
        <is>
          <t>SKELLEFTEÅ</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33579-2025</t>
        </is>
      </c>
      <c r="B1600" s="1" t="n">
        <v>45841.59310185185</v>
      </c>
      <c r="C1600" s="1" t="n">
        <v>45964</v>
      </c>
      <c r="D1600" t="inlineStr">
        <is>
          <t>VÄSTERBOTTENS LÄN</t>
        </is>
      </c>
      <c r="E1600" t="inlineStr">
        <is>
          <t>SKELLEFTEÅ</t>
        </is>
      </c>
      <c r="F1600" t="inlineStr">
        <is>
          <t>Holmen skog AB</t>
        </is>
      </c>
      <c r="G1600" t="n">
        <v>10.7</v>
      </c>
      <c r="H1600" t="n">
        <v>0</v>
      </c>
      <c r="I1600" t="n">
        <v>0</v>
      </c>
      <c r="J1600" t="n">
        <v>0</v>
      </c>
      <c r="K1600" t="n">
        <v>0</v>
      </c>
      <c r="L1600" t="n">
        <v>0</v>
      </c>
      <c r="M1600" t="n">
        <v>0</v>
      </c>
      <c r="N1600" t="n">
        <v>0</v>
      </c>
      <c r="O1600" t="n">
        <v>0</v>
      </c>
      <c r="P1600" t="n">
        <v>0</v>
      </c>
      <c r="Q1600" t="n">
        <v>0</v>
      </c>
      <c r="R1600" s="2" t="inlineStr"/>
    </row>
    <row r="1601" ht="15" customHeight="1">
      <c r="A1601" t="inlineStr">
        <is>
          <t>A 38778-2025</t>
        </is>
      </c>
      <c r="B1601" s="1" t="n">
        <v>45887.43694444445</v>
      </c>
      <c r="C1601" s="1" t="n">
        <v>45964</v>
      </c>
      <c r="D1601" t="inlineStr">
        <is>
          <t>VÄSTERBOTTENS LÄN</t>
        </is>
      </c>
      <c r="E1601" t="inlineStr">
        <is>
          <t>SKELLEFTEÅ</t>
        </is>
      </c>
      <c r="G1601" t="n">
        <v>19.7</v>
      </c>
      <c r="H1601" t="n">
        <v>0</v>
      </c>
      <c r="I1601" t="n">
        <v>0</v>
      </c>
      <c r="J1601" t="n">
        <v>0</v>
      </c>
      <c r="K1601" t="n">
        <v>0</v>
      </c>
      <c r="L1601" t="n">
        <v>0</v>
      </c>
      <c r="M1601" t="n">
        <v>0</v>
      </c>
      <c r="N1601" t="n">
        <v>0</v>
      </c>
      <c r="O1601" t="n">
        <v>0</v>
      </c>
      <c r="P1601" t="n">
        <v>0</v>
      </c>
      <c r="Q1601" t="n">
        <v>0</v>
      </c>
      <c r="R1601" s="2" t="inlineStr"/>
    </row>
    <row r="1602" ht="15" customHeight="1">
      <c r="A1602" t="inlineStr">
        <is>
          <t>A 38505-2021</t>
        </is>
      </c>
      <c r="B1602" s="1" t="n">
        <v>44407.49136574074</v>
      </c>
      <c r="C1602" s="1" t="n">
        <v>45964</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35732-2023</t>
        </is>
      </c>
      <c r="B1603" s="1" t="n">
        <v>45147</v>
      </c>
      <c r="C1603" s="1" t="n">
        <v>45964</v>
      </c>
      <c r="D1603" t="inlineStr">
        <is>
          <t>VÄSTERBOTTENS LÄN</t>
        </is>
      </c>
      <c r="E1603" t="inlineStr">
        <is>
          <t>SKELLEFTEÅ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26920-2024</t>
        </is>
      </c>
      <c r="B1604" s="1" t="n">
        <v>45470.9305787037</v>
      </c>
      <c r="C1604" s="1" t="n">
        <v>45964</v>
      </c>
      <c r="D1604" t="inlineStr">
        <is>
          <t>VÄSTERBOTTENS LÄN</t>
        </is>
      </c>
      <c r="E1604" t="inlineStr">
        <is>
          <t>SKELLEFTEÅ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17751-2024</t>
        </is>
      </c>
      <c r="B1605" s="1" t="n">
        <v>45418.59936342593</v>
      </c>
      <c r="C1605" s="1" t="n">
        <v>45964</v>
      </c>
      <c r="D1605" t="inlineStr">
        <is>
          <t>VÄSTERBOTTENS LÄN</t>
        </is>
      </c>
      <c r="E1605" t="inlineStr">
        <is>
          <t>SKELLEFTEÅ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16519-2024</t>
        </is>
      </c>
      <c r="B1606" s="1" t="n">
        <v>45408</v>
      </c>
      <c r="C1606" s="1" t="n">
        <v>45964</v>
      </c>
      <c r="D1606" t="inlineStr">
        <is>
          <t>VÄSTERBOTTENS LÄN</t>
        </is>
      </c>
      <c r="E1606" t="inlineStr">
        <is>
          <t>SKELLEFTEÅ</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28365-2025</t>
        </is>
      </c>
      <c r="B1607" s="1" t="n">
        <v>45818.83288194444</v>
      </c>
      <c r="C1607" s="1" t="n">
        <v>45964</v>
      </c>
      <c r="D1607" t="inlineStr">
        <is>
          <t>VÄSTERBOTTENS LÄN</t>
        </is>
      </c>
      <c r="E1607" t="inlineStr">
        <is>
          <t>SKELLEFTEÅ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33104-2025</t>
        </is>
      </c>
      <c r="B1608" s="1" t="n">
        <v>45840.48296296296</v>
      </c>
      <c r="C1608" s="1" t="n">
        <v>45964</v>
      </c>
      <c r="D1608" t="inlineStr">
        <is>
          <t>VÄSTERBOTTENS LÄN</t>
        </is>
      </c>
      <c r="E1608" t="inlineStr">
        <is>
          <t>SKELLEFTEÅ</t>
        </is>
      </c>
      <c r="F1608" t="inlineStr">
        <is>
          <t>Holmen skog AB</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19498-2023</t>
        </is>
      </c>
      <c r="B1609" s="1" t="n">
        <v>45049</v>
      </c>
      <c r="C1609" s="1" t="n">
        <v>45964</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23169-2024</t>
        </is>
      </c>
      <c r="B1610" s="1" t="n">
        <v>45450</v>
      </c>
      <c r="C1610" s="1" t="n">
        <v>45964</v>
      </c>
      <c r="D1610" t="inlineStr">
        <is>
          <t>VÄSTERBOTTENS LÄN</t>
        </is>
      </c>
      <c r="E1610" t="inlineStr">
        <is>
          <t>SKELLEFTEÅ</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23925-2024</t>
        </is>
      </c>
      <c r="B1611" s="1" t="n">
        <v>45455.93157407407</v>
      </c>
      <c r="C1611" s="1" t="n">
        <v>45964</v>
      </c>
      <c r="D1611" t="inlineStr">
        <is>
          <t>VÄSTERBOTTENS LÄN</t>
        </is>
      </c>
      <c r="E1611" t="inlineStr">
        <is>
          <t>SKELLEFTEÅ</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49573-2023</t>
        </is>
      </c>
      <c r="B1612" s="1" t="n">
        <v>45205</v>
      </c>
      <c r="C1612" s="1" t="n">
        <v>45964</v>
      </c>
      <c r="D1612" t="inlineStr">
        <is>
          <t>VÄSTERBOTTENS LÄN</t>
        </is>
      </c>
      <c r="E1612" t="inlineStr">
        <is>
          <t>SKELLEFTEÅ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33154-2025</t>
        </is>
      </c>
      <c r="B1613" s="1" t="n">
        <v>45840.55459490741</v>
      </c>
      <c r="C1613" s="1" t="n">
        <v>45964</v>
      </c>
      <c r="D1613" t="inlineStr">
        <is>
          <t>VÄSTERBOTTENS LÄN</t>
        </is>
      </c>
      <c r="E1613" t="inlineStr">
        <is>
          <t>SKELLEFTEÅ</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50081-2023</t>
        </is>
      </c>
      <c r="B1614" s="1" t="n">
        <v>45215.58771990741</v>
      </c>
      <c r="C1614" s="1" t="n">
        <v>45964</v>
      </c>
      <c r="D1614" t="inlineStr">
        <is>
          <t>VÄSTERBOTTENS LÄN</t>
        </is>
      </c>
      <c r="E1614" t="inlineStr">
        <is>
          <t>SKELLEFTEÅ</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60488-2022</t>
        </is>
      </c>
      <c r="B1615" s="1" t="n">
        <v>44911.43144675926</v>
      </c>
      <c r="C1615" s="1" t="n">
        <v>45964</v>
      </c>
      <c r="D1615" t="inlineStr">
        <is>
          <t>VÄSTERBOTTENS LÄN</t>
        </is>
      </c>
      <c r="E1615" t="inlineStr">
        <is>
          <t>SKELLEFTEÅ</t>
        </is>
      </c>
      <c r="F1615" t="inlineStr">
        <is>
          <t>Sveaskog</t>
        </is>
      </c>
      <c r="G1615" t="n">
        <v>11.6</v>
      </c>
      <c r="H1615" t="n">
        <v>0</v>
      </c>
      <c r="I1615" t="n">
        <v>0</v>
      </c>
      <c r="J1615" t="n">
        <v>0</v>
      </c>
      <c r="K1615" t="n">
        <v>0</v>
      </c>
      <c r="L1615" t="n">
        <v>0</v>
      </c>
      <c r="M1615" t="n">
        <v>0</v>
      </c>
      <c r="N1615" t="n">
        <v>0</v>
      </c>
      <c r="O1615" t="n">
        <v>0</v>
      </c>
      <c r="P1615" t="n">
        <v>0</v>
      </c>
      <c r="Q1615" t="n">
        <v>0</v>
      </c>
      <c r="R1615" s="2" t="inlineStr"/>
      <c r="U1615">
        <f>HYPERLINK("https://klasma.github.io/Logging_2482/knärot/A 60488-2022 karta knärot.png", "A 60488-2022")</f>
        <v/>
      </c>
      <c r="V1615">
        <f>HYPERLINK("https://klasma.github.io/Logging_2482/klagomål/A 60488-2022 FSC-klagomål.docx", "A 60488-2022")</f>
        <v/>
      </c>
      <c r="W1615">
        <f>HYPERLINK("https://klasma.github.io/Logging_2482/klagomålsmail/A 60488-2022 FSC-klagomål mail.docx", "A 60488-2022")</f>
        <v/>
      </c>
      <c r="X1615">
        <f>HYPERLINK("https://klasma.github.io/Logging_2482/tillsyn/A 60488-2022 tillsynsbegäran.docx", "A 60488-2022")</f>
        <v/>
      </c>
      <c r="Y1615">
        <f>HYPERLINK("https://klasma.github.io/Logging_2482/tillsynsmail/A 60488-2022 tillsynsbegäran mail.docx", "A 60488-2022")</f>
        <v/>
      </c>
    </row>
    <row r="1616" ht="15" customHeight="1">
      <c r="A1616" t="inlineStr">
        <is>
          <t>A 32677-2022</t>
        </is>
      </c>
      <c r="B1616" s="1" t="n">
        <v>44783.55438657408</v>
      </c>
      <c r="C1616" s="1" t="n">
        <v>45964</v>
      </c>
      <c r="D1616" t="inlineStr">
        <is>
          <t>VÄSTERBOTTENS LÄN</t>
        </is>
      </c>
      <c r="E1616" t="inlineStr">
        <is>
          <t>SKELLEFTEÅ</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47312-2023</t>
        </is>
      </c>
      <c r="B1617" s="1" t="n">
        <v>45202</v>
      </c>
      <c r="C1617" s="1" t="n">
        <v>45964</v>
      </c>
      <c r="D1617" t="inlineStr">
        <is>
          <t>VÄSTERBOTTENS LÄN</t>
        </is>
      </c>
      <c r="E1617" t="inlineStr">
        <is>
          <t>SKELLEFTEÅ</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34027-2025</t>
        </is>
      </c>
      <c r="B1618" s="1" t="n">
        <v>45845.35981481482</v>
      </c>
      <c r="C1618" s="1" t="n">
        <v>45964</v>
      </c>
      <c r="D1618" t="inlineStr">
        <is>
          <t>VÄSTERBOTTENS LÄN</t>
        </is>
      </c>
      <c r="E1618" t="inlineStr">
        <is>
          <t>SKELLEFTEÅ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39690-2024</t>
        </is>
      </c>
      <c r="B1619" s="1" t="n">
        <v>45552</v>
      </c>
      <c r="C1619" s="1" t="n">
        <v>45964</v>
      </c>
      <c r="D1619" t="inlineStr">
        <is>
          <t>VÄSTERBOTTENS LÄN</t>
        </is>
      </c>
      <c r="E1619" t="inlineStr">
        <is>
          <t>SKELLEFTEÅ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39691-2024</t>
        </is>
      </c>
      <c r="B1620" s="1" t="n">
        <v>45552</v>
      </c>
      <c r="C1620" s="1" t="n">
        <v>45964</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8241-2025</t>
        </is>
      </c>
      <c r="B1621" s="1" t="n">
        <v>45708.48162037037</v>
      </c>
      <c r="C1621" s="1" t="n">
        <v>45964</v>
      </c>
      <c r="D1621" t="inlineStr">
        <is>
          <t>VÄSTERBOTTENS LÄN</t>
        </is>
      </c>
      <c r="E1621" t="inlineStr">
        <is>
          <t>SKELLEFTEÅ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8301-2025</t>
        </is>
      </c>
      <c r="B1622" s="1" t="n">
        <v>45708</v>
      </c>
      <c r="C1622" s="1" t="n">
        <v>45964</v>
      </c>
      <c r="D1622" t="inlineStr">
        <is>
          <t>VÄSTERBOTTENS LÄN</t>
        </is>
      </c>
      <c r="E1622" t="inlineStr">
        <is>
          <t>SKELLEFTEÅ</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58993-2024</t>
        </is>
      </c>
      <c r="B1623" s="1" t="n">
        <v>45636.63711805556</v>
      </c>
      <c r="C1623" s="1" t="n">
        <v>45964</v>
      </c>
      <c r="D1623" t="inlineStr">
        <is>
          <t>VÄSTERBOTTENS LÄN</t>
        </is>
      </c>
      <c r="E1623" t="inlineStr">
        <is>
          <t>SKELLEFTEÅ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33918-2025</t>
        </is>
      </c>
      <c r="B1624" s="1" t="n">
        <v>45842.61505787037</v>
      </c>
      <c r="C1624" s="1" t="n">
        <v>45964</v>
      </c>
      <c r="D1624" t="inlineStr">
        <is>
          <t>VÄSTERBOTTENS LÄN</t>
        </is>
      </c>
      <c r="E1624" t="inlineStr">
        <is>
          <t>SKELLEFTEÅ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4791-2022</t>
        </is>
      </c>
      <c r="B1625" s="1" t="n">
        <v>44592</v>
      </c>
      <c r="C1625" s="1" t="n">
        <v>45964</v>
      </c>
      <c r="D1625" t="inlineStr">
        <is>
          <t>VÄSTERBOTTENS LÄN</t>
        </is>
      </c>
      <c r="E1625" t="inlineStr">
        <is>
          <t>SKELLEFTEÅ</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33994-2025</t>
        </is>
      </c>
      <c r="B1626" s="1" t="n">
        <v>45843.66199074074</v>
      </c>
      <c r="C1626" s="1" t="n">
        <v>45964</v>
      </c>
      <c r="D1626" t="inlineStr">
        <is>
          <t>VÄSTERBOTTENS LÄN</t>
        </is>
      </c>
      <c r="E1626" t="inlineStr">
        <is>
          <t>SKELLEFTEÅ</t>
        </is>
      </c>
      <c r="G1626" t="n">
        <v>13.2</v>
      </c>
      <c r="H1626" t="n">
        <v>0</v>
      </c>
      <c r="I1626" t="n">
        <v>0</v>
      </c>
      <c r="J1626" t="n">
        <v>0</v>
      </c>
      <c r="K1626" t="n">
        <v>0</v>
      </c>
      <c r="L1626" t="n">
        <v>0</v>
      </c>
      <c r="M1626" t="n">
        <v>0</v>
      </c>
      <c r="N1626" t="n">
        <v>0</v>
      </c>
      <c r="O1626" t="n">
        <v>0</v>
      </c>
      <c r="P1626" t="n">
        <v>0</v>
      </c>
      <c r="Q1626" t="n">
        <v>0</v>
      </c>
      <c r="R1626" s="2" t="inlineStr"/>
    </row>
    <row r="1627" ht="15" customHeight="1">
      <c r="A1627" t="inlineStr">
        <is>
          <t>A 33680-2021</t>
        </is>
      </c>
      <c r="B1627" s="1" t="n">
        <v>44378.41619212963</v>
      </c>
      <c r="C1627" s="1" t="n">
        <v>45964</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70718-2021</t>
        </is>
      </c>
      <c r="B1628" s="1" t="n">
        <v>44536</v>
      </c>
      <c r="C1628" s="1" t="n">
        <v>45964</v>
      </c>
      <c r="D1628" t="inlineStr">
        <is>
          <t>VÄSTERBOTTENS LÄN</t>
        </is>
      </c>
      <c r="E1628" t="inlineStr">
        <is>
          <t>SKELLEFTEÅ</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57186-2024</t>
        </is>
      </c>
      <c r="B1629" s="1" t="n">
        <v>45629.45423611111</v>
      </c>
      <c r="C1629" s="1" t="n">
        <v>45964</v>
      </c>
      <c r="D1629" t="inlineStr">
        <is>
          <t>VÄSTERBOTTENS LÄN</t>
        </is>
      </c>
      <c r="E1629" t="inlineStr">
        <is>
          <t>SKELLEFTEÅ</t>
        </is>
      </c>
      <c r="F1629" t="inlineStr">
        <is>
          <t>Holmen skog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57199-2024</t>
        </is>
      </c>
      <c r="B1630" s="1" t="n">
        <v>45628</v>
      </c>
      <c r="C1630" s="1" t="n">
        <v>45964</v>
      </c>
      <c r="D1630" t="inlineStr">
        <is>
          <t>VÄSTERBOTTENS LÄN</t>
        </is>
      </c>
      <c r="E1630" t="inlineStr">
        <is>
          <t>SKELLEFTEÅ</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25182-2022</t>
        </is>
      </c>
      <c r="B1631" s="1" t="n">
        <v>44729.60717592593</v>
      </c>
      <c r="C1631" s="1" t="n">
        <v>45964</v>
      </c>
      <c r="D1631" t="inlineStr">
        <is>
          <t>VÄSTERBOTTENS LÄN</t>
        </is>
      </c>
      <c r="E1631" t="inlineStr">
        <is>
          <t>SKELLEFTEÅ</t>
        </is>
      </c>
      <c r="F1631" t="inlineStr">
        <is>
          <t>Holmen skog AB</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58376-2022</t>
        </is>
      </c>
      <c r="B1632" s="1" t="n">
        <v>44901</v>
      </c>
      <c r="C1632" s="1" t="n">
        <v>45964</v>
      </c>
      <c r="D1632" t="inlineStr">
        <is>
          <t>VÄSTERBOTTENS LÄN</t>
        </is>
      </c>
      <c r="E1632" t="inlineStr">
        <is>
          <t>SKELLEFTEÅ</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10074-2025</t>
        </is>
      </c>
      <c r="B1633" s="1" t="n">
        <v>45719</v>
      </c>
      <c r="C1633" s="1" t="n">
        <v>45964</v>
      </c>
      <c r="D1633" t="inlineStr">
        <is>
          <t>VÄSTERBOTTENS LÄN</t>
        </is>
      </c>
      <c r="E1633" t="inlineStr">
        <is>
          <t>SKELLEFTEÅ</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38500-2025</t>
        </is>
      </c>
      <c r="B1634" s="1" t="n">
        <v>45884.37513888889</v>
      </c>
      <c r="C1634" s="1" t="n">
        <v>45964</v>
      </c>
      <c r="D1634" t="inlineStr">
        <is>
          <t>VÄSTERBOTTENS LÄN</t>
        </is>
      </c>
      <c r="E1634" t="inlineStr">
        <is>
          <t>SKELLEFTEÅ</t>
        </is>
      </c>
      <c r="F1634" t="inlineStr">
        <is>
          <t>Holmen skog AB</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33736-2025</t>
        </is>
      </c>
      <c r="B1635" s="1" t="n">
        <v>45842.33180555556</v>
      </c>
      <c r="C1635" s="1" t="n">
        <v>45964</v>
      </c>
      <c r="D1635" t="inlineStr">
        <is>
          <t>VÄSTERBOTTENS LÄN</t>
        </is>
      </c>
      <c r="E1635" t="inlineStr">
        <is>
          <t>SKELLEFTEÅ</t>
        </is>
      </c>
      <c r="F1635" t="inlineStr">
        <is>
          <t>Holmen skog AB</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33737-2025</t>
        </is>
      </c>
      <c r="B1636" s="1" t="n">
        <v>45842.33768518519</v>
      </c>
      <c r="C1636" s="1" t="n">
        <v>45964</v>
      </c>
      <c r="D1636" t="inlineStr">
        <is>
          <t>VÄSTERBOTTENS LÄN</t>
        </is>
      </c>
      <c r="E1636" t="inlineStr">
        <is>
          <t>SKELLEFTEÅ</t>
        </is>
      </c>
      <c r="F1636" t="inlineStr">
        <is>
          <t>Holmen skog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33710-2023</t>
        </is>
      </c>
      <c r="B1637" s="1" t="n">
        <v>45132.92306712963</v>
      </c>
      <c r="C1637" s="1" t="n">
        <v>45964</v>
      </c>
      <c r="D1637" t="inlineStr">
        <is>
          <t>VÄSTERBOTTENS LÄN</t>
        </is>
      </c>
      <c r="E1637" t="inlineStr">
        <is>
          <t>SKELLEFTEÅ</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33810-2025</t>
        </is>
      </c>
      <c r="B1638" s="1" t="n">
        <v>45842.45144675926</v>
      </c>
      <c r="C1638" s="1" t="n">
        <v>45964</v>
      </c>
      <c r="D1638" t="inlineStr">
        <is>
          <t>VÄSTERBOTTENS LÄN</t>
        </is>
      </c>
      <c r="E1638" t="inlineStr">
        <is>
          <t>SKELLEFTEÅ</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34082-2025</t>
        </is>
      </c>
      <c r="B1639" s="1" t="n">
        <v>45845.46190972222</v>
      </c>
      <c r="C1639" s="1" t="n">
        <v>45964</v>
      </c>
      <c r="D1639" t="inlineStr">
        <is>
          <t>VÄSTERBOTTENS LÄN</t>
        </is>
      </c>
      <c r="E1639" t="inlineStr">
        <is>
          <t>SKELLEFTEÅ</t>
        </is>
      </c>
      <c r="F1639" t="inlineStr">
        <is>
          <t>Holmen skog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24430-2023</t>
        </is>
      </c>
      <c r="B1640" s="1" t="n">
        <v>45076</v>
      </c>
      <c r="C1640" s="1" t="n">
        <v>45964</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56539-2024</t>
        </is>
      </c>
      <c r="B1641" s="1" t="n">
        <v>45625</v>
      </c>
      <c r="C1641" s="1" t="n">
        <v>45964</v>
      </c>
      <c r="D1641" t="inlineStr">
        <is>
          <t>VÄSTERBOTTENS LÄN</t>
        </is>
      </c>
      <c r="E1641" t="inlineStr">
        <is>
          <t>SKELLEFTEÅ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43723-2024</t>
        </is>
      </c>
      <c r="B1642" s="1" t="n">
        <v>45569.63114583334</v>
      </c>
      <c r="C1642" s="1" t="n">
        <v>45964</v>
      </c>
      <c r="D1642" t="inlineStr">
        <is>
          <t>VÄSTERBOTTENS LÄN</t>
        </is>
      </c>
      <c r="E1642" t="inlineStr">
        <is>
          <t>SKELLEFTEÅ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43748-2024</t>
        </is>
      </c>
      <c r="B1643" s="1" t="n">
        <v>45569.66576388889</v>
      </c>
      <c r="C1643" s="1" t="n">
        <v>45964</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33892-2025</t>
        </is>
      </c>
      <c r="B1644" s="1" t="n">
        <v>45842.5753125</v>
      </c>
      <c r="C1644" s="1" t="n">
        <v>45964</v>
      </c>
      <c r="D1644" t="inlineStr">
        <is>
          <t>VÄSTERBOTTENS LÄN</t>
        </is>
      </c>
      <c r="E1644" t="inlineStr">
        <is>
          <t>SKELLEFTEÅ</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49981-2024</t>
        </is>
      </c>
      <c r="B1645" s="1" t="n">
        <v>45597.75133101852</v>
      </c>
      <c r="C1645" s="1" t="n">
        <v>45964</v>
      </c>
      <c r="D1645" t="inlineStr">
        <is>
          <t>VÄSTERBOTTENS LÄN</t>
        </is>
      </c>
      <c r="E1645" t="inlineStr">
        <is>
          <t>SKELLEFTEÅ</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7884-2024</t>
        </is>
      </c>
      <c r="B1646" s="1" t="n">
        <v>45349</v>
      </c>
      <c r="C1646" s="1" t="n">
        <v>45964</v>
      </c>
      <c r="D1646" t="inlineStr">
        <is>
          <t>VÄSTERBOTTENS LÄN</t>
        </is>
      </c>
      <c r="E1646" t="inlineStr">
        <is>
          <t>SKELLEFTEÅ</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42791-2024</t>
        </is>
      </c>
      <c r="B1647" s="1" t="n">
        <v>45566</v>
      </c>
      <c r="C1647" s="1" t="n">
        <v>45964</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34056-2025</t>
        </is>
      </c>
      <c r="B1648" s="1" t="n">
        <v>45845.41228009259</v>
      </c>
      <c r="C1648" s="1" t="n">
        <v>45964</v>
      </c>
      <c r="D1648" t="inlineStr">
        <is>
          <t>VÄSTERBOTTENS LÄN</t>
        </is>
      </c>
      <c r="E1648" t="inlineStr">
        <is>
          <t>SKELLEFTEÅ</t>
        </is>
      </c>
      <c r="F1648" t="inlineStr">
        <is>
          <t>Holmen skog AB</t>
        </is>
      </c>
      <c r="G1648" t="n">
        <v>11.3</v>
      </c>
      <c r="H1648" t="n">
        <v>0</v>
      </c>
      <c r="I1648" t="n">
        <v>0</v>
      </c>
      <c r="J1648" t="n">
        <v>0</v>
      </c>
      <c r="K1648" t="n">
        <v>0</v>
      </c>
      <c r="L1648" t="n">
        <v>0</v>
      </c>
      <c r="M1648" t="n">
        <v>0</v>
      </c>
      <c r="N1648" t="n">
        <v>0</v>
      </c>
      <c r="O1648" t="n">
        <v>0</v>
      </c>
      <c r="P1648" t="n">
        <v>0</v>
      </c>
      <c r="Q1648" t="n">
        <v>0</v>
      </c>
      <c r="R1648" s="2" t="inlineStr"/>
    </row>
    <row r="1649" ht="15" customHeight="1">
      <c r="A1649" t="inlineStr">
        <is>
          <t>A 33785-2025</t>
        </is>
      </c>
      <c r="B1649" s="1" t="n">
        <v>45842.40923611111</v>
      </c>
      <c r="C1649" s="1" t="n">
        <v>45964</v>
      </c>
      <c r="D1649" t="inlineStr">
        <is>
          <t>VÄSTERBOTTENS LÄN</t>
        </is>
      </c>
      <c r="E1649" t="inlineStr">
        <is>
          <t>SKELLEFTEÅ</t>
        </is>
      </c>
      <c r="F1649" t="inlineStr">
        <is>
          <t>Holmen skog AB</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33800-2025</t>
        </is>
      </c>
      <c r="B1650" s="1" t="n">
        <v>45842.44159722222</v>
      </c>
      <c r="C1650" s="1" t="n">
        <v>45964</v>
      </c>
      <c r="D1650" t="inlineStr">
        <is>
          <t>VÄSTERBOTTENS LÄN</t>
        </is>
      </c>
      <c r="E1650" t="inlineStr">
        <is>
          <t>SKELLEFTEÅ</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62056-2024</t>
        </is>
      </c>
      <c r="B1651" s="1" t="n">
        <v>45656.37664351852</v>
      </c>
      <c r="C1651" s="1" t="n">
        <v>45964</v>
      </c>
      <c r="D1651" t="inlineStr">
        <is>
          <t>VÄSTERBOTTENS LÄN</t>
        </is>
      </c>
      <c r="E1651" t="inlineStr">
        <is>
          <t>SKELLEFTEÅ</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34274-2025</t>
        </is>
      </c>
      <c r="B1652" s="1" t="n">
        <v>45845.86229166666</v>
      </c>
      <c r="C1652" s="1" t="n">
        <v>45964</v>
      </c>
      <c r="D1652" t="inlineStr">
        <is>
          <t>VÄSTERBOTTENS LÄN</t>
        </is>
      </c>
      <c r="E1652" t="inlineStr">
        <is>
          <t>SKELLEFTEÅ</t>
        </is>
      </c>
      <c r="G1652" t="n">
        <v>15.3</v>
      </c>
      <c r="H1652" t="n">
        <v>0</v>
      </c>
      <c r="I1652" t="n">
        <v>0</v>
      </c>
      <c r="J1652" t="n">
        <v>0</v>
      </c>
      <c r="K1652" t="n">
        <v>0</v>
      </c>
      <c r="L1652" t="n">
        <v>0</v>
      </c>
      <c r="M1652" t="n">
        <v>0</v>
      </c>
      <c r="N1652" t="n">
        <v>0</v>
      </c>
      <c r="O1652" t="n">
        <v>0</v>
      </c>
      <c r="P1652" t="n">
        <v>0</v>
      </c>
      <c r="Q1652" t="n">
        <v>0</v>
      </c>
      <c r="R1652" s="2" t="inlineStr"/>
    </row>
    <row r="1653" ht="15" customHeight="1">
      <c r="A1653" t="inlineStr">
        <is>
          <t>A 1419-2023</t>
        </is>
      </c>
      <c r="B1653" s="1" t="n">
        <v>44936</v>
      </c>
      <c r="C1653" s="1" t="n">
        <v>45964</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34315-2025</t>
        </is>
      </c>
      <c r="B1654" s="1" t="n">
        <v>45846.4034837963</v>
      </c>
      <c r="C1654" s="1" t="n">
        <v>45964</v>
      </c>
      <c r="D1654" t="inlineStr">
        <is>
          <t>VÄSTERBOTTENS LÄN</t>
        </is>
      </c>
      <c r="E1654" t="inlineStr">
        <is>
          <t>SKELLEFTEÅ</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38717-2023</t>
        </is>
      </c>
      <c r="B1655" s="1" t="n">
        <v>45160</v>
      </c>
      <c r="C1655" s="1" t="n">
        <v>45964</v>
      </c>
      <c r="D1655" t="inlineStr">
        <is>
          <t>VÄSTERBOTTENS LÄN</t>
        </is>
      </c>
      <c r="E1655" t="inlineStr">
        <is>
          <t>SKELLEFTEÅ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56945-2020</t>
        </is>
      </c>
      <c r="B1656" s="1" t="n">
        <v>44138</v>
      </c>
      <c r="C1656" s="1" t="n">
        <v>45964</v>
      </c>
      <c r="D1656" t="inlineStr">
        <is>
          <t>VÄSTERBOTTENS LÄN</t>
        </is>
      </c>
      <c r="E1656" t="inlineStr">
        <is>
          <t>SKELLEFTEÅ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34471-2025</t>
        </is>
      </c>
      <c r="B1657" s="1" t="n">
        <v>45847</v>
      </c>
      <c r="C1657" s="1" t="n">
        <v>45964</v>
      </c>
      <c r="D1657" t="inlineStr">
        <is>
          <t>VÄSTERBOTTENS LÄN</t>
        </is>
      </c>
      <c r="E1657" t="inlineStr">
        <is>
          <t>SKELLEFTEÅ</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34273-2025</t>
        </is>
      </c>
      <c r="B1658" s="1" t="n">
        <v>45845.85751157408</v>
      </c>
      <c r="C1658" s="1" t="n">
        <v>45964</v>
      </c>
      <c r="D1658" t="inlineStr">
        <is>
          <t>VÄSTERBOTTENS LÄN</t>
        </is>
      </c>
      <c r="E1658" t="inlineStr">
        <is>
          <t>SKELLEFTEÅ</t>
        </is>
      </c>
      <c r="G1658" t="n">
        <v>28.4</v>
      </c>
      <c r="H1658" t="n">
        <v>0</v>
      </c>
      <c r="I1658" t="n">
        <v>0</v>
      </c>
      <c r="J1658" t="n">
        <v>0</v>
      </c>
      <c r="K1658" t="n">
        <v>0</v>
      </c>
      <c r="L1658" t="n">
        <v>0</v>
      </c>
      <c r="M1658" t="n">
        <v>0</v>
      </c>
      <c r="N1658" t="n">
        <v>0</v>
      </c>
      <c r="O1658" t="n">
        <v>0</v>
      </c>
      <c r="P1658" t="n">
        <v>0</v>
      </c>
      <c r="Q1658" t="n">
        <v>0</v>
      </c>
      <c r="R1658" s="2" t="inlineStr"/>
    </row>
    <row r="1659" ht="15" customHeight="1">
      <c r="A1659" t="inlineStr">
        <is>
          <t>A 3947-2024</t>
        </is>
      </c>
      <c r="B1659" s="1" t="n">
        <v>45322</v>
      </c>
      <c r="C1659" s="1" t="n">
        <v>45964</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48204-2024</t>
        </is>
      </c>
      <c r="B1660" s="1" t="n">
        <v>45589</v>
      </c>
      <c r="C1660" s="1" t="n">
        <v>45964</v>
      </c>
      <c r="D1660" t="inlineStr">
        <is>
          <t>VÄSTERBOTTENS LÄN</t>
        </is>
      </c>
      <c r="E1660" t="inlineStr">
        <is>
          <t>SKELLEFTEÅ</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8644-2025</t>
        </is>
      </c>
      <c r="B1661" s="1" t="n">
        <v>45712</v>
      </c>
      <c r="C1661" s="1" t="n">
        <v>45964</v>
      </c>
      <c r="D1661" t="inlineStr">
        <is>
          <t>VÄSTERBOTTENS LÄN</t>
        </is>
      </c>
      <c r="E1661" t="inlineStr">
        <is>
          <t>SKELLEFTEÅ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3370-2025</t>
        </is>
      </c>
      <c r="B1662" s="1" t="n">
        <v>45679</v>
      </c>
      <c r="C1662" s="1" t="n">
        <v>45964</v>
      </c>
      <c r="D1662" t="inlineStr">
        <is>
          <t>VÄSTERBOTTENS LÄN</t>
        </is>
      </c>
      <c r="E1662" t="inlineStr">
        <is>
          <t>SKELLEFTEÅ</t>
        </is>
      </c>
      <c r="G1662" t="n">
        <v>15.7</v>
      </c>
      <c r="H1662" t="n">
        <v>0</v>
      </c>
      <c r="I1662" t="n">
        <v>0</v>
      </c>
      <c r="J1662" t="n">
        <v>0</v>
      </c>
      <c r="K1662" t="n">
        <v>0</v>
      </c>
      <c r="L1662" t="n">
        <v>0</v>
      </c>
      <c r="M1662" t="n">
        <v>0</v>
      </c>
      <c r="N1662" t="n">
        <v>0</v>
      </c>
      <c r="O1662" t="n">
        <v>0</v>
      </c>
      <c r="P1662" t="n">
        <v>0</v>
      </c>
      <c r="Q1662" t="n">
        <v>0</v>
      </c>
      <c r="R1662" s="2" t="inlineStr"/>
    </row>
    <row r="1663" ht="15" customHeight="1">
      <c r="A1663" t="inlineStr">
        <is>
          <t>A 34362-2025</t>
        </is>
      </c>
      <c r="B1663" s="1" t="n">
        <v>45846.48827546297</v>
      </c>
      <c r="C1663" s="1" t="n">
        <v>45964</v>
      </c>
      <c r="D1663" t="inlineStr">
        <is>
          <t>VÄSTERBOTTENS LÄN</t>
        </is>
      </c>
      <c r="E1663" t="inlineStr">
        <is>
          <t>SKELLEFTEÅ</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34405-2025</t>
        </is>
      </c>
      <c r="B1664" s="1" t="n">
        <v>45846.6277662037</v>
      </c>
      <c r="C1664" s="1" t="n">
        <v>45964</v>
      </c>
      <c r="D1664" t="inlineStr">
        <is>
          <t>VÄSTERBOTTENS LÄN</t>
        </is>
      </c>
      <c r="E1664" t="inlineStr">
        <is>
          <t>SKELLEFTEÅ</t>
        </is>
      </c>
      <c r="G1664" t="n">
        <v>13.6</v>
      </c>
      <c r="H1664" t="n">
        <v>0</v>
      </c>
      <c r="I1664" t="n">
        <v>0</v>
      </c>
      <c r="J1664" t="n">
        <v>0</v>
      </c>
      <c r="K1664" t="n">
        <v>0</v>
      </c>
      <c r="L1664" t="n">
        <v>0</v>
      </c>
      <c r="M1664" t="n">
        <v>0</v>
      </c>
      <c r="N1664" t="n">
        <v>0</v>
      </c>
      <c r="O1664" t="n">
        <v>0</v>
      </c>
      <c r="P1664" t="n">
        <v>0</v>
      </c>
      <c r="Q1664" t="n">
        <v>0</v>
      </c>
      <c r="R1664" s="2" t="inlineStr"/>
    </row>
    <row r="1665" ht="15" customHeight="1">
      <c r="A1665" t="inlineStr">
        <is>
          <t>A 17010-2025</t>
        </is>
      </c>
      <c r="B1665" s="1" t="n">
        <v>45754</v>
      </c>
      <c r="C1665" s="1" t="n">
        <v>45964</v>
      </c>
      <c r="D1665" t="inlineStr">
        <is>
          <t>VÄSTERBOTTENS LÄN</t>
        </is>
      </c>
      <c r="E1665" t="inlineStr">
        <is>
          <t>SKELLEFTEÅ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34437-2025</t>
        </is>
      </c>
      <c r="B1666" s="1" t="n">
        <v>45846.68461805556</v>
      </c>
      <c r="C1666" s="1" t="n">
        <v>45964</v>
      </c>
      <c r="D1666" t="inlineStr">
        <is>
          <t>VÄSTERBOTTENS LÄN</t>
        </is>
      </c>
      <c r="E1666" t="inlineStr">
        <is>
          <t>SKELLEFTEÅ</t>
        </is>
      </c>
      <c r="F1666" t="inlineStr">
        <is>
          <t>Holmen skog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34672-2025</t>
        </is>
      </c>
      <c r="B1667" s="1" t="n">
        <v>45847</v>
      </c>
      <c r="C1667" s="1" t="n">
        <v>45964</v>
      </c>
      <c r="D1667" t="inlineStr">
        <is>
          <t>VÄSTERBOTTENS LÄN</t>
        </is>
      </c>
      <c r="E1667" t="inlineStr">
        <is>
          <t>SKELLEFTEÅ</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34536-2025</t>
        </is>
      </c>
      <c r="B1668" s="1" t="n">
        <v>45847.5141087963</v>
      </c>
      <c r="C1668" s="1" t="n">
        <v>45964</v>
      </c>
      <c r="D1668" t="inlineStr">
        <is>
          <t>VÄSTERBOTTENS LÄN</t>
        </is>
      </c>
      <c r="E1668" t="inlineStr">
        <is>
          <t>SKELLEFTEÅ</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51526-2023</t>
        </is>
      </c>
      <c r="B1669" s="1" t="n">
        <v>45222</v>
      </c>
      <c r="C1669" s="1" t="n">
        <v>45964</v>
      </c>
      <c r="D1669" t="inlineStr">
        <is>
          <t>VÄSTERBOTTENS LÄN</t>
        </is>
      </c>
      <c r="E1669" t="inlineStr">
        <is>
          <t>SKELLEFTEÅ</t>
        </is>
      </c>
      <c r="F1669" t="inlineStr">
        <is>
          <t>Holmen skog AB</t>
        </is>
      </c>
      <c r="G1669" t="n">
        <v>14.1</v>
      </c>
      <c r="H1669" t="n">
        <v>0</v>
      </c>
      <c r="I1669" t="n">
        <v>0</v>
      </c>
      <c r="J1669" t="n">
        <v>0</v>
      </c>
      <c r="K1669" t="n">
        <v>0</v>
      </c>
      <c r="L1669" t="n">
        <v>0</v>
      </c>
      <c r="M1669" t="n">
        <v>0</v>
      </c>
      <c r="N1669" t="n">
        <v>0</v>
      </c>
      <c r="O1669" t="n">
        <v>0</v>
      </c>
      <c r="P1669" t="n">
        <v>0</v>
      </c>
      <c r="Q1669" t="n">
        <v>0</v>
      </c>
      <c r="R1669" s="2" t="inlineStr"/>
    </row>
    <row r="1670" ht="15" customHeight="1">
      <c r="A1670" t="inlineStr">
        <is>
          <t>A 52500-2022</t>
        </is>
      </c>
      <c r="B1670" s="1" t="n">
        <v>44869</v>
      </c>
      <c r="C1670" s="1" t="n">
        <v>45964</v>
      </c>
      <c r="D1670" t="inlineStr">
        <is>
          <t>VÄSTERBOTTENS LÄN</t>
        </is>
      </c>
      <c r="E1670" t="inlineStr">
        <is>
          <t>SKELLEFTEÅ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38690-2025</t>
        </is>
      </c>
      <c r="B1671" s="1" t="n">
        <v>45884.67143518518</v>
      </c>
      <c r="C1671" s="1" t="n">
        <v>45964</v>
      </c>
      <c r="D1671" t="inlineStr">
        <is>
          <t>VÄSTERBOTTENS LÄN</t>
        </is>
      </c>
      <c r="E1671" t="inlineStr">
        <is>
          <t>SKELLEFTEÅ</t>
        </is>
      </c>
      <c r="F1671" t="inlineStr">
        <is>
          <t>Holmen skog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47138-2025</t>
        </is>
      </c>
      <c r="B1672" s="1" t="n">
        <v>45929.69899305556</v>
      </c>
      <c r="C1672" s="1" t="n">
        <v>45964</v>
      </c>
      <c r="D1672" t="inlineStr">
        <is>
          <t>VÄSTERBOTTENS LÄN</t>
        </is>
      </c>
      <c r="E1672" t="inlineStr">
        <is>
          <t>SKELLEFTEÅ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51734-2021</t>
        </is>
      </c>
      <c r="B1673" s="1" t="n">
        <v>44461</v>
      </c>
      <c r="C1673" s="1" t="n">
        <v>45964</v>
      </c>
      <c r="D1673" t="inlineStr">
        <is>
          <t>VÄSTERBOTTENS LÄN</t>
        </is>
      </c>
      <c r="E1673" t="inlineStr">
        <is>
          <t>SKELLEFTEÅ</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49811-2024</t>
        </is>
      </c>
      <c r="B1674" s="1" t="n">
        <v>45597.39033564815</v>
      </c>
      <c r="C1674" s="1" t="n">
        <v>45964</v>
      </c>
      <c r="D1674" t="inlineStr">
        <is>
          <t>VÄSTERBOTTENS LÄN</t>
        </is>
      </c>
      <c r="E1674" t="inlineStr">
        <is>
          <t>SKELLEFTEÅ</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10892-2024</t>
        </is>
      </c>
      <c r="B1675" s="1" t="n">
        <v>45370.34435185185</v>
      </c>
      <c r="C1675" s="1" t="n">
        <v>45964</v>
      </c>
      <c r="D1675" t="inlineStr">
        <is>
          <t>VÄSTERBOTTENS LÄN</t>
        </is>
      </c>
      <c r="E1675" t="inlineStr">
        <is>
          <t>SKELLEFTEÅ</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62300-2023</t>
        </is>
      </c>
      <c r="B1676" s="1" t="n">
        <v>45266</v>
      </c>
      <c r="C1676" s="1" t="n">
        <v>45964</v>
      </c>
      <c r="D1676" t="inlineStr">
        <is>
          <t>VÄSTERBOTTENS LÄN</t>
        </is>
      </c>
      <c r="E1676" t="inlineStr">
        <is>
          <t>SKELLEFTEÅ</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34678-2025</t>
        </is>
      </c>
      <c r="B1677" s="1" t="n">
        <v>45848.42638888889</v>
      </c>
      <c r="C1677" s="1" t="n">
        <v>45964</v>
      </c>
      <c r="D1677" t="inlineStr">
        <is>
          <t>VÄSTERBOTTENS LÄN</t>
        </is>
      </c>
      <c r="E1677" t="inlineStr">
        <is>
          <t>SKELLEFTEÅ</t>
        </is>
      </c>
      <c r="F1677" t="inlineStr">
        <is>
          <t>Holmen skog AB</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25626-2023</t>
        </is>
      </c>
      <c r="B1678" s="1" t="n">
        <v>45084</v>
      </c>
      <c r="C1678" s="1" t="n">
        <v>45964</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34724-2025</t>
        </is>
      </c>
      <c r="B1679" s="1" t="n">
        <v>45848.55504629629</v>
      </c>
      <c r="C1679" s="1" t="n">
        <v>45964</v>
      </c>
      <c r="D1679" t="inlineStr">
        <is>
          <t>VÄSTERBOTTENS LÄN</t>
        </is>
      </c>
      <c r="E1679" t="inlineStr">
        <is>
          <t>SKELLEFTEÅ</t>
        </is>
      </c>
      <c r="F1679" t="inlineStr">
        <is>
          <t>Holmen skog AB</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11527-2024</t>
        </is>
      </c>
      <c r="B1680" s="1" t="n">
        <v>45372</v>
      </c>
      <c r="C1680" s="1" t="n">
        <v>45964</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34657-2025</t>
        </is>
      </c>
      <c r="B1681" s="1" t="n">
        <v>45848.36267361111</v>
      </c>
      <c r="C1681" s="1" t="n">
        <v>45964</v>
      </c>
      <c r="D1681" t="inlineStr">
        <is>
          <t>VÄSTERBOTTENS LÄN</t>
        </is>
      </c>
      <c r="E1681" t="inlineStr">
        <is>
          <t>SKELLEFTEÅ</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61242-2023</t>
        </is>
      </c>
      <c r="B1682" s="1" t="n">
        <v>45264.46740740741</v>
      </c>
      <c r="C1682" s="1" t="n">
        <v>45964</v>
      </c>
      <c r="D1682" t="inlineStr">
        <is>
          <t>VÄSTERBOTTENS LÄN</t>
        </is>
      </c>
      <c r="E1682" t="inlineStr">
        <is>
          <t>SKELLEFTEÅ</t>
        </is>
      </c>
      <c r="F1682" t="inlineStr">
        <is>
          <t>Holmen skog AB</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34716-2025</t>
        </is>
      </c>
      <c r="B1683" s="1" t="n">
        <v>45848.52747685185</v>
      </c>
      <c r="C1683" s="1" t="n">
        <v>45964</v>
      </c>
      <c r="D1683" t="inlineStr">
        <is>
          <t>VÄSTERBOTTENS LÄN</t>
        </is>
      </c>
      <c r="E1683" t="inlineStr">
        <is>
          <t>SKELLEFTEÅ</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47544-2024</t>
        </is>
      </c>
      <c r="B1684" s="1" t="n">
        <v>45587</v>
      </c>
      <c r="C1684" s="1" t="n">
        <v>45964</v>
      </c>
      <c r="D1684" t="inlineStr">
        <is>
          <t>VÄSTERBOTTENS LÄN</t>
        </is>
      </c>
      <c r="E1684" t="inlineStr">
        <is>
          <t>SKELLEFTEÅ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34791-2025</t>
        </is>
      </c>
      <c r="B1685" s="1" t="n">
        <v>45848</v>
      </c>
      <c r="C1685" s="1" t="n">
        <v>45964</v>
      </c>
      <c r="D1685" t="inlineStr">
        <is>
          <t>VÄSTERBOTTENS LÄN</t>
        </is>
      </c>
      <c r="E1685" t="inlineStr">
        <is>
          <t>SKELLEFTEÅ</t>
        </is>
      </c>
      <c r="G1685" t="n">
        <v>15.9</v>
      </c>
      <c r="H1685" t="n">
        <v>0</v>
      </c>
      <c r="I1685" t="n">
        <v>0</v>
      </c>
      <c r="J1685" t="n">
        <v>0</v>
      </c>
      <c r="K1685" t="n">
        <v>0</v>
      </c>
      <c r="L1685" t="n">
        <v>0</v>
      </c>
      <c r="M1685" t="n">
        <v>0</v>
      </c>
      <c r="N1685" t="n">
        <v>0</v>
      </c>
      <c r="O1685" t="n">
        <v>0</v>
      </c>
      <c r="P1685" t="n">
        <v>0</v>
      </c>
      <c r="Q1685" t="n">
        <v>0</v>
      </c>
      <c r="R1685" s="2" t="inlineStr"/>
    </row>
    <row r="1686" ht="15" customHeight="1">
      <c r="A1686" t="inlineStr">
        <is>
          <t>A 55873-2023</t>
        </is>
      </c>
      <c r="B1686" s="1" t="n">
        <v>45239</v>
      </c>
      <c r="C1686" s="1" t="n">
        <v>45964</v>
      </c>
      <c r="D1686" t="inlineStr">
        <is>
          <t>VÄSTERBOTTENS LÄN</t>
        </is>
      </c>
      <c r="E1686" t="inlineStr">
        <is>
          <t>SKELLEFTEÅ</t>
        </is>
      </c>
      <c r="F1686" t="inlineStr">
        <is>
          <t>Sveaskog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18101-2021</t>
        </is>
      </c>
      <c r="B1687" s="1" t="n">
        <v>44302</v>
      </c>
      <c r="C1687" s="1" t="n">
        <v>45964</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8442-2025</t>
        </is>
      </c>
      <c r="B1688" s="1" t="n">
        <v>45709.44940972222</v>
      </c>
      <c r="C1688" s="1" t="n">
        <v>45964</v>
      </c>
      <c r="D1688" t="inlineStr">
        <is>
          <t>VÄSTERBOTTENS LÄN</t>
        </is>
      </c>
      <c r="E1688" t="inlineStr">
        <is>
          <t>SKELLEFTEÅ</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10841-2025</t>
        </is>
      </c>
      <c r="B1689" s="1" t="n">
        <v>45722.57315972223</v>
      </c>
      <c r="C1689" s="1" t="n">
        <v>45964</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51396-2023</t>
        </is>
      </c>
      <c r="B1690" s="1" t="n">
        <v>45219.67503472222</v>
      </c>
      <c r="C1690" s="1" t="n">
        <v>45964</v>
      </c>
      <c r="D1690" t="inlineStr">
        <is>
          <t>VÄSTERBOTTENS LÄN</t>
        </is>
      </c>
      <c r="E1690" t="inlineStr">
        <is>
          <t>SKELLEFTEÅ</t>
        </is>
      </c>
      <c r="F1690" t="inlineStr">
        <is>
          <t>Holmen skog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66061-2020</t>
        </is>
      </c>
      <c r="B1691" s="1" t="n">
        <v>44173</v>
      </c>
      <c r="C1691" s="1" t="n">
        <v>45964</v>
      </c>
      <c r="D1691" t="inlineStr">
        <is>
          <t>VÄSTERBOTTENS LÄN</t>
        </is>
      </c>
      <c r="E1691" t="inlineStr">
        <is>
          <t>SKELLEFTEÅ</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13641-2023</t>
        </is>
      </c>
      <c r="B1692" s="1" t="n">
        <v>45006</v>
      </c>
      <c r="C1692" s="1" t="n">
        <v>45964</v>
      </c>
      <c r="D1692" t="inlineStr">
        <is>
          <t>VÄSTERBOTTENS LÄN</t>
        </is>
      </c>
      <c r="E1692" t="inlineStr">
        <is>
          <t>SKELLEFTEÅ</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26389-2024</t>
        </is>
      </c>
      <c r="B1693" s="1" t="n">
        <v>45469.43194444444</v>
      </c>
      <c r="C1693" s="1" t="n">
        <v>45964</v>
      </c>
      <c r="D1693" t="inlineStr">
        <is>
          <t>VÄSTERBOTTENS LÄN</t>
        </is>
      </c>
      <c r="E1693" t="inlineStr">
        <is>
          <t>SKELLEFTEÅ</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35090-2025</t>
        </is>
      </c>
      <c r="B1694" s="1" t="n">
        <v>45852.52563657407</v>
      </c>
      <c r="C1694" s="1" t="n">
        <v>45964</v>
      </c>
      <c r="D1694" t="inlineStr">
        <is>
          <t>VÄSTERBOTTENS LÄN</t>
        </is>
      </c>
      <c r="E1694" t="inlineStr">
        <is>
          <t>SKELLEFTEÅ</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52862-2024</t>
        </is>
      </c>
      <c r="B1695" s="1" t="n">
        <v>45610.61991898148</v>
      </c>
      <c r="C1695" s="1" t="n">
        <v>45964</v>
      </c>
      <c r="D1695" t="inlineStr">
        <is>
          <t>VÄSTERBOTTENS LÄN</t>
        </is>
      </c>
      <c r="E1695" t="inlineStr">
        <is>
          <t>SKELLEFTEÅ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52864-2024</t>
        </is>
      </c>
      <c r="B1696" s="1" t="n">
        <v>45610.62194444444</v>
      </c>
      <c r="C1696" s="1" t="n">
        <v>45964</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25632-2023</t>
        </is>
      </c>
      <c r="B1697" s="1" t="n">
        <v>45084</v>
      </c>
      <c r="C1697" s="1" t="n">
        <v>45964</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58821-2023</t>
        </is>
      </c>
      <c r="B1698" s="1" t="n">
        <v>45247</v>
      </c>
      <c r="C1698" s="1" t="n">
        <v>45964</v>
      </c>
      <c r="D1698" t="inlineStr">
        <is>
          <t>VÄSTERBOTTENS LÄN</t>
        </is>
      </c>
      <c r="E1698" t="inlineStr">
        <is>
          <t>SKELLEFTEÅ</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55241-2024</t>
        </is>
      </c>
      <c r="B1699" s="1" t="n">
        <v>45621.5884375</v>
      </c>
      <c r="C1699" s="1" t="n">
        <v>45964</v>
      </c>
      <c r="D1699" t="inlineStr">
        <is>
          <t>VÄSTERBOTTENS LÄN</t>
        </is>
      </c>
      <c r="E1699" t="inlineStr">
        <is>
          <t>SKELLEFTEÅ</t>
        </is>
      </c>
      <c r="F1699" t="inlineStr">
        <is>
          <t>Holmen skog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35223-2025</t>
        </is>
      </c>
      <c r="B1700" s="1" t="n">
        <v>45853.55226851852</v>
      </c>
      <c r="C1700" s="1" t="n">
        <v>45964</v>
      </c>
      <c r="D1700" t="inlineStr">
        <is>
          <t>VÄSTERBOTTENS LÄN</t>
        </is>
      </c>
      <c r="E1700" t="inlineStr">
        <is>
          <t>SKELLEFTEÅ</t>
        </is>
      </c>
      <c r="F1700" t="inlineStr">
        <is>
          <t>Holmen skog AB</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9840-2025</t>
        </is>
      </c>
      <c r="B1701" s="1" t="n">
        <v>45716</v>
      </c>
      <c r="C1701" s="1" t="n">
        <v>45964</v>
      </c>
      <c r="D1701" t="inlineStr">
        <is>
          <t>VÄSTERBOTTENS LÄN</t>
        </is>
      </c>
      <c r="E1701" t="inlineStr">
        <is>
          <t>SKELLEFTEÅ</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31384-2024</t>
        </is>
      </c>
      <c r="B1702" s="1" t="n">
        <v>45505</v>
      </c>
      <c r="C1702" s="1" t="n">
        <v>45964</v>
      </c>
      <c r="D1702" t="inlineStr">
        <is>
          <t>VÄSTERBOTTENS LÄN</t>
        </is>
      </c>
      <c r="E1702" t="inlineStr">
        <is>
          <t>SKELLEFTEÅ</t>
        </is>
      </c>
      <c r="G1702" t="n">
        <v>19.9</v>
      </c>
      <c r="H1702" t="n">
        <v>0</v>
      </c>
      <c r="I1702" t="n">
        <v>0</v>
      </c>
      <c r="J1702" t="n">
        <v>0</v>
      </c>
      <c r="K1702" t="n">
        <v>0</v>
      </c>
      <c r="L1702" t="n">
        <v>0</v>
      </c>
      <c r="M1702" t="n">
        <v>0</v>
      </c>
      <c r="N1702" t="n">
        <v>0</v>
      </c>
      <c r="O1702" t="n">
        <v>0</v>
      </c>
      <c r="P1702" t="n">
        <v>0</v>
      </c>
      <c r="Q1702" t="n">
        <v>0</v>
      </c>
      <c r="R1702" s="2" t="inlineStr"/>
    </row>
    <row r="1703" ht="15" customHeight="1">
      <c r="A1703" t="inlineStr">
        <is>
          <t>A 29264-2025</t>
        </is>
      </c>
      <c r="B1703" s="1" t="n">
        <v>45824.39657407408</v>
      </c>
      <c r="C1703" s="1" t="n">
        <v>45964</v>
      </c>
      <c r="D1703" t="inlineStr">
        <is>
          <t>VÄSTERBOTTENS LÄN</t>
        </is>
      </c>
      <c r="E1703" t="inlineStr">
        <is>
          <t>SKELLEFTEÅ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58775-2024</t>
        </is>
      </c>
      <c r="B1704" s="1" t="n">
        <v>45635.80533564815</v>
      </c>
      <c r="C1704" s="1" t="n">
        <v>45964</v>
      </c>
      <c r="D1704" t="inlineStr">
        <is>
          <t>VÄSTERBOTTENS LÄN</t>
        </is>
      </c>
      <c r="E1704" t="inlineStr">
        <is>
          <t>SKELLEFTEÅ</t>
        </is>
      </c>
      <c r="F1704" t="inlineStr">
        <is>
          <t>Sveaskog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11077-2024</t>
        </is>
      </c>
      <c r="B1705" s="1" t="n">
        <v>45370.92724537037</v>
      </c>
      <c r="C1705" s="1" t="n">
        <v>45964</v>
      </c>
      <c r="D1705" t="inlineStr">
        <is>
          <t>VÄSTERBOTTENS LÄN</t>
        </is>
      </c>
      <c r="E1705" t="inlineStr">
        <is>
          <t>SKELLEFTEÅ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11079-2024</t>
        </is>
      </c>
      <c r="B1706" s="1" t="n">
        <v>45370.92737268518</v>
      </c>
      <c r="C1706" s="1" t="n">
        <v>45964</v>
      </c>
      <c r="D1706" t="inlineStr">
        <is>
          <t>VÄSTERBOTTENS LÄN</t>
        </is>
      </c>
      <c r="E1706" t="inlineStr">
        <is>
          <t>SKELLEFTEÅ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62047-2024</t>
        </is>
      </c>
      <c r="B1707" s="1" t="n">
        <v>45656.36306712963</v>
      </c>
      <c r="C1707" s="1" t="n">
        <v>45964</v>
      </c>
      <c r="D1707" t="inlineStr">
        <is>
          <t>VÄSTERBOTTENS LÄN</t>
        </is>
      </c>
      <c r="E1707" t="inlineStr">
        <is>
          <t>SKELLEFTEÅ</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12939-2025</t>
        </is>
      </c>
      <c r="B1708" s="1" t="n">
        <v>45734.36378472222</v>
      </c>
      <c r="C1708" s="1" t="n">
        <v>45964</v>
      </c>
      <c r="D1708" t="inlineStr">
        <is>
          <t>VÄSTERBOTTENS LÄN</t>
        </is>
      </c>
      <c r="E1708" t="inlineStr">
        <is>
          <t>SKELLEFTEÅ</t>
        </is>
      </c>
      <c r="G1708" t="n">
        <v>10.6</v>
      </c>
      <c r="H1708" t="n">
        <v>0</v>
      </c>
      <c r="I1708" t="n">
        <v>0</v>
      </c>
      <c r="J1708" t="n">
        <v>0</v>
      </c>
      <c r="K1708" t="n">
        <v>0</v>
      </c>
      <c r="L1708" t="n">
        <v>0</v>
      </c>
      <c r="M1708" t="n">
        <v>0</v>
      </c>
      <c r="N1708" t="n">
        <v>0</v>
      </c>
      <c r="O1708" t="n">
        <v>0</v>
      </c>
      <c r="P1708" t="n">
        <v>0</v>
      </c>
      <c r="Q1708" t="n">
        <v>0</v>
      </c>
      <c r="R1708" s="2" t="inlineStr"/>
    </row>
    <row r="1709" ht="15" customHeight="1">
      <c r="A1709" t="inlineStr">
        <is>
          <t>A 35428-2025</t>
        </is>
      </c>
      <c r="B1709" s="1" t="n">
        <v>45855.44019675926</v>
      </c>
      <c r="C1709" s="1" t="n">
        <v>45964</v>
      </c>
      <c r="D1709" t="inlineStr">
        <is>
          <t>VÄSTERBOTTENS LÄN</t>
        </is>
      </c>
      <c r="E1709" t="inlineStr">
        <is>
          <t>SKELLEFTEÅ</t>
        </is>
      </c>
      <c r="F1709" t="inlineStr">
        <is>
          <t>Holmen skog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713-2025</t>
        </is>
      </c>
      <c r="B1710" s="1" t="n">
        <v>45664</v>
      </c>
      <c r="C1710" s="1" t="n">
        <v>45964</v>
      </c>
      <c r="D1710" t="inlineStr">
        <is>
          <t>VÄSTERBOTTENS LÄN</t>
        </is>
      </c>
      <c r="E1710" t="inlineStr">
        <is>
          <t>SKELLEFTEÅ</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35433-2025</t>
        </is>
      </c>
      <c r="B1711" s="1" t="n">
        <v>45855.4525462963</v>
      </c>
      <c r="C1711" s="1" t="n">
        <v>45964</v>
      </c>
      <c r="D1711" t="inlineStr">
        <is>
          <t>VÄSTERBOTTENS LÄN</t>
        </is>
      </c>
      <c r="E1711" t="inlineStr">
        <is>
          <t>SKELLEFTEÅ</t>
        </is>
      </c>
      <c r="F1711" t="inlineStr">
        <is>
          <t>Holmen skog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36800-2024</t>
        </is>
      </c>
      <c r="B1712" s="1" t="n">
        <v>45538.45694444444</v>
      </c>
      <c r="C1712" s="1" t="n">
        <v>45964</v>
      </c>
      <c r="D1712" t="inlineStr">
        <is>
          <t>VÄSTERBOTTENS LÄN</t>
        </is>
      </c>
      <c r="E1712" t="inlineStr">
        <is>
          <t>SKELLEFTEÅ</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4102-2023</t>
        </is>
      </c>
      <c r="B1713" s="1" t="n">
        <v>44952</v>
      </c>
      <c r="C1713" s="1" t="n">
        <v>45964</v>
      </c>
      <c r="D1713" t="inlineStr">
        <is>
          <t>VÄSTERBOTTENS LÄN</t>
        </is>
      </c>
      <c r="E1713" t="inlineStr">
        <is>
          <t>SKELLEFTEÅ</t>
        </is>
      </c>
      <c r="F1713" t="inlineStr">
        <is>
          <t>Sveaskog</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54469-2023</t>
        </is>
      </c>
      <c r="B1714" s="1" t="n">
        <v>45226</v>
      </c>
      <c r="C1714" s="1" t="n">
        <v>45964</v>
      </c>
      <c r="D1714" t="inlineStr">
        <is>
          <t>VÄSTERBOTTENS LÄN</t>
        </is>
      </c>
      <c r="E1714" t="inlineStr">
        <is>
          <t>SKELLEFTEÅ</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53641-2022</t>
        </is>
      </c>
      <c r="B1715" s="1" t="n">
        <v>44879.93</v>
      </c>
      <c r="C1715" s="1" t="n">
        <v>45964</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29267-2025</t>
        </is>
      </c>
      <c r="B1716" s="1" t="n">
        <v>45824.40275462963</v>
      </c>
      <c r="C1716" s="1" t="n">
        <v>45964</v>
      </c>
      <c r="D1716" t="inlineStr">
        <is>
          <t>VÄSTERBOTTENS LÄN</t>
        </is>
      </c>
      <c r="E1716" t="inlineStr">
        <is>
          <t>SKELLEFTEÅ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38586-2025</t>
        </is>
      </c>
      <c r="B1717" s="1" t="n">
        <v>45884.47202546296</v>
      </c>
      <c r="C1717" s="1" t="n">
        <v>45964</v>
      </c>
      <c r="D1717" t="inlineStr">
        <is>
          <t>VÄSTERBOTTENS LÄN</t>
        </is>
      </c>
      <c r="E1717" t="inlineStr">
        <is>
          <t>SKELLEFTEÅ</t>
        </is>
      </c>
      <c r="F1717" t="inlineStr">
        <is>
          <t>Holmen skog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41190-2024</t>
        </is>
      </c>
      <c r="B1718" s="1" t="n">
        <v>45559.50627314814</v>
      </c>
      <c r="C1718" s="1" t="n">
        <v>45964</v>
      </c>
      <c r="D1718" t="inlineStr">
        <is>
          <t>VÄSTERBOTTENS LÄN</t>
        </is>
      </c>
      <c r="E1718" t="inlineStr">
        <is>
          <t>SKELLEFTEÅ</t>
        </is>
      </c>
      <c r="F1718" t="inlineStr">
        <is>
          <t>Holmen skog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30395-2024</t>
        </is>
      </c>
      <c r="B1719" s="1" t="n">
        <v>45491</v>
      </c>
      <c r="C1719" s="1" t="n">
        <v>45964</v>
      </c>
      <c r="D1719" t="inlineStr">
        <is>
          <t>VÄSTERBOTTENS LÄN</t>
        </is>
      </c>
      <c r="E1719" t="inlineStr">
        <is>
          <t>SKELLEFTEÅ</t>
        </is>
      </c>
      <c r="F1719" t="inlineStr">
        <is>
          <t>Holmen skog AB</t>
        </is>
      </c>
      <c r="G1719" t="n">
        <v>15.8</v>
      </c>
      <c r="H1719" t="n">
        <v>0</v>
      </c>
      <c r="I1719" t="n">
        <v>0</v>
      </c>
      <c r="J1719" t="n">
        <v>0</v>
      </c>
      <c r="K1719" t="n">
        <v>0</v>
      </c>
      <c r="L1719" t="n">
        <v>0</v>
      </c>
      <c r="M1719" t="n">
        <v>0</v>
      </c>
      <c r="N1719" t="n">
        <v>0</v>
      </c>
      <c r="O1719" t="n">
        <v>0</v>
      </c>
      <c r="P1719" t="n">
        <v>0</v>
      </c>
      <c r="Q1719" t="n">
        <v>0</v>
      </c>
      <c r="R1719" s="2" t="inlineStr"/>
    </row>
    <row r="1720" ht="15" customHeight="1">
      <c r="A1720" t="inlineStr">
        <is>
          <t>A 42946-2022</t>
        </is>
      </c>
      <c r="B1720" s="1" t="n">
        <v>44833.38583333333</v>
      </c>
      <c r="C1720" s="1" t="n">
        <v>45964</v>
      </c>
      <c r="D1720" t="inlineStr">
        <is>
          <t>VÄSTERBOTTENS LÄN</t>
        </is>
      </c>
      <c r="E1720" t="inlineStr">
        <is>
          <t>SKELLEFTEÅ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9465-2024</t>
        </is>
      </c>
      <c r="B1721" s="1" t="n">
        <v>45359.54578703704</v>
      </c>
      <c r="C1721" s="1" t="n">
        <v>45964</v>
      </c>
      <c r="D1721" t="inlineStr">
        <is>
          <t>VÄSTERBOTTENS LÄN</t>
        </is>
      </c>
      <c r="E1721" t="inlineStr">
        <is>
          <t>SKELLEFTEÅ</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51993-2024</t>
        </is>
      </c>
      <c r="B1722" s="1" t="n">
        <v>45607</v>
      </c>
      <c r="C1722" s="1" t="n">
        <v>45964</v>
      </c>
      <c r="D1722" t="inlineStr">
        <is>
          <t>VÄSTERBOTTENS LÄN</t>
        </is>
      </c>
      <c r="E1722" t="inlineStr">
        <is>
          <t>SKELLEFTEÅ</t>
        </is>
      </c>
      <c r="F1722" t="inlineStr">
        <is>
          <t>Kommuner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38539-2025</t>
        </is>
      </c>
      <c r="B1723" s="1" t="n">
        <v>45884.42550925926</v>
      </c>
      <c r="C1723" s="1" t="n">
        <v>45964</v>
      </c>
      <c r="D1723" t="inlineStr">
        <is>
          <t>VÄSTERBOTTENS LÄN</t>
        </is>
      </c>
      <c r="E1723" t="inlineStr">
        <is>
          <t>SKELLEFTEÅ</t>
        </is>
      </c>
      <c r="F1723" t="inlineStr">
        <is>
          <t>Holmen skog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46846-2024</t>
        </is>
      </c>
      <c r="B1724" s="1" t="n">
        <v>45583</v>
      </c>
      <c r="C1724" s="1" t="n">
        <v>45964</v>
      </c>
      <c r="D1724" t="inlineStr">
        <is>
          <t>VÄSTERBOTTENS LÄN</t>
        </is>
      </c>
      <c r="E1724" t="inlineStr">
        <is>
          <t>SKELLEFTEÅ</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58897-2022</t>
        </is>
      </c>
      <c r="B1725" s="1" t="n">
        <v>44895</v>
      </c>
      <c r="C1725" s="1" t="n">
        <v>45964</v>
      </c>
      <c r="D1725" t="inlineStr">
        <is>
          <t>VÄSTERBOTTENS LÄN</t>
        </is>
      </c>
      <c r="E1725" t="inlineStr">
        <is>
          <t>SKELLEFTEÅ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59993-2024</t>
        </is>
      </c>
      <c r="B1726" s="1" t="n">
        <v>45642.40476851852</v>
      </c>
      <c r="C1726" s="1" t="n">
        <v>45964</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24181-2025</t>
        </is>
      </c>
      <c r="B1727" s="1" t="n">
        <v>45796.78885416667</v>
      </c>
      <c r="C1727" s="1" t="n">
        <v>45964</v>
      </c>
      <c r="D1727" t="inlineStr">
        <is>
          <t>VÄSTERBOTTENS LÄN</t>
        </is>
      </c>
      <c r="E1727" t="inlineStr">
        <is>
          <t>SKELLEFTEÅ</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11528-2024</t>
        </is>
      </c>
      <c r="B1728" s="1" t="n">
        <v>45372</v>
      </c>
      <c r="C1728" s="1" t="n">
        <v>45964</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52493-2023</t>
        </is>
      </c>
      <c r="B1729" s="1" t="n">
        <v>45225.45331018518</v>
      </c>
      <c r="C1729" s="1" t="n">
        <v>45964</v>
      </c>
      <c r="D1729" t="inlineStr">
        <is>
          <t>VÄSTERBOTTENS LÄN</t>
        </is>
      </c>
      <c r="E1729" t="inlineStr">
        <is>
          <t>SKELLEFTEÅ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46613-2025</t>
        </is>
      </c>
      <c r="B1730" s="1" t="n">
        <v>45926.42726851852</v>
      </c>
      <c r="C1730" s="1" t="n">
        <v>45964</v>
      </c>
      <c r="D1730" t="inlineStr">
        <is>
          <t>VÄSTERBOTTENS LÄN</t>
        </is>
      </c>
      <c r="E1730" t="inlineStr">
        <is>
          <t>SKELLEFTEÅ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56993-2022</t>
        </is>
      </c>
      <c r="B1731" s="1" t="n">
        <v>44894</v>
      </c>
      <c r="C1731" s="1" t="n">
        <v>45964</v>
      </c>
      <c r="D1731" t="inlineStr">
        <is>
          <t>VÄSTERBOTTENS LÄN</t>
        </is>
      </c>
      <c r="E1731" t="inlineStr">
        <is>
          <t>SKELLEFTEÅ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5639-2024</t>
        </is>
      </c>
      <c r="B1732" s="1" t="n">
        <v>45334.61408564815</v>
      </c>
      <c r="C1732" s="1" t="n">
        <v>45964</v>
      </c>
      <c r="D1732" t="inlineStr">
        <is>
          <t>VÄSTERBOTTENS LÄN</t>
        </is>
      </c>
      <c r="E1732" t="inlineStr">
        <is>
          <t>SKELLEFTEÅ</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41242-2024</t>
        </is>
      </c>
      <c r="B1733" s="1" t="n">
        <v>45559.57296296296</v>
      </c>
      <c r="C1733" s="1" t="n">
        <v>45964</v>
      </c>
      <c r="D1733" t="inlineStr">
        <is>
          <t>VÄSTERBOTTENS LÄN</t>
        </is>
      </c>
      <c r="E1733" t="inlineStr">
        <is>
          <t>SKELLEFTEÅ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35772-2025</t>
        </is>
      </c>
      <c r="B1734" s="1" t="n">
        <v>45860.67483796296</v>
      </c>
      <c r="C1734" s="1" t="n">
        <v>45964</v>
      </c>
      <c r="D1734" t="inlineStr">
        <is>
          <t>VÄSTERBOTTENS LÄN</t>
        </is>
      </c>
      <c r="E1734" t="inlineStr">
        <is>
          <t>SKELLEFTEÅ</t>
        </is>
      </c>
      <c r="F1734" t="inlineStr">
        <is>
          <t>Holmen skog AB</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62227-2021</t>
        </is>
      </c>
      <c r="B1735" s="1" t="n">
        <v>44501</v>
      </c>
      <c r="C1735" s="1" t="n">
        <v>45964</v>
      </c>
      <c r="D1735" t="inlineStr">
        <is>
          <t>VÄSTERBOTTENS LÄN</t>
        </is>
      </c>
      <c r="E1735" t="inlineStr">
        <is>
          <t>SKELLEFTEÅ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31392-2024</t>
        </is>
      </c>
      <c r="B1736" s="1" t="n">
        <v>45505.4709375</v>
      </c>
      <c r="C1736" s="1" t="n">
        <v>45964</v>
      </c>
      <c r="D1736" t="inlineStr">
        <is>
          <t>VÄSTERBOTTENS LÄN</t>
        </is>
      </c>
      <c r="E1736" t="inlineStr">
        <is>
          <t>SKELLEFTEÅ</t>
        </is>
      </c>
      <c r="F1736" t="inlineStr">
        <is>
          <t>Holmen skog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54974-2024</t>
        </is>
      </c>
      <c r="B1737" s="1" t="n">
        <v>45620.67599537037</v>
      </c>
      <c r="C1737" s="1" t="n">
        <v>45964</v>
      </c>
      <c r="D1737" t="inlineStr">
        <is>
          <t>VÄSTERBOTTENS LÄN</t>
        </is>
      </c>
      <c r="E1737" t="inlineStr">
        <is>
          <t>SKELLEFTEÅ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54971-2024</t>
        </is>
      </c>
      <c r="B1738" s="1" t="n">
        <v>45620</v>
      </c>
      <c r="C1738" s="1" t="n">
        <v>45964</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3844-2025</t>
        </is>
      </c>
      <c r="B1739" s="1" t="n">
        <v>45683.67905092592</v>
      </c>
      <c r="C1739" s="1" t="n">
        <v>45964</v>
      </c>
      <c r="D1739" t="inlineStr">
        <is>
          <t>VÄSTERBOTTENS LÄN</t>
        </is>
      </c>
      <c r="E1739" t="inlineStr">
        <is>
          <t>SKELLEFTEÅ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35633-2025</t>
        </is>
      </c>
      <c r="B1740" s="1" t="n">
        <v>45859.45072916667</v>
      </c>
      <c r="C1740" s="1" t="n">
        <v>45964</v>
      </c>
      <c r="D1740" t="inlineStr">
        <is>
          <t>VÄSTERBOTTENS LÄN</t>
        </is>
      </c>
      <c r="E1740" t="inlineStr">
        <is>
          <t>SKELLEFTEÅ</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12694-2025</t>
        </is>
      </c>
      <c r="B1741" s="1" t="n">
        <v>45733.46015046296</v>
      </c>
      <c r="C1741" s="1" t="n">
        <v>45964</v>
      </c>
      <c r="D1741" t="inlineStr">
        <is>
          <t>VÄSTERBOTTENS LÄN</t>
        </is>
      </c>
      <c r="E1741" t="inlineStr">
        <is>
          <t>SKELLEFTEÅ</t>
        </is>
      </c>
      <c r="F1741" t="inlineStr">
        <is>
          <t>Kommuner</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3892-2025</t>
        </is>
      </c>
      <c r="B1742" s="1" t="n">
        <v>45684.37506944445</v>
      </c>
      <c r="C1742" s="1" t="n">
        <v>45964</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42367-2021</t>
        </is>
      </c>
      <c r="B1743" s="1" t="n">
        <v>44427</v>
      </c>
      <c r="C1743" s="1" t="n">
        <v>45964</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44398-2022</t>
        </is>
      </c>
      <c r="B1744" s="1" t="n">
        <v>44839</v>
      </c>
      <c r="C1744" s="1" t="n">
        <v>45964</v>
      </c>
      <c r="D1744" t="inlineStr">
        <is>
          <t>VÄSTERBOTTENS LÄN</t>
        </is>
      </c>
      <c r="E1744" t="inlineStr">
        <is>
          <t>SKELLEFTEÅ</t>
        </is>
      </c>
      <c r="F1744" t="inlineStr">
        <is>
          <t>Sveaskog</t>
        </is>
      </c>
      <c r="G1744" t="n">
        <v>22.3</v>
      </c>
      <c r="H1744" t="n">
        <v>0</v>
      </c>
      <c r="I1744" t="n">
        <v>0</v>
      </c>
      <c r="J1744" t="n">
        <v>0</v>
      </c>
      <c r="K1744" t="n">
        <v>0</v>
      </c>
      <c r="L1744" t="n">
        <v>0</v>
      </c>
      <c r="M1744" t="n">
        <v>0</v>
      </c>
      <c r="N1744" t="n">
        <v>0</v>
      </c>
      <c r="O1744" t="n">
        <v>0</v>
      </c>
      <c r="P1744" t="n">
        <v>0</v>
      </c>
      <c r="Q1744" t="n">
        <v>0</v>
      </c>
      <c r="R1744" s="2" t="inlineStr"/>
    </row>
    <row r="1745" ht="15" customHeight="1">
      <c r="A1745" t="inlineStr">
        <is>
          <t>A 35811-2025</t>
        </is>
      </c>
      <c r="B1745" s="1" t="n">
        <v>45861.43084490741</v>
      </c>
      <c r="C1745" s="1" t="n">
        <v>45964</v>
      </c>
      <c r="D1745" t="inlineStr">
        <is>
          <t>VÄSTERBOTTENS LÄN</t>
        </is>
      </c>
      <c r="E1745" t="inlineStr">
        <is>
          <t>SKELLEFTEÅ</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8887-2025</t>
        </is>
      </c>
      <c r="B1746" s="1" t="n">
        <v>45713.39284722223</v>
      </c>
      <c r="C1746" s="1" t="n">
        <v>45964</v>
      </c>
      <c r="D1746" t="inlineStr">
        <is>
          <t>VÄSTERBOTTENS LÄN</t>
        </is>
      </c>
      <c r="E1746" t="inlineStr">
        <is>
          <t>SKELLEFTEÅ</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8927-2025</t>
        </is>
      </c>
      <c r="B1747" s="1" t="n">
        <v>45713.44215277778</v>
      </c>
      <c r="C1747" s="1" t="n">
        <v>45964</v>
      </c>
      <c r="D1747" t="inlineStr">
        <is>
          <t>VÄSTERBOTTENS LÄN</t>
        </is>
      </c>
      <c r="E1747" t="inlineStr">
        <is>
          <t>SKELLEFTEÅ</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17071-2023</t>
        </is>
      </c>
      <c r="B1748" s="1" t="n">
        <v>45030</v>
      </c>
      <c r="C1748" s="1" t="n">
        <v>45964</v>
      </c>
      <c r="D1748" t="inlineStr">
        <is>
          <t>VÄSTERBOTTENS LÄN</t>
        </is>
      </c>
      <c r="E1748" t="inlineStr">
        <is>
          <t>SKELLEFTEÅ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61559-2024</t>
        </is>
      </c>
      <c r="B1749" s="1" t="n">
        <v>45646.61180555556</v>
      </c>
      <c r="C1749" s="1" t="n">
        <v>45964</v>
      </c>
      <c r="D1749" t="inlineStr">
        <is>
          <t>VÄSTERBOTTENS LÄN</t>
        </is>
      </c>
      <c r="E1749" t="inlineStr">
        <is>
          <t>SKELLEFTEÅ</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7028-2025</t>
        </is>
      </c>
      <c r="B1750" s="1" t="n">
        <v>45701.63065972222</v>
      </c>
      <c r="C1750" s="1" t="n">
        <v>45964</v>
      </c>
      <c r="D1750" t="inlineStr">
        <is>
          <t>VÄSTERBOTTENS LÄN</t>
        </is>
      </c>
      <c r="E1750" t="inlineStr">
        <is>
          <t>SKELLEFTEÅ</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9425-2024</t>
        </is>
      </c>
      <c r="B1751" s="1" t="n">
        <v>45359</v>
      </c>
      <c r="C1751" s="1" t="n">
        <v>45964</v>
      </c>
      <c r="D1751" t="inlineStr">
        <is>
          <t>VÄSTERBOTTENS LÄN</t>
        </is>
      </c>
      <c r="E1751" t="inlineStr">
        <is>
          <t>SKELLEFTEÅ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41320-2024</t>
        </is>
      </c>
      <c r="B1752" s="1" t="n">
        <v>45559</v>
      </c>
      <c r="C1752" s="1" t="n">
        <v>45964</v>
      </c>
      <c r="D1752" t="inlineStr">
        <is>
          <t>VÄSTERBOTTENS LÄN</t>
        </is>
      </c>
      <c r="E1752" t="inlineStr">
        <is>
          <t>SKELLEFTEÅ</t>
        </is>
      </c>
      <c r="G1752" t="n">
        <v>24.7</v>
      </c>
      <c r="H1752" t="n">
        <v>0</v>
      </c>
      <c r="I1752" t="n">
        <v>0</v>
      </c>
      <c r="J1752" t="n">
        <v>0</v>
      </c>
      <c r="K1752" t="n">
        <v>0</v>
      </c>
      <c r="L1752" t="n">
        <v>0</v>
      </c>
      <c r="M1752" t="n">
        <v>0</v>
      </c>
      <c r="N1752" t="n">
        <v>0</v>
      </c>
      <c r="O1752" t="n">
        <v>0</v>
      </c>
      <c r="P1752" t="n">
        <v>0</v>
      </c>
      <c r="Q1752" t="n">
        <v>0</v>
      </c>
      <c r="R1752" s="2" t="inlineStr"/>
    </row>
    <row r="1753" ht="15" customHeight="1">
      <c r="A1753" t="inlineStr">
        <is>
          <t>A 19658-2025</t>
        </is>
      </c>
      <c r="B1753" s="1" t="n">
        <v>45770</v>
      </c>
      <c r="C1753" s="1" t="n">
        <v>45964</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54825-2022</t>
        </is>
      </c>
      <c r="B1754" s="1" t="n">
        <v>44883</v>
      </c>
      <c r="C1754" s="1" t="n">
        <v>45964</v>
      </c>
      <c r="D1754" t="inlineStr">
        <is>
          <t>VÄSTERBOTTENS LÄN</t>
        </is>
      </c>
      <c r="E1754" t="inlineStr">
        <is>
          <t>SKELLEFTEÅ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35988-2025</t>
        </is>
      </c>
      <c r="B1755" s="1" t="n">
        <v>45863.46273148148</v>
      </c>
      <c r="C1755" s="1" t="n">
        <v>45964</v>
      </c>
      <c r="D1755" t="inlineStr">
        <is>
          <t>VÄSTERBOTTENS LÄN</t>
        </is>
      </c>
      <c r="E1755" t="inlineStr">
        <is>
          <t>SKELLEFTEÅ</t>
        </is>
      </c>
      <c r="F1755" t="inlineStr">
        <is>
          <t>Holmen skog AB</t>
        </is>
      </c>
      <c r="G1755" t="n">
        <v>17.8</v>
      </c>
      <c r="H1755" t="n">
        <v>0</v>
      </c>
      <c r="I1755" t="n">
        <v>0</v>
      </c>
      <c r="J1755" t="n">
        <v>0</v>
      </c>
      <c r="K1755" t="n">
        <v>0</v>
      </c>
      <c r="L1755" t="n">
        <v>0</v>
      </c>
      <c r="M1755" t="n">
        <v>0</v>
      </c>
      <c r="N1755" t="n">
        <v>0</v>
      </c>
      <c r="O1755" t="n">
        <v>0</v>
      </c>
      <c r="P1755" t="n">
        <v>0</v>
      </c>
      <c r="Q1755" t="n">
        <v>0</v>
      </c>
      <c r="R1755" s="2" t="inlineStr"/>
    </row>
    <row r="1756" ht="15" customHeight="1">
      <c r="A1756" t="inlineStr">
        <is>
          <t>A 61631-2022</t>
        </is>
      </c>
      <c r="B1756" s="1" t="n">
        <v>44916.69783564815</v>
      </c>
      <c r="C1756" s="1" t="n">
        <v>45964</v>
      </c>
      <c r="D1756" t="inlineStr">
        <is>
          <t>VÄSTERBOTTENS LÄN</t>
        </is>
      </c>
      <c r="E1756" t="inlineStr">
        <is>
          <t>SKELLEFTEÅ</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61635-2022</t>
        </is>
      </c>
      <c r="B1757" s="1" t="n">
        <v>44916.71002314815</v>
      </c>
      <c r="C1757" s="1" t="n">
        <v>45964</v>
      </c>
      <c r="D1757" t="inlineStr">
        <is>
          <t>VÄSTERBOTTENS LÄN</t>
        </is>
      </c>
      <c r="E1757" t="inlineStr">
        <is>
          <t>SKELLEFTEÅ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35923-2025</t>
        </is>
      </c>
      <c r="B1758" s="1" t="n">
        <v>45862.57084490741</v>
      </c>
      <c r="C1758" s="1" t="n">
        <v>45964</v>
      </c>
      <c r="D1758" t="inlineStr">
        <is>
          <t>VÄSTERBOTTENS LÄN</t>
        </is>
      </c>
      <c r="E1758" t="inlineStr">
        <is>
          <t>SKELLEFTEÅ</t>
        </is>
      </c>
      <c r="F1758" t="inlineStr">
        <is>
          <t>Holmen skog AB</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35951-2025</t>
        </is>
      </c>
      <c r="B1759" s="1" t="n">
        <v>45863.30952546297</v>
      </c>
      <c r="C1759" s="1" t="n">
        <v>45964</v>
      </c>
      <c r="D1759" t="inlineStr">
        <is>
          <t>VÄSTERBOTTENS LÄN</t>
        </is>
      </c>
      <c r="E1759" t="inlineStr">
        <is>
          <t>SKELLEFTEÅ</t>
        </is>
      </c>
      <c r="F1759" t="inlineStr">
        <is>
          <t>Holmen skog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35887-2025</t>
        </is>
      </c>
      <c r="B1760" s="1" t="n">
        <v>45862.43923611111</v>
      </c>
      <c r="C1760" s="1" t="n">
        <v>45964</v>
      </c>
      <c r="D1760" t="inlineStr">
        <is>
          <t>VÄSTERBOTTENS LÄN</t>
        </is>
      </c>
      <c r="E1760" t="inlineStr">
        <is>
          <t>SKELLEFTEÅ</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11685-2022</t>
        </is>
      </c>
      <c r="B1761" s="1" t="n">
        <v>44634.31503472223</v>
      </c>
      <c r="C1761" s="1" t="n">
        <v>45964</v>
      </c>
      <c r="D1761" t="inlineStr">
        <is>
          <t>VÄSTERBOTTENS LÄN</t>
        </is>
      </c>
      <c r="E1761" t="inlineStr">
        <is>
          <t>SKELLEFTEÅ</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34455-2023</t>
        </is>
      </c>
      <c r="B1762" s="1" t="n">
        <v>45139.68733796296</v>
      </c>
      <c r="C1762" s="1" t="n">
        <v>45964</v>
      </c>
      <c r="D1762" t="inlineStr">
        <is>
          <t>VÄSTERBOTTENS LÄN</t>
        </is>
      </c>
      <c r="E1762" t="inlineStr">
        <is>
          <t>SKELLEFTEÅ</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66500-2021</t>
        </is>
      </c>
      <c r="B1763" s="1" t="n">
        <v>44519.3160300926</v>
      </c>
      <c r="C1763" s="1" t="n">
        <v>45964</v>
      </c>
      <c r="D1763" t="inlineStr">
        <is>
          <t>VÄSTERBOTTENS LÄN</t>
        </is>
      </c>
      <c r="E1763" t="inlineStr">
        <is>
          <t>SKELLEFTEÅ</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11790-2022</t>
        </is>
      </c>
      <c r="B1764" s="1" t="n">
        <v>44634</v>
      </c>
      <c r="C1764" s="1" t="n">
        <v>45964</v>
      </c>
      <c r="D1764" t="inlineStr">
        <is>
          <t>VÄSTERBOTTENS LÄN</t>
        </is>
      </c>
      <c r="E1764" t="inlineStr">
        <is>
          <t>SKELLEFTEÅ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35925-2025</t>
        </is>
      </c>
      <c r="B1765" s="1" t="n">
        <v>45862.5902662037</v>
      </c>
      <c r="C1765" s="1" t="n">
        <v>45964</v>
      </c>
      <c r="D1765" t="inlineStr">
        <is>
          <t>VÄSTERBOTTENS LÄN</t>
        </is>
      </c>
      <c r="E1765" t="inlineStr">
        <is>
          <t>SKELLEFTEÅ</t>
        </is>
      </c>
      <c r="F1765" t="inlineStr">
        <is>
          <t>Holmen skog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642-2025</t>
        </is>
      </c>
      <c r="B1766" s="1" t="n">
        <v>45660</v>
      </c>
      <c r="C1766" s="1" t="n">
        <v>45964</v>
      </c>
      <c r="D1766" t="inlineStr">
        <is>
          <t>VÄSTERBOTTENS LÄN</t>
        </is>
      </c>
      <c r="E1766" t="inlineStr">
        <is>
          <t>SKELLEFTEÅ</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24604-2024</t>
        </is>
      </c>
      <c r="B1767" s="1" t="n">
        <v>45460</v>
      </c>
      <c r="C1767" s="1" t="n">
        <v>45964</v>
      </c>
      <c r="D1767" t="inlineStr">
        <is>
          <t>VÄSTERBOTTENS LÄN</t>
        </is>
      </c>
      <c r="E1767" t="inlineStr">
        <is>
          <t>SKELLEFTEÅ</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35914-2025</t>
        </is>
      </c>
      <c r="B1768" s="1" t="n">
        <v>45862.5441087963</v>
      </c>
      <c r="C1768" s="1" t="n">
        <v>45964</v>
      </c>
      <c r="D1768" t="inlineStr">
        <is>
          <t>VÄSTERBOTTENS LÄN</t>
        </is>
      </c>
      <c r="E1768" t="inlineStr">
        <is>
          <t>SKELLEFTEÅ</t>
        </is>
      </c>
      <c r="F1768" t="inlineStr">
        <is>
          <t>Holmen skog AB</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35954-2025</t>
        </is>
      </c>
      <c r="B1769" s="1" t="n">
        <v>45863.31778935185</v>
      </c>
      <c r="C1769" s="1" t="n">
        <v>45964</v>
      </c>
      <c r="D1769" t="inlineStr">
        <is>
          <t>VÄSTERBOTTENS LÄN</t>
        </is>
      </c>
      <c r="E1769" t="inlineStr">
        <is>
          <t>SKELLEFTEÅ</t>
        </is>
      </c>
      <c r="F1769" t="inlineStr">
        <is>
          <t>Holmen skog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39513-2023</t>
        </is>
      </c>
      <c r="B1770" s="1" t="n">
        <v>45167</v>
      </c>
      <c r="C1770" s="1" t="n">
        <v>45964</v>
      </c>
      <c r="D1770" t="inlineStr">
        <is>
          <t>VÄSTERBOTTENS LÄN</t>
        </is>
      </c>
      <c r="E1770" t="inlineStr">
        <is>
          <t>SKELLEFTEÅ</t>
        </is>
      </c>
      <c r="F1770" t="inlineStr">
        <is>
          <t>Holmen skog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6596-2023</t>
        </is>
      </c>
      <c r="B1771" s="1" t="n">
        <v>44963</v>
      </c>
      <c r="C1771" s="1" t="n">
        <v>45964</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36882-2025</t>
        </is>
      </c>
      <c r="B1772" s="1" t="n">
        <v>45874</v>
      </c>
      <c r="C1772" s="1" t="n">
        <v>45964</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61260-2020</t>
        </is>
      </c>
      <c r="B1773" s="1" t="n">
        <v>44153</v>
      </c>
      <c r="C1773" s="1" t="n">
        <v>45964</v>
      </c>
      <c r="D1773" t="inlineStr">
        <is>
          <t>VÄSTERBOTTENS LÄN</t>
        </is>
      </c>
      <c r="E1773" t="inlineStr">
        <is>
          <t>SKELLEFTEÅ</t>
        </is>
      </c>
      <c r="G1773" t="n">
        <v>16.1</v>
      </c>
      <c r="H1773" t="n">
        <v>0</v>
      </c>
      <c r="I1773" t="n">
        <v>0</v>
      </c>
      <c r="J1773" t="n">
        <v>0</v>
      </c>
      <c r="K1773" t="n">
        <v>0</v>
      </c>
      <c r="L1773" t="n">
        <v>0</v>
      </c>
      <c r="M1773" t="n">
        <v>0</v>
      </c>
      <c r="N1773" t="n">
        <v>0</v>
      </c>
      <c r="O1773" t="n">
        <v>0</v>
      </c>
      <c r="P1773" t="n">
        <v>0</v>
      </c>
      <c r="Q1773" t="n">
        <v>0</v>
      </c>
      <c r="R1773" s="2" t="inlineStr"/>
    </row>
    <row r="1774" ht="15" customHeight="1">
      <c r="A1774" t="inlineStr">
        <is>
          <t>A 38503-2024</t>
        </is>
      </c>
      <c r="B1774" s="1" t="n">
        <v>45546.52896990741</v>
      </c>
      <c r="C1774" s="1" t="n">
        <v>45964</v>
      </c>
      <c r="D1774" t="inlineStr">
        <is>
          <t>VÄSTERBOTTENS LÄN</t>
        </is>
      </c>
      <c r="E1774" t="inlineStr">
        <is>
          <t>SKELLEFTEÅ</t>
        </is>
      </c>
      <c r="G1774" t="n">
        <v>8.9</v>
      </c>
      <c r="H1774" t="n">
        <v>0</v>
      </c>
      <c r="I1774" t="n">
        <v>0</v>
      </c>
      <c r="J1774" t="n">
        <v>0</v>
      </c>
      <c r="K1774" t="n">
        <v>0</v>
      </c>
      <c r="L1774" t="n">
        <v>0</v>
      </c>
      <c r="M1774" t="n">
        <v>0</v>
      </c>
      <c r="N1774" t="n">
        <v>0</v>
      </c>
      <c r="O1774" t="n">
        <v>0</v>
      </c>
      <c r="P1774" t="n">
        <v>0</v>
      </c>
      <c r="Q1774" t="n">
        <v>0</v>
      </c>
      <c r="R1774" s="2" t="inlineStr"/>
    </row>
    <row r="1775" ht="15" customHeight="1">
      <c r="A1775" t="inlineStr">
        <is>
          <t>A 13487-2025</t>
        </is>
      </c>
      <c r="B1775" s="1" t="n">
        <v>45736.42761574074</v>
      </c>
      <c r="C1775" s="1" t="n">
        <v>45964</v>
      </c>
      <c r="D1775" t="inlineStr">
        <is>
          <t>VÄSTERBOTTENS LÄN</t>
        </is>
      </c>
      <c r="E1775" t="inlineStr">
        <is>
          <t>SKELLEFTEÅ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46822-2025</t>
        </is>
      </c>
      <c r="B1776" s="1" t="n">
        <v>45926.76329861111</v>
      </c>
      <c r="C1776" s="1" t="n">
        <v>45964</v>
      </c>
      <c r="D1776" t="inlineStr">
        <is>
          <t>VÄSTERBOTTENS LÄN</t>
        </is>
      </c>
      <c r="E1776" t="inlineStr">
        <is>
          <t>SKELLEFTEÅ</t>
        </is>
      </c>
      <c r="F1776" t="inlineStr">
        <is>
          <t>Sveaskog</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2393-2023</t>
        </is>
      </c>
      <c r="B1777" s="1" t="n">
        <v>44942.9234375</v>
      </c>
      <c r="C1777" s="1" t="n">
        <v>45964</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47514-2024</t>
        </is>
      </c>
      <c r="B1778" s="1" t="n">
        <v>45587</v>
      </c>
      <c r="C1778" s="1" t="n">
        <v>45964</v>
      </c>
      <c r="D1778" t="inlineStr">
        <is>
          <t>VÄSTERBOTTENS LÄN</t>
        </is>
      </c>
      <c r="E1778" t="inlineStr">
        <is>
          <t>SKELLEFTEÅ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24653-2021</t>
        </is>
      </c>
      <c r="B1779" s="1" t="n">
        <v>44340</v>
      </c>
      <c r="C1779" s="1" t="n">
        <v>45964</v>
      </c>
      <c r="D1779" t="inlineStr">
        <is>
          <t>VÄSTERBOTTENS LÄN</t>
        </is>
      </c>
      <c r="E1779" t="inlineStr">
        <is>
          <t>SKELLEFTEÅ</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28778-2025</t>
        </is>
      </c>
      <c r="B1780" s="1" t="n">
        <v>45820.44819444444</v>
      </c>
      <c r="C1780" s="1" t="n">
        <v>45964</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46627-2025</t>
        </is>
      </c>
      <c r="B1781" s="1" t="n">
        <v>45926.44899305556</v>
      </c>
      <c r="C1781" s="1" t="n">
        <v>45964</v>
      </c>
      <c r="D1781" t="inlineStr">
        <is>
          <t>VÄSTERBOTTENS LÄN</t>
        </is>
      </c>
      <c r="E1781" t="inlineStr">
        <is>
          <t>SKELLEFTEÅ</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36546-2024</t>
        </is>
      </c>
      <c r="B1782" s="1" t="n">
        <v>45537</v>
      </c>
      <c r="C1782" s="1" t="n">
        <v>45964</v>
      </c>
      <c r="D1782" t="inlineStr">
        <is>
          <t>VÄSTERBOTTENS LÄN</t>
        </is>
      </c>
      <c r="E1782" t="inlineStr">
        <is>
          <t>SKELLEFTEÅ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44479-2024</t>
        </is>
      </c>
      <c r="B1783" s="1" t="n">
        <v>45574</v>
      </c>
      <c r="C1783" s="1" t="n">
        <v>45964</v>
      </c>
      <c r="D1783" t="inlineStr">
        <is>
          <t>VÄSTERBOTTENS LÄN</t>
        </is>
      </c>
      <c r="E1783" t="inlineStr">
        <is>
          <t>SKELLEFTEÅ</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61101-2022</t>
        </is>
      </c>
      <c r="B1784" s="1" t="n">
        <v>44915</v>
      </c>
      <c r="C1784" s="1" t="n">
        <v>45964</v>
      </c>
      <c r="D1784" t="inlineStr">
        <is>
          <t>VÄSTERBOTTENS LÄN</t>
        </is>
      </c>
      <c r="E1784" t="inlineStr">
        <is>
          <t>SKELLEFTEÅ</t>
        </is>
      </c>
      <c r="F1784" t="inlineStr">
        <is>
          <t>Sveaskog</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27698-2021</t>
        </is>
      </c>
      <c r="B1785" s="1" t="n">
        <v>44354.44306712963</v>
      </c>
      <c r="C1785" s="1" t="n">
        <v>45964</v>
      </c>
      <c r="D1785" t="inlineStr">
        <is>
          <t>VÄSTERBOTTENS LÄN</t>
        </is>
      </c>
      <c r="E1785" t="inlineStr">
        <is>
          <t>SKELLEFTEÅ</t>
        </is>
      </c>
      <c r="F1785" t="inlineStr">
        <is>
          <t>Holmen skog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15906-2023</t>
        </is>
      </c>
      <c r="B1786" s="1" t="n">
        <v>45021</v>
      </c>
      <c r="C1786" s="1" t="n">
        <v>45964</v>
      </c>
      <c r="D1786" t="inlineStr">
        <is>
          <t>VÄSTERBOTTENS LÄN</t>
        </is>
      </c>
      <c r="E1786" t="inlineStr">
        <is>
          <t>SKELLEFTEÅ</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38661-2025</t>
        </is>
      </c>
      <c r="B1787" s="1" t="n">
        <v>45884.61168981482</v>
      </c>
      <c r="C1787" s="1" t="n">
        <v>45964</v>
      </c>
      <c r="D1787" t="inlineStr">
        <is>
          <t>VÄSTERBOTTENS LÄN</t>
        </is>
      </c>
      <c r="E1787" t="inlineStr">
        <is>
          <t>SKELLEFTEÅ</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38694-2025</t>
        </is>
      </c>
      <c r="B1788" s="1" t="n">
        <v>45884.71439814815</v>
      </c>
      <c r="C1788" s="1" t="n">
        <v>45964</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41710-2024</t>
        </is>
      </c>
      <c r="B1789" s="1" t="n">
        <v>45560.70313657408</v>
      </c>
      <c r="C1789" s="1" t="n">
        <v>45964</v>
      </c>
      <c r="D1789" t="inlineStr">
        <is>
          <t>VÄSTERBOTTENS LÄN</t>
        </is>
      </c>
      <c r="E1789" t="inlineStr">
        <is>
          <t>SKELLEFTEÅ</t>
        </is>
      </c>
      <c r="F1789" t="inlineStr">
        <is>
          <t>Holmen skog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36215-2025</t>
        </is>
      </c>
      <c r="B1790" s="1" t="n">
        <v>45867.49079861111</v>
      </c>
      <c r="C1790" s="1" t="n">
        <v>45964</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13493-2025</t>
        </is>
      </c>
      <c r="B1791" s="1" t="n">
        <v>45736.43454861111</v>
      </c>
      <c r="C1791" s="1" t="n">
        <v>45964</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9053-2022</t>
        </is>
      </c>
      <c r="B1792" s="1" t="n">
        <v>44615</v>
      </c>
      <c r="C1792" s="1" t="n">
        <v>45964</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16156-2025</t>
        </is>
      </c>
      <c r="B1793" s="1" t="n">
        <v>45750.49013888889</v>
      </c>
      <c r="C1793" s="1" t="n">
        <v>45964</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50338-2023</t>
        </is>
      </c>
      <c r="B1794" s="1" t="n">
        <v>45216</v>
      </c>
      <c r="C1794" s="1" t="n">
        <v>45964</v>
      </c>
      <c r="D1794" t="inlineStr">
        <is>
          <t>VÄSTERBOTTENS LÄN</t>
        </is>
      </c>
      <c r="E1794" t="inlineStr">
        <is>
          <t>SKELLEFTEÅ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29687-2021</t>
        </is>
      </c>
      <c r="B1795" s="1" t="n">
        <v>44362.37407407408</v>
      </c>
      <c r="C1795" s="1" t="n">
        <v>45964</v>
      </c>
      <c r="D1795" t="inlineStr">
        <is>
          <t>VÄSTERBOTTENS LÄN</t>
        </is>
      </c>
      <c r="E1795" t="inlineStr">
        <is>
          <t>SKELLEFTEÅ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1206-2023</t>
        </is>
      </c>
      <c r="B1796" s="1" t="n">
        <v>44930</v>
      </c>
      <c r="C1796" s="1" t="n">
        <v>45964</v>
      </c>
      <c r="D1796" t="inlineStr">
        <is>
          <t>VÄSTERBOTTENS LÄN</t>
        </is>
      </c>
      <c r="E1796" t="inlineStr">
        <is>
          <t>SKELLEFTEÅ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38481-2025</t>
        </is>
      </c>
      <c r="B1797" s="1" t="n">
        <v>45884.33145833333</v>
      </c>
      <c r="C1797" s="1" t="n">
        <v>45964</v>
      </c>
      <c r="D1797" t="inlineStr">
        <is>
          <t>VÄSTERBOTTENS LÄN</t>
        </is>
      </c>
      <c r="E1797" t="inlineStr">
        <is>
          <t>SKELLEFTEÅ</t>
        </is>
      </c>
      <c r="F1797" t="inlineStr">
        <is>
          <t>Holmen skog AB</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17961-2025</t>
        </is>
      </c>
      <c r="B1798" s="1" t="n">
        <v>45761.32622685185</v>
      </c>
      <c r="C1798" s="1" t="n">
        <v>45964</v>
      </c>
      <c r="D1798" t="inlineStr">
        <is>
          <t>VÄSTERBOTTENS LÄN</t>
        </is>
      </c>
      <c r="E1798" t="inlineStr">
        <is>
          <t>SKELLEFTEÅ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11942-2023</t>
        </is>
      </c>
      <c r="B1799" s="1" t="n">
        <v>44995.52376157408</v>
      </c>
      <c r="C1799" s="1" t="n">
        <v>45964</v>
      </c>
      <c r="D1799" t="inlineStr">
        <is>
          <t>VÄSTERBOTTENS LÄN</t>
        </is>
      </c>
      <c r="E1799" t="inlineStr">
        <is>
          <t>SKELLEFTEÅ</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52920-2024</t>
        </is>
      </c>
      <c r="B1800" s="1" t="n">
        <v>45610</v>
      </c>
      <c r="C1800" s="1" t="n">
        <v>45964</v>
      </c>
      <c r="D1800" t="inlineStr">
        <is>
          <t>VÄSTERBOTTENS LÄN</t>
        </is>
      </c>
      <c r="E1800" t="inlineStr">
        <is>
          <t>SKELLEFTEÅ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38906-2025</t>
        </is>
      </c>
      <c r="B1801" s="1" t="n">
        <v>45887.60821759259</v>
      </c>
      <c r="C1801" s="1" t="n">
        <v>45964</v>
      </c>
      <c r="D1801" t="inlineStr">
        <is>
          <t>VÄSTERBOTTENS LÄN</t>
        </is>
      </c>
      <c r="E1801" t="inlineStr">
        <is>
          <t>SKELLEFTEÅ</t>
        </is>
      </c>
      <c r="F1801" t="inlineStr">
        <is>
          <t>Holmen skog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20824-2025</t>
        </is>
      </c>
      <c r="B1802" s="1" t="n">
        <v>45776</v>
      </c>
      <c r="C1802" s="1" t="n">
        <v>45964</v>
      </c>
      <c r="D1802" t="inlineStr">
        <is>
          <t>VÄSTERBOTTENS LÄN</t>
        </is>
      </c>
      <c r="E1802" t="inlineStr">
        <is>
          <t>SKELLEFTEÅ</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47238-2025</t>
        </is>
      </c>
      <c r="B1803" s="1" t="n">
        <v>45930.41980324074</v>
      </c>
      <c r="C1803" s="1" t="n">
        <v>45964</v>
      </c>
      <c r="D1803" t="inlineStr">
        <is>
          <t>VÄSTERBOTTENS LÄN</t>
        </is>
      </c>
      <c r="E1803" t="inlineStr">
        <is>
          <t>SKELLEFTEÅ</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15745-2025</t>
        </is>
      </c>
      <c r="B1804" s="1" t="n">
        <v>45748.5515162037</v>
      </c>
      <c r="C1804" s="1" t="n">
        <v>45964</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54193-2021</t>
        </is>
      </c>
      <c r="B1805" s="1" t="n">
        <v>44470</v>
      </c>
      <c r="C1805" s="1" t="n">
        <v>45964</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39024-2025</t>
        </is>
      </c>
      <c r="B1806" s="1" t="n">
        <v>45888.3791550926</v>
      </c>
      <c r="C1806" s="1" t="n">
        <v>45964</v>
      </c>
      <c r="D1806" t="inlineStr">
        <is>
          <t>VÄSTERBOTTENS LÄN</t>
        </is>
      </c>
      <c r="E1806" t="inlineStr">
        <is>
          <t>SKELLEFTEÅ</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29101-2025</t>
        </is>
      </c>
      <c r="B1807" s="1" t="n">
        <v>45821.56797453704</v>
      </c>
      <c r="C1807" s="1" t="n">
        <v>45964</v>
      </c>
      <c r="D1807" t="inlineStr">
        <is>
          <t>VÄSTERBOTTENS LÄN</t>
        </is>
      </c>
      <c r="E1807" t="inlineStr">
        <is>
          <t>SKELLEFTEÅ</t>
        </is>
      </c>
      <c r="F1807" t="inlineStr">
        <is>
          <t>Holmen skog AB</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33109-2024</t>
        </is>
      </c>
      <c r="B1808" s="1" t="n">
        <v>45517</v>
      </c>
      <c r="C1808" s="1" t="n">
        <v>45964</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39445-2025</t>
        </is>
      </c>
      <c r="B1809" s="1" t="n">
        <v>45889.7028125</v>
      </c>
      <c r="C1809" s="1" t="n">
        <v>45964</v>
      </c>
      <c r="D1809" t="inlineStr">
        <is>
          <t>VÄSTERBOTTENS LÄN</t>
        </is>
      </c>
      <c r="E1809" t="inlineStr">
        <is>
          <t>SKELLEFTEÅ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39123-2025</t>
        </is>
      </c>
      <c r="B1810" s="1" t="n">
        <v>45888.57267361111</v>
      </c>
      <c r="C1810" s="1" t="n">
        <v>45964</v>
      </c>
      <c r="D1810" t="inlineStr">
        <is>
          <t>VÄSTERBOTTENS LÄN</t>
        </is>
      </c>
      <c r="E1810" t="inlineStr">
        <is>
          <t>SKELLEFTEÅ</t>
        </is>
      </c>
      <c r="F1810" t="inlineStr">
        <is>
          <t>Holmen skog AB</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47309-2025</t>
        </is>
      </c>
      <c r="B1811" s="1" t="n">
        <v>45930.53519675926</v>
      </c>
      <c r="C1811" s="1" t="n">
        <v>45964</v>
      </c>
      <c r="D1811" t="inlineStr">
        <is>
          <t>VÄSTERBOTTENS LÄN</t>
        </is>
      </c>
      <c r="E1811" t="inlineStr">
        <is>
          <t>SKELLEFTEÅ</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39447-2025</t>
        </is>
      </c>
      <c r="B1812" s="1" t="n">
        <v>45889.70673611111</v>
      </c>
      <c r="C1812" s="1" t="n">
        <v>45964</v>
      </c>
      <c r="D1812" t="inlineStr">
        <is>
          <t>VÄSTERBOTTENS LÄN</t>
        </is>
      </c>
      <c r="E1812" t="inlineStr">
        <is>
          <t>SKELLEFTEÅ</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4138-2024</t>
        </is>
      </c>
      <c r="B1813" s="1" t="n">
        <v>45323</v>
      </c>
      <c r="C1813" s="1" t="n">
        <v>45964</v>
      </c>
      <c r="D1813" t="inlineStr">
        <is>
          <t>VÄSTERBOTTENS LÄN</t>
        </is>
      </c>
      <c r="E1813" t="inlineStr">
        <is>
          <t>SKELLEFTEÅ</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19422-2023</t>
        </is>
      </c>
      <c r="B1814" s="1" t="n">
        <v>45049</v>
      </c>
      <c r="C1814" s="1" t="n">
        <v>45964</v>
      </c>
      <c r="D1814" t="inlineStr">
        <is>
          <t>VÄSTERBOTTENS LÄN</t>
        </is>
      </c>
      <c r="E1814" t="inlineStr">
        <is>
          <t>SKELLEFTEÅ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21883-2022</t>
        </is>
      </c>
      <c r="B1815" s="1" t="n">
        <v>44711</v>
      </c>
      <c r="C1815" s="1" t="n">
        <v>45964</v>
      </c>
      <c r="D1815" t="inlineStr">
        <is>
          <t>VÄSTERBOTTENS LÄN</t>
        </is>
      </c>
      <c r="E1815" t="inlineStr">
        <is>
          <t>SKELLEFTEÅ</t>
        </is>
      </c>
      <c r="F1815" t="inlineStr">
        <is>
          <t>Holmen skog AB</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36761-2025</t>
        </is>
      </c>
      <c r="B1816" s="1" t="n">
        <v>45873.57328703703</v>
      </c>
      <c r="C1816" s="1" t="n">
        <v>45964</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36640-2025</t>
        </is>
      </c>
      <c r="B1817" s="1" t="n">
        <v>45871.05299768518</v>
      </c>
      <c r="C1817" s="1" t="n">
        <v>45964</v>
      </c>
      <c r="D1817" t="inlineStr">
        <is>
          <t>VÄSTERBOTTENS LÄN</t>
        </is>
      </c>
      <c r="E1817" t="inlineStr">
        <is>
          <t>SKELLEFTEÅ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28283-2024</t>
        </is>
      </c>
      <c r="B1818" s="1" t="n">
        <v>45477.46223379629</v>
      </c>
      <c r="C1818" s="1" t="n">
        <v>45964</v>
      </c>
      <c r="D1818" t="inlineStr">
        <is>
          <t>VÄSTERBOTTENS LÄN</t>
        </is>
      </c>
      <c r="E1818" t="inlineStr">
        <is>
          <t>SKELLEFTEÅ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11989-2023</t>
        </is>
      </c>
      <c r="B1819" s="1" t="n">
        <v>44994</v>
      </c>
      <c r="C1819" s="1" t="n">
        <v>45964</v>
      </c>
      <c r="D1819" t="inlineStr">
        <is>
          <t>VÄSTERBOTTENS LÄN</t>
        </is>
      </c>
      <c r="E1819" t="inlineStr">
        <is>
          <t>SKELLEFTEÅ</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55500-2024</t>
        </is>
      </c>
      <c r="B1820" s="1" t="n">
        <v>45622.45622685185</v>
      </c>
      <c r="C1820" s="1" t="n">
        <v>45964</v>
      </c>
      <c r="D1820" t="inlineStr">
        <is>
          <t>VÄSTERBOTTENS LÄN</t>
        </is>
      </c>
      <c r="E1820" t="inlineStr">
        <is>
          <t>SKELLEFTEÅ</t>
        </is>
      </c>
      <c r="G1820" t="n">
        <v>11.2</v>
      </c>
      <c r="H1820" t="n">
        <v>0</v>
      </c>
      <c r="I1820" t="n">
        <v>0</v>
      </c>
      <c r="J1820" t="n">
        <v>0</v>
      </c>
      <c r="K1820" t="n">
        <v>0</v>
      </c>
      <c r="L1820" t="n">
        <v>0</v>
      </c>
      <c r="M1820" t="n">
        <v>0</v>
      </c>
      <c r="N1820" t="n">
        <v>0</v>
      </c>
      <c r="O1820" t="n">
        <v>0</v>
      </c>
      <c r="P1820" t="n">
        <v>0</v>
      </c>
      <c r="Q1820" t="n">
        <v>0</v>
      </c>
      <c r="R1820" s="2" t="inlineStr"/>
    </row>
    <row r="1821" ht="15" customHeight="1">
      <c r="A1821" t="inlineStr">
        <is>
          <t>A 47674-2025</t>
        </is>
      </c>
      <c r="B1821" s="1" t="n">
        <v>45931</v>
      </c>
      <c r="C1821" s="1" t="n">
        <v>45964</v>
      </c>
      <c r="D1821" t="inlineStr">
        <is>
          <t>VÄSTERBOTTENS LÄN</t>
        </is>
      </c>
      <c r="E1821" t="inlineStr">
        <is>
          <t>SKELLEFTEÅ</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39379-2025</t>
        </is>
      </c>
      <c r="B1822" s="1" t="n">
        <v>45889.59917824074</v>
      </c>
      <c r="C1822" s="1" t="n">
        <v>45964</v>
      </c>
      <c r="D1822" t="inlineStr">
        <is>
          <t>VÄSTERBOTTENS LÄN</t>
        </is>
      </c>
      <c r="E1822" t="inlineStr">
        <is>
          <t>SKELLEFTEÅ</t>
        </is>
      </c>
      <c r="F1822" t="inlineStr">
        <is>
          <t>Holmen skog AB</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25638-2023</t>
        </is>
      </c>
      <c r="B1823" s="1" t="n">
        <v>45084</v>
      </c>
      <c r="C1823" s="1" t="n">
        <v>45964</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29932-2023</t>
        </is>
      </c>
      <c r="B1824" s="1" t="n">
        <v>45107</v>
      </c>
      <c r="C1824" s="1" t="n">
        <v>45964</v>
      </c>
      <c r="D1824" t="inlineStr">
        <is>
          <t>VÄSTERBOTTENS LÄN</t>
        </is>
      </c>
      <c r="E1824" t="inlineStr">
        <is>
          <t>SKELLEFTEÅ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11707-2023</t>
        </is>
      </c>
      <c r="B1825" s="1" t="n">
        <v>44992</v>
      </c>
      <c r="C1825" s="1" t="n">
        <v>45964</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7991-2025</t>
        </is>
      </c>
      <c r="B1826" s="1" t="n">
        <v>45707.48981481481</v>
      </c>
      <c r="C1826" s="1" t="n">
        <v>45964</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36763-2025</t>
        </is>
      </c>
      <c r="B1827" s="1" t="n">
        <v>45873.5733912037</v>
      </c>
      <c r="C1827" s="1" t="n">
        <v>45964</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39328-2025</t>
        </is>
      </c>
      <c r="B1828" s="1" t="n">
        <v>45889</v>
      </c>
      <c r="C1828" s="1" t="n">
        <v>45964</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14663-2024</t>
        </is>
      </c>
      <c r="B1829" s="1" t="n">
        <v>45397.41376157408</v>
      </c>
      <c r="C1829" s="1" t="n">
        <v>45964</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36888-2025</t>
        </is>
      </c>
      <c r="B1830" s="1" t="n">
        <v>45874.44873842593</v>
      </c>
      <c r="C1830" s="1" t="n">
        <v>45964</v>
      </c>
      <c r="D1830" t="inlineStr">
        <is>
          <t>VÄSTERBOTTENS LÄN</t>
        </is>
      </c>
      <c r="E1830" t="inlineStr">
        <is>
          <t>SKELLEFTEÅ</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47246-2025</t>
        </is>
      </c>
      <c r="B1831" s="1" t="n">
        <v>45930.42961805555</v>
      </c>
      <c r="C1831" s="1" t="n">
        <v>45964</v>
      </c>
      <c r="D1831" t="inlineStr">
        <is>
          <t>VÄSTERBOTTENS LÄN</t>
        </is>
      </c>
      <c r="E1831" t="inlineStr">
        <is>
          <t>SKELLEFTEÅ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65178-2023</t>
        </is>
      </c>
      <c r="B1832" s="1" t="n">
        <v>45288.93209490741</v>
      </c>
      <c r="C1832" s="1" t="n">
        <v>45964</v>
      </c>
      <c r="D1832" t="inlineStr">
        <is>
          <t>VÄSTERBOTTENS LÄN</t>
        </is>
      </c>
      <c r="E1832" t="inlineStr">
        <is>
          <t>SKELLEFTEÅ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52548-2022</t>
        </is>
      </c>
      <c r="B1833" s="1" t="n">
        <v>44874</v>
      </c>
      <c r="C1833" s="1" t="n">
        <v>45964</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36954-2025</t>
        </is>
      </c>
      <c r="B1834" s="1" t="n">
        <v>45874.61121527778</v>
      </c>
      <c r="C1834" s="1" t="n">
        <v>45964</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39166-2025</t>
        </is>
      </c>
      <c r="B1835" s="1" t="n">
        <v>45888.63756944444</v>
      </c>
      <c r="C1835" s="1" t="n">
        <v>45964</v>
      </c>
      <c r="D1835" t="inlineStr">
        <is>
          <t>VÄSTERBOTTENS LÄN</t>
        </is>
      </c>
      <c r="E1835" t="inlineStr">
        <is>
          <t>SKELLEFTEÅ</t>
        </is>
      </c>
      <c r="F1835" t="inlineStr">
        <is>
          <t>Holmen skog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47739-2025</t>
        </is>
      </c>
      <c r="B1836" s="1" t="n">
        <v>45931.6430787037</v>
      </c>
      <c r="C1836" s="1" t="n">
        <v>45964</v>
      </c>
      <c r="D1836" t="inlineStr">
        <is>
          <t>VÄSTERBOTTENS LÄN</t>
        </is>
      </c>
      <c r="E1836" t="inlineStr">
        <is>
          <t>SKELLEFTEÅ</t>
        </is>
      </c>
      <c r="G1836" t="n">
        <v>9.4</v>
      </c>
      <c r="H1836" t="n">
        <v>0</v>
      </c>
      <c r="I1836" t="n">
        <v>0</v>
      </c>
      <c r="J1836" t="n">
        <v>0</v>
      </c>
      <c r="K1836" t="n">
        <v>0</v>
      </c>
      <c r="L1836" t="n">
        <v>0</v>
      </c>
      <c r="M1836" t="n">
        <v>0</v>
      </c>
      <c r="N1836" t="n">
        <v>0</v>
      </c>
      <c r="O1836" t="n">
        <v>0</v>
      </c>
      <c r="P1836" t="n">
        <v>0</v>
      </c>
      <c r="Q1836" t="n">
        <v>0</v>
      </c>
      <c r="R1836" s="2" t="inlineStr"/>
    </row>
    <row r="1837" ht="15" customHeight="1">
      <c r="A1837" t="inlineStr">
        <is>
          <t>A 26318-2025</t>
        </is>
      </c>
      <c r="B1837" s="1" t="n">
        <v>45805.65717592592</v>
      </c>
      <c r="C1837" s="1" t="n">
        <v>45964</v>
      </c>
      <c r="D1837" t="inlineStr">
        <is>
          <t>VÄSTERBOTTENS LÄN</t>
        </is>
      </c>
      <c r="E1837" t="inlineStr">
        <is>
          <t>SKELLEFTEÅ</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39259-2025</t>
        </is>
      </c>
      <c r="B1838" s="1" t="n">
        <v>45889.37043981482</v>
      </c>
      <c r="C1838" s="1" t="n">
        <v>45964</v>
      </c>
      <c r="D1838" t="inlineStr">
        <is>
          <t>VÄSTERBOTTENS LÄN</t>
        </is>
      </c>
      <c r="E1838" t="inlineStr">
        <is>
          <t>SKELLEFTEÅ</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36903-2025</t>
        </is>
      </c>
      <c r="B1839" s="1" t="n">
        <v>45874.48923611111</v>
      </c>
      <c r="C1839" s="1" t="n">
        <v>45964</v>
      </c>
      <c r="D1839" t="inlineStr">
        <is>
          <t>VÄSTERBOTTENS LÄN</t>
        </is>
      </c>
      <c r="E1839" t="inlineStr">
        <is>
          <t>SKELLEFTEÅ</t>
        </is>
      </c>
      <c r="F1839" t="inlineStr">
        <is>
          <t>Sveaskog</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62023-2024</t>
        </is>
      </c>
      <c r="B1840" s="1" t="n">
        <v>45656.06716435185</v>
      </c>
      <c r="C1840" s="1" t="n">
        <v>45964</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7816-2025</t>
        </is>
      </c>
      <c r="B1841" s="1" t="n">
        <v>45706.63597222222</v>
      </c>
      <c r="C1841" s="1" t="n">
        <v>45964</v>
      </c>
      <c r="D1841" t="inlineStr">
        <is>
          <t>VÄSTERBOTTENS LÄN</t>
        </is>
      </c>
      <c r="E1841" t="inlineStr">
        <is>
          <t>SKELLEFTEÅ</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47667-2025</t>
        </is>
      </c>
      <c r="B1842" s="1" t="n">
        <v>45931</v>
      </c>
      <c r="C1842" s="1" t="n">
        <v>45964</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36848-2025</t>
        </is>
      </c>
      <c r="B1843" s="1" t="n">
        <v>45874.38707175926</v>
      </c>
      <c r="C1843" s="1" t="n">
        <v>45964</v>
      </c>
      <c r="D1843" t="inlineStr">
        <is>
          <t>VÄSTERBOTTENS LÄN</t>
        </is>
      </c>
      <c r="E1843" t="inlineStr">
        <is>
          <t>SKELLEFTEÅ</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37192-2025</t>
        </is>
      </c>
      <c r="B1844" s="1" t="n">
        <v>45875.65143518519</v>
      </c>
      <c r="C1844" s="1" t="n">
        <v>45964</v>
      </c>
      <c r="D1844" t="inlineStr">
        <is>
          <t>VÄSTERBOTTENS LÄN</t>
        </is>
      </c>
      <c r="E1844" t="inlineStr">
        <is>
          <t>SKELLEFTEÅ</t>
        </is>
      </c>
      <c r="F1844" t="inlineStr">
        <is>
          <t>Sveaskog</t>
        </is>
      </c>
      <c r="G1844" t="n">
        <v>24.8</v>
      </c>
      <c r="H1844" t="n">
        <v>0</v>
      </c>
      <c r="I1844" t="n">
        <v>0</v>
      </c>
      <c r="J1844" t="n">
        <v>0</v>
      </c>
      <c r="K1844" t="n">
        <v>0</v>
      </c>
      <c r="L1844" t="n">
        <v>0</v>
      </c>
      <c r="M1844" t="n">
        <v>0</v>
      </c>
      <c r="N1844" t="n">
        <v>0</v>
      </c>
      <c r="O1844" t="n">
        <v>0</v>
      </c>
      <c r="P1844" t="n">
        <v>0</v>
      </c>
      <c r="Q1844" t="n">
        <v>0</v>
      </c>
      <c r="R1844" s="2" t="inlineStr"/>
    </row>
    <row r="1845" ht="15" customHeight="1">
      <c r="A1845" t="inlineStr">
        <is>
          <t>A 36762-2025</t>
        </is>
      </c>
      <c r="B1845" s="1" t="n">
        <v>45873.57332175926</v>
      </c>
      <c r="C1845" s="1" t="n">
        <v>45964</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30791-2025</t>
        </is>
      </c>
      <c r="B1846" s="1" t="n">
        <v>45831.63576388889</v>
      </c>
      <c r="C1846" s="1" t="n">
        <v>45964</v>
      </c>
      <c r="D1846" t="inlineStr">
        <is>
          <t>VÄSTERBOTTENS LÄN</t>
        </is>
      </c>
      <c r="E1846" t="inlineStr">
        <is>
          <t>SKELLEFTEÅ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36925-2025</t>
        </is>
      </c>
      <c r="B1847" s="1" t="n">
        <v>45874.5504050926</v>
      </c>
      <c r="C1847" s="1" t="n">
        <v>45964</v>
      </c>
      <c r="D1847" t="inlineStr">
        <is>
          <t>VÄSTERBOTTENS LÄN</t>
        </is>
      </c>
      <c r="E1847" t="inlineStr">
        <is>
          <t>SKELLEFTEÅ</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36962-2025</t>
        </is>
      </c>
      <c r="B1848" s="1" t="n">
        <v>45874.63052083334</v>
      </c>
      <c r="C1848" s="1" t="n">
        <v>45964</v>
      </c>
      <c r="D1848" t="inlineStr">
        <is>
          <t>VÄSTERBOTTENS LÄN</t>
        </is>
      </c>
      <c r="E1848" t="inlineStr">
        <is>
          <t>SKELLEFTEÅ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4022-2024</t>
        </is>
      </c>
      <c r="B1849" s="1" t="n">
        <v>45323</v>
      </c>
      <c r="C1849" s="1" t="n">
        <v>45964</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47447-2025</t>
        </is>
      </c>
      <c r="B1850" s="1" t="n">
        <v>45930.64424768519</v>
      </c>
      <c r="C1850" s="1" t="n">
        <v>45964</v>
      </c>
      <c r="D1850" t="inlineStr">
        <is>
          <t>VÄSTERBOTTENS LÄN</t>
        </is>
      </c>
      <c r="E1850" t="inlineStr">
        <is>
          <t>SKELLEFTEÅ</t>
        </is>
      </c>
      <c r="F1850" t="inlineStr">
        <is>
          <t>Holmen skog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65206-2023</t>
        </is>
      </c>
      <c r="B1851" s="1" t="n">
        <v>45289.45186342593</v>
      </c>
      <c r="C1851" s="1" t="n">
        <v>45964</v>
      </c>
      <c r="D1851" t="inlineStr">
        <is>
          <t>VÄSTERBOTTENS LÄN</t>
        </is>
      </c>
      <c r="E1851" t="inlineStr">
        <is>
          <t>SKELLEFTEÅ</t>
        </is>
      </c>
      <c r="G1851" t="n">
        <v>19.2</v>
      </c>
      <c r="H1851" t="n">
        <v>0</v>
      </c>
      <c r="I1851" t="n">
        <v>0</v>
      </c>
      <c r="J1851" t="n">
        <v>0</v>
      </c>
      <c r="K1851" t="n">
        <v>0</v>
      </c>
      <c r="L1851" t="n">
        <v>0</v>
      </c>
      <c r="M1851" t="n">
        <v>0</v>
      </c>
      <c r="N1851" t="n">
        <v>0</v>
      </c>
      <c r="O1851" t="n">
        <v>0</v>
      </c>
      <c r="P1851" t="n">
        <v>0</v>
      </c>
      <c r="Q1851" t="n">
        <v>0</v>
      </c>
      <c r="R1851" s="2" t="inlineStr"/>
    </row>
    <row r="1852" ht="15" customHeight="1">
      <c r="A1852" t="inlineStr">
        <is>
          <t>A 4458-2023</t>
        </is>
      </c>
      <c r="B1852" s="1" t="n">
        <v>44952</v>
      </c>
      <c r="C1852" s="1" t="n">
        <v>45964</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37313-2025</t>
        </is>
      </c>
      <c r="B1853" s="1" t="n">
        <v>45876.60814814815</v>
      </c>
      <c r="C1853" s="1" t="n">
        <v>45964</v>
      </c>
      <c r="D1853" t="inlineStr">
        <is>
          <t>VÄSTERBOTTENS LÄN</t>
        </is>
      </c>
      <c r="E1853" t="inlineStr">
        <is>
          <t>SKELLEFTEÅ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50515-2024</t>
        </is>
      </c>
      <c r="B1854" s="1" t="n">
        <v>45601.55185185185</v>
      </c>
      <c r="C1854" s="1" t="n">
        <v>45964</v>
      </c>
      <c r="D1854" t="inlineStr">
        <is>
          <t>VÄSTERBOTTENS LÄN</t>
        </is>
      </c>
      <c r="E1854" t="inlineStr">
        <is>
          <t>SKELLEFTEÅ</t>
        </is>
      </c>
      <c r="F1854" t="inlineStr">
        <is>
          <t>Holmen skog AB</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2090-2024</t>
        </is>
      </c>
      <c r="B1855" s="1" t="n">
        <v>45309.434375</v>
      </c>
      <c r="C1855" s="1" t="n">
        <v>45964</v>
      </c>
      <c r="D1855" t="inlineStr">
        <is>
          <t>VÄSTERBOTTENS LÄN</t>
        </is>
      </c>
      <c r="E1855" t="inlineStr">
        <is>
          <t>SKELLEFTEÅ</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39349-2025</t>
        </is>
      </c>
      <c r="B1856" s="1" t="n">
        <v>45889.5431712963</v>
      </c>
      <c r="C1856" s="1" t="n">
        <v>45964</v>
      </c>
      <c r="D1856" t="inlineStr">
        <is>
          <t>VÄSTERBOTTENS LÄN</t>
        </is>
      </c>
      <c r="E1856" t="inlineStr">
        <is>
          <t>SKELLEFTEÅ</t>
        </is>
      </c>
      <c r="F1856" t="inlineStr">
        <is>
          <t>Kommuner</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46108-2024</t>
        </is>
      </c>
      <c r="B1857" s="1" t="n">
        <v>45581</v>
      </c>
      <c r="C1857" s="1" t="n">
        <v>45964</v>
      </c>
      <c r="D1857" t="inlineStr">
        <is>
          <t>VÄSTERBOTTENS LÄN</t>
        </is>
      </c>
      <c r="E1857" t="inlineStr">
        <is>
          <t>SKELLEFTEÅ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16642-2025</t>
        </is>
      </c>
      <c r="B1858" s="1" t="n">
        <v>45754.37208333334</v>
      </c>
      <c r="C1858" s="1" t="n">
        <v>45964</v>
      </c>
      <c r="D1858" t="inlineStr">
        <is>
          <t>VÄSTERBOTTENS LÄN</t>
        </is>
      </c>
      <c r="E1858" t="inlineStr">
        <is>
          <t>SKELLEFTEÅ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2043-2024</t>
        </is>
      </c>
      <c r="B1859" s="1" t="n">
        <v>45308</v>
      </c>
      <c r="C1859" s="1" t="n">
        <v>45964</v>
      </c>
      <c r="D1859" t="inlineStr">
        <is>
          <t>VÄSTERBOTTENS LÄN</t>
        </is>
      </c>
      <c r="E1859" t="inlineStr">
        <is>
          <t>SKELLEFTEÅ</t>
        </is>
      </c>
      <c r="G1859" t="n">
        <v>10.5</v>
      </c>
      <c r="H1859" t="n">
        <v>0</v>
      </c>
      <c r="I1859" t="n">
        <v>0</v>
      </c>
      <c r="J1859" t="n">
        <v>0</v>
      </c>
      <c r="K1859" t="n">
        <v>0</v>
      </c>
      <c r="L1859" t="n">
        <v>0</v>
      </c>
      <c r="M1859" t="n">
        <v>0</v>
      </c>
      <c r="N1859" t="n">
        <v>0</v>
      </c>
      <c r="O1859" t="n">
        <v>0</v>
      </c>
      <c r="P1859" t="n">
        <v>0</v>
      </c>
      <c r="Q1859" t="n">
        <v>0</v>
      </c>
      <c r="R1859" s="2" t="inlineStr"/>
    </row>
    <row r="1860" ht="15" customHeight="1">
      <c r="A1860" t="inlineStr">
        <is>
          <t>A 37318-2025</t>
        </is>
      </c>
      <c r="B1860" s="1" t="n">
        <v>45876.61952546296</v>
      </c>
      <c r="C1860" s="1" t="n">
        <v>45964</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39254-2025</t>
        </is>
      </c>
      <c r="B1861" s="1" t="n">
        <v>45889.36454861111</v>
      </c>
      <c r="C1861" s="1" t="n">
        <v>45964</v>
      </c>
      <c r="D1861" t="inlineStr">
        <is>
          <t>VÄSTERBOTTENS LÄN</t>
        </is>
      </c>
      <c r="E1861" t="inlineStr">
        <is>
          <t>SKELLEFTEÅ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9051-2021</t>
        </is>
      </c>
      <c r="B1862" s="1" t="n">
        <v>44249</v>
      </c>
      <c r="C1862" s="1" t="n">
        <v>45964</v>
      </c>
      <c r="D1862" t="inlineStr">
        <is>
          <t>VÄSTERBOTTENS LÄN</t>
        </is>
      </c>
      <c r="E1862" t="inlineStr">
        <is>
          <t>SKELLEFTEÅ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30369-2023</t>
        </is>
      </c>
      <c r="B1863" s="1" t="n">
        <v>45111</v>
      </c>
      <c r="C1863" s="1" t="n">
        <v>45964</v>
      </c>
      <c r="D1863" t="inlineStr">
        <is>
          <t>VÄSTERBOTTENS LÄN</t>
        </is>
      </c>
      <c r="E1863" t="inlineStr">
        <is>
          <t>SKELLEFTEÅ</t>
        </is>
      </c>
      <c r="F1863" t="inlineStr">
        <is>
          <t>Holmen skog AB</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37429-2025</t>
        </is>
      </c>
      <c r="B1864" s="1" t="n">
        <v>45877.50601851852</v>
      </c>
      <c r="C1864" s="1" t="n">
        <v>45964</v>
      </c>
      <c r="D1864" t="inlineStr">
        <is>
          <t>VÄSTERBOTTENS LÄN</t>
        </is>
      </c>
      <c r="E1864" t="inlineStr">
        <is>
          <t>SKELLEFTEÅ</t>
        </is>
      </c>
      <c r="F1864" t="inlineStr">
        <is>
          <t>Holmen skog AB</t>
        </is>
      </c>
      <c r="G1864" t="n">
        <v>13.4</v>
      </c>
      <c r="H1864" t="n">
        <v>0</v>
      </c>
      <c r="I1864" t="n">
        <v>0</v>
      </c>
      <c r="J1864" t="n">
        <v>0</v>
      </c>
      <c r="K1864" t="n">
        <v>0</v>
      </c>
      <c r="L1864" t="n">
        <v>0</v>
      </c>
      <c r="M1864" t="n">
        <v>0</v>
      </c>
      <c r="N1864" t="n">
        <v>0</v>
      </c>
      <c r="O1864" t="n">
        <v>0</v>
      </c>
      <c r="P1864" t="n">
        <v>0</v>
      </c>
      <c r="Q1864" t="n">
        <v>0</v>
      </c>
      <c r="R1864" s="2" t="inlineStr"/>
    </row>
    <row r="1865" ht="15" customHeight="1">
      <c r="A1865" t="inlineStr">
        <is>
          <t>A 24825-2025</t>
        </is>
      </c>
      <c r="B1865" s="1" t="n">
        <v>45799.45575231482</v>
      </c>
      <c r="C1865" s="1" t="n">
        <v>45964</v>
      </c>
      <c r="D1865" t="inlineStr">
        <is>
          <t>VÄSTERBOTTENS LÄN</t>
        </is>
      </c>
      <c r="E1865" t="inlineStr">
        <is>
          <t>SKELLEFTEÅ</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39064-2025</t>
        </is>
      </c>
      <c r="B1866" s="1" t="n">
        <v>45888.46336805556</v>
      </c>
      <c r="C1866" s="1" t="n">
        <v>45964</v>
      </c>
      <c r="D1866" t="inlineStr">
        <is>
          <t>VÄSTERBOTTENS LÄN</t>
        </is>
      </c>
      <c r="E1866" t="inlineStr">
        <is>
          <t>SKELLEFTEÅ</t>
        </is>
      </c>
      <c r="F1866" t="inlineStr">
        <is>
          <t>Holmen skog AB</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39105-2025</t>
        </is>
      </c>
      <c r="B1867" s="1" t="n">
        <v>45888.52792824074</v>
      </c>
      <c r="C1867" s="1" t="n">
        <v>45964</v>
      </c>
      <c r="D1867" t="inlineStr">
        <is>
          <t>VÄSTERBOTTENS LÄN</t>
        </is>
      </c>
      <c r="E1867" t="inlineStr">
        <is>
          <t>SKELLEFTEÅ</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4104-2023</t>
        </is>
      </c>
      <c r="B1868" s="1" t="n">
        <v>44952</v>
      </c>
      <c r="C1868" s="1" t="n">
        <v>45964</v>
      </c>
      <c r="D1868" t="inlineStr">
        <is>
          <t>VÄSTERBOTTENS LÄN</t>
        </is>
      </c>
      <c r="E1868" t="inlineStr">
        <is>
          <t>SKELLEFTEÅ</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39890-2025</t>
        </is>
      </c>
      <c r="B1869" s="1" t="n">
        <v>45891.62754629629</v>
      </c>
      <c r="C1869" s="1" t="n">
        <v>45964</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16410-2025</t>
        </is>
      </c>
      <c r="B1870" s="1" t="n">
        <v>45751.45734953704</v>
      </c>
      <c r="C1870" s="1" t="n">
        <v>45964</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c r="U1870">
        <f>HYPERLINK("https://klasma.github.io/Logging_2482/knärot/A 16410-2025 karta knärot.png", "A 16410-2025")</f>
        <v/>
      </c>
      <c r="V1870">
        <f>HYPERLINK("https://klasma.github.io/Logging_2482/klagomål/A 16410-2025 FSC-klagomål.docx", "A 16410-2025")</f>
        <v/>
      </c>
      <c r="W1870">
        <f>HYPERLINK("https://klasma.github.io/Logging_2482/klagomålsmail/A 16410-2025 FSC-klagomål mail.docx", "A 16410-2025")</f>
        <v/>
      </c>
      <c r="X1870">
        <f>HYPERLINK("https://klasma.github.io/Logging_2482/tillsyn/A 16410-2025 tillsynsbegäran.docx", "A 16410-2025")</f>
        <v/>
      </c>
      <c r="Y1870">
        <f>HYPERLINK("https://klasma.github.io/Logging_2482/tillsynsmail/A 16410-2025 tillsynsbegäran mail.docx", "A 16410-2025")</f>
        <v/>
      </c>
    </row>
    <row r="1871" ht="15" customHeight="1">
      <c r="A1871" t="inlineStr">
        <is>
          <t>A 5373-2023</t>
        </is>
      </c>
      <c r="B1871" s="1" t="n">
        <v>44957</v>
      </c>
      <c r="C1871" s="1" t="n">
        <v>45964</v>
      </c>
      <c r="D1871" t="inlineStr">
        <is>
          <t>VÄSTERBOTTENS LÄN</t>
        </is>
      </c>
      <c r="E1871" t="inlineStr">
        <is>
          <t>SKELLEFTEÅ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58575-2023</t>
        </is>
      </c>
      <c r="B1872" s="1" t="n">
        <v>45251.44665509259</v>
      </c>
      <c r="C1872" s="1" t="n">
        <v>45964</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39705-2025</t>
        </is>
      </c>
      <c r="B1873" s="1" t="n">
        <v>45890.73013888889</v>
      </c>
      <c r="C1873" s="1" t="n">
        <v>45964</v>
      </c>
      <c r="D1873" t="inlineStr">
        <is>
          <t>VÄSTERBOTTENS LÄN</t>
        </is>
      </c>
      <c r="E1873" t="inlineStr">
        <is>
          <t>SKELLEFTEÅ</t>
        </is>
      </c>
      <c r="F1873" t="inlineStr">
        <is>
          <t>Sveaskog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37322-2025</t>
        </is>
      </c>
      <c r="B1874" s="1" t="n">
        <v>45876.62466435185</v>
      </c>
      <c r="C1874" s="1" t="n">
        <v>45964</v>
      </c>
      <c r="D1874" t="inlineStr">
        <is>
          <t>VÄSTERBOTTENS LÄN</t>
        </is>
      </c>
      <c r="E1874" t="inlineStr">
        <is>
          <t>SKELLEFTEÅ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48021-2025</t>
        </is>
      </c>
      <c r="B1875" s="1" t="n">
        <v>45932.64856481482</v>
      </c>
      <c r="C1875" s="1" t="n">
        <v>45964</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48098-2025</t>
        </is>
      </c>
      <c r="B1876" s="1" t="n">
        <v>45933.32584490741</v>
      </c>
      <c r="C1876" s="1" t="n">
        <v>45964</v>
      </c>
      <c r="D1876" t="inlineStr">
        <is>
          <t>VÄSTERBOTTENS LÄN</t>
        </is>
      </c>
      <c r="E1876" t="inlineStr">
        <is>
          <t>SKELLEFTEÅ</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21842-2022</t>
        </is>
      </c>
      <c r="B1877" s="1" t="n">
        <v>44711.30804398148</v>
      </c>
      <c r="C1877" s="1" t="n">
        <v>45964</v>
      </c>
      <c r="D1877" t="inlineStr">
        <is>
          <t>VÄSTERBOTTENS LÄN</t>
        </is>
      </c>
      <c r="E1877" t="inlineStr">
        <is>
          <t>SKELLEFTEÅ</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39589-2025</t>
        </is>
      </c>
      <c r="B1878" s="1" t="n">
        <v>45890.5162037037</v>
      </c>
      <c r="C1878" s="1" t="n">
        <v>45964</v>
      </c>
      <c r="D1878" t="inlineStr">
        <is>
          <t>VÄSTERBOTTENS LÄN</t>
        </is>
      </c>
      <c r="E1878" t="inlineStr">
        <is>
          <t>SKELLEFTEÅ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26626-2024</t>
        </is>
      </c>
      <c r="B1879" s="1" t="n">
        <v>45469.78458333333</v>
      </c>
      <c r="C1879" s="1" t="n">
        <v>45964</v>
      </c>
      <c r="D1879" t="inlineStr">
        <is>
          <t>VÄSTERBOTTENS LÄN</t>
        </is>
      </c>
      <c r="E1879" t="inlineStr">
        <is>
          <t>SKELLEFTEÅ</t>
        </is>
      </c>
      <c r="F1879" t="inlineStr">
        <is>
          <t>Sveaskog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48033-2025</t>
        </is>
      </c>
      <c r="B1880" s="1" t="n">
        <v>45932.65663194445</v>
      </c>
      <c r="C1880" s="1" t="n">
        <v>45964</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45644-2025</t>
        </is>
      </c>
      <c r="B1881" s="1" t="n">
        <v>45923.29819444445</v>
      </c>
      <c r="C1881" s="1" t="n">
        <v>45964</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47950-2025</t>
        </is>
      </c>
      <c r="B1882" s="1" t="n">
        <v>45932.57682870371</v>
      </c>
      <c r="C1882" s="1" t="n">
        <v>45964</v>
      </c>
      <c r="D1882" t="inlineStr">
        <is>
          <t>VÄSTERBOTTENS LÄN</t>
        </is>
      </c>
      <c r="E1882" t="inlineStr">
        <is>
          <t>SKELLEFTEÅ</t>
        </is>
      </c>
      <c r="F1882" t="inlineStr">
        <is>
          <t>Holmen skog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45760-2025</t>
        </is>
      </c>
      <c r="B1883" s="1" t="n">
        <v>45923.51121527778</v>
      </c>
      <c r="C1883" s="1" t="n">
        <v>45964</v>
      </c>
      <c r="D1883" t="inlineStr">
        <is>
          <t>VÄSTERBOTTENS LÄN</t>
        </is>
      </c>
      <c r="E1883" t="inlineStr">
        <is>
          <t>SKELLEFTEÅ</t>
        </is>
      </c>
      <c r="F1883" t="inlineStr">
        <is>
          <t>Holmen skog AB</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45787-2025</t>
        </is>
      </c>
      <c r="B1884" s="1" t="n">
        <v>45923.5621875</v>
      </c>
      <c r="C1884" s="1" t="n">
        <v>45964</v>
      </c>
      <c r="D1884" t="inlineStr">
        <is>
          <t>VÄSTERBOTTENS LÄN</t>
        </is>
      </c>
      <c r="E1884" t="inlineStr">
        <is>
          <t>SKELLEFTEÅ</t>
        </is>
      </c>
      <c r="F1884" t="inlineStr">
        <is>
          <t>Holmen skog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39477-2025</t>
        </is>
      </c>
      <c r="B1885" s="1" t="n">
        <v>45890.34474537037</v>
      </c>
      <c r="C1885" s="1" t="n">
        <v>45964</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21343-2025</t>
        </is>
      </c>
      <c r="B1886" s="1" t="n">
        <v>45782.39872685185</v>
      </c>
      <c r="C1886" s="1" t="n">
        <v>45964</v>
      </c>
      <c r="D1886" t="inlineStr">
        <is>
          <t>VÄSTERBOTTENS LÄN</t>
        </is>
      </c>
      <c r="E1886" t="inlineStr">
        <is>
          <t>SKELLEFTEÅ</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11624-2023</t>
        </is>
      </c>
      <c r="B1887" s="1" t="n">
        <v>44994.42565972222</v>
      </c>
      <c r="C1887" s="1" t="n">
        <v>45964</v>
      </c>
      <c r="D1887" t="inlineStr">
        <is>
          <t>VÄSTERBOTTENS LÄN</t>
        </is>
      </c>
      <c r="E1887" t="inlineStr">
        <is>
          <t>SKELLEFTEÅ</t>
        </is>
      </c>
      <c r="G1887" t="n">
        <v>47.6</v>
      </c>
      <c r="H1887" t="n">
        <v>0</v>
      </c>
      <c r="I1887" t="n">
        <v>0</v>
      </c>
      <c r="J1887" t="n">
        <v>0</v>
      </c>
      <c r="K1887" t="n">
        <v>0</v>
      </c>
      <c r="L1887" t="n">
        <v>0</v>
      </c>
      <c r="M1887" t="n">
        <v>0</v>
      </c>
      <c r="N1887" t="n">
        <v>0</v>
      </c>
      <c r="O1887" t="n">
        <v>0</v>
      </c>
      <c r="P1887" t="n">
        <v>0</v>
      </c>
      <c r="Q1887" t="n">
        <v>0</v>
      </c>
      <c r="R1887" s="2" t="inlineStr"/>
    </row>
    <row r="1888" ht="15" customHeight="1">
      <c r="A1888" t="inlineStr">
        <is>
          <t>A 10287-2025</t>
        </is>
      </c>
      <c r="B1888" s="1" t="n">
        <v>45720</v>
      </c>
      <c r="C1888" s="1" t="n">
        <v>45964</v>
      </c>
      <c r="D1888" t="inlineStr">
        <is>
          <t>VÄSTERBOTTENS LÄN</t>
        </is>
      </c>
      <c r="E1888" t="inlineStr">
        <is>
          <t>SKELLEFTEÅ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45598-2025</t>
        </is>
      </c>
      <c r="B1889" s="1" t="n">
        <v>45922.68771990741</v>
      </c>
      <c r="C1889" s="1" t="n">
        <v>45964</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54264-2024</t>
        </is>
      </c>
      <c r="B1890" s="1" t="n">
        <v>45616</v>
      </c>
      <c r="C1890" s="1" t="n">
        <v>45964</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36327-2023</t>
        </is>
      </c>
      <c r="B1891" s="1" t="n">
        <v>45152</v>
      </c>
      <c r="C1891" s="1" t="n">
        <v>45964</v>
      </c>
      <c r="D1891" t="inlineStr">
        <is>
          <t>VÄSTERBOTTENS LÄN</t>
        </is>
      </c>
      <c r="E1891" t="inlineStr">
        <is>
          <t>SKELLEFTEÅ</t>
        </is>
      </c>
      <c r="F1891" t="inlineStr">
        <is>
          <t>Holmen skog AB</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35952-2023</t>
        </is>
      </c>
      <c r="B1892" s="1" t="n">
        <v>45148</v>
      </c>
      <c r="C1892" s="1" t="n">
        <v>45964</v>
      </c>
      <c r="D1892" t="inlineStr">
        <is>
          <t>VÄSTERBOTTENS LÄN</t>
        </is>
      </c>
      <c r="E1892" t="inlineStr">
        <is>
          <t>SKELLEFTEÅ</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45485-2025</t>
        </is>
      </c>
      <c r="B1893" s="1" t="n">
        <v>45922.54546296296</v>
      </c>
      <c r="C1893" s="1" t="n">
        <v>45964</v>
      </c>
      <c r="D1893" t="inlineStr">
        <is>
          <t>VÄSTERBOTTENS LÄN</t>
        </is>
      </c>
      <c r="E1893" t="inlineStr">
        <is>
          <t>SKELLEFTEÅ</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45559-2025</t>
        </is>
      </c>
      <c r="B1894" s="1" t="n">
        <v>45922.64508101852</v>
      </c>
      <c r="C1894" s="1" t="n">
        <v>45964</v>
      </c>
      <c r="D1894" t="inlineStr">
        <is>
          <t>VÄSTERBOTTENS LÄN</t>
        </is>
      </c>
      <c r="E1894" t="inlineStr">
        <is>
          <t>SKELLEFTEÅ</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39522-2025</t>
        </is>
      </c>
      <c r="B1895" s="1" t="n">
        <v>45890.43673611111</v>
      </c>
      <c r="C1895" s="1" t="n">
        <v>45964</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10911-2024</t>
        </is>
      </c>
      <c r="B1896" s="1" t="n">
        <v>45370</v>
      </c>
      <c r="C1896" s="1" t="n">
        <v>45964</v>
      </c>
      <c r="D1896" t="inlineStr">
        <is>
          <t>VÄSTERBOTTENS LÄN</t>
        </is>
      </c>
      <c r="E1896" t="inlineStr">
        <is>
          <t>SKELLEFTEÅ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45732-2025</t>
        </is>
      </c>
      <c r="B1897" s="1" t="n">
        <v>45923.46354166666</v>
      </c>
      <c r="C1897" s="1" t="n">
        <v>45964</v>
      </c>
      <c r="D1897" t="inlineStr">
        <is>
          <t>VÄSTERBOTTENS LÄN</t>
        </is>
      </c>
      <c r="E1897" t="inlineStr">
        <is>
          <t>SKELLEFTEÅ</t>
        </is>
      </c>
      <c r="F1897" t="inlineStr">
        <is>
          <t>Holmen skog AB</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39733-2025</t>
        </is>
      </c>
      <c r="B1898" s="1" t="n">
        <v>45891.36577546296</v>
      </c>
      <c r="C1898" s="1" t="n">
        <v>45964</v>
      </c>
      <c r="D1898" t="inlineStr">
        <is>
          <t>VÄSTERBOTTENS LÄN</t>
        </is>
      </c>
      <c r="E1898" t="inlineStr">
        <is>
          <t>SKELLEFTEÅ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48003-2025</t>
        </is>
      </c>
      <c r="B1899" s="1" t="n">
        <v>45932.63306712963</v>
      </c>
      <c r="C1899" s="1" t="n">
        <v>45964</v>
      </c>
      <c r="D1899" t="inlineStr">
        <is>
          <t>VÄSTERBOTTENS LÄN</t>
        </is>
      </c>
      <c r="E1899" t="inlineStr">
        <is>
          <t>SKELLEFTEÅ</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47991-2025</t>
        </is>
      </c>
      <c r="B1900" s="1" t="n">
        <v>45932.62354166667</v>
      </c>
      <c r="C1900" s="1" t="n">
        <v>45964</v>
      </c>
      <c r="D1900" t="inlineStr">
        <is>
          <t>VÄSTERBOTTENS LÄN</t>
        </is>
      </c>
      <c r="E1900" t="inlineStr">
        <is>
          <t>SKELLEFTEÅ</t>
        </is>
      </c>
      <c r="F1900" t="inlineStr">
        <is>
          <t>Holmen skog AB</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37962-2025</t>
        </is>
      </c>
      <c r="B1901" s="1" t="n">
        <v>45881</v>
      </c>
      <c r="C1901" s="1" t="n">
        <v>45964</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18443-2025</t>
        </is>
      </c>
      <c r="B1902" s="1" t="n">
        <v>45762.65668981482</v>
      </c>
      <c r="C1902" s="1" t="n">
        <v>45964</v>
      </c>
      <c r="D1902" t="inlineStr">
        <is>
          <t>VÄSTERBOTTENS LÄN</t>
        </is>
      </c>
      <c r="E1902" t="inlineStr">
        <is>
          <t>SKELLEFTEÅ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47827-2025</t>
        </is>
      </c>
      <c r="B1903" s="1" t="n">
        <v>45932.34491898148</v>
      </c>
      <c r="C1903" s="1" t="n">
        <v>45964</v>
      </c>
      <c r="D1903" t="inlineStr">
        <is>
          <t>VÄSTERBOTTENS LÄN</t>
        </is>
      </c>
      <c r="E1903" t="inlineStr">
        <is>
          <t>SKELLEFTEÅ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37702-2025</t>
        </is>
      </c>
      <c r="B1904" s="1" t="n">
        <v>45880.58201388889</v>
      </c>
      <c r="C1904" s="1" t="n">
        <v>45964</v>
      </c>
      <c r="D1904" t="inlineStr">
        <is>
          <t>VÄSTERBOTTENS LÄN</t>
        </is>
      </c>
      <c r="E1904" t="inlineStr">
        <is>
          <t>SKELLEFTEÅ</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37711-2025</t>
        </is>
      </c>
      <c r="B1905" s="1" t="n">
        <v>45880.59618055556</v>
      </c>
      <c r="C1905" s="1" t="n">
        <v>45964</v>
      </c>
      <c r="D1905" t="inlineStr">
        <is>
          <t>VÄSTERBOTTENS LÄN</t>
        </is>
      </c>
      <c r="E1905" t="inlineStr">
        <is>
          <t>SKELLEFTEÅ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45779-2025</t>
        </is>
      </c>
      <c r="B1906" s="1" t="n">
        <v>45923</v>
      </c>
      <c r="C1906" s="1" t="n">
        <v>45964</v>
      </c>
      <c r="D1906" t="inlineStr">
        <is>
          <t>VÄSTERBOTTENS LÄN</t>
        </is>
      </c>
      <c r="E1906" t="inlineStr">
        <is>
          <t>SKELLEFTEÅ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48092-2025</t>
        </is>
      </c>
      <c r="B1907" s="1" t="n">
        <v>45933.2931712963</v>
      </c>
      <c r="C1907" s="1" t="n">
        <v>45964</v>
      </c>
      <c r="D1907" t="inlineStr">
        <is>
          <t>VÄSTERBOTTENS LÄN</t>
        </is>
      </c>
      <c r="E1907" t="inlineStr">
        <is>
          <t>SKELLEFTEÅ</t>
        </is>
      </c>
      <c r="F1907" t="inlineStr">
        <is>
          <t>Holmen skog AB</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30432-2025</t>
        </is>
      </c>
      <c r="B1908" s="1" t="n">
        <v>45827.6325462963</v>
      </c>
      <c r="C1908" s="1" t="n">
        <v>45964</v>
      </c>
      <c r="D1908" t="inlineStr">
        <is>
          <t>VÄSTERBOTTENS LÄN</t>
        </is>
      </c>
      <c r="E1908" t="inlineStr">
        <is>
          <t>SKELLEFTEÅ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45366-2025</t>
        </is>
      </c>
      <c r="B1909" s="1" t="n">
        <v>45922.38587962963</v>
      </c>
      <c r="C1909" s="1" t="n">
        <v>45964</v>
      </c>
      <c r="D1909" t="inlineStr">
        <is>
          <t>VÄSTERBOTTENS LÄN</t>
        </is>
      </c>
      <c r="E1909" t="inlineStr">
        <is>
          <t>SKELLEFTEÅ</t>
        </is>
      </c>
      <c r="G1909" t="n">
        <v>16.3</v>
      </c>
      <c r="H1909" t="n">
        <v>0</v>
      </c>
      <c r="I1909" t="n">
        <v>0</v>
      </c>
      <c r="J1909" t="n">
        <v>0</v>
      </c>
      <c r="K1909" t="n">
        <v>0</v>
      </c>
      <c r="L1909" t="n">
        <v>0</v>
      </c>
      <c r="M1909" t="n">
        <v>0</v>
      </c>
      <c r="N1909" t="n">
        <v>0</v>
      </c>
      <c r="O1909" t="n">
        <v>0</v>
      </c>
      <c r="P1909" t="n">
        <v>0</v>
      </c>
      <c r="Q1909" t="n">
        <v>0</v>
      </c>
      <c r="R1909" s="2" t="inlineStr"/>
    </row>
    <row r="1910" ht="15" customHeight="1">
      <c r="A1910" t="inlineStr">
        <is>
          <t>A 45393-2025</t>
        </is>
      </c>
      <c r="B1910" s="1" t="n">
        <v>45922.40796296296</v>
      </c>
      <c r="C1910" s="1" t="n">
        <v>45964</v>
      </c>
      <c r="D1910" t="inlineStr">
        <is>
          <t>VÄSTERBOTTENS LÄN</t>
        </is>
      </c>
      <c r="E1910" t="inlineStr">
        <is>
          <t>SKELLEFTEÅ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45398-2025</t>
        </is>
      </c>
      <c r="B1911" s="1" t="n">
        <v>45922.42065972222</v>
      </c>
      <c r="C1911" s="1" t="n">
        <v>45964</v>
      </c>
      <c r="D1911" t="inlineStr">
        <is>
          <t>VÄSTERBOTTENS LÄN</t>
        </is>
      </c>
      <c r="E1911" t="inlineStr">
        <is>
          <t>SKELLEFTEÅ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39681-2025</t>
        </is>
      </c>
      <c r="B1912" s="1" t="n">
        <v>45890.65736111111</v>
      </c>
      <c r="C1912" s="1" t="n">
        <v>45964</v>
      </c>
      <c r="D1912" t="inlineStr">
        <is>
          <t>VÄSTERBOTTENS LÄN</t>
        </is>
      </c>
      <c r="E1912" t="inlineStr">
        <is>
          <t>SKELLEFTEÅ</t>
        </is>
      </c>
      <c r="F1912" t="inlineStr">
        <is>
          <t>Holmen skog AB</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45827-2025</t>
        </is>
      </c>
      <c r="B1913" s="1" t="n">
        <v>45923.60094907408</v>
      </c>
      <c r="C1913" s="1" t="n">
        <v>45964</v>
      </c>
      <c r="D1913" t="inlineStr">
        <is>
          <t>VÄSTERBOTTENS LÄN</t>
        </is>
      </c>
      <c r="E1913" t="inlineStr">
        <is>
          <t>SKELLEFTEÅ</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62052-2024</t>
        </is>
      </c>
      <c r="B1914" s="1" t="n">
        <v>45656.3674537037</v>
      </c>
      <c r="C1914" s="1" t="n">
        <v>45964</v>
      </c>
      <c r="D1914" t="inlineStr">
        <is>
          <t>VÄSTERBOTTENS LÄN</t>
        </is>
      </c>
      <c r="E1914" t="inlineStr">
        <is>
          <t>SKELLEFTEÅ</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1249-2025</t>
        </is>
      </c>
      <c r="B1915" s="1" t="n">
        <v>45667.4634375</v>
      </c>
      <c r="C1915" s="1" t="n">
        <v>45964</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3193-2025</t>
        </is>
      </c>
      <c r="B1916" s="1" t="n">
        <v>45679.42042824074</v>
      </c>
      <c r="C1916" s="1" t="n">
        <v>45964</v>
      </c>
      <c r="D1916" t="inlineStr">
        <is>
          <t>VÄSTERBOTTENS LÄN</t>
        </is>
      </c>
      <c r="E1916" t="inlineStr">
        <is>
          <t>SKELLEFTEÅ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17874-2025</t>
        </is>
      </c>
      <c r="B1917" s="1" t="n">
        <v>45758.64266203704</v>
      </c>
      <c r="C1917" s="1" t="n">
        <v>45964</v>
      </c>
      <c r="D1917" t="inlineStr">
        <is>
          <t>VÄSTERBOTTENS LÄN</t>
        </is>
      </c>
      <c r="E1917" t="inlineStr">
        <is>
          <t>SKELLEFTEÅ</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39530-2025</t>
        </is>
      </c>
      <c r="B1918" s="1" t="n">
        <v>45890.44736111111</v>
      </c>
      <c r="C1918" s="1" t="n">
        <v>45964</v>
      </c>
      <c r="D1918" t="inlineStr">
        <is>
          <t>VÄSTERBOTTENS LÄN</t>
        </is>
      </c>
      <c r="E1918" t="inlineStr">
        <is>
          <t>SKELLEFTEÅ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47891-2025</t>
        </is>
      </c>
      <c r="B1919" s="1" t="n">
        <v>45932.47138888889</v>
      </c>
      <c r="C1919" s="1" t="n">
        <v>45964</v>
      </c>
      <c r="D1919" t="inlineStr">
        <is>
          <t>VÄSTERBOTTENS LÄN</t>
        </is>
      </c>
      <c r="E1919" t="inlineStr">
        <is>
          <t>SKELLEFTEÅ</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7875-2023</t>
        </is>
      </c>
      <c r="B1920" s="1" t="n">
        <v>44967</v>
      </c>
      <c r="C1920" s="1" t="n">
        <v>45964</v>
      </c>
      <c r="D1920" t="inlineStr">
        <is>
          <t>VÄSTERBOTTENS LÄN</t>
        </is>
      </c>
      <c r="E1920" t="inlineStr">
        <is>
          <t>SKELLEFTEÅ</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53720-2024</t>
        </is>
      </c>
      <c r="B1921" s="1" t="n">
        <v>45615.43817129629</v>
      </c>
      <c r="C1921" s="1" t="n">
        <v>45964</v>
      </c>
      <c r="D1921" t="inlineStr">
        <is>
          <t>VÄSTERBOTTENS LÄN</t>
        </is>
      </c>
      <c r="E1921" t="inlineStr">
        <is>
          <t>SKELLEFTEÅ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32747-2023</t>
        </is>
      </c>
      <c r="B1922" s="1" t="n">
        <v>45122</v>
      </c>
      <c r="C1922" s="1" t="n">
        <v>45964</v>
      </c>
      <c r="D1922" t="inlineStr">
        <is>
          <t>VÄSTERBOTTENS LÄN</t>
        </is>
      </c>
      <c r="E1922" t="inlineStr">
        <is>
          <t>SKELLEFTEÅ</t>
        </is>
      </c>
      <c r="F1922" t="inlineStr">
        <is>
          <t>Holmen skog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45654-2025</t>
        </is>
      </c>
      <c r="B1923" s="1" t="n">
        <v>45923.33994212963</v>
      </c>
      <c r="C1923" s="1" t="n">
        <v>45964</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37900-2025</t>
        </is>
      </c>
      <c r="B1924" s="1" t="n">
        <v>45881.56103009259</v>
      </c>
      <c r="C1924" s="1" t="n">
        <v>45964</v>
      </c>
      <c r="D1924" t="inlineStr">
        <is>
          <t>VÄSTERBOTTENS LÄN</t>
        </is>
      </c>
      <c r="E1924" t="inlineStr">
        <is>
          <t>SKELLEFTEÅ</t>
        </is>
      </c>
      <c r="F1924" t="inlineStr">
        <is>
          <t>Holmen skog AB</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19752-2025</t>
        </is>
      </c>
      <c r="B1925" s="1" t="n">
        <v>45771.38605324074</v>
      </c>
      <c r="C1925" s="1" t="n">
        <v>45964</v>
      </c>
      <c r="D1925" t="inlineStr">
        <is>
          <t>VÄSTERBOTTENS LÄN</t>
        </is>
      </c>
      <c r="E1925" t="inlineStr">
        <is>
          <t>SKELLEFTEÅ</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51222-2022</t>
        </is>
      </c>
      <c r="B1926" s="1" t="n">
        <v>44868.63834490741</v>
      </c>
      <c r="C1926" s="1" t="n">
        <v>45964</v>
      </c>
      <c r="D1926" t="inlineStr">
        <is>
          <t>VÄSTERBOTTENS LÄN</t>
        </is>
      </c>
      <c r="E1926" t="inlineStr">
        <is>
          <t>SKELLEFTEÅ</t>
        </is>
      </c>
      <c r="F1926" t="inlineStr">
        <is>
          <t>Holmen skog AB</t>
        </is>
      </c>
      <c r="G1926" t="n">
        <v>16.4</v>
      </c>
      <c r="H1926" t="n">
        <v>0</v>
      </c>
      <c r="I1926" t="n">
        <v>0</v>
      </c>
      <c r="J1926" t="n">
        <v>0</v>
      </c>
      <c r="K1926" t="n">
        <v>0</v>
      </c>
      <c r="L1926" t="n">
        <v>0</v>
      </c>
      <c r="M1926" t="n">
        <v>0</v>
      </c>
      <c r="N1926" t="n">
        <v>0</v>
      </c>
      <c r="O1926" t="n">
        <v>0</v>
      </c>
      <c r="P1926" t="n">
        <v>0</v>
      </c>
      <c r="Q1926" t="n">
        <v>0</v>
      </c>
      <c r="R1926" s="2" t="inlineStr"/>
    </row>
    <row r="1927" ht="15" customHeight="1">
      <c r="A1927" t="inlineStr">
        <is>
          <t>A 48226-2025</t>
        </is>
      </c>
      <c r="B1927" s="1" t="n">
        <v>45933.51006944444</v>
      </c>
      <c r="C1927" s="1" t="n">
        <v>45964</v>
      </c>
      <c r="D1927" t="inlineStr">
        <is>
          <t>VÄSTERBOTTENS LÄN</t>
        </is>
      </c>
      <c r="E1927" t="inlineStr">
        <is>
          <t>SKELLEFTEÅ</t>
        </is>
      </c>
      <c r="F1927" t="inlineStr">
        <is>
          <t>Holmen skog AB</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45394-2025</t>
        </is>
      </c>
      <c r="B1928" s="1" t="n">
        <v>45922.40804398148</v>
      </c>
      <c r="C1928" s="1" t="n">
        <v>45964</v>
      </c>
      <c r="D1928" t="inlineStr">
        <is>
          <t>VÄSTERBOTTENS LÄN</t>
        </is>
      </c>
      <c r="E1928" t="inlineStr">
        <is>
          <t>SKELLEFTEÅ</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56627-2021</t>
        </is>
      </c>
      <c r="B1929" s="1" t="n">
        <v>44480.84313657408</v>
      </c>
      <c r="C1929" s="1" t="n">
        <v>45964</v>
      </c>
      <c r="D1929" t="inlineStr">
        <is>
          <t>VÄSTERBOTTENS LÄN</t>
        </is>
      </c>
      <c r="E1929" t="inlineStr">
        <is>
          <t>SKELLEFTEÅ</t>
        </is>
      </c>
      <c r="F1929" t="inlineStr">
        <is>
          <t>Sveaskog</t>
        </is>
      </c>
      <c r="G1929" t="n">
        <v>20.1</v>
      </c>
      <c r="H1929" t="n">
        <v>0</v>
      </c>
      <c r="I1929" t="n">
        <v>0</v>
      </c>
      <c r="J1929" t="n">
        <v>0</v>
      </c>
      <c r="K1929" t="n">
        <v>0</v>
      </c>
      <c r="L1929" t="n">
        <v>0</v>
      </c>
      <c r="M1929" t="n">
        <v>0</v>
      </c>
      <c r="N1929" t="n">
        <v>0</v>
      </c>
      <c r="O1929" t="n">
        <v>0</v>
      </c>
      <c r="P1929" t="n">
        <v>0</v>
      </c>
      <c r="Q1929" t="n">
        <v>0</v>
      </c>
      <c r="R1929" s="2" t="inlineStr"/>
    </row>
    <row r="1930" ht="15" customHeight="1">
      <c r="A1930" t="inlineStr">
        <is>
          <t>A 45409-2025</t>
        </is>
      </c>
      <c r="B1930" s="1" t="n">
        <v>45922.43385416667</v>
      </c>
      <c r="C1930" s="1" t="n">
        <v>45964</v>
      </c>
      <c r="D1930" t="inlineStr">
        <is>
          <t>VÄSTERBOTTENS LÄN</t>
        </is>
      </c>
      <c r="E1930" t="inlineStr">
        <is>
          <t>SKELLEFTEÅ</t>
        </is>
      </c>
      <c r="F1930" t="inlineStr">
        <is>
          <t>Holmen skog AB</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45429-2025</t>
        </is>
      </c>
      <c r="B1931" s="1" t="n">
        <v>45922.45540509259</v>
      </c>
      <c r="C1931" s="1" t="n">
        <v>45964</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48031-2025</t>
        </is>
      </c>
      <c r="B1932" s="1" t="n">
        <v>45932.65422453704</v>
      </c>
      <c r="C1932" s="1" t="n">
        <v>45964</v>
      </c>
      <c r="D1932" t="inlineStr">
        <is>
          <t>VÄSTERBOTTENS LÄN</t>
        </is>
      </c>
      <c r="E1932" t="inlineStr">
        <is>
          <t>SKELLEFTEÅ</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37689-2025</t>
        </is>
      </c>
      <c r="B1933" s="1" t="n">
        <v>45880.56694444444</v>
      </c>
      <c r="C1933" s="1" t="n">
        <v>45964</v>
      </c>
      <c r="D1933" t="inlineStr">
        <is>
          <t>VÄSTERBOTTENS LÄN</t>
        </is>
      </c>
      <c r="E1933" t="inlineStr">
        <is>
          <t>SKELLEFTEÅ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37692-2025</t>
        </is>
      </c>
      <c r="B1934" s="1" t="n">
        <v>45880.57291666666</v>
      </c>
      <c r="C1934" s="1" t="n">
        <v>45964</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45859-2025</t>
        </is>
      </c>
      <c r="B1935" s="1" t="n">
        <v>45923.6415162037</v>
      </c>
      <c r="C1935" s="1" t="n">
        <v>45964</v>
      </c>
      <c r="D1935" t="inlineStr">
        <is>
          <t>VÄSTERBOTTENS LÄN</t>
        </is>
      </c>
      <c r="E1935" t="inlineStr">
        <is>
          <t>SKELLEFTEÅ</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45885-2025</t>
        </is>
      </c>
      <c r="B1936" s="1" t="n">
        <v>45923.66508101852</v>
      </c>
      <c r="C1936" s="1" t="n">
        <v>45964</v>
      </c>
      <c r="D1936" t="inlineStr">
        <is>
          <t>VÄSTERBOTTENS LÄN</t>
        </is>
      </c>
      <c r="E1936" t="inlineStr">
        <is>
          <t>SKELLEFTEÅ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15089-2025</t>
        </is>
      </c>
      <c r="B1937" s="1" t="n">
        <v>45744.32665509259</v>
      </c>
      <c r="C1937" s="1" t="n">
        <v>45964</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39921-2025</t>
        </is>
      </c>
      <c r="B1938" s="1" t="n">
        <v>45891.66770833333</v>
      </c>
      <c r="C1938" s="1" t="n">
        <v>45964</v>
      </c>
      <c r="D1938" t="inlineStr">
        <is>
          <t>VÄSTERBOTTENS LÄN</t>
        </is>
      </c>
      <c r="E1938" t="inlineStr">
        <is>
          <t>SKELLEFTEÅ</t>
        </is>
      </c>
      <c r="F1938" t="inlineStr">
        <is>
          <t>Holmen skog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45413-2025</t>
        </is>
      </c>
      <c r="B1939" s="1" t="n">
        <v>45922</v>
      </c>
      <c r="C1939" s="1" t="n">
        <v>45964</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45555-2025</t>
        </is>
      </c>
      <c r="B1940" s="1" t="n">
        <v>45922.64210648148</v>
      </c>
      <c r="C1940" s="1" t="n">
        <v>45964</v>
      </c>
      <c r="D1940" t="inlineStr">
        <is>
          <t>VÄSTERBOTTENS LÄN</t>
        </is>
      </c>
      <c r="E1940" t="inlineStr">
        <is>
          <t>SKELLEFTEÅ</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48207-2025</t>
        </is>
      </c>
      <c r="B1941" s="1" t="n">
        <v>45933.48862268519</v>
      </c>
      <c r="C1941" s="1" t="n">
        <v>45964</v>
      </c>
      <c r="D1941" t="inlineStr">
        <is>
          <t>VÄSTERBOTTENS LÄN</t>
        </is>
      </c>
      <c r="E1941" t="inlineStr">
        <is>
          <t>SKELLEFTEÅ</t>
        </is>
      </c>
      <c r="F1941" t="inlineStr">
        <is>
          <t>Holmen skog AB</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45655-2025</t>
        </is>
      </c>
      <c r="B1942" s="1" t="n">
        <v>45923.34252314815</v>
      </c>
      <c r="C1942" s="1" t="n">
        <v>45964</v>
      </c>
      <c r="D1942" t="inlineStr">
        <is>
          <t>VÄSTERBOTTENS LÄN</t>
        </is>
      </c>
      <c r="E1942" t="inlineStr">
        <is>
          <t>SKELLEFTEÅ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45658-2025</t>
        </is>
      </c>
      <c r="B1943" s="1" t="n">
        <v>45923.34459490741</v>
      </c>
      <c r="C1943" s="1" t="n">
        <v>45964</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45365-2025</t>
        </is>
      </c>
      <c r="B1944" s="1" t="n">
        <v>45922.38581018519</v>
      </c>
      <c r="C1944" s="1" t="n">
        <v>45964</v>
      </c>
      <c r="D1944" t="inlineStr">
        <is>
          <t>VÄSTERBOTTENS LÄN</t>
        </is>
      </c>
      <c r="E1944" t="inlineStr">
        <is>
          <t>SKELLEFTEÅ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48131-2025</t>
        </is>
      </c>
      <c r="B1945" s="1" t="n">
        <v>45933.36880787037</v>
      </c>
      <c r="C1945" s="1" t="n">
        <v>45964</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24079-2025</t>
        </is>
      </c>
      <c r="B1946" s="1" t="n">
        <v>45796.5531712963</v>
      </c>
      <c r="C1946" s="1" t="n">
        <v>45964</v>
      </c>
      <c r="D1946" t="inlineStr">
        <is>
          <t>VÄSTERBOTTENS LÄN</t>
        </is>
      </c>
      <c r="E1946" t="inlineStr">
        <is>
          <t>SKELLEFTEÅ</t>
        </is>
      </c>
      <c r="F1946" t="inlineStr">
        <is>
          <t>Holmen skog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24352-2024</t>
        </is>
      </c>
      <c r="B1947" s="1" t="n">
        <v>45457.59247685185</v>
      </c>
      <c r="C1947" s="1" t="n">
        <v>45964</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48216-2025</t>
        </is>
      </c>
      <c r="B1948" s="1" t="n">
        <v>45933.49614583333</v>
      </c>
      <c r="C1948" s="1" t="n">
        <v>45964</v>
      </c>
      <c r="D1948" t="inlineStr">
        <is>
          <t>VÄSTERBOTTENS LÄN</t>
        </is>
      </c>
      <c r="E1948" t="inlineStr">
        <is>
          <t>SKELLEFTEÅ</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39871-2025</t>
        </is>
      </c>
      <c r="B1949" s="1" t="n">
        <v>45891.61135416666</v>
      </c>
      <c r="C1949" s="1" t="n">
        <v>45964</v>
      </c>
      <c r="D1949" t="inlineStr">
        <is>
          <t>VÄSTERBOTTENS LÄN</t>
        </is>
      </c>
      <c r="E1949" t="inlineStr">
        <is>
          <t>SKELLEFTEÅ</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45364-2025</t>
        </is>
      </c>
      <c r="B1950" s="1" t="n">
        <v>45922.38574074074</v>
      </c>
      <c r="C1950" s="1" t="n">
        <v>45964</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45651-2025</t>
        </is>
      </c>
      <c r="B1951" s="1" t="n">
        <v>45923.32945601852</v>
      </c>
      <c r="C1951" s="1" t="n">
        <v>45964</v>
      </c>
      <c r="D1951" t="inlineStr">
        <is>
          <t>VÄSTERBOTTENS LÄN</t>
        </is>
      </c>
      <c r="E1951" t="inlineStr">
        <is>
          <t>SKELLEFTEÅ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45666-2025</t>
        </is>
      </c>
      <c r="B1952" s="1" t="n">
        <v>45923.34827546297</v>
      </c>
      <c r="C1952" s="1" t="n">
        <v>45964</v>
      </c>
      <c r="D1952" t="inlineStr">
        <is>
          <t>VÄSTERBOTTENS LÄN</t>
        </is>
      </c>
      <c r="E1952" t="inlineStr">
        <is>
          <t>SKELLEFTEÅ</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37815-2025</t>
        </is>
      </c>
      <c r="B1953" s="1" t="n">
        <v>45881.38259259259</v>
      </c>
      <c r="C1953" s="1" t="n">
        <v>45964</v>
      </c>
      <c r="D1953" t="inlineStr">
        <is>
          <t>VÄSTERBOTTENS LÄN</t>
        </is>
      </c>
      <c r="E1953" t="inlineStr">
        <is>
          <t>SKELLEFTEÅ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39613-2025</t>
        </is>
      </c>
      <c r="B1954" s="1" t="n">
        <v>45890.56368055556</v>
      </c>
      <c r="C1954" s="1" t="n">
        <v>45964</v>
      </c>
      <c r="D1954" t="inlineStr">
        <is>
          <t>VÄSTERBOTTENS LÄN</t>
        </is>
      </c>
      <c r="E1954" t="inlineStr">
        <is>
          <t>SKELLEFTEÅ</t>
        </is>
      </c>
      <c r="F1954" t="inlineStr">
        <is>
          <t>Holmen skog AB</t>
        </is>
      </c>
      <c r="G1954" t="n">
        <v>12.8</v>
      </c>
      <c r="H1954" t="n">
        <v>0</v>
      </c>
      <c r="I1954" t="n">
        <v>0</v>
      </c>
      <c r="J1954" t="n">
        <v>0</v>
      </c>
      <c r="K1954" t="n">
        <v>0</v>
      </c>
      <c r="L1954" t="n">
        <v>0</v>
      </c>
      <c r="M1954" t="n">
        <v>0</v>
      </c>
      <c r="N1954" t="n">
        <v>0</v>
      </c>
      <c r="O1954" t="n">
        <v>0</v>
      </c>
      <c r="P1954" t="n">
        <v>0</v>
      </c>
      <c r="Q1954" t="n">
        <v>0</v>
      </c>
      <c r="R1954" s="2" t="inlineStr"/>
    </row>
    <row r="1955" ht="15" customHeight="1">
      <c r="A1955" t="inlineStr">
        <is>
          <t>A 13207-2025</t>
        </is>
      </c>
      <c r="B1955" s="1" t="n">
        <v>45735.43693287037</v>
      </c>
      <c r="C1955" s="1" t="n">
        <v>45964</v>
      </c>
      <c r="D1955" t="inlineStr">
        <is>
          <t>VÄSTERBOTTENS LÄN</t>
        </is>
      </c>
      <c r="E1955" t="inlineStr">
        <is>
          <t>SKELLEFTEÅ</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45392-2025</t>
        </is>
      </c>
      <c r="B1956" s="1" t="n">
        <v>45922.40791666666</v>
      </c>
      <c r="C1956" s="1" t="n">
        <v>45964</v>
      </c>
      <c r="D1956" t="inlineStr">
        <is>
          <t>VÄSTERBOTTENS LÄN</t>
        </is>
      </c>
      <c r="E1956" t="inlineStr">
        <is>
          <t>SKELLEFTEÅ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39870-2025</t>
        </is>
      </c>
      <c r="B1957" s="1" t="n">
        <v>45891</v>
      </c>
      <c r="C1957" s="1" t="n">
        <v>45964</v>
      </c>
      <c r="D1957" t="inlineStr">
        <is>
          <t>VÄSTERBOTTENS LÄN</t>
        </is>
      </c>
      <c r="E1957" t="inlineStr">
        <is>
          <t>SKELLEFTEÅ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39875-2025</t>
        </is>
      </c>
      <c r="B1958" s="1" t="n">
        <v>45891.61512731481</v>
      </c>
      <c r="C1958" s="1" t="n">
        <v>45964</v>
      </c>
      <c r="D1958" t="inlineStr">
        <is>
          <t>VÄSTERBOTTENS LÄN</t>
        </is>
      </c>
      <c r="E1958" t="inlineStr">
        <is>
          <t>SKELLEFTEÅ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39888-2025</t>
        </is>
      </c>
      <c r="B1959" s="1" t="n">
        <v>45891</v>
      </c>
      <c r="C1959" s="1" t="n">
        <v>45964</v>
      </c>
      <c r="D1959" t="inlineStr">
        <is>
          <t>VÄSTERBOTTENS LÄN</t>
        </is>
      </c>
      <c r="E1959" t="inlineStr">
        <is>
          <t>SKELLEFTEÅ</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37964-2025</t>
        </is>
      </c>
      <c r="B1960" s="1" t="n">
        <v>45881</v>
      </c>
      <c r="C1960" s="1" t="n">
        <v>45964</v>
      </c>
      <c r="D1960" t="inlineStr">
        <is>
          <t>VÄSTERBOTTENS LÄN</t>
        </is>
      </c>
      <c r="E1960" t="inlineStr">
        <is>
          <t>SKELLEFTEÅ</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9740-2023</t>
        </is>
      </c>
      <c r="B1961" s="1" t="n">
        <v>44978</v>
      </c>
      <c r="C1961" s="1" t="n">
        <v>45964</v>
      </c>
      <c r="D1961" t="inlineStr">
        <is>
          <t>VÄSTERBOTTENS LÄN</t>
        </is>
      </c>
      <c r="E1961" t="inlineStr">
        <is>
          <t>SKELLEFTEÅ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46350-2025</t>
        </is>
      </c>
      <c r="B1962" s="1" t="n">
        <v>45925.48527777778</v>
      </c>
      <c r="C1962" s="1" t="n">
        <v>45964</v>
      </c>
      <c r="D1962" t="inlineStr">
        <is>
          <t>VÄSTERBOTTENS LÄN</t>
        </is>
      </c>
      <c r="E1962" t="inlineStr">
        <is>
          <t>SKELLEFTEÅ</t>
        </is>
      </c>
      <c r="F1962" t="inlineStr">
        <is>
          <t>Sveaskog</t>
        </is>
      </c>
      <c r="G1962" t="n">
        <v>21.2</v>
      </c>
      <c r="H1962" t="n">
        <v>0</v>
      </c>
      <c r="I1962" t="n">
        <v>0</v>
      </c>
      <c r="J1962" t="n">
        <v>0</v>
      </c>
      <c r="K1962" t="n">
        <v>0</v>
      </c>
      <c r="L1962" t="n">
        <v>0</v>
      </c>
      <c r="M1962" t="n">
        <v>0</v>
      </c>
      <c r="N1962" t="n">
        <v>0</v>
      </c>
      <c r="O1962" t="n">
        <v>0</v>
      </c>
      <c r="P1962" t="n">
        <v>0</v>
      </c>
      <c r="Q1962" t="n">
        <v>0</v>
      </c>
      <c r="R1962" s="2" t="inlineStr"/>
    </row>
    <row r="1963" ht="15" customHeight="1">
      <c r="A1963" t="inlineStr">
        <is>
          <t>A 38004-2025</t>
        </is>
      </c>
      <c r="B1963" s="1" t="n">
        <v>45881.92792824074</v>
      </c>
      <c r="C1963" s="1" t="n">
        <v>45964</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49012-2025</t>
        </is>
      </c>
      <c r="B1964" s="1" t="n">
        <v>45936</v>
      </c>
      <c r="C1964" s="1" t="n">
        <v>45964</v>
      </c>
      <c r="D1964" t="inlineStr">
        <is>
          <t>VÄSTERBOTTENS LÄN</t>
        </is>
      </c>
      <c r="E1964" t="inlineStr">
        <is>
          <t>SKELLEFTEÅ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58838-2023</t>
        </is>
      </c>
      <c r="B1965" s="1" t="n">
        <v>45252.41853009259</v>
      </c>
      <c r="C1965" s="1" t="n">
        <v>45964</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49023-2025</t>
        </is>
      </c>
      <c r="B1966" s="1" t="n">
        <v>45937.61712962963</v>
      </c>
      <c r="C1966" s="1" t="n">
        <v>45964</v>
      </c>
      <c r="D1966" t="inlineStr">
        <is>
          <t>VÄSTERBOTTENS LÄN</t>
        </is>
      </c>
      <c r="E1966" t="inlineStr">
        <is>
          <t>SKELLEFTEÅ</t>
        </is>
      </c>
      <c r="F1966" t="inlineStr">
        <is>
          <t>Holmen skog AB</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46291-2025</t>
        </is>
      </c>
      <c r="B1967" s="1" t="n">
        <v>45925</v>
      </c>
      <c r="C1967" s="1" t="n">
        <v>45964</v>
      </c>
      <c r="D1967" t="inlineStr">
        <is>
          <t>VÄSTERBOTTENS LÄN</t>
        </is>
      </c>
      <c r="E1967" t="inlineStr">
        <is>
          <t>SKELLEFTEÅ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46278-2025</t>
        </is>
      </c>
      <c r="B1968" s="1" t="n">
        <v>45925.37530092592</v>
      </c>
      <c r="C1968" s="1" t="n">
        <v>45964</v>
      </c>
      <c r="D1968" t="inlineStr">
        <is>
          <t>VÄSTERBOTTENS LÄN</t>
        </is>
      </c>
      <c r="E1968" t="inlineStr">
        <is>
          <t>SKELLEFTEÅ</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46904-2025</t>
        </is>
      </c>
      <c r="B1969" s="1" t="n">
        <v>45929</v>
      </c>
      <c r="C1969" s="1" t="n">
        <v>45964</v>
      </c>
      <c r="D1969" t="inlineStr">
        <is>
          <t>VÄSTERBOTTENS LÄN</t>
        </is>
      </c>
      <c r="E1969" t="inlineStr">
        <is>
          <t>SKELLEFTEÅ</t>
        </is>
      </c>
      <c r="F1969" t="inlineStr">
        <is>
          <t>Kyrkan</t>
        </is>
      </c>
      <c r="G1969" t="n">
        <v>21.8</v>
      </c>
      <c r="H1969" t="n">
        <v>0</v>
      </c>
      <c r="I1969" t="n">
        <v>0</v>
      </c>
      <c r="J1969" t="n">
        <v>0</v>
      </c>
      <c r="K1969" t="n">
        <v>0</v>
      </c>
      <c r="L1969" t="n">
        <v>0</v>
      </c>
      <c r="M1969" t="n">
        <v>0</v>
      </c>
      <c r="N1969" t="n">
        <v>0</v>
      </c>
      <c r="O1969" t="n">
        <v>0</v>
      </c>
      <c r="P1969" t="n">
        <v>0</v>
      </c>
      <c r="Q1969" t="n">
        <v>0</v>
      </c>
      <c r="R1969" s="2" t="inlineStr"/>
    </row>
    <row r="1970" ht="15" customHeight="1">
      <c r="A1970" t="inlineStr">
        <is>
          <t>A 17026-2023</t>
        </is>
      </c>
      <c r="B1970" s="1" t="n">
        <v>45030</v>
      </c>
      <c r="C1970" s="1" t="n">
        <v>45964</v>
      </c>
      <c r="D1970" t="inlineStr">
        <is>
          <t>VÄSTERBOTTENS LÄN</t>
        </is>
      </c>
      <c r="E1970" t="inlineStr">
        <is>
          <t>SKELLEFTEÅ</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28433-2023</t>
        </is>
      </c>
      <c r="B1971" s="1" t="n">
        <v>45102.60045138889</v>
      </c>
      <c r="C1971" s="1" t="n">
        <v>45964</v>
      </c>
      <c r="D1971" t="inlineStr">
        <is>
          <t>VÄSTERBOTTENS LÄN</t>
        </is>
      </c>
      <c r="E1971" t="inlineStr">
        <is>
          <t>SKELLEFTEÅ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38216-2025</t>
        </is>
      </c>
      <c r="B1972" s="1" t="n">
        <v>45883.29847222222</v>
      </c>
      <c r="C1972" s="1" t="n">
        <v>45964</v>
      </c>
      <c r="D1972" t="inlineStr">
        <is>
          <t>VÄSTERBOTTENS LÄN</t>
        </is>
      </c>
      <c r="E1972" t="inlineStr">
        <is>
          <t>SKELLEFTEÅ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40036-2025</t>
        </is>
      </c>
      <c r="B1973" s="1" t="n">
        <v>45894</v>
      </c>
      <c r="C1973" s="1" t="n">
        <v>45964</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49031-2025</t>
        </is>
      </c>
      <c r="B1974" s="1" t="n">
        <v>45936</v>
      </c>
      <c r="C1974" s="1" t="n">
        <v>45964</v>
      </c>
      <c r="D1974" t="inlineStr">
        <is>
          <t>VÄSTERBOTTENS LÄN</t>
        </is>
      </c>
      <c r="E1974" t="inlineStr">
        <is>
          <t>SKELLEFTEÅ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46276-2025</t>
        </is>
      </c>
      <c r="B1975" s="1" t="n">
        <v>45925.37224537037</v>
      </c>
      <c r="C1975" s="1" t="n">
        <v>45964</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49126-2025</t>
        </is>
      </c>
      <c r="B1976" s="1" t="n">
        <v>45937.8712962963</v>
      </c>
      <c r="C1976" s="1" t="n">
        <v>45964</v>
      </c>
      <c r="D1976" t="inlineStr">
        <is>
          <t>VÄSTERBOTTENS LÄN</t>
        </is>
      </c>
      <c r="E1976" t="inlineStr">
        <is>
          <t>SKELLEFTEÅ</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46496-2025</t>
        </is>
      </c>
      <c r="B1977" s="1" t="n">
        <v>45925.83113425926</v>
      </c>
      <c r="C1977" s="1" t="n">
        <v>45964</v>
      </c>
      <c r="D1977" t="inlineStr">
        <is>
          <t>VÄSTERBOTTENS LÄN</t>
        </is>
      </c>
      <c r="E1977" t="inlineStr">
        <is>
          <t>SKELLEFTEÅ</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40271-2025</t>
        </is>
      </c>
      <c r="B1978" s="1" t="n">
        <v>45895.345625</v>
      </c>
      <c r="C1978" s="1" t="n">
        <v>45964</v>
      </c>
      <c r="D1978" t="inlineStr">
        <is>
          <t>VÄSTERBOTTENS LÄN</t>
        </is>
      </c>
      <c r="E1978" t="inlineStr">
        <is>
          <t>SKELLEFTEÅ</t>
        </is>
      </c>
      <c r="G1978" t="n">
        <v>12.1</v>
      </c>
      <c r="H1978" t="n">
        <v>0</v>
      </c>
      <c r="I1978" t="n">
        <v>0</v>
      </c>
      <c r="J1978" t="n">
        <v>0</v>
      </c>
      <c r="K1978" t="n">
        <v>0</v>
      </c>
      <c r="L1978" t="n">
        <v>0</v>
      </c>
      <c r="M1978" t="n">
        <v>0</v>
      </c>
      <c r="N1978" t="n">
        <v>0</v>
      </c>
      <c r="O1978" t="n">
        <v>0</v>
      </c>
      <c r="P1978" t="n">
        <v>0</v>
      </c>
      <c r="Q1978" t="n">
        <v>0</v>
      </c>
      <c r="R1978" s="2" t="inlineStr"/>
    </row>
    <row r="1979" ht="15" customHeight="1">
      <c r="A1979" t="inlineStr">
        <is>
          <t>A 35881-2024</t>
        </is>
      </c>
      <c r="B1979" s="1" t="n">
        <v>45533.35347222222</v>
      </c>
      <c r="C1979" s="1" t="n">
        <v>45964</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38070-2025</t>
        </is>
      </c>
      <c r="B1980" s="1" t="n">
        <v>45882.43864583333</v>
      </c>
      <c r="C1980" s="1" t="n">
        <v>45964</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40295-2025</t>
        </is>
      </c>
      <c r="B1981" s="1" t="n">
        <v>45895.38805555556</v>
      </c>
      <c r="C1981" s="1" t="n">
        <v>45964</v>
      </c>
      <c r="D1981" t="inlineStr">
        <is>
          <t>VÄSTERBOTTENS LÄN</t>
        </is>
      </c>
      <c r="E1981" t="inlineStr">
        <is>
          <t>SKELLEFTEÅ</t>
        </is>
      </c>
      <c r="F1981" t="inlineStr">
        <is>
          <t>Sveaskog</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48608-2025</t>
        </is>
      </c>
      <c r="B1982" s="1" t="n">
        <v>45936.4734837963</v>
      </c>
      <c r="C1982" s="1" t="n">
        <v>45964</v>
      </c>
      <c r="D1982" t="inlineStr">
        <is>
          <t>VÄSTERBOTTENS LÄN</t>
        </is>
      </c>
      <c r="E1982" t="inlineStr">
        <is>
          <t>SKELLEFTEÅ</t>
        </is>
      </c>
      <c r="F1982" t="inlineStr">
        <is>
          <t>Holmen skog AB</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52129-2022</t>
        </is>
      </c>
      <c r="B1983" s="1" t="n">
        <v>44868</v>
      </c>
      <c r="C1983" s="1" t="n">
        <v>45964</v>
      </c>
      <c r="D1983" t="inlineStr">
        <is>
          <t>VÄSTERBOTTENS LÄN</t>
        </is>
      </c>
      <c r="E1983" t="inlineStr">
        <is>
          <t>SKELLEFTEÅ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47864-2025</t>
        </is>
      </c>
      <c r="B1984" s="1" t="n">
        <v>45932</v>
      </c>
      <c r="C1984" s="1" t="n">
        <v>45964</v>
      </c>
      <c r="D1984" t="inlineStr">
        <is>
          <t>VÄSTERBOTTENS LÄN</t>
        </is>
      </c>
      <c r="E1984" t="inlineStr">
        <is>
          <t>SKELLEFTEÅ</t>
        </is>
      </c>
      <c r="F1984" t="inlineStr">
        <is>
          <t>Kyrkan</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40020-2025</t>
        </is>
      </c>
      <c r="B1985" s="1" t="n">
        <v>45894.35414351852</v>
      </c>
      <c r="C1985" s="1" t="n">
        <v>45964</v>
      </c>
      <c r="D1985" t="inlineStr">
        <is>
          <t>VÄSTERBOTTENS LÄN</t>
        </is>
      </c>
      <c r="E1985" t="inlineStr">
        <is>
          <t>SKELLEFTEÅ</t>
        </is>
      </c>
      <c r="F1985" t="inlineStr">
        <is>
          <t>Holmen skog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47813-2025</t>
        </is>
      </c>
      <c r="B1986" s="1" t="n">
        <v>45932</v>
      </c>
      <c r="C1986" s="1" t="n">
        <v>45964</v>
      </c>
      <c r="D1986" t="inlineStr">
        <is>
          <t>VÄSTERBOTTENS LÄN</t>
        </is>
      </c>
      <c r="E1986" t="inlineStr">
        <is>
          <t>SKELLEFTEÅ</t>
        </is>
      </c>
      <c r="F1986" t="inlineStr">
        <is>
          <t>Kyrkan</t>
        </is>
      </c>
      <c r="G1986" t="n">
        <v>10.8</v>
      </c>
      <c r="H1986" t="n">
        <v>0</v>
      </c>
      <c r="I1986" t="n">
        <v>0</v>
      </c>
      <c r="J1986" t="n">
        <v>0</v>
      </c>
      <c r="K1986" t="n">
        <v>0</v>
      </c>
      <c r="L1986" t="n">
        <v>0</v>
      </c>
      <c r="M1986" t="n">
        <v>0</v>
      </c>
      <c r="N1986" t="n">
        <v>0</v>
      </c>
      <c r="O1986" t="n">
        <v>0</v>
      </c>
      <c r="P1986" t="n">
        <v>0</v>
      </c>
      <c r="Q1986" t="n">
        <v>0</v>
      </c>
      <c r="R1986" s="2" t="inlineStr"/>
    </row>
    <row r="1987" ht="15" customHeight="1">
      <c r="A1987" t="inlineStr">
        <is>
          <t>A 42621-2025</t>
        </is>
      </c>
      <c r="B1987" s="1" t="n">
        <v>45905</v>
      </c>
      <c r="C1987" s="1" t="n">
        <v>45964</v>
      </c>
      <c r="D1987" t="inlineStr">
        <is>
          <t>VÄSTERBOTTENS LÄN</t>
        </is>
      </c>
      <c r="E1987" t="inlineStr">
        <is>
          <t>SKELLEFTEÅ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45964-2025</t>
        </is>
      </c>
      <c r="B1988" s="1" t="n">
        <v>45924.3553587963</v>
      </c>
      <c r="C1988" s="1" t="n">
        <v>45964</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42995-2024</t>
        </is>
      </c>
      <c r="B1989" s="1" t="n">
        <v>45567.37570601852</v>
      </c>
      <c r="C1989" s="1" t="n">
        <v>45964</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48960-2025</t>
        </is>
      </c>
      <c r="B1990" s="1" t="n">
        <v>45937.550625</v>
      </c>
      <c r="C1990" s="1" t="n">
        <v>45964</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41112-2024</t>
        </is>
      </c>
      <c r="B1991" s="1" t="n">
        <v>45559.45047453704</v>
      </c>
      <c r="C1991" s="1" t="n">
        <v>45964</v>
      </c>
      <c r="D1991" t="inlineStr">
        <is>
          <t>VÄSTERBOTTENS LÄN</t>
        </is>
      </c>
      <c r="E1991" t="inlineStr">
        <is>
          <t>SKELLEFTEÅ</t>
        </is>
      </c>
      <c r="F1991" t="inlineStr">
        <is>
          <t>Holmen skog AB</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41118-2024</t>
        </is>
      </c>
      <c r="B1992" s="1" t="n">
        <v>45559.45327546296</v>
      </c>
      <c r="C1992" s="1" t="n">
        <v>45964</v>
      </c>
      <c r="D1992" t="inlineStr">
        <is>
          <t>VÄSTERBOTTENS LÄN</t>
        </is>
      </c>
      <c r="E1992" t="inlineStr">
        <is>
          <t>SKELLEFTEÅ</t>
        </is>
      </c>
      <c r="F1992" t="inlineStr">
        <is>
          <t>Holmen skog AB</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23520-2024</t>
        </is>
      </c>
      <c r="B1993" s="1" t="n">
        <v>45453</v>
      </c>
      <c r="C1993" s="1" t="n">
        <v>45964</v>
      </c>
      <c r="D1993" t="inlineStr">
        <is>
          <t>VÄSTERBOTTENS LÄN</t>
        </is>
      </c>
      <c r="E1993" t="inlineStr">
        <is>
          <t>SKELLEFTEÅ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37816-2025</t>
        </is>
      </c>
      <c r="B1994" s="1" t="n">
        <v>45881.38435185186</v>
      </c>
      <c r="C1994" s="1" t="n">
        <v>45964</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46657-2024</t>
        </is>
      </c>
      <c r="B1995" s="1" t="n">
        <v>45583.36118055556</v>
      </c>
      <c r="C1995" s="1" t="n">
        <v>45964</v>
      </c>
      <c r="D1995" t="inlineStr">
        <is>
          <t>VÄSTERBOTTENS LÄN</t>
        </is>
      </c>
      <c r="E1995" t="inlineStr">
        <is>
          <t>SKELLEFTEÅ</t>
        </is>
      </c>
      <c r="F1995" t="inlineStr">
        <is>
          <t>Holmen skog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31387-2025</t>
        </is>
      </c>
      <c r="B1996" s="1" t="n">
        <v>45833</v>
      </c>
      <c r="C1996" s="1" t="n">
        <v>45964</v>
      </c>
      <c r="D1996" t="inlineStr">
        <is>
          <t>VÄSTERBOTTENS LÄN</t>
        </is>
      </c>
      <c r="E1996" t="inlineStr">
        <is>
          <t>SKELLEFTEÅ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24142-2025</t>
        </is>
      </c>
      <c r="B1997" s="1" t="n">
        <v>45796.64349537037</v>
      </c>
      <c r="C1997" s="1" t="n">
        <v>45964</v>
      </c>
      <c r="D1997" t="inlineStr">
        <is>
          <t>VÄSTERBOTTENS LÄN</t>
        </is>
      </c>
      <c r="E1997" t="inlineStr">
        <is>
          <t>SKELLEFTEÅ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46480-2025</t>
        </is>
      </c>
      <c r="B1998" s="1" t="n">
        <v>45925.6988425926</v>
      </c>
      <c r="C1998" s="1" t="n">
        <v>45964</v>
      </c>
      <c r="D1998" t="inlineStr">
        <is>
          <t>VÄSTERBOTTENS LÄN</t>
        </is>
      </c>
      <c r="E1998" t="inlineStr">
        <is>
          <t>SKELLEFTEÅ</t>
        </is>
      </c>
      <c r="F1998" t="inlineStr">
        <is>
          <t>Sveaskog</t>
        </is>
      </c>
      <c r="G1998" t="n">
        <v>13.8</v>
      </c>
      <c r="H1998" t="n">
        <v>0</v>
      </c>
      <c r="I1998" t="n">
        <v>0</v>
      </c>
      <c r="J1998" t="n">
        <v>0</v>
      </c>
      <c r="K1998" t="n">
        <v>0</v>
      </c>
      <c r="L1998" t="n">
        <v>0</v>
      </c>
      <c r="M1998" t="n">
        <v>0</v>
      </c>
      <c r="N1998" t="n">
        <v>0</v>
      </c>
      <c r="O1998" t="n">
        <v>0</v>
      </c>
      <c r="P1998" t="n">
        <v>0</v>
      </c>
      <c r="Q1998" t="n">
        <v>0</v>
      </c>
      <c r="R1998" s="2" t="inlineStr"/>
    </row>
    <row r="1999" ht="15" customHeight="1">
      <c r="A1999" t="inlineStr">
        <is>
          <t>A 46273-2025</t>
        </is>
      </c>
      <c r="B1999" s="1" t="n">
        <v>45925.3700925926</v>
      </c>
      <c r="C1999" s="1" t="n">
        <v>45964</v>
      </c>
      <c r="D1999" t="inlineStr">
        <is>
          <t>VÄSTERBOTTENS LÄN</t>
        </is>
      </c>
      <c r="E1999" t="inlineStr">
        <is>
          <t>SKELLEFTEÅ</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53124-2024</t>
        </is>
      </c>
      <c r="B2000" s="1" t="n">
        <v>45611.58855324074</v>
      </c>
      <c r="C2000" s="1" t="n">
        <v>45964</v>
      </c>
      <c r="D2000" t="inlineStr">
        <is>
          <t>VÄSTERBOTTENS LÄN</t>
        </is>
      </c>
      <c r="E2000" t="inlineStr">
        <is>
          <t>SKELLEFTEÅ</t>
        </is>
      </c>
      <c r="F2000" t="inlineStr">
        <is>
          <t>Holmen skog AB</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38214-2025</t>
        </is>
      </c>
      <c r="B2001" s="1" t="n">
        <v>45883.27512731482</v>
      </c>
      <c r="C2001" s="1" t="n">
        <v>45964</v>
      </c>
      <c r="D2001" t="inlineStr">
        <is>
          <t>VÄSTERBOTTENS LÄN</t>
        </is>
      </c>
      <c r="E2001" t="inlineStr">
        <is>
          <t>SKELLEFTEÅ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38458-2025</t>
        </is>
      </c>
      <c r="B2002" s="1" t="n">
        <v>45883.71289351852</v>
      </c>
      <c r="C2002" s="1" t="n">
        <v>45964</v>
      </c>
      <c r="D2002" t="inlineStr">
        <is>
          <t>VÄSTERBOTTENS LÄN</t>
        </is>
      </c>
      <c r="E2002" t="inlineStr">
        <is>
          <t>SKELLEFTEÅ</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60982-2024</t>
        </is>
      </c>
      <c r="B2003" s="1" t="n">
        <v>45645</v>
      </c>
      <c r="C2003" s="1" t="n">
        <v>45964</v>
      </c>
      <c r="D2003" t="inlineStr">
        <is>
          <t>VÄSTERBOTTENS LÄN</t>
        </is>
      </c>
      <c r="E2003" t="inlineStr">
        <is>
          <t>SKELLEFTEÅ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5660-2024</t>
        </is>
      </c>
      <c r="B2004" s="1" t="n">
        <v>45334.64248842592</v>
      </c>
      <c r="C2004" s="1" t="n">
        <v>45964</v>
      </c>
      <c r="D2004" t="inlineStr">
        <is>
          <t>VÄSTERBOTTENS LÄN</t>
        </is>
      </c>
      <c r="E2004" t="inlineStr">
        <is>
          <t>SKELLEFTEÅ</t>
        </is>
      </c>
      <c r="G2004" t="n">
        <v>14.1</v>
      </c>
      <c r="H2004" t="n">
        <v>0</v>
      </c>
      <c r="I2004" t="n">
        <v>0</v>
      </c>
      <c r="J2004" t="n">
        <v>0</v>
      </c>
      <c r="K2004" t="n">
        <v>0</v>
      </c>
      <c r="L2004" t="n">
        <v>0</v>
      </c>
      <c r="M2004" t="n">
        <v>0</v>
      </c>
      <c r="N2004" t="n">
        <v>0</v>
      </c>
      <c r="O2004" t="n">
        <v>0</v>
      </c>
      <c r="P2004" t="n">
        <v>0</v>
      </c>
      <c r="Q2004" t="n">
        <v>0</v>
      </c>
      <c r="R2004" s="2" t="inlineStr"/>
    </row>
    <row r="2005" ht="15" customHeight="1">
      <c r="A2005" t="inlineStr">
        <is>
          <t>A 43749-2024</t>
        </is>
      </c>
      <c r="B2005" s="1" t="n">
        <v>45569.66871527778</v>
      </c>
      <c r="C2005" s="1" t="n">
        <v>45964</v>
      </c>
      <c r="D2005" t="inlineStr">
        <is>
          <t>VÄSTERBOTTENS LÄN</t>
        </is>
      </c>
      <c r="E2005" t="inlineStr">
        <is>
          <t>SKELLEFTEÅ</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38570-2025</t>
        </is>
      </c>
      <c r="B2006" s="1" t="n">
        <v>45884</v>
      </c>
      <c r="C2006" s="1" t="n">
        <v>45964</v>
      </c>
      <c r="D2006" t="inlineStr">
        <is>
          <t>VÄSTERBOTTENS LÄN</t>
        </is>
      </c>
      <c r="E2006" t="inlineStr">
        <is>
          <t>SKELLEFTEÅ</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56529-2024</t>
        </is>
      </c>
      <c r="B2007" s="1" t="n">
        <v>45625.5534837963</v>
      </c>
      <c r="C2007" s="1" t="n">
        <v>45964</v>
      </c>
      <c r="D2007" t="inlineStr">
        <is>
          <t>VÄSTERBOTTENS LÄN</t>
        </is>
      </c>
      <c r="E2007" t="inlineStr">
        <is>
          <t>SKELLEFTEÅ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56530-2024</t>
        </is>
      </c>
      <c r="B2008" s="1" t="n">
        <v>45625</v>
      </c>
      <c r="C2008" s="1" t="n">
        <v>45964</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52453-2021</t>
        </is>
      </c>
      <c r="B2009" s="1" t="n">
        <v>44463</v>
      </c>
      <c r="C2009" s="1" t="n">
        <v>45964</v>
      </c>
      <c r="D2009" t="inlineStr">
        <is>
          <t>VÄSTERBOTTENS LÄN</t>
        </is>
      </c>
      <c r="E2009" t="inlineStr">
        <is>
          <t>SKELLEFTEÅ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16239-2023</t>
        </is>
      </c>
      <c r="B2010" s="1" t="n">
        <v>45028</v>
      </c>
      <c r="C2010" s="1" t="n">
        <v>45964</v>
      </c>
      <c r="D2010" t="inlineStr">
        <is>
          <t>VÄSTERBOTTENS LÄN</t>
        </is>
      </c>
      <c r="E2010" t="inlineStr">
        <is>
          <t>SKELLEFTEÅ</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40730-2025</t>
        </is>
      </c>
      <c r="B2011" s="1" t="n">
        <v>45897.35766203704</v>
      </c>
      <c r="C2011" s="1" t="n">
        <v>45964</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6837-2022</t>
        </is>
      </c>
      <c r="B2012" s="1" t="n">
        <v>44602</v>
      </c>
      <c r="C2012" s="1" t="n">
        <v>45964</v>
      </c>
      <c r="D2012" t="inlineStr">
        <is>
          <t>VÄSTERBOTTENS LÄN</t>
        </is>
      </c>
      <c r="E2012" t="inlineStr">
        <is>
          <t>SKELLEFTEÅ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1256-2024</t>
        </is>
      </c>
      <c r="B2013" s="1" t="n">
        <v>45302</v>
      </c>
      <c r="C2013" s="1" t="n">
        <v>45964</v>
      </c>
      <c r="D2013" t="inlineStr">
        <is>
          <t>VÄSTERBOTTENS LÄN</t>
        </is>
      </c>
      <c r="E2013" t="inlineStr">
        <is>
          <t>SKELLEFTEÅ</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49683-2025</t>
        </is>
      </c>
      <c r="B2014" s="1" t="n">
        <v>45939.65457175926</v>
      </c>
      <c r="C2014" s="1" t="n">
        <v>45964</v>
      </c>
      <c r="D2014" t="inlineStr">
        <is>
          <t>VÄSTERBOTTENS LÄN</t>
        </is>
      </c>
      <c r="E2014" t="inlineStr">
        <is>
          <t>SKELLEFTEÅ</t>
        </is>
      </c>
      <c r="F2014" t="inlineStr">
        <is>
          <t>Holmen skog AB</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45788-2024</t>
        </is>
      </c>
      <c r="B2015" s="1" t="n">
        <v>45579</v>
      </c>
      <c r="C2015" s="1" t="n">
        <v>45964</v>
      </c>
      <c r="D2015" t="inlineStr">
        <is>
          <t>VÄSTERBOTTENS LÄN</t>
        </is>
      </c>
      <c r="E2015" t="inlineStr">
        <is>
          <t>SKELLEFTEÅ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47910-2023</t>
        </is>
      </c>
      <c r="B2016" s="1" t="n">
        <v>45204.5140625</v>
      </c>
      <c r="C2016" s="1" t="n">
        <v>45964</v>
      </c>
      <c r="D2016" t="inlineStr">
        <is>
          <t>VÄSTERBOTTENS LÄN</t>
        </is>
      </c>
      <c r="E2016" t="inlineStr">
        <is>
          <t>SKELLEFTEÅ</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6244-2024</t>
        </is>
      </c>
      <c r="B2017" s="1" t="n">
        <v>45337</v>
      </c>
      <c r="C2017" s="1" t="n">
        <v>45964</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62599-2023</t>
        </is>
      </c>
      <c r="B2018" s="1" t="n">
        <v>45267</v>
      </c>
      <c r="C2018" s="1" t="n">
        <v>45964</v>
      </c>
      <c r="D2018" t="inlineStr">
        <is>
          <t>VÄSTERBOTTENS LÄN</t>
        </is>
      </c>
      <c r="E2018" t="inlineStr">
        <is>
          <t>SKELLEFTEÅ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62601-2023</t>
        </is>
      </c>
      <c r="B2019" s="1" t="n">
        <v>45267</v>
      </c>
      <c r="C2019" s="1" t="n">
        <v>45964</v>
      </c>
      <c r="D2019" t="inlineStr">
        <is>
          <t>VÄSTERBOTTENS LÄN</t>
        </is>
      </c>
      <c r="E2019" t="inlineStr">
        <is>
          <t>SKELLEFTEÅ</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56072-2022</t>
        </is>
      </c>
      <c r="B2020" s="1" t="n">
        <v>44889.60342592592</v>
      </c>
      <c r="C2020" s="1" t="n">
        <v>45964</v>
      </c>
      <c r="D2020" t="inlineStr">
        <is>
          <t>VÄSTERBOTTENS LÄN</t>
        </is>
      </c>
      <c r="E2020" t="inlineStr">
        <is>
          <t>SKELLEFTEÅ</t>
        </is>
      </c>
      <c r="F2020" t="inlineStr">
        <is>
          <t>Holmen skog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60210-2024</t>
        </is>
      </c>
      <c r="B2021" s="1" t="n">
        <v>45642</v>
      </c>
      <c r="C2021" s="1" t="n">
        <v>45964</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40615-2025</t>
        </is>
      </c>
      <c r="B2022" s="1" t="n">
        <v>45896.57956018519</v>
      </c>
      <c r="C2022" s="1" t="n">
        <v>45964</v>
      </c>
      <c r="D2022" t="inlineStr">
        <is>
          <t>VÄSTERBOTTENS LÄN</t>
        </is>
      </c>
      <c r="E2022" t="inlineStr">
        <is>
          <t>SKELLEFTEÅ</t>
        </is>
      </c>
      <c r="F2022" t="inlineStr">
        <is>
          <t>Holmen skog AB</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55907-2023</t>
        </is>
      </c>
      <c r="B2023" s="1" t="n">
        <v>45239</v>
      </c>
      <c r="C2023" s="1" t="n">
        <v>45964</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8648-2023</t>
        </is>
      </c>
      <c r="B2024" s="1" t="n">
        <v>44977.98358796296</v>
      </c>
      <c r="C2024" s="1" t="n">
        <v>45964</v>
      </c>
      <c r="D2024" t="inlineStr">
        <is>
          <t>VÄSTERBOTTENS LÄN</t>
        </is>
      </c>
      <c r="E2024" t="inlineStr">
        <is>
          <t>SKELLEFTEÅ</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25491-2021</t>
        </is>
      </c>
      <c r="B2025" s="1" t="n">
        <v>44342</v>
      </c>
      <c r="C2025" s="1" t="n">
        <v>45964</v>
      </c>
      <c r="D2025" t="inlineStr">
        <is>
          <t>VÄSTERBOTTENS LÄN</t>
        </is>
      </c>
      <c r="E2025" t="inlineStr">
        <is>
          <t>SKELLEFTEÅ</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40274-2023</t>
        </is>
      </c>
      <c r="B2026" s="1" t="n">
        <v>45169.55936342593</v>
      </c>
      <c r="C2026" s="1" t="n">
        <v>45964</v>
      </c>
      <c r="D2026" t="inlineStr">
        <is>
          <t>VÄSTERBOTTENS LÄN</t>
        </is>
      </c>
      <c r="E2026" t="inlineStr">
        <is>
          <t>SKELLEFTEÅ</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50476-2024</t>
        </is>
      </c>
      <c r="B2027" s="1" t="n">
        <v>45601.47450231481</v>
      </c>
      <c r="C2027" s="1" t="n">
        <v>45964</v>
      </c>
      <c r="D2027" t="inlineStr">
        <is>
          <t>VÄSTERBOTTENS LÄN</t>
        </is>
      </c>
      <c r="E2027" t="inlineStr">
        <is>
          <t>SKELLEFTEÅ</t>
        </is>
      </c>
      <c r="F2027" t="inlineStr">
        <is>
          <t>Holmen skog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49184-2025</t>
        </is>
      </c>
      <c r="B2028" s="1" t="n">
        <v>45938.39759259259</v>
      </c>
      <c r="C2028" s="1" t="n">
        <v>45964</v>
      </c>
      <c r="D2028" t="inlineStr">
        <is>
          <t>VÄSTERBOTTENS LÄN</t>
        </is>
      </c>
      <c r="E2028" t="inlineStr">
        <is>
          <t>SKELLEFTEÅ</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12851-2025</t>
        </is>
      </c>
      <c r="B2029" s="1" t="n">
        <v>45733</v>
      </c>
      <c r="C2029" s="1" t="n">
        <v>45964</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49239-2025</t>
        </is>
      </c>
      <c r="B2030" s="1" t="n">
        <v>45937</v>
      </c>
      <c r="C2030" s="1" t="n">
        <v>45964</v>
      </c>
      <c r="D2030" t="inlineStr">
        <is>
          <t>VÄSTERBOTTENS LÄN</t>
        </is>
      </c>
      <c r="E2030" t="inlineStr">
        <is>
          <t>SKELLEFTEÅ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13569-2025</t>
        </is>
      </c>
      <c r="B2031" s="1" t="n">
        <v>45736.57212962963</v>
      </c>
      <c r="C2031" s="1" t="n">
        <v>45964</v>
      </c>
      <c r="D2031" t="inlineStr">
        <is>
          <t>VÄSTERBOTTENS LÄN</t>
        </is>
      </c>
      <c r="E2031" t="inlineStr">
        <is>
          <t>SKELLEFTEÅ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49299-2025</t>
        </is>
      </c>
      <c r="B2032" s="1" t="n">
        <v>45938.54065972222</v>
      </c>
      <c r="C2032" s="1" t="n">
        <v>45964</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38616-2024</t>
        </is>
      </c>
      <c r="B2033" s="1" t="n">
        <v>45546.70543981482</v>
      </c>
      <c r="C2033" s="1" t="n">
        <v>45964</v>
      </c>
      <c r="D2033" t="inlineStr">
        <is>
          <t>VÄSTERBOTTENS LÄN</t>
        </is>
      </c>
      <c r="E2033" t="inlineStr">
        <is>
          <t>SKELLEFTEÅ</t>
        </is>
      </c>
      <c r="F2033" t="inlineStr">
        <is>
          <t>Holmen skog AB</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16236-2025</t>
        </is>
      </c>
      <c r="B2034" s="1" t="n">
        <v>45750</v>
      </c>
      <c r="C2034" s="1" t="n">
        <v>45964</v>
      </c>
      <c r="D2034" t="inlineStr">
        <is>
          <t>VÄSTERBOTTENS LÄN</t>
        </is>
      </c>
      <c r="E2034" t="inlineStr">
        <is>
          <t>SKELLEFTEÅ</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51664-2023</t>
        </is>
      </c>
      <c r="B2035" s="1" t="n">
        <v>45215</v>
      </c>
      <c r="C2035" s="1" t="n">
        <v>45964</v>
      </c>
      <c r="D2035" t="inlineStr">
        <is>
          <t>VÄSTERBOTTENS LÄN</t>
        </is>
      </c>
      <c r="E2035" t="inlineStr">
        <is>
          <t>SKELLEFTEÅ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40373-2023</t>
        </is>
      </c>
      <c r="B2036" s="1" t="n">
        <v>45169</v>
      </c>
      <c r="C2036" s="1" t="n">
        <v>45964</v>
      </c>
      <c r="D2036" t="inlineStr">
        <is>
          <t>VÄSTERBOTTENS LÄN</t>
        </is>
      </c>
      <c r="E2036" t="inlineStr">
        <is>
          <t>SKELLEFTEÅ</t>
        </is>
      </c>
      <c r="F2036" t="inlineStr">
        <is>
          <t>Sveaskog</t>
        </is>
      </c>
      <c r="G2036" t="n">
        <v>16.6</v>
      </c>
      <c r="H2036" t="n">
        <v>0</v>
      </c>
      <c r="I2036" t="n">
        <v>0</v>
      </c>
      <c r="J2036" t="n">
        <v>0</v>
      </c>
      <c r="K2036" t="n">
        <v>0</v>
      </c>
      <c r="L2036" t="n">
        <v>0</v>
      </c>
      <c r="M2036" t="n">
        <v>0</v>
      </c>
      <c r="N2036" t="n">
        <v>0</v>
      </c>
      <c r="O2036" t="n">
        <v>0</v>
      </c>
      <c r="P2036" t="n">
        <v>0</v>
      </c>
      <c r="Q2036" t="n">
        <v>0</v>
      </c>
      <c r="R2036" s="2" t="inlineStr"/>
    </row>
    <row r="2037" ht="15" customHeight="1">
      <c r="A2037" t="inlineStr">
        <is>
          <t>A 49461-2025</t>
        </is>
      </c>
      <c r="B2037" s="1" t="n">
        <v>45939.32128472222</v>
      </c>
      <c r="C2037" s="1" t="n">
        <v>45964</v>
      </c>
      <c r="D2037" t="inlineStr">
        <is>
          <t>VÄSTERBOTTENS LÄN</t>
        </is>
      </c>
      <c r="E2037" t="inlineStr">
        <is>
          <t>SKELLEFTEÅ</t>
        </is>
      </c>
      <c r="F2037" t="inlineStr">
        <is>
          <t>Holmen skog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49242-2025</t>
        </is>
      </c>
      <c r="B2038" s="1" t="n">
        <v>45937</v>
      </c>
      <c r="C2038" s="1" t="n">
        <v>45964</v>
      </c>
      <c r="D2038" t="inlineStr">
        <is>
          <t>VÄSTERBOTTENS LÄN</t>
        </is>
      </c>
      <c r="E2038" t="inlineStr">
        <is>
          <t>SKELLEFTEÅ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49478-2025</t>
        </is>
      </c>
      <c r="B2039" s="1" t="n">
        <v>45939.34556712963</v>
      </c>
      <c r="C2039" s="1" t="n">
        <v>45964</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45374-2024</t>
        </is>
      </c>
      <c r="B2040" s="1" t="n">
        <v>45576.51516203704</v>
      </c>
      <c r="C2040" s="1" t="n">
        <v>45964</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45403-2024</t>
        </is>
      </c>
      <c r="B2041" s="1" t="n">
        <v>45576.57667824074</v>
      </c>
      <c r="C2041" s="1" t="n">
        <v>45964</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40771-2025</t>
        </is>
      </c>
      <c r="B2042" s="1" t="n">
        <v>45897.40736111111</v>
      </c>
      <c r="C2042" s="1" t="n">
        <v>45964</v>
      </c>
      <c r="D2042" t="inlineStr">
        <is>
          <t>VÄSTERBOTTENS LÄN</t>
        </is>
      </c>
      <c r="E2042" t="inlineStr">
        <is>
          <t>SKELLEFTEÅ</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71798-2021</t>
        </is>
      </c>
      <c r="B2043" s="1" t="n">
        <v>44543.56943287037</v>
      </c>
      <c r="C2043" s="1" t="n">
        <v>45964</v>
      </c>
      <c r="D2043" t="inlineStr">
        <is>
          <t>VÄSTERBOTTENS LÄN</t>
        </is>
      </c>
      <c r="E2043" t="inlineStr">
        <is>
          <t>SKELLEFTEÅ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45964</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50166-2025</t>
        </is>
      </c>
      <c r="B2045" s="1" t="n">
        <v>45943.59422453704</v>
      </c>
      <c r="C2045" s="1" t="n">
        <v>45964</v>
      </c>
      <c r="D2045" t="inlineStr">
        <is>
          <t>VÄSTERBOTTENS LÄN</t>
        </is>
      </c>
      <c r="E2045" t="inlineStr">
        <is>
          <t>SKELLEFTEÅ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5374-2025</t>
        </is>
      </c>
      <c r="B2046" s="1" t="n">
        <v>45692</v>
      </c>
      <c r="C2046" s="1" t="n">
        <v>45964</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4034-2024</t>
        </is>
      </c>
      <c r="B2047" s="1" t="n">
        <v>45323.41511574074</v>
      </c>
      <c r="C2047" s="1" t="n">
        <v>45964</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50036-2025</t>
        </is>
      </c>
      <c r="B2048" s="1" t="n">
        <v>45943.39673611111</v>
      </c>
      <c r="C2048" s="1" t="n">
        <v>45964</v>
      </c>
      <c r="D2048" t="inlineStr">
        <is>
          <t>VÄSTERBOTTENS LÄN</t>
        </is>
      </c>
      <c r="E2048" t="inlineStr">
        <is>
          <t>SKELLEFTEÅ</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5563-2025</t>
        </is>
      </c>
      <c r="B2049" s="1" t="n">
        <v>45693</v>
      </c>
      <c r="C2049" s="1" t="n">
        <v>45964</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41150-2025</t>
        </is>
      </c>
      <c r="B2050" s="1" t="n">
        <v>45898.50738425926</v>
      </c>
      <c r="C2050" s="1" t="n">
        <v>45964</v>
      </c>
      <c r="D2050" t="inlineStr">
        <is>
          <t>VÄSTERBOTTENS LÄN</t>
        </is>
      </c>
      <c r="E2050" t="inlineStr">
        <is>
          <t>SKELLEFTEÅ</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41554-2025</t>
        </is>
      </c>
      <c r="B2051" s="1" t="n">
        <v>45901.59134259259</v>
      </c>
      <c r="C2051" s="1" t="n">
        <v>45964</v>
      </c>
      <c r="D2051" t="inlineStr">
        <is>
          <t>VÄSTERBOTTENS LÄN</t>
        </is>
      </c>
      <c r="E2051" t="inlineStr">
        <is>
          <t>SKELLEFTEÅ</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41574-2025</t>
        </is>
      </c>
      <c r="B2052" s="1" t="n">
        <v>45901</v>
      </c>
      <c r="C2052" s="1" t="n">
        <v>45964</v>
      </c>
      <c r="D2052" t="inlineStr">
        <is>
          <t>VÄSTERBOTTENS LÄN</t>
        </is>
      </c>
      <c r="E2052" t="inlineStr">
        <is>
          <t>SKELLEFTEÅ</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49840-2025</t>
        </is>
      </c>
      <c r="B2053" s="1" t="n">
        <v>45940.46934027778</v>
      </c>
      <c r="C2053" s="1" t="n">
        <v>45964</v>
      </c>
      <c r="D2053" t="inlineStr">
        <is>
          <t>VÄSTERBOTTENS LÄN</t>
        </is>
      </c>
      <c r="E2053" t="inlineStr">
        <is>
          <t>SKELLEFTEÅ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41326-2025</t>
        </is>
      </c>
      <c r="B2054" s="1" t="n">
        <v>45899.28303240741</v>
      </c>
      <c r="C2054" s="1" t="n">
        <v>45964</v>
      </c>
      <c r="D2054" t="inlineStr">
        <is>
          <t>VÄSTERBOTTENS LÄN</t>
        </is>
      </c>
      <c r="E2054" t="inlineStr">
        <is>
          <t>SKELLEFTEÅ</t>
        </is>
      </c>
      <c r="F2054" t="inlineStr">
        <is>
          <t>Holmen skog AB</t>
        </is>
      </c>
      <c r="G2054" t="n">
        <v>21.6</v>
      </c>
      <c r="H2054" t="n">
        <v>0</v>
      </c>
      <c r="I2054" t="n">
        <v>0</v>
      </c>
      <c r="J2054" t="n">
        <v>0</v>
      </c>
      <c r="K2054" t="n">
        <v>0</v>
      </c>
      <c r="L2054" t="n">
        <v>0</v>
      </c>
      <c r="M2054" t="n">
        <v>0</v>
      </c>
      <c r="N2054" t="n">
        <v>0</v>
      </c>
      <c r="O2054" t="n">
        <v>0</v>
      </c>
      <c r="P2054" t="n">
        <v>0</v>
      </c>
      <c r="Q2054" t="n">
        <v>0</v>
      </c>
      <c r="R2054" s="2" t="inlineStr"/>
    </row>
    <row r="2055" ht="15" customHeight="1">
      <c r="A2055" t="inlineStr">
        <is>
          <t>A 8341-2024</t>
        </is>
      </c>
      <c r="B2055" s="1" t="n">
        <v>45351</v>
      </c>
      <c r="C2055" s="1" t="n">
        <v>45964</v>
      </c>
      <c r="D2055" t="inlineStr">
        <is>
          <t>VÄSTERBOTTENS LÄN</t>
        </is>
      </c>
      <c r="E2055" t="inlineStr">
        <is>
          <t>SKELLEFTEÅ</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1402-2025</t>
        </is>
      </c>
      <c r="B2056" s="1" t="n">
        <v>45667.70535879629</v>
      </c>
      <c r="C2056" s="1" t="n">
        <v>45964</v>
      </c>
      <c r="D2056" t="inlineStr">
        <is>
          <t>VÄSTERBOTTENS LÄN</t>
        </is>
      </c>
      <c r="E2056" t="inlineStr">
        <is>
          <t>SKELLEFTEÅ</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5783-2025</t>
        </is>
      </c>
      <c r="B2057" s="1" t="n">
        <v>45694.63975694445</v>
      </c>
      <c r="C2057" s="1" t="n">
        <v>45964</v>
      </c>
      <c r="D2057" t="inlineStr">
        <is>
          <t>VÄSTERBOTTENS LÄN</t>
        </is>
      </c>
      <c r="E2057" t="inlineStr">
        <is>
          <t>SKELLEFTEÅ</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16251-2025</t>
        </is>
      </c>
      <c r="B2058" s="1" t="n">
        <v>45750.69998842593</v>
      </c>
      <c r="C2058" s="1" t="n">
        <v>45964</v>
      </c>
      <c r="D2058" t="inlineStr">
        <is>
          <t>VÄSTERBOTTENS LÄN</t>
        </is>
      </c>
      <c r="E2058" t="inlineStr">
        <is>
          <t>SKELLEFTEÅ</t>
        </is>
      </c>
      <c r="F2058" t="inlineStr">
        <is>
          <t>Kommuner</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25182-2025</t>
        </is>
      </c>
      <c r="B2059" s="1" t="n">
        <v>45800.44905092593</v>
      </c>
      <c r="C2059" s="1" t="n">
        <v>45964</v>
      </c>
      <c r="D2059" t="inlineStr">
        <is>
          <t>VÄSTERBOTTENS LÄN</t>
        </is>
      </c>
      <c r="E2059" t="inlineStr">
        <is>
          <t>SKELLEFTEÅ</t>
        </is>
      </c>
      <c r="G2059" t="n">
        <v>19.3</v>
      </c>
      <c r="H2059" t="n">
        <v>0</v>
      </c>
      <c r="I2059" t="n">
        <v>0</v>
      </c>
      <c r="J2059" t="n">
        <v>0</v>
      </c>
      <c r="K2059" t="n">
        <v>0</v>
      </c>
      <c r="L2059" t="n">
        <v>0</v>
      </c>
      <c r="M2059" t="n">
        <v>0</v>
      </c>
      <c r="N2059" t="n">
        <v>0</v>
      </c>
      <c r="O2059" t="n">
        <v>0</v>
      </c>
      <c r="P2059" t="n">
        <v>0</v>
      </c>
      <c r="Q2059" t="n">
        <v>0</v>
      </c>
      <c r="R2059" s="2" t="inlineStr"/>
    </row>
    <row r="2060" ht="15" customHeight="1">
      <c r="A2060" t="inlineStr">
        <is>
          <t>A 9448-2025</t>
        </is>
      </c>
      <c r="B2060" s="1" t="n">
        <v>45715.42537037037</v>
      </c>
      <c r="C2060" s="1" t="n">
        <v>45964</v>
      </c>
      <c r="D2060" t="inlineStr">
        <is>
          <t>VÄSTERBOTTENS LÄN</t>
        </is>
      </c>
      <c r="E2060" t="inlineStr">
        <is>
          <t>SKELLEFTEÅ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12537-2024</t>
        </is>
      </c>
      <c r="B2061" s="1" t="n">
        <v>45379</v>
      </c>
      <c r="C2061" s="1" t="n">
        <v>45964</v>
      </c>
      <c r="D2061" t="inlineStr">
        <is>
          <t>VÄSTERBOTTENS LÄN</t>
        </is>
      </c>
      <c r="E2061" t="inlineStr">
        <is>
          <t>SKELLEFTEÅ</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41058-2025</t>
        </is>
      </c>
      <c r="B2062" s="1" t="n">
        <v>45898.40689814815</v>
      </c>
      <c r="C2062" s="1" t="n">
        <v>45964</v>
      </c>
      <c r="D2062" t="inlineStr">
        <is>
          <t>VÄSTERBOTTENS LÄN</t>
        </is>
      </c>
      <c r="E2062" t="inlineStr">
        <is>
          <t>SKELLEFTEÅ</t>
        </is>
      </c>
      <c r="F2062" t="inlineStr">
        <is>
          <t>SCA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41102-2025</t>
        </is>
      </c>
      <c r="B2063" s="1" t="n">
        <v>45898.45258101852</v>
      </c>
      <c r="C2063" s="1" t="n">
        <v>45964</v>
      </c>
      <c r="D2063" t="inlineStr">
        <is>
          <t>VÄSTERBOTTENS LÄN</t>
        </is>
      </c>
      <c r="E2063" t="inlineStr">
        <is>
          <t>SKELLEFTEÅ</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50061-2025</t>
        </is>
      </c>
      <c r="B2064" s="1" t="n">
        <v>45943.44413194444</v>
      </c>
      <c r="C2064" s="1" t="n">
        <v>45964</v>
      </c>
      <c r="D2064" t="inlineStr">
        <is>
          <t>VÄSTERBOTTENS LÄN</t>
        </is>
      </c>
      <c r="E2064" t="inlineStr">
        <is>
          <t>SKELLEFTEÅ</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22205-2024</t>
        </is>
      </c>
      <c r="B2065" s="1" t="n">
        <v>45446.37524305555</v>
      </c>
      <c r="C2065" s="1" t="n">
        <v>45964</v>
      </c>
      <c r="D2065" t="inlineStr">
        <is>
          <t>VÄSTERBOTTENS LÄN</t>
        </is>
      </c>
      <c r="E2065" t="inlineStr">
        <is>
          <t>SKELLEFTEÅ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19491-2023</t>
        </is>
      </c>
      <c r="B2066" s="1" t="n">
        <v>45049</v>
      </c>
      <c r="C2066" s="1" t="n">
        <v>45964</v>
      </c>
      <c r="D2066" t="inlineStr">
        <is>
          <t>VÄSTERBOTTENS LÄN</t>
        </is>
      </c>
      <c r="E2066" t="inlineStr">
        <is>
          <t>SKELLEFTEÅ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41534-2025</t>
        </is>
      </c>
      <c r="B2067" s="1" t="n">
        <v>45901.56</v>
      </c>
      <c r="C2067" s="1" t="n">
        <v>45964</v>
      </c>
      <c r="D2067" t="inlineStr">
        <is>
          <t>VÄSTERBOTTENS LÄN</t>
        </is>
      </c>
      <c r="E2067" t="inlineStr">
        <is>
          <t>SKELLEFTEÅ</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49841-2025</t>
        </is>
      </c>
      <c r="B2068" s="1" t="n">
        <v>45940.46938657408</v>
      </c>
      <c r="C2068" s="1" t="n">
        <v>45964</v>
      </c>
      <c r="D2068" t="inlineStr">
        <is>
          <t>VÄSTERBOTTENS LÄN</t>
        </is>
      </c>
      <c r="E2068" t="inlineStr">
        <is>
          <t>SKELLEFTEÅ</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18564-2024</t>
        </is>
      </c>
      <c r="B2069" s="1" t="n">
        <v>45425</v>
      </c>
      <c r="C2069" s="1" t="n">
        <v>45964</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49970-2025</t>
        </is>
      </c>
      <c r="B2070" s="1" t="n">
        <v>45941.82208333333</v>
      </c>
      <c r="C2070" s="1" t="n">
        <v>45964</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50158-2025</t>
        </is>
      </c>
      <c r="B2071" s="1" t="n">
        <v>45943.58369212963</v>
      </c>
      <c r="C2071" s="1" t="n">
        <v>45964</v>
      </c>
      <c r="D2071" t="inlineStr">
        <is>
          <t>VÄSTERBOTTENS LÄN</t>
        </is>
      </c>
      <c r="E2071" t="inlineStr">
        <is>
          <t>SKELLEFTEÅ</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50039-2025</t>
        </is>
      </c>
      <c r="B2072" s="1" t="n">
        <v>45943.40211805556</v>
      </c>
      <c r="C2072" s="1" t="n">
        <v>45964</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50060-2025</t>
        </is>
      </c>
      <c r="B2073" s="1" t="n">
        <v>45943.4414699074</v>
      </c>
      <c r="C2073" s="1" t="n">
        <v>45964</v>
      </c>
      <c r="D2073" t="inlineStr">
        <is>
          <t>VÄSTERBOTTENS LÄN</t>
        </is>
      </c>
      <c r="E2073" t="inlineStr">
        <is>
          <t>SKELLEFTEÅ</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37946-2024</t>
        </is>
      </c>
      <c r="B2074" s="1" t="n">
        <v>45544.50325231482</v>
      </c>
      <c r="C2074" s="1" t="n">
        <v>45964</v>
      </c>
      <c r="D2074" t="inlineStr">
        <is>
          <t>VÄSTERBOTTENS LÄN</t>
        </is>
      </c>
      <c r="E2074" t="inlineStr">
        <is>
          <t>SKELLEFTEÅ</t>
        </is>
      </c>
      <c r="F2074" t="inlineStr">
        <is>
          <t>Holmen skog AB</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50235-2025</t>
        </is>
      </c>
      <c r="B2075" s="1" t="n">
        <v>45943.73505787037</v>
      </c>
      <c r="C2075" s="1" t="n">
        <v>45964</v>
      </c>
      <c r="D2075" t="inlineStr">
        <is>
          <t>VÄSTERBOTTENS LÄN</t>
        </is>
      </c>
      <c r="E2075" t="inlineStr">
        <is>
          <t>SKELLEFTEÅ</t>
        </is>
      </c>
      <c r="F2075" t="inlineStr">
        <is>
          <t>Sveaskog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41532-2025</t>
        </is>
      </c>
      <c r="B2076" s="1" t="n">
        <v>45901.55744212963</v>
      </c>
      <c r="C2076" s="1" t="n">
        <v>45964</v>
      </c>
      <c r="D2076" t="inlineStr">
        <is>
          <t>VÄSTERBOTTENS LÄN</t>
        </is>
      </c>
      <c r="E2076" t="inlineStr">
        <is>
          <t>SKELLEFTEÅ</t>
        </is>
      </c>
      <c r="F2076" t="inlineStr">
        <is>
          <t>Holmen skog AB</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49839-2025</t>
        </is>
      </c>
      <c r="B2077" s="1" t="n">
        <v>45940.4693287037</v>
      </c>
      <c r="C2077" s="1" t="n">
        <v>45964</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11254-2025</t>
        </is>
      </c>
      <c r="B2078" s="1" t="n">
        <v>45726.38625</v>
      </c>
      <c r="C2078" s="1" t="n">
        <v>45964</v>
      </c>
      <c r="D2078" t="inlineStr">
        <is>
          <t>VÄSTERBOTTENS LÄN</t>
        </is>
      </c>
      <c r="E2078" t="inlineStr">
        <is>
          <t>SKELLEFTEÅ</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30711-2025</t>
        </is>
      </c>
      <c r="B2079" s="1" t="n">
        <v>45831.55188657407</v>
      </c>
      <c r="C2079" s="1" t="n">
        <v>45964</v>
      </c>
      <c r="D2079" t="inlineStr">
        <is>
          <t>VÄSTERBOTTENS LÄN</t>
        </is>
      </c>
      <c r="E2079" t="inlineStr">
        <is>
          <t>SKELLEFTEÅ</t>
        </is>
      </c>
      <c r="F2079" t="inlineStr">
        <is>
          <t>Sveaskog</t>
        </is>
      </c>
      <c r="G2079" t="n">
        <v>21.5</v>
      </c>
      <c r="H2079" t="n">
        <v>0</v>
      </c>
      <c r="I2079" t="n">
        <v>0</v>
      </c>
      <c r="J2079" t="n">
        <v>0</v>
      </c>
      <c r="K2079" t="n">
        <v>0</v>
      </c>
      <c r="L2079" t="n">
        <v>0</v>
      </c>
      <c r="M2079" t="n">
        <v>0</v>
      </c>
      <c r="N2079" t="n">
        <v>0</v>
      </c>
      <c r="O2079" t="n">
        <v>0</v>
      </c>
      <c r="P2079" t="n">
        <v>0</v>
      </c>
      <c r="Q2079" t="n">
        <v>0</v>
      </c>
      <c r="R2079" s="2" t="inlineStr"/>
    </row>
    <row r="2080" ht="15" customHeight="1">
      <c r="A2080" t="inlineStr">
        <is>
          <t>A 31355-2025</t>
        </is>
      </c>
      <c r="B2080" s="1" t="n">
        <v>45833.43050925926</v>
      </c>
      <c r="C2080" s="1" t="n">
        <v>45964</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50037-2025</t>
        </is>
      </c>
      <c r="B2081" s="1" t="n">
        <v>45943.39921296296</v>
      </c>
      <c r="C2081" s="1" t="n">
        <v>45964</v>
      </c>
      <c r="D2081" t="inlineStr">
        <is>
          <t>VÄSTERBOTTENS LÄN</t>
        </is>
      </c>
      <c r="E2081" t="inlineStr">
        <is>
          <t>SKELLEFTEÅ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47874-2025</t>
        </is>
      </c>
      <c r="B2082" s="1" t="n">
        <v>45932</v>
      </c>
      <c r="C2082" s="1" t="n">
        <v>45964</v>
      </c>
      <c r="D2082" t="inlineStr">
        <is>
          <t>VÄSTERBOTTENS LÄN</t>
        </is>
      </c>
      <c r="E2082" t="inlineStr">
        <is>
          <t>SKELLEFTEÅ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22796-2024</t>
        </is>
      </c>
      <c r="B2083" s="1" t="n">
        <v>45448</v>
      </c>
      <c r="C2083" s="1" t="n">
        <v>45964</v>
      </c>
      <c r="D2083" t="inlineStr">
        <is>
          <t>VÄSTERBOTTENS LÄN</t>
        </is>
      </c>
      <c r="E2083" t="inlineStr">
        <is>
          <t>SKELLEFTEÅ</t>
        </is>
      </c>
      <c r="F2083" t="inlineStr">
        <is>
          <t>Holmen skog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49971-2025</t>
        </is>
      </c>
      <c r="B2084" s="1" t="n">
        <v>45941.83613425926</v>
      </c>
      <c r="C2084" s="1" t="n">
        <v>45964</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17015-2025</t>
        </is>
      </c>
      <c r="B2085" s="1" t="n">
        <v>45755.55318287037</v>
      </c>
      <c r="C2085" s="1" t="n">
        <v>45964</v>
      </c>
      <c r="D2085" t="inlineStr">
        <is>
          <t>VÄSTERBOTTENS LÄN</t>
        </is>
      </c>
      <c r="E2085" t="inlineStr">
        <is>
          <t>SKELLEFTEÅ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41507-2025</t>
        </is>
      </c>
      <c r="B2086" s="1" t="n">
        <v>45901.52850694444</v>
      </c>
      <c r="C2086" s="1" t="n">
        <v>45964</v>
      </c>
      <c r="D2086" t="inlineStr">
        <is>
          <t>VÄSTERBOTTENS LÄN</t>
        </is>
      </c>
      <c r="E2086" t="inlineStr">
        <is>
          <t>SKELLEFTEÅ</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31669-2025</t>
        </is>
      </c>
      <c r="B2087" s="1" t="n">
        <v>45834.36547453704</v>
      </c>
      <c r="C2087" s="1" t="n">
        <v>45964</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40409-2025</t>
        </is>
      </c>
      <c r="B2088" s="1" t="n">
        <v>45895</v>
      </c>
      <c r="C2088" s="1" t="n">
        <v>45964</v>
      </c>
      <c r="D2088" t="inlineStr">
        <is>
          <t>VÄSTERBOTTENS LÄN</t>
        </is>
      </c>
      <c r="E2088" t="inlineStr">
        <is>
          <t>SKELLEFTEÅ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38457-2022</t>
        </is>
      </c>
      <c r="B2089" s="1" t="n">
        <v>44813</v>
      </c>
      <c r="C2089" s="1" t="n">
        <v>45964</v>
      </c>
      <c r="D2089" t="inlineStr">
        <is>
          <t>VÄSTERBOTTENS LÄN</t>
        </is>
      </c>
      <c r="E2089" t="inlineStr">
        <is>
          <t>SKELLEFTEÅ</t>
        </is>
      </c>
      <c r="F2089" t="inlineStr">
        <is>
          <t>Holmen skog AB</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28573-2025</t>
        </is>
      </c>
      <c r="B2090" s="1" t="n">
        <v>45819</v>
      </c>
      <c r="C2090" s="1" t="n">
        <v>45964</v>
      </c>
      <c r="D2090" t="inlineStr">
        <is>
          <t>VÄSTERBOTTENS LÄN</t>
        </is>
      </c>
      <c r="E2090" t="inlineStr">
        <is>
          <t>SKELLEFTEÅ</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22429-2025</t>
        </is>
      </c>
      <c r="B2091" s="1" t="n">
        <v>45786</v>
      </c>
      <c r="C2091" s="1" t="n">
        <v>45964</v>
      </c>
      <c r="D2091" t="inlineStr">
        <is>
          <t>VÄSTERBOTTENS LÄN</t>
        </is>
      </c>
      <c r="E2091" t="inlineStr">
        <is>
          <t>SKELLEFTEÅ</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41720-2025</t>
        </is>
      </c>
      <c r="B2092" s="1" t="n">
        <v>45902.4481712963</v>
      </c>
      <c r="C2092" s="1" t="n">
        <v>45964</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50336-2025</t>
        </is>
      </c>
      <c r="B2093" s="1" t="n">
        <v>45944</v>
      </c>
      <c r="C2093" s="1" t="n">
        <v>45964</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14394-2025</t>
        </is>
      </c>
      <c r="B2094" s="1" t="n">
        <v>45741</v>
      </c>
      <c r="C2094" s="1" t="n">
        <v>45964</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41670-2025</t>
        </is>
      </c>
      <c r="B2095" s="1" t="n">
        <v>45902.361875</v>
      </c>
      <c r="C2095" s="1" t="n">
        <v>45964</v>
      </c>
      <c r="D2095" t="inlineStr">
        <is>
          <t>VÄSTERBOTTENS LÄN</t>
        </is>
      </c>
      <c r="E2095" t="inlineStr">
        <is>
          <t>SKELLEFTEÅ</t>
        </is>
      </c>
      <c r="F2095" t="inlineStr">
        <is>
          <t>Holmen skog AB</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41909-2025</t>
        </is>
      </c>
      <c r="B2096" s="1" t="n">
        <v>45903.4078125</v>
      </c>
      <c r="C2096" s="1" t="n">
        <v>45964</v>
      </c>
      <c r="D2096" t="inlineStr">
        <is>
          <t>VÄSTERBOTTENS LÄN</t>
        </is>
      </c>
      <c r="E2096" t="inlineStr">
        <is>
          <t>SKELLEFTEÅ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41953-2025</t>
        </is>
      </c>
      <c r="B2097" s="1" t="n">
        <v>45903.45978009259</v>
      </c>
      <c r="C2097" s="1" t="n">
        <v>45964</v>
      </c>
      <c r="D2097" t="inlineStr">
        <is>
          <t>VÄSTERBOTTENS LÄN</t>
        </is>
      </c>
      <c r="E2097" t="inlineStr">
        <is>
          <t>SKELLEFTEÅ</t>
        </is>
      </c>
      <c r="F2097" t="inlineStr">
        <is>
          <t>Holmen skog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42007-2025</t>
        </is>
      </c>
      <c r="B2098" s="1" t="n">
        <v>45903.55988425926</v>
      </c>
      <c r="C2098" s="1" t="n">
        <v>45964</v>
      </c>
      <c r="D2098" t="inlineStr">
        <is>
          <t>VÄSTERBOTTENS LÄN</t>
        </is>
      </c>
      <c r="E2098" t="inlineStr">
        <is>
          <t>SKELLEFTEÅ</t>
        </is>
      </c>
      <c r="F2098" t="inlineStr">
        <is>
          <t>Holmen skog AB</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42020-2025</t>
        </is>
      </c>
      <c r="B2099" s="1" t="n">
        <v>45903.58728009259</v>
      </c>
      <c r="C2099" s="1" t="n">
        <v>45964</v>
      </c>
      <c r="D2099" t="inlineStr">
        <is>
          <t>VÄSTERBOTTENS LÄN</t>
        </is>
      </c>
      <c r="E2099" t="inlineStr">
        <is>
          <t>SKELLEFTEÅ</t>
        </is>
      </c>
      <c r="F2099" t="inlineStr">
        <is>
          <t>Holmen skog AB</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36149-2025</t>
        </is>
      </c>
      <c r="B2100" s="1" t="n">
        <v>45866</v>
      </c>
      <c r="C2100" s="1" t="n">
        <v>45964</v>
      </c>
      <c r="D2100" t="inlineStr">
        <is>
          <t>VÄSTERBOTTENS LÄN</t>
        </is>
      </c>
      <c r="E2100" t="inlineStr">
        <is>
          <t>SKELLEFTEÅ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31780-2025</t>
        </is>
      </c>
      <c r="B2101" s="1" t="n">
        <v>45834.52940972222</v>
      </c>
      <c r="C2101" s="1" t="n">
        <v>45964</v>
      </c>
      <c r="D2101" t="inlineStr">
        <is>
          <t>VÄSTERBOTTENS LÄN</t>
        </is>
      </c>
      <c r="E2101" t="inlineStr">
        <is>
          <t>SKELLEFTEÅ</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20825-2025</t>
        </is>
      </c>
      <c r="B2102" s="1" t="n">
        <v>45776</v>
      </c>
      <c r="C2102" s="1" t="n">
        <v>45964</v>
      </c>
      <c r="D2102" t="inlineStr">
        <is>
          <t>VÄSTERBOTTENS LÄN</t>
        </is>
      </c>
      <c r="E2102" t="inlineStr">
        <is>
          <t>SKELLEFTEÅ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41908-2025</t>
        </is>
      </c>
      <c r="B2103" s="1" t="n">
        <v>45903.40730324074</v>
      </c>
      <c r="C2103" s="1" t="n">
        <v>45964</v>
      </c>
      <c r="D2103" t="inlineStr">
        <is>
          <t>VÄSTERBOTTENS LÄN</t>
        </is>
      </c>
      <c r="E2103" t="inlineStr">
        <is>
          <t>SKELLEFTEÅ</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50638-2025</t>
        </is>
      </c>
      <c r="B2104" s="1" t="n">
        <v>45945.65354166667</v>
      </c>
      <c r="C2104" s="1" t="n">
        <v>45964</v>
      </c>
      <c r="D2104" t="inlineStr">
        <is>
          <t>VÄSTERBOTTENS LÄN</t>
        </is>
      </c>
      <c r="E2104" t="inlineStr">
        <is>
          <t>SKELLEFTEÅ</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41910-2025</t>
        </is>
      </c>
      <c r="B2105" s="1" t="n">
        <v>45903.40789351852</v>
      </c>
      <c r="C2105" s="1" t="n">
        <v>45964</v>
      </c>
      <c r="D2105" t="inlineStr">
        <is>
          <t>VÄSTERBOTTENS LÄN</t>
        </is>
      </c>
      <c r="E2105" t="inlineStr">
        <is>
          <t>SKELLEFTEÅ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41917-2025</t>
        </is>
      </c>
      <c r="B2106" s="1" t="n">
        <v>45903.42202546296</v>
      </c>
      <c r="C2106" s="1" t="n">
        <v>45964</v>
      </c>
      <c r="D2106" t="inlineStr">
        <is>
          <t>VÄSTERBOTTENS LÄN</t>
        </is>
      </c>
      <c r="E2106" t="inlineStr">
        <is>
          <t>SKELLEFTEÅ</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41721-2025</t>
        </is>
      </c>
      <c r="B2107" s="1" t="n">
        <v>45902.44825231482</v>
      </c>
      <c r="C2107" s="1" t="n">
        <v>45964</v>
      </c>
      <c r="D2107" t="inlineStr">
        <is>
          <t>VÄSTERBOTTENS LÄN</t>
        </is>
      </c>
      <c r="E2107" t="inlineStr">
        <is>
          <t>SKELLEFTEÅ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27219-2025</t>
        </is>
      </c>
      <c r="B2108" s="1" t="n">
        <v>45812</v>
      </c>
      <c r="C2108" s="1" t="n">
        <v>45964</v>
      </c>
      <c r="D2108" t="inlineStr">
        <is>
          <t>VÄSTERBOTTENS LÄN</t>
        </is>
      </c>
      <c r="E2108" t="inlineStr">
        <is>
          <t>SKELLEFTEÅ</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42241-2025</t>
        </is>
      </c>
      <c r="B2109" s="1" t="n">
        <v>45903</v>
      </c>
      <c r="C2109" s="1" t="n">
        <v>45964</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42234-2025</t>
        </is>
      </c>
      <c r="B2110" s="1" t="n">
        <v>45903</v>
      </c>
      <c r="C2110" s="1" t="n">
        <v>45964</v>
      </c>
      <c r="D2110" t="inlineStr">
        <is>
          <t>VÄSTERBOTTENS LÄN</t>
        </is>
      </c>
      <c r="E2110" t="inlineStr">
        <is>
          <t>SKELLEFTEÅ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50506-2025</t>
        </is>
      </c>
      <c r="B2111" s="1" t="n">
        <v>45945.42958333333</v>
      </c>
      <c r="C2111" s="1" t="n">
        <v>45964</v>
      </c>
      <c r="D2111" t="inlineStr">
        <is>
          <t>VÄSTERBOTTENS LÄN</t>
        </is>
      </c>
      <c r="E2111" t="inlineStr">
        <is>
          <t>SKELLEFTEÅ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50507-2025</t>
        </is>
      </c>
      <c r="B2112" s="1" t="n">
        <v>45945.43255787037</v>
      </c>
      <c r="C2112" s="1" t="n">
        <v>45964</v>
      </c>
      <c r="D2112" t="inlineStr">
        <is>
          <t>VÄSTERBOTTENS LÄN</t>
        </is>
      </c>
      <c r="E2112" t="inlineStr">
        <is>
          <t>SKELLEFTEÅ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50548-2025</t>
        </is>
      </c>
      <c r="B2113" s="1" t="n">
        <v>45945.51137731481</v>
      </c>
      <c r="C2113" s="1" t="n">
        <v>45964</v>
      </c>
      <c r="D2113" t="inlineStr">
        <is>
          <t>VÄSTERBOTTENS LÄN</t>
        </is>
      </c>
      <c r="E2113" t="inlineStr">
        <is>
          <t>SKELLEFTEÅ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41677-2025</t>
        </is>
      </c>
      <c r="B2114" s="1" t="n">
        <v>45902.37362268518</v>
      </c>
      <c r="C2114" s="1" t="n">
        <v>45964</v>
      </c>
      <c r="D2114" t="inlineStr">
        <is>
          <t>VÄSTERBOTTENS LÄN</t>
        </is>
      </c>
      <c r="E2114" t="inlineStr">
        <is>
          <t>SKELLEFTEÅ</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41701-2025</t>
        </is>
      </c>
      <c r="B2115" s="1" t="n">
        <v>45902.41085648148</v>
      </c>
      <c r="C2115" s="1" t="n">
        <v>45964</v>
      </c>
      <c r="D2115" t="inlineStr">
        <is>
          <t>VÄSTERBOTTENS LÄN</t>
        </is>
      </c>
      <c r="E2115" t="inlineStr">
        <is>
          <t>SKELLEFTEÅ</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50369-2025</t>
        </is>
      </c>
      <c r="B2116" s="1" t="n">
        <v>45944.58130787037</v>
      </c>
      <c r="C2116" s="1" t="n">
        <v>45964</v>
      </c>
      <c r="D2116" t="inlineStr">
        <is>
          <t>VÄSTERBOTTENS LÄN</t>
        </is>
      </c>
      <c r="E2116" t="inlineStr">
        <is>
          <t>SKELLEFTEÅ</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42248-2025</t>
        </is>
      </c>
      <c r="B2117" s="1" t="n">
        <v>45903</v>
      </c>
      <c r="C2117" s="1" t="n">
        <v>45964</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42250-2025</t>
        </is>
      </c>
      <c r="B2118" s="1" t="n">
        <v>45903</v>
      </c>
      <c r="C2118" s="1" t="n">
        <v>45964</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50693-2025</t>
        </is>
      </c>
      <c r="B2119" s="1" t="n">
        <v>45945.85396990741</v>
      </c>
      <c r="C2119" s="1" t="n">
        <v>45964</v>
      </c>
      <c r="D2119" t="inlineStr">
        <is>
          <t>VÄSTERBOTTENS LÄN</t>
        </is>
      </c>
      <c r="E2119" t="inlineStr">
        <is>
          <t>SKELLEFTEÅ</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42059-2025</t>
        </is>
      </c>
      <c r="B2120" s="1" t="n">
        <v>45903</v>
      </c>
      <c r="C2120" s="1" t="n">
        <v>45964</v>
      </c>
      <c r="D2120" t="inlineStr">
        <is>
          <t>VÄSTERBOTTENS LÄN</t>
        </is>
      </c>
      <c r="E2120" t="inlineStr">
        <is>
          <t>SKELLEFTEÅ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27990-2024</t>
        </is>
      </c>
      <c r="B2121" s="1" t="n">
        <v>45476.42824074074</v>
      </c>
      <c r="C2121" s="1" t="n">
        <v>45964</v>
      </c>
      <c r="D2121" t="inlineStr">
        <is>
          <t>VÄSTERBOTTENS LÄN</t>
        </is>
      </c>
      <c r="E2121" t="inlineStr">
        <is>
          <t>SKELLEFTEÅ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41992-2025</t>
        </is>
      </c>
      <c r="B2122" s="1" t="n">
        <v>45903</v>
      </c>
      <c r="C2122" s="1" t="n">
        <v>45964</v>
      </c>
      <c r="D2122" t="inlineStr">
        <is>
          <t>VÄSTERBOTTENS LÄN</t>
        </is>
      </c>
      <c r="E2122" t="inlineStr">
        <is>
          <t>SKELLEFTEÅ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50381-2025</t>
        </is>
      </c>
      <c r="B2123" s="1" t="n">
        <v>45944.59734953703</v>
      </c>
      <c r="C2123" s="1" t="n">
        <v>45964</v>
      </c>
      <c r="D2123" t="inlineStr">
        <is>
          <t>VÄSTERBOTTENS LÄN</t>
        </is>
      </c>
      <c r="E2123" t="inlineStr">
        <is>
          <t>SKELLEFTEÅ</t>
        </is>
      </c>
      <c r="F2123" t="inlineStr">
        <is>
          <t>Holmen skog AB</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41697-2025</t>
        </is>
      </c>
      <c r="B2124" s="1" t="n">
        <v>45902.4074537037</v>
      </c>
      <c r="C2124" s="1" t="n">
        <v>45964</v>
      </c>
      <c r="D2124" t="inlineStr">
        <is>
          <t>VÄSTERBOTTENS LÄN</t>
        </is>
      </c>
      <c r="E2124" t="inlineStr">
        <is>
          <t>SKELLEFTEÅ</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42086-2025</t>
        </is>
      </c>
      <c r="B2125" s="1" t="n">
        <v>45903.69359953704</v>
      </c>
      <c r="C2125" s="1" t="n">
        <v>45964</v>
      </c>
      <c r="D2125" t="inlineStr">
        <is>
          <t>VÄSTERBOTTENS LÄN</t>
        </is>
      </c>
      <c r="E2125" t="inlineStr">
        <is>
          <t>SKELLEFTEÅ</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41973-2025</t>
        </is>
      </c>
      <c r="B2126" s="1" t="n">
        <v>45903.49407407407</v>
      </c>
      <c r="C2126" s="1" t="n">
        <v>45964</v>
      </c>
      <c r="D2126" t="inlineStr">
        <is>
          <t>VÄSTERBOTTENS LÄN</t>
        </is>
      </c>
      <c r="E2126" t="inlineStr">
        <is>
          <t>SKELLEFTEÅ</t>
        </is>
      </c>
      <c r="F2126" t="inlineStr">
        <is>
          <t>Holmen skog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50299-2025</t>
        </is>
      </c>
      <c r="B2127" s="1" t="n">
        <v>45944.41221064814</v>
      </c>
      <c r="C2127" s="1" t="n">
        <v>45964</v>
      </c>
      <c r="D2127" t="inlineStr">
        <is>
          <t>VÄSTERBOTTENS LÄN</t>
        </is>
      </c>
      <c r="E2127" t="inlineStr">
        <is>
          <t>SKELLEFTEÅ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50326-2025</t>
        </is>
      </c>
      <c r="B2128" s="1" t="n">
        <v>45944.46233796296</v>
      </c>
      <c r="C2128" s="1" t="n">
        <v>45964</v>
      </c>
      <c r="D2128" t="inlineStr">
        <is>
          <t>VÄSTERBOTTENS LÄN</t>
        </is>
      </c>
      <c r="E2128" t="inlineStr">
        <is>
          <t>SKELLEFTEÅ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50882-2025</t>
        </is>
      </c>
      <c r="B2129" s="1" t="n">
        <v>45946.63017361111</v>
      </c>
      <c r="C2129" s="1" t="n">
        <v>45964</v>
      </c>
      <c r="D2129" t="inlineStr">
        <is>
          <t>VÄSTERBOTTENS LÄN</t>
        </is>
      </c>
      <c r="E2129" t="inlineStr">
        <is>
          <t>SKELLEFTEÅ</t>
        </is>
      </c>
      <c r="F2129" t="inlineStr">
        <is>
          <t>Holmen skog AB</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42118-2025</t>
        </is>
      </c>
      <c r="B2130" s="1" t="n">
        <v>45904.33653935185</v>
      </c>
      <c r="C2130" s="1" t="n">
        <v>45964</v>
      </c>
      <c r="D2130" t="inlineStr">
        <is>
          <t>VÄSTERBOTTENS LÄN</t>
        </is>
      </c>
      <c r="E2130" t="inlineStr">
        <is>
          <t>SKELLEFTEÅ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27157-2025</t>
        </is>
      </c>
      <c r="B2131" s="1" t="n">
        <v>45812.33298611111</v>
      </c>
      <c r="C2131" s="1" t="n">
        <v>45964</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51021-2025</t>
        </is>
      </c>
      <c r="B2132" s="1" t="n">
        <v>45947.38876157408</v>
      </c>
      <c r="C2132" s="1" t="n">
        <v>45964</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51216-2025</t>
        </is>
      </c>
      <c r="B2133" s="1" t="n">
        <v>45947.6441550926</v>
      </c>
      <c r="C2133" s="1" t="n">
        <v>45964</v>
      </c>
      <c r="D2133" t="inlineStr">
        <is>
          <t>VÄSTERBOTTENS LÄN</t>
        </is>
      </c>
      <c r="E2133" t="inlineStr">
        <is>
          <t>SKELLEFTEÅ</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42401-2025</t>
        </is>
      </c>
      <c r="B2134" s="1" t="n">
        <v>45905.37298611111</v>
      </c>
      <c r="C2134" s="1" t="n">
        <v>45964</v>
      </c>
      <c r="D2134" t="inlineStr">
        <is>
          <t>VÄSTERBOTTENS LÄN</t>
        </is>
      </c>
      <c r="E2134" t="inlineStr">
        <is>
          <t>SKELLEFTEÅ</t>
        </is>
      </c>
      <c r="F2134" t="inlineStr">
        <is>
          <t>Holmen skog AB</t>
        </is>
      </c>
      <c r="G2134" t="n">
        <v>11.9</v>
      </c>
      <c r="H2134" t="n">
        <v>0</v>
      </c>
      <c r="I2134" t="n">
        <v>0</v>
      </c>
      <c r="J2134" t="n">
        <v>0</v>
      </c>
      <c r="K2134" t="n">
        <v>0</v>
      </c>
      <c r="L2134" t="n">
        <v>0</v>
      </c>
      <c r="M2134" t="n">
        <v>0</v>
      </c>
      <c r="N2134" t="n">
        <v>0</v>
      </c>
      <c r="O2134" t="n">
        <v>0</v>
      </c>
      <c r="P2134" t="n">
        <v>0</v>
      </c>
      <c r="Q2134" t="n">
        <v>0</v>
      </c>
      <c r="R2134" s="2" t="inlineStr"/>
    </row>
    <row r="2135" ht="15" customHeight="1">
      <c r="A2135" t="inlineStr">
        <is>
          <t>A 8141-2025</t>
        </is>
      </c>
      <c r="B2135" s="1" t="n">
        <v>45708.27729166667</v>
      </c>
      <c r="C2135" s="1" t="n">
        <v>45964</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50848-2025</t>
        </is>
      </c>
      <c r="B2136" s="1" t="n">
        <v>45946.57664351852</v>
      </c>
      <c r="C2136" s="1" t="n">
        <v>45964</v>
      </c>
      <c r="D2136" t="inlineStr">
        <is>
          <t>VÄSTERBOTTENS LÄN</t>
        </is>
      </c>
      <c r="E2136" t="inlineStr">
        <is>
          <t>SKELLEFTEÅ</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42133-2025</t>
        </is>
      </c>
      <c r="B2137" s="1" t="n">
        <v>45904.34597222223</v>
      </c>
      <c r="C2137" s="1" t="n">
        <v>45964</v>
      </c>
      <c r="D2137" t="inlineStr">
        <is>
          <t>VÄSTERBOTTENS LÄN</t>
        </is>
      </c>
      <c r="E2137" t="inlineStr">
        <is>
          <t>SKELLEFTEÅ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42114-2025</t>
        </is>
      </c>
      <c r="B2138" s="1" t="n">
        <v>45904.33050925926</v>
      </c>
      <c r="C2138" s="1" t="n">
        <v>45964</v>
      </c>
      <c r="D2138" t="inlineStr">
        <is>
          <t>VÄSTERBOTTENS LÄN</t>
        </is>
      </c>
      <c r="E2138" t="inlineStr">
        <is>
          <t>SKELLEFTEÅ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42136-2025</t>
        </is>
      </c>
      <c r="B2139" s="1" t="n">
        <v>45904</v>
      </c>
      <c r="C2139" s="1" t="n">
        <v>45964</v>
      </c>
      <c r="D2139" t="inlineStr">
        <is>
          <t>VÄSTERBOTTENS LÄN</t>
        </is>
      </c>
      <c r="E2139" t="inlineStr">
        <is>
          <t>SKELLEFTEÅ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42137-2025</t>
        </is>
      </c>
      <c r="B2140" s="1" t="n">
        <v>45904.35496527778</v>
      </c>
      <c r="C2140" s="1" t="n">
        <v>45964</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51194-2025</t>
        </is>
      </c>
      <c r="B2141" s="1" t="n">
        <v>45947.62954861111</v>
      </c>
      <c r="C2141" s="1" t="n">
        <v>45964</v>
      </c>
      <c r="D2141" t="inlineStr">
        <is>
          <t>VÄSTERBOTTENS LÄN</t>
        </is>
      </c>
      <c r="E2141" t="inlineStr">
        <is>
          <t>SKELLEFTEÅ</t>
        </is>
      </c>
      <c r="F2141" t="inlineStr">
        <is>
          <t>Sveaskog</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58829-2024</t>
        </is>
      </c>
      <c r="B2142" s="1" t="n">
        <v>45636</v>
      </c>
      <c r="C2142" s="1" t="n">
        <v>45964</v>
      </c>
      <c r="D2142" t="inlineStr">
        <is>
          <t>VÄSTERBOTTENS LÄN</t>
        </is>
      </c>
      <c r="E2142" t="inlineStr">
        <is>
          <t>SKELLEFTEÅ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42107-2025</t>
        </is>
      </c>
      <c r="B2143" s="1" t="n">
        <v>45903.90503472222</v>
      </c>
      <c r="C2143" s="1" t="n">
        <v>45964</v>
      </c>
      <c r="D2143" t="inlineStr">
        <is>
          <t>VÄSTERBOTTENS LÄN</t>
        </is>
      </c>
      <c r="E2143" t="inlineStr">
        <is>
          <t>SKELLEFTEÅ</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42116-2025</t>
        </is>
      </c>
      <c r="B2144" s="1" t="n">
        <v>45904.33420138889</v>
      </c>
      <c r="C2144" s="1" t="n">
        <v>45964</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42121-2025</t>
        </is>
      </c>
      <c r="B2145" s="1" t="n">
        <v>45904.34252314815</v>
      </c>
      <c r="C2145" s="1" t="n">
        <v>45964</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42796-2025</t>
        </is>
      </c>
      <c r="B2146" s="1" t="n">
        <v>45908.52939814814</v>
      </c>
      <c r="C2146" s="1" t="n">
        <v>45964</v>
      </c>
      <c r="D2146" t="inlineStr">
        <is>
          <t>VÄSTERBOTTENS LÄN</t>
        </is>
      </c>
      <c r="E2146" t="inlineStr">
        <is>
          <t>SKELLEFTEÅ</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51502-2025</t>
        </is>
      </c>
      <c r="B2147" s="1" t="n">
        <v>45950.63775462963</v>
      </c>
      <c r="C2147" s="1" t="n">
        <v>45964</v>
      </c>
      <c r="D2147" t="inlineStr">
        <is>
          <t>VÄSTERBOTTENS LÄN</t>
        </is>
      </c>
      <c r="E2147" t="inlineStr">
        <is>
          <t>SKELLEFTEÅ</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51290-2025</t>
        </is>
      </c>
      <c r="B2148" s="1" t="n">
        <v>45950.34587962963</v>
      </c>
      <c r="C2148" s="1" t="n">
        <v>45964</v>
      </c>
      <c r="D2148" t="inlineStr">
        <is>
          <t>VÄSTERBOTTENS LÄN</t>
        </is>
      </c>
      <c r="E2148" t="inlineStr">
        <is>
          <t>SKELLEFTEÅ</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51438-2025</t>
        </is>
      </c>
      <c r="B2149" s="1" t="n">
        <v>45950.56954861111</v>
      </c>
      <c r="C2149" s="1" t="n">
        <v>45964</v>
      </c>
      <c r="D2149" t="inlineStr">
        <is>
          <t>VÄSTERBOTTENS LÄN</t>
        </is>
      </c>
      <c r="E2149" t="inlineStr">
        <is>
          <t>SKELLEFTEÅ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51624-2025</t>
        </is>
      </c>
      <c r="B2150" s="1" t="n">
        <v>45951.41597222222</v>
      </c>
      <c r="C2150" s="1" t="n">
        <v>45964</v>
      </c>
      <c r="D2150" t="inlineStr">
        <is>
          <t>VÄSTERBOTTENS LÄN</t>
        </is>
      </c>
      <c r="E2150" t="inlineStr">
        <is>
          <t>SKELLEFTEÅ</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51641-2025</t>
        </is>
      </c>
      <c r="B2151" s="1" t="n">
        <v>45951.44424768518</v>
      </c>
      <c r="C2151" s="1" t="n">
        <v>45964</v>
      </c>
      <c r="D2151" t="inlineStr">
        <is>
          <t>VÄSTERBOTTENS LÄN</t>
        </is>
      </c>
      <c r="E2151" t="inlineStr">
        <is>
          <t>SKELLEFTEÅ</t>
        </is>
      </c>
      <c r="F2151" t="inlineStr">
        <is>
          <t>Sveaskog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51289-2025</t>
        </is>
      </c>
      <c r="B2152" s="1" t="n">
        <v>45950.34569444445</v>
      </c>
      <c r="C2152" s="1" t="n">
        <v>45964</v>
      </c>
      <c r="D2152" t="inlineStr">
        <is>
          <t>VÄSTERBOTTENS LÄN</t>
        </is>
      </c>
      <c r="E2152" t="inlineStr">
        <is>
          <t>SKELLEFTEÅ</t>
        </is>
      </c>
      <c r="F2152" t="inlineStr">
        <is>
          <t>SCA</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51312-2025</t>
        </is>
      </c>
      <c r="B2153" s="1" t="n">
        <v>45950.37475694445</v>
      </c>
      <c r="C2153" s="1" t="n">
        <v>45964</v>
      </c>
      <c r="D2153" t="inlineStr">
        <is>
          <t>VÄSTERBOTTENS LÄN</t>
        </is>
      </c>
      <c r="E2153" t="inlineStr">
        <is>
          <t>SKELLEFTEÅ</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51635-2025</t>
        </is>
      </c>
      <c r="B2154" s="1" t="n">
        <v>45951.43149305556</v>
      </c>
      <c r="C2154" s="1" t="n">
        <v>45964</v>
      </c>
      <c r="D2154" t="inlineStr">
        <is>
          <t>VÄSTERBOTTENS LÄN</t>
        </is>
      </c>
      <c r="E2154" t="inlineStr">
        <is>
          <t>SKELLEFTEÅ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51594-2025</t>
        </is>
      </c>
      <c r="B2155" s="1" t="n">
        <v>45951.36555555555</v>
      </c>
      <c r="C2155" s="1" t="n">
        <v>45964</v>
      </c>
      <c r="D2155" t="inlineStr">
        <is>
          <t>VÄSTERBOTTENS LÄN</t>
        </is>
      </c>
      <c r="E2155" t="inlineStr">
        <is>
          <t>SKELLEFTEÅ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51667-2025</t>
        </is>
      </c>
      <c r="B2156" s="1" t="n">
        <v>45951.4958449074</v>
      </c>
      <c r="C2156" s="1" t="n">
        <v>45964</v>
      </c>
      <c r="D2156" t="inlineStr">
        <is>
          <t>VÄSTERBOTTENS LÄN</t>
        </is>
      </c>
      <c r="E2156" t="inlineStr">
        <is>
          <t>SKELLEFTEÅ</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51670-2025</t>
        </is>
      </c>
      <c r="B2157" s="1" t="n">
        <v>45951.49685185185</v>
      </c>
      <c r="C2157" s="1" t="n">
        <v>45964</v>
      </c>
      <c r="D2157" t="inlineStr">
        <is>
          <t>VÄSTERBOTTENS LÄN</t>
        </is>
      </c>
      <c r="E2157" t="inlineStr">
        <is>
          <t>SKELLEFTEÅ</t>
        </is>
      </c>
      <c r="F2157" t="inlineStr">
        <is>
          <t>Holmen skog AB</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51630-2025</t>
        </is>
      </c>
      <c r="B2158" s="1" t="n">
        <v>45951.42327546296</v>
      </c>
      <c r="C2158" s="1" t="n">
        <v>45964</v>
      </c>
      <c r="D2158" t="inlineStr">
        <is>
          <t>VÄSTERBOTTENS LÄN</t>
        </is>
      </c>
      <c r="E2158" t="inlineStr">
        <is>
          <t>SKELLEFTEÅ</t>
        </is>
      </c>
      <c r="F2158" t="inlineStr">
        <is>
          <t>Sveaskog</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51660-2025</t>
        </is>
      </c>
      <c r="B2159" s="1" t="n">
        <v>45951.4765162037</v>
      </c>
      <c r="C2159" s="1" t="n">
        <v>45964</v>
      </c>
      <c r="D2159" t="inlineStr">
        <is>
          <t>VÄSTERBOTTENS LÄN</t>
        </is>
      </c>
      <c r="E2159" t="inlineStr">
        <is>
          <t>SKELLEFTEÅ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51573-2025</t>
        </is>
      </c>
      <c r="B2160" s="1" t="n">
        <v>45951.33599537037</v>
      </c>
      <c r="C2160" s="1" t="n">
        <v>45964</v>
      </c>
      <c r="D2160" t="inlineStr">
        <is>
          <t>VÄSTERBOTTENS LÄN</t>
        </is>
      </c>
      <c r="E2160" t="inlineStr">
        <is>
          <t>SKELLEFTEÅ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51250-2025</t>
        </is>
      </c>
      <c r="B2161" s="1" t="n">
        <v>45948.46230324074</v>
      </c>
      <c r="C2161" s="1" t="n">
        <v>45964</v>
      </c>
      <c r="D2161" t="inlineStr">
        <is>
          <t>VÄSTERBOTTENS LÄN</t>
        </is>
      </c>
      <c r="E2161" t="inlineStr">
        <is>
          <t>SKELLEFTEÅ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51632-2025</t>
        </is>
      </c>
      <c r="B2162" s="1" t="n">
        <v>45951.42534722222</v>
      </c>
      <c r="C2162" s="1" t="n">
        <v>45964</v>
      </c>
      <c r="D2162" t="inlineStr">
        <is>
          <t>VÄSTERBOTTENS LÄN</t>
        </is>
      </c>
      <c r="E2162" t="inlineStr">
        <is>
          <t>SKELLEFTEÅ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42661-2025</t>
        </is>
      </c>
      <c r="B2163" s="1" t="n">
        <v>45907.60118055555</v>
      </c>
      <c r="C2163" s="1" t="n">
        <v>45964</v>
      </c>
      <c r="D2163" t="inlineStr">
        <is>
          <t>VÄSTERBOTTENS LÄN</t>
        </is>
      </c>
      <c r="E2163" t="inlineStr">
        <is>
          <t>SKELLEFTEÅ</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51420-2025</t>
        </is>
      </c>
      <c r="B2164" s="1" t="n">
        <v>45950.51708333333</v>
      </c>
      <c r="C2164" s="1" t="n">
        <v>45964</v>
      </c>
      <c r="D2164" t="inlineStr">
        <is>
          <t>VÄSTERBOTTENS LÄN</t>
        </is>
      </c>
      <c r="E2164" t="inlineStr">
        <is>
          <t>SKELLEFTEÅ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58830-2024</t>
        </is>
      </c>
      <c r="B2165" s="1" t="n">
        <v>45636</v>
      </c>
      <c r="C2165" s="1" t="n">
        <v>45964</v>
      </c>
      <c r="D2165" t="inlineStr">
        <is>
          <t>VÄSTERBOTTENS LÄN</t>
        </is>
      </c>
      <c r="E2165" t="inlineStr">
        <is>
          <t>SKELLEFTEÅ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51350-2025</t>
        </is>
      </c>
      <c r="B2166" s="1" t="n">
        <v>45950.43576388889</v>
      </c>
      <c r="C2166" s="1" t="n">
        <v>45964</v>
      </c>
      <c r="D2166" t="inlineStr">
        <is>
          <t>VÄSTERBOTTENS LÄN</t>
        </is>
      </c>
      <c r="E2166" t="inlineStr">
        <is>
          <t>SKELLEFTEÅ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51348-2025</t>
        </is>
      </c>
      <c r="B2167" s="1" t="n">
        <v>45950.43511574074</v>
      </c>
      <c r="C2167" s="1" t="n">
        <v>45964</v>
      </c>
      <c r="D2167" t="inlineStr">
        <is>
          <t>VÄSTERBOTTENS LÄN</t>
        </is>
      </c>
      <c r="E2167" t="inlineStr">
        <is>
          <t>SKELLEFTEÅ</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51351-2025</t>
        </is>
      </c>
      <c r="B2168" s="1" t="n">
        <v>45950.43614583334</v>
      </c>
      <c r="C2168" s="1" t="n">
        <v>45964</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51665-2025</t>
        </is>
      </c>
      <c r="B2169" s="1" t="n">
        <v>45951.49236111111</v>
      </c>
      <c r="C2169" s="1" t="n">
        <v>45964</v>
      </c>
      <c r="D2169" t="inlineStr">
        <is>
          <t>VÄSTERBOTTENS LÄN</t>
        </is>
      </c>
      <c r="E2169" t="inlineStr">
        <is>
          <t>SKELLEFTEÅ</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52038-2025</t>
        </is>
      </c>
      <c r="B2170" s="1" t="n">
        <v>45952.61511574074</v>
      </c>
      <c r="C2170" s="1" t="n">
        <v>45964</v>
      </c>
      <c r="D2170" t="inlineStr">
        <is>
          <t>VÄSTERBOTTENS LÄN</t>
        </is>
      </c>
      <c r="E2170" t="inlineStr">
        <is>
          <t>SKELLEFTEÅ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52025-2025</t>
        </is>
      </c>
      <c r="B2171" s="1" t="n">
        <v>45952.60319444445</v>
      </c>
      <c r="C2171" s="1" t="n">
        <v>45964</v>
      </c>
      <c r="D2171" t="inlineStr">
        <is>
          <t>VÄSTERBOTTENS LÄN</t>
        </is>
      </c>
      <c r="E2171" t="inlineStr">
        <is>
          <t>SKELLEFTEÅ</t>
        </is>
      </c>
      <c r="F2171" t="inlineStr">
        <is>
          <t>Holmen skog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52009-2025</t>
        </is>
      </c>
      <c r="B2172" s="1" t="n">
        <v>45952.59457175926</v>
      </c>
      <c r="C2172" s="1" t="n">
        <v>45964</v>
      </c>
      <c r="D2172" t="inlineStr">
        <is>
          <t>VÄSTERBOTTENS LÄN</t>
        </is>
      </c>
      <c r="E2172" t="inlineStr">
        <is>
          <t>SKELLEFTEÅ</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52037-2025</t>
        </is>
      </c>
      <c r="B2173" s="1" t="n">
        <v>45952.61508101852</v>
      </c>
      <c r="C2173" s="1" t="n">
        <v>45964</v>
      </c>
      <c r="D2173" t="inlineStr">
        <is>
          <t>VÄSTERBOTTENS LÄN</t>
        </is>
      </c>
      <c r="E2173" t="inlineStr">
        <is>
          <t>SKELLEFTEÅ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52042-2025</t>
        </is>
      </c>
      <c r="B2174" s="1" t="n">
        <v>45952.61533564814</v>
      </c>
      <c r="C2174" s="1" t="n">
        <v>45964</v>
      </c>
      <c r="D2174" t="inlineStr">
        <is>
          <t>VÄSTERBOTTENS LÄN</t>
        </is>
      </c>
      <c r="E2174" t="inlineStr">
        <is>
          <t>SKELLEFTEÅ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43463-2025</t>
        </is>
      </c>
      <c r="B2175" s="1" t="n">
        <v>45911.46953703704</v>
      </c>
      <c r="C2175" s="1" t="n">
        <v>45964</v>
      </c>
      <c r="D2175" t="inlineStr">
        <is>
          <t>VÄSTERBOTTENS LÄN</t>
        </is>
      </c>
      <c r="E2175" t="inlineStr">
        <is>
          <t>SKELLEFTEÅ</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52299-2025</t>
        </is>
      </c>
      <c r="B2176" s="1" t="n">
        <v>45953.61414351852</v>
      </c>
      <c r="C2176" s="1" t="n">
        <v>45964</v>
      </c>
      <c r="D2176" t="inlineStr">
        <is>
          <t>VÄSTERBOTTENS LÄN</t>
        </is>
      </c>
      <c r="E2176" t="inlineStr">
        <is>
          <t>SKELLEFTEÅ</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43596-2025</t>
        </is>
      </c>
      <c r="B2177" s="1" t="n">
        <v>45911.66240740741</v>
      </c>
      <c r="C2177" s="1" t="n">
        <v>45964</v>
      </c>
      <c r="D2177" t="inlineStr">
        <is>
          <t>VÄSTERBOTTENS LÄN</t>
        </is>
      </c>
      <c r="E2177" t="inlineStr">
        <is>
          <t>SKELLEFTEÅ</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43600-2025</t>
        </is>
      </c>
      <c r="B2178" s="1" t="n">
        <v>45911.66473379629</v>
      </c>
      <c r="C2178" s="1" t="n">
        <v>45964</v>
      </c>
      <c r="D2178" t="inlineStr">
        <is>
          <t>VÄSTERBOTTENS LÄN</t>
        </is>
      </c>
      <c r="E2178" t="inlineStr">
        <is>
          <t>SKELLEFTEÅ</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51977-2025</t>
        </is>
      </c>
      <c r="B2179" s="1" t="n">
        <v>45952.56453703704</v>
      </c>
      <c r="C2179" s="1" t="n">
        <v>45964</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51934-2025</t>
        </is>
      </c>
      <c r="B2180" s="1" t="n">
        <v>45952.51155092593</v>
      </c>
      <c r="C2180" s="1" t="n">
        <v>45964</v>
      </c>
      <c r="D2180" t="inlineStr">
        <is>
          <t>VÄSTERBOTTENS LÄN</t>
        </is>
      </c>
      <c r="E2180" t="inlineStr">
        <is>
          <t>SKELLEFTEÅ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52094-2025</t>
        </is>
      </c>
      <c r="B2181" s="1" t="n">
        <v>45952.67895833333</v>
      </c>
      <c r="C2181" s="1" t="n">
        <v>45964</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52095-2025</t>
        </is>
      </c>
      <c r="B2182" s="1" t="n">
        <v>45952.67899305555</v>
      </c>
      <c r="C2182" s="1" t="n">
        <v>45964</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52039-2025</t>
        </is>
      </c>
      <c r="B2183" s="1" t="n">
        <v>45952.61512731481</v>
      </c>
      <c r="C2183" s="1" t="n">
        <v>45964</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43372-2025</t>
        </is>
      </c>
      <c r="B2184" s="1" t="n">
        <v>45911.35015046296</v>
      </c>
      <c r="C2184" s="1" t="n">
        <v>45964</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43312-2025</t>
        </is>
      </c>
      <c r="B2185" s="1" t="n">
        <v>45910.65115740741</v>
      </c>
      <c r="C2185" s="1" t="n">
        <v>45964</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52040-2025</t>
        </is>
      </c>
      <c r="B2186" s="1" t="n">
        <v>45952.61515046296</v>
      </c>
      <c r="C2186" s="1" t="n">
        <v>45964</v>
      </c>
      <c r="D2186" t="inlineStr">
        <is>
          <t>VÄSTERBOTTENS LÄN</t>
        </is>
      </c>
      <c r="E2186" t="inlineStr">
        <is>
          <t>SKELLEFTEÅ</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52041-2025</t>
        </is>
      </c>
      <c r="B2187" s="1" t="n">
        <v>45952.61530092593</v>
      </c>
      <c r="C2187" s="1" t="n">
        <v>45964</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43317-2025</t>
        </is>
      </c>
      <c r="B2188" s="1" t="n">
        <v>45910.65524305555</v>
      </c>
      <c r="C2188" s="1" t="n">
        <v>45964</v>
      </c>
      <c r="D2188" t="inlineStr">
        <is>
          <t>VÄSTERBOTTENS LÄN</t>
        </is>
      </c>
      <c r="E2188" t="inlineStr">
        <is>
          <t>SKELLEFTEÅ</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43318-2025</t>
        </is>
      </c>
      <c r="B2189" s="1" t="n">
        <v>45910</v>
      </c>
      <c r="C2189" s="1" t="n">
        <v>45964</v>
      </c>
      <c r="D2189" t="inlineStr">
        <is>
          <t>VÄSTERBOTTENS LÄN</t>
        </is>
      </c>
      <c r="E2189" t="inlineStr">
        <is>
          <t>SKELLEFTEÅ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43327-2025</t>
        </is>
      </c>
      <c r="B2190" s="1" t="n">
        <v>45910.67043981481</v>
      </c>
      <c r="C2190" s="1" t="n">
        <v>45964</v>
      </c>
      <c r="D2190" t="inlineStr">
        <is>
          <t>VÄSTERBOTTENS LÄN</t>
        </is>
      </c>
      <c r="E2190" t="inlineStr">
        <is>
          <t>SKELLEFTEÅ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43427-2025</t>
        </is>
      </c>
      <c r="B2191" s="1" t="n">
        <v>45911.419375</v>
      </c>
      <c r="C2191" s="1" t="n">
        <v>45964</v>
      </c>
      <c r="D2191" t="inlineStr">
        <is>
          <t>VÄSTERBOTTENS LÄN</t>
        </is>
      </c>
      <c r="E2191" t="inlineStr">
        <is>
          <t>SKELLEFTEÅ</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43307-2025</t>
        </is>
      </c>
      <c r="B2192" s="1" t="n">
        <v>45910.64238425926</v>
      </c>
      <c r="C2192" s="1" t="n">
        <v>45964</v>
      </c>
      <c r="D2192" t="inlineStr">
        <is>
          <t>VÄSTERBOTTENS LÄN</t>
        </is>
      </c>
      <c r="E2192" t="inlineStr">
        <is>
          <t>SKELLEFTEÅ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43309-2025</t>
        </is>
      </c>
      <c r="B2193" s="1" t="n">
        <v>45910.64689814814</v>
      </c>
      <c r="C2193" s="1" t="n">
        <v>45964</v>
      </c>
      <c r="D2193" t="inlineStr">
        <is>
          <t>VÄSTERBOTTENS LÄN</t>
        </is>
      </c>
      <c r="E2193" t="inlineStr">
        <is>
          <t>SKELLEFTEÅ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43325-2025</t>
        </is>
      </c>
      <c r="B2194" s="1" t="n">
        <v>45910.66576388889</v>
      </c>
      <c r="C2194" s="1" t="n">
        <v>45964</v>
      </c>
      <c r="D2194" t="inlineStr">
        <is>
          <t>VÄSTERBOTTENS LÄN</t>
        </is>
      </c>
      <c r="E2194" t="inlineStr">
        <is>
          <t>SKELLEFTEÅ</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52010-2025</t>
        </is>
      </c>
      <c r="B2195" s="1" t="n">
        <v>45952.59462962963</v>
      </c>
      <c r="C2195" s="1" t="n">
        <v>45964</v>
      </c>
      <c r="D2195" t="inlineStr">
        <is>
          <t>VÄSTERBOTTENS LÄN</t>
        </is>
      </c>
      <c r="E2195" t="inlineStr">
        <is>
          <t>SKELLEFTEÅ</t>
        </is>
      </c>
      <c r="G2195" t="n">
        <v>19.2</v>
      </c>
      <c r="H2195" t="n">
        <v>0</v>
      </c>
      <c r="I2195" t="n">
        <v>0</v>
      </c>
      <c r="J2195" t="n">
        <v>0</v>
      </c>
      <c r="K2195" t="n">
        <v>0</v>
      </c>
      <c r="L2195" t="n">
        <v>0</v>
      </c>
      <c r="M2195" t="n">
        <v>0</v>
      </c>
      <c r="N2195" t="n">
        <v>0</v>
      </c>
      <c r="O2195" t="n">
        <v>0</v>
      </c>
      <c r="P2195" t="n">
        <v>0</v>
      </c>
      <c r="Q2195" t="n">
        <v>0</v>
      </c>
      <c r="R2195" s="2" t="inlineStr"/>
    </row>
    <row r="2196" ht="15" customHeight="1">
      <c r="A2196" t="inlineStr">
        <is>
          <t>A 52096-2025</t>
        </is>
      </c>
      <c r="B2196" s="1" t="n">
        <v>45952.67902777778</v>
      </c>
      <c r="C2196" s="1" t="n">
        <v>45964</v>
      </c>
      <c r="D2196" t="inlineStr">
        <is>
          <t>VÄSTERBOTTENS LÄN</t>
        </is>
      </c>
      <c r="E2196" t="inlineStr">
        <is>
          <t>SKELLEFTEÅ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52864-2025</t>
        </is>
      </c>
      <c r="B2197" s="1" t="n">
        <v>45954</v>
      </c>
      <c r="C2197" s="1" t="n">
        <v>45964</v>
      </c>
      <c r="D2197" t="inlineStr">
        <is>
          <t>VÄSTERBOTTENS LÄN</t>
        </is>
      </c>
      <c r="E2197" t="inlineStr">
        <is>
          <t>SKELLEFTEÅ</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52956-2025</t>
        </is>
      </c>
      <c r="B2198" s="1" t="n">
        <v>45957.65681712963</v>
      </c>
      <c r="C2198" s="1" t="n">
        <v>45964</v>
      </c>
      <c r="D2198" t="inlineStr">
        <is>
          <t>VÄSTERBOTTENS LÄN</t>
        </is>
      </c>
      <c r="E2198" t="inlineStr">
        <is>
          <t>SKELLEFTEÅ</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43861-2025</t>
        </is>
      </c>
      <c r="B2199" s="1" t="n">
        <v>45912.65596064815</v>
      </c>
      <c r="C2199" s="1" t="n">
        <v>45964</v>
      </c>
      <c r="D2199" t="inlineStr">
        <is>
          <t>VÄSTERBOTTENS LÄN</t>
        </is>
      </c>
      <c r="E2199" t="inlineStr">
        <is>
          <t>SKELLEFTEÅ</t>
        </is>
      </c>
      <c r="F2199" t="inlineStr">
        <is>
          <t>Sveaskog</t>
        </is>
      </c>
      <c r="G2199" t="n">
        <v>15.6</v>
      </c>
      <c r="H2199" t="n">
        <v>0</v>
      </c>
      <c r="I2199" t="n">
        <v>0</v>
      </c>
      <c r="J2199" t="n">
        <v>0</v>
      </c>
      <c r="K2199" t="n">
        <v>0</v>
      </c>
      <c r="L2199" t="n">
        <v>0</v>
      </c>
      <c r="M2199" t="n">
        <v>0</v>
      </c>
      <c r="N2199" t="n">
        <v>0</v>
      </c>
      <c r="O2199" t="n">
        <v>0</v>
      </c>
      <c r="P2199" t="n">
        <v>0</v>
      </c>
      <c r="Q2199" t="n">
        <v>0</v>
      </c>
      <c r="R2199" s="2" t="inlineStr"/>
    </row>
    <row r="2200" ht="15" customHeight="1">
      <c r="A2200" t="inlineStr">
        <is>
          <t>A 43894-2025</t>
        </is>
      </c>
      <c r="B2200" s="1" t="n">
        <v>45912.73649305556</v>
      </c>
      <c r="C2200" s="1" t="n">
        <v>45964</v>
      </c>
      <c r="D2200" t="inlineStr">
        <is>
          <t>VÄSTERBOTTENS LÄN</t>
        </is>
      </c>
      <c r="E2200" t="inlineStr">
        <is>
          <t>SKELLEFTEÅ</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43895-2025</t>
        </is>
      </c>
      <c r="B2201" s="1" t="n">
        <v>45912.73758101852</v>
      </c>
      <c r="C2201" s="1" t="n">
        <v>45964</v>
      </c>
      <c r="D2201" t="inlineStr">
        <is>
          <t>VÄSTERBOTTENS LÄN</t>
        </is>
      </c>
      <c r="E2201" t="inlineStr">
        <is>
          <t>SKELLEFTEÅ</t>
        </is>
      </c>
      <c r="F2201" t="inlineStr">
        <is>
          <t>Sveaskog</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43948-2025</t>
        </is>
      </c>
      <c r="B2202" s="1" t="n">
        <v>45915.37621527778</v>
      </c>
      <c r="C2202" s="1" t="n">
        <v>45964</v>
      </c>
      <c r="D2202" t="inlineStr">
        <is>
          <t>VÄSTERBOTTENS LÄN</t>
        </is>
      </c>
      <c r="E2202" t="inlineStr">
        <is>
          <t>SKELLEFTEÅ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43825-2025</t>
        </is>
      </c>
      <c r="B2203" s="1" t="n">
        <v>45912.61891203704</v>
      </c>
      <c r="C2203" s="1" t="n">
        <v>45964</v>
      </c>
      <c r="D2203" t="inlineStr">
        <is>
          <t>VÄSTERBOTTENS LÄN</t>
        </is>
      </c>
      <c r="E2203" t="inlineStr">
        <is>
          <t>SKELLEFTEÅ</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52736-2025</t>
        </is>
      </c>
      <c r="B2204" s="1" t="n">
        <v>45957.37329861111</v>
      </c>
      <c r="C2204" s="1" t="n">
        <v>45964</v>
      </c>
      <c r="D2204" t="inlineStr">
        <is>
          <t>VÄSTERBOTTENS LÄN</t>
        </is>
      </c>
      <c r="E2204" t="inlineStr">
        <is>
          <t>SKELLEFTEÅ</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44120-2025</t>
        </is>
      </c>
      <c r="B2205" s="1" t="n">
        <v>45915.57791666667</v>
      </c>
      <c r="C2205" s="1" t="n">
        <v>45964</v>
      </c>
      <c r="D2205" t="inlineStr">
        <is>
          <t>VÄSTERBOTTENS LÄN</t>
        </is>
      </c>
      <c r="E2205" t="inlineStr">
        <is>
          <t>SKELLEFTEÅ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44070-2025</t>
        </is>
      </c>
      <c r="B2206" s="1" t="n">
        <v>45915.54528935185</v>
      </c>
      <c r="C2206" s="1" t="n">
        <v>45964</v>
      </c>
      <c r="D2206" t="inlineStr">
        <is>
          <t>VÄSTERBOTTENS LÄN</t>
        </is>
      </c>
      <c r="E2206" t="inlineStr">
        <is>
          <t>SKELLEFTEÅ</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52748-2025</t>
        </is>
      </c>
      <c r="B2207" s="1" t="n">
        <v>45957.38578703703</v>
      </c>
      <c r="C2207" s="1" t="n">
        <v>45964</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44009-2025</t>
        </is>
      </c>
      <c r="B2208" s="1" t="n">
        <v>45915.46326388889</v>
      </c>
      <c r="C2208" s="1" t="n">
        <v>45964</v>
      </c>
      <c r="D2208" t="inlineStr">
        <is>
          <t>VÄSTERBOTTENS LÄN</t>
        </is>
      </c>
      <c r="E2208" t="inlineStr">
        <is>
          <t>SKELLEFTEÅ</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44182-2025</t>
        </is>
      </c>
      <c r="B2209" s="1" t="n">
        <v>45915.60943287037</v>
      </c>
      <c r="C2209" s="1" t="n">
        <v>45964</v>
      </c>
      <c r="D2209" t="inlineStr">
        <is>
          <t>VÄSTERBOTTENS LÄN</t>
        </is>
      </c>
      <c r="E2209" t="inlineStr">
        <is>
          <t>SKELLEFTEÅ</t>
        </is>
      </c>
      <c r="F2209" t="inlineStr">
        <is>
          <t>Sveaskog</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52419-2025</t>
        </is>
      </c>
      <c r="B2210" s="1" t="n">
        <v>45954.36858796296</v>
      </c>
      <c r="C2210" s="1" t="n">
        <v>45964</v>
      </c>
      <c r="D2210" t="inlineStr">
        <is>
          <t>VÄSTERBOTTENS LÄN</t>
        </is>
      </c>
      <c r="E2210" t="inlineStr">
        <is>
          <t>SKELLEFTEÅ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44082-2025</t>
        </is>
      </c>
      <c r="B2211" s="1" t="n">
        <v>45915.55302083334</v>
      </c>
      <c r="C2211" s="1" t="n">
        <v>45964</v>
      </c>
      <c r="D2211" t="inlineStr">
        <is>
          <t>VÄSTERBOTTENS LÄN</t>
        </is>
      </c>
      <c r="E2211" t="inlineStr">
        <is>
          <t>SKELLEFTEÅ</t>
        </is>
      </c>
      <c r="F2211" t="inlineStr">
        <is>
          <t>Sveaskog</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52657-2025</t>
        </is>
      </c>
      <c r="B2212" s="1" t="n">
        <v>45955.42762731481</v>
      </c>
      <c r="C2212" s="1" t="n">
        <v>45964</v>
      </c>
      <c r="D2212" t="inlineStr">
        <is>
          <t>VÄSTERBOTTENS LÄN</t>
        </is>
      </c>
      <c r="E2212" t="inlineStr">
        <is>
          <t>SKELLEFTEÅ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44113-2025</t>
        </is>
      </c>
      <c r="B2213" s="1" t="n">
        <v>45915.57501157407</v>
      </c>
      <c r="C2213" s="1" t="n">
        <v>45964</v>
      </c>
      <c r="D2213" t="inlineStr">
        <is>
          <t>VÄSTERBOTTENS LÄN</t>
        </is>
      </c>
      <c r="E2213" t="inlineStr">
        <is>
          <t>SKELLEFTEÅ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52987-2025</t>
        </is>
      </c>
      <c r="B2214" s="1" t="n">
        <v>45957.70400462963</v>
      </c>
      <c r="C2214" s="1" t="n">
        <v>45964</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43677-2025</t>
        </is>
      </c>
      <c r="B2215" s="1" t="n">
        <v>45912.3656712963</v>
      </c>
      <c r="C2215" s="1" t="n">
        <v>45964</v>
      </c>
      <c r="D2215" t="inlineStr">
        <is>
          <t>VÄSTERBOTTENS LÄN</t>
        </is>
      </c>
      <c r="E2215" t="inlineStr">
        <is>
          <t>SKELLEFTEÅ</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43683-2025</t>
        </is>
      </c>
      <c r="B2216" s="1" t="n">
        <v>45912.37668981482</v>
      </c>
      <c r="C2216" s="1" t="n">
        <v>45964</v>
      </c>
      <c r="D2216" t="inlineStr">
        <is>
          <t>VÄSTERBOTTENS LÄN</t>
        </is>
      </c>
      <c r="E2216" t="inlineStr">
        <is>
          <t>SKELLEFTEÅ</t>
        </is>
      </c>
      <c r="F2216" t="inlineStr">
        <is>
          <t>Holmen skog AB</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43797-2025</t>
        </is>
      </c>
      <c r="B2217" s="1" t="n">
        <v>45912.5659837963</v>
      </c>
      <c r="C2217" s="1" t="n">
        <v>45964</v>
      </c>
      <c r="D2217" t="inlineStr">
        <is>
          <t>VÄSTERBOTTENS LÄN</t>
        </is>
      </c>
      <c r="E2217" t="inlineStr">
        <is>
          <t>SKELLEFTEÅ</t>
        </is>
      </c>
      <c r="F2217" t="inlineStr">
        <is>
          <t>Sveaskog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44101-2025</t>
        </is>
      </c>
      <c r="B2218" s="1" t="n">
        <v>45915.56788194444</v>
      </c>
      <c r="C2218" s="1" t="n">
        <v>45964</v>
      </c>
      <c r="D2218" t="inlineStr">
        <is>
          <t>VÄSTERBOTTENS LÄN</t>
        </is>
      </c>
      <c r="E2218" t="inlineStr">
        <is>
          <t>SKELLEFTEÅ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52872-2025</t>
        </is>
      </c>
      <c r="B2219" s="1" t="n">
        <v>45957.52386574074</v>
      </c>
      <c r="C2219" s="1" t="n">
        <v>45964</v>
      </c>
      <c r="D2219" t="inlineStr">
        <is>
          <t>VÄSTERBOTTENS LÄN</t>
        </is>
      </c>
      <c r="E2219" t="inlineStr">
        <is>
          <t>SKELLEFTEÅ</t>
        </is>
      </c>
      <c r="F2219" t="inlineStr">
        <is>
          <t>Holmen skog AB</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52388-2025</t>
        </is>
      </c>
      <c r="B2220" s="1" t="n">
        <v>45954.32572916667</v>
      </c>
      <c r="C2220" s="1" t="n">
        <v>45964</v>
      </c>
      <c r="D2220" t="inlineStr">
        <is>
          <t>VÄSTERBOTTENS LÄN</t>
        </is>
      </c>
      <c r="E2220" t="inlineStr">
        <is>
          <t>SKELLEFTEÅ</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52889-2025</t>
        </is>
      </c>
      <c r="B2221" s="1" t="n">
        <v>45957.57303240741</v>
      </c>
      <c r="C2221" s="1" t="n">
        <v>45964</v>
      </c>
      <c r="D2221" t="inlineStr">
        <is>
          <t>VÄSTERBOTTENS LÄN</t>
        </is>
      </c>
      <c r="E2221" t="inlineStr">
        <is>
          <t>SKELLEFTEÅ</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52588-2025</t>
        </is>
      </c>
      <c r="B2222" s="1" t="n">
        <v>45954.6333912037</v>
      </c>
      <c r="C2222" s="1" t="n">
        <v>45964</v>
      </c>
      <c r="D2222" t="inlineStr">
        <is>
          <t>VÄSTERBOTTENS LÄN</t>
        </is>
      </c>
      <c r="E2222" t="inlineStr">
        <is>
          <t>SKELLEFTEÅ</t>
        </is>
      </c>
      <c r="F2222" t="inlineStr">
        <is>
          <t>Holmen skog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43729-2025</t>
        </is>
      </c>
      <c r="B2223" s="1" t="n">
        <v>45912.43429398148</v>
      </c>
      <c r="C2223" s="1" t="n">
        <v>45964</v>
      </c>
      <c r="D2223" t="inlineStr">
        <is>
          <t>VÄSTERBOTTENS LÄN</t>
        </is>
      </c>
      <c r="E2223" t="inlineStr">
        <is>
          <t>SKELLEFTEÅ</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43791-2025</t>
        </is>
      </c>
      <c r="B2224" s="1" t="n">
        <v>45912.54636574074</v>
      </c>
      <c r="C2224" s="1" t="n">
        <v>45964</v>
      </c>
      <c r="D2224" t="inlineStr">
        <is>
          <t>VÄSTERBOTTENS LÄN</t>
        </is>
      </c>
      <c r="E2224" t="inlineStr">
        <is>
          <t>SKELLEFTEÅ</t>
        </is>
      </c>
      <c r="F2224" t="inlineStr">
        <is>
          <t>Holmen skog AB</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43800-2025</t>
        </is>
      </c>
      <c r="B2225" s="1" t="n">
        <v>45912.57226851852</v>
      </c>
      <c r="C2225" s="1" t="n">
        <v>45964</v>
      </c>
      <c r="D2225" t="inlineStr">
        <is>
          <t>VÄSTERBOTTENS LÄN</t>
        </is>
      </c>
      <c r="E2225" t="inlineStr">
        <is>
          <t>SKELLEFTEÅ</t>
        </is>
      </c>
      <c r="F2225" t="inlineStr">
        <is>
          <t>Sveaskog</t>
        </is>
      </c>
      <c r="G2225" t="n">
        <v>25.3</v>
      </c>
      <c r="H2225" t="n">
        <v>0</v>
      </c>
      <c r="I2225" t="n">
        <v>0</v>
      </c>
      <c r="J2225" t="n">
        <v>0</v>
      </c>
      <c r="K2225" t="n">
        <v>0</v>
      </c>
      <c r="L2225" t="n">
        <v>0</v>
      </c>
      <c r="M2225" t="n">
        <v>0</v>
      </c>
      <c r="N2225" t="n">
        <v>0</v>
      </c>
      <c r="O2225" t="n">
        <v>0</v>
      </c>
      <c r="P2225" t="n">
        <v>0</v>
      </c>
      <c r="Q2225" t="n">
        <v>0</v>
      </c>
      <c r="R2225" s="2" t="inlineStr"/>
    </row>
    <row r="2226" ht="15" customHeight="1">
      <c r="A2226" t="inlineStr">
        <is>
          <t>A 52793-2025</t>
        </is>
      </c>
      <c r="B2226" s="1" t="n">
        <v>45957.43465277777</v>
      </c>
      <c r="C2226" s="1" t="n">
        <v>45964</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43727-2025</t>
        </is>
      </c>
      <c r="B2227" s="1" t="n">
        <v>45912.42981481482</v>
      </c>
      <c r="C2227" s="1" t="n">
        <v>45964</v>
      </c>
      <c r="D2227" t="inlineStr">
        <is>
          <t>VÄSTERBOTTENS LÄN</t>
        </is>
      </c>
      <c r="E2227" t="inlineStr">
        <is>
          <t>SKELLEFTEÅ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44061-2025</t>
        </is>
      </c>
      <c r="B2228" s="1" t="n">
        <v>45915.53731481481</v>
      </c>
      <c r="C2228" s="1" t="n">
        <v>45964</v>
      </c>
      <c r="D2228" t="inlineStr">
        <is>
          <t>VÄSTERBOTTENS LÄN</t>
        </is>
      </c>
      <c r="E2228" t="inlineStr">
        <is>
          <t>SKELLEFTEÅ</t>
        </is>
      </c>
      <c r="F2228" t="inlineStr">
        <is>
          <t>Sveaskog</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52984-2025</t>
        </is>
      </c>
      <c r="B2229" s="1" t="n">
        <v>45957</v>
      </c>
      <c r="C2229" s="1" t="n">
        <v>45964</v>
      </c>
      <c r="D2229" t="inlineStr">
        <is>
          <t>VÄSTERBOTTENS LÄN</t>
        </is>
      </c>
      <c r="E2229" t="inlineStr">
        <is>
          <t>SKELLEFTEÅ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52596-2025</t>
        </is>
      </c>
      <c r="B2230" s="1" t="n">
        <v>45954.65212962963</v>
      </c>
      <c r="C2230" s="1" t="n">
        <v>45964</v>
      </c>
      <c r="D2230" t="inlineStr">
        <is>
          <t>VÄSTERBOTTENS LÄN</t>
        </is>
      </c>
      <c r="E2230" t="inlineStr">
        <is>
          <t>SKELLEFTEÅ</t>
        </is>
      </c>
      <c r="F2230" t="inlineStr">
        <is>
          <t>Holmen skog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52558-2025</t>
        </is>
      </c>
      <c r="B2231" s="1" t="n">
        <v>45954.56898148148</v>
      </c>
      <c r="C2231" s="1" t="n">
        <v>45964</v>
      </c>
      <c r="D2231" t="inlineStr">
        <is>
          <t>VÄSTERBOTTENS LÄN</t>
        </is>
      </c>
      <c r="E2231" t="inlineStr">
        <is>
          <t>SKELLEFTEÅ</t>
        </is>
      </c>
      <c r="F2231" t="inlineStr">
        <is>
          <t>Holmen skog AB</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52660-2025</t>
        </is>
      </c>
      <c r="B2232" s="1" t="n">
        <v>45955.46928240741</v>
      </c>
      <c r="C2232" s="1" t="n">
        <v>45964</v>
      </c>
      <c r="D2232" t="inlineStr">
        <is>
          <t>VÄSTERBOTTENS LÄN</t>
        </is>
      </c>
      <c r="E2232" t="inlineStr">
        <is>
          <t>SKELLEFTEÅ</t>
        </is>
      </c>
      <c r="F2232" t="inlineStr">
        <is>
          <t>SCA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52661-2025</t>
        </is>
      </c>
      <c r="B2233" s="1" t="n">
        <v>45955.46943287037</v>
      </c>
      <c r="C2233" s="1" t="n">
        <v>45964</v>
      </c>
      <c r="D2233" t="inlineStr">
        <is>
          <t>VÄSTERBOTTENS LÄN</t>
        </is>
      </c>
      <c r="E2233" t="inlineStr">
        <is>
          <t>SKELLEFTEÅ</t>
        </is>
      </c>
      <c r="F2233" t="inlineStr">
        <is>
          <t>SCA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44106-2025</t>
        </is>
      </c>
      <c r="B2234" s="1" t="n">
        <v>45915.57119212963</v>
      </c>
      <c r="C2234" s="1" t="n">
        <v>45964</v>
      </c>
      <c r="D2234" t="inlineStr">
        <is>
          <t>VÄSTERBOTTENS LÄN</t>
        </is>
      </c>
      <c r="E2234" t="inlineStr">
        <is>
          <t>SKELLEFTEÅ</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44063-2025</t>
        </is>
      </c>
      <c r="B2235" s="1" t="n">
        <v>45915.53975694445</v>
      </c>
      <c r="C2235" s="1" t="n">
        <v>45964</v>
      </c>
      <c r="D2235" t="inlineStr">
        <is>
          <t>VÄSTERBOTTENS LÄN</t>
        </is>
      </c>
      <c r="E2235" t="inlineStr">
        <is>
          <t>SKELLEFTEÅ</t>
        </is>
      </c>
      <c r="F2235" t="inlineStr">
        <is>
          <t>Sveaskog</t>
        </is>
      </c>
      <c r="G2235" t="n">
        <v>16.1</v>
      </c>
      <c r="H2235" t="n">
        <v>0</v>
      </c>
      <c r="I2235" t="n">
        <v>0</v>
      </c>
      <c r="J2235" t="n">
        <v>0</v>
      </c>
      <c r="K2235" t="n">
        <v>0</v>
      </c>
      <c r="L2235" t="n">
        <v>0</v>
      </c>
      <c r="M2235" t="n">
        <v>0</v>
      </c>
      <c r="N2235" t="n">
        <v>0</v>
      </c>
      <c r="O2235" t="n">
        <v>0</v>
      </c>
      <c r="P2235" t="n">
        <v>0</v>
      </c>
      <c r="Q2235" t="n">
        <v>0</v>
      </c>
      <c r="R2235" s="2" t="inlineStr"/>
    </row>
    <row r="2236" ht="15" customHeight="1">
      <c r="A2236" t="inlineStr">
        <is>
          <t>A 44602-2025</t>
        </is>
      </c>
      <c r="B2236" s="1" t="n">
        <v>45917.43920138889</v>
      </c>
      <c r="C2236" s="1" t="n">
        <v>45964</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53469-2025</t>
        </is>
      </c>
      <c r="B2237" s="1" t="n">
        <v>45959.70898148148</v>
      </c>
      <c r="C2237" s="1" t="n">
        <v>45964</v>
      </c>
      <c r="D2237" t="inlineStr">
        <is>
          <t>VÄSTERBOTTENS LÄN</t>
        </is>
      </c>
      <c r="E2237" t="inlineStr">
        <is>
          <t>SKELLEFTEÅ</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53050-2025</t>
        </is>
      </c>
      <c r="B2238" s="1" t="n">
        <v>45958.3625462963</v>
      </c>
      <c r="C2238" s="1" t="n">
        <v>45964</v>
      </c>
      <c r="D2238" t="inlineStr">
        <is>
          <t>VÄSTERBOTTENS LÄN</t>
        </is>
      </c>
      <c r="E2238" t="inlineStr">
        <is>
          <t>SKELLEFTEÅ</t>
        </is>
      </c>
      <c r="F2238" t="inlineStr">
        <is>
          <t>Holmen skog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53375-2025</t>
        </is>
      </c>
      <c r="B2239" s="1" t="n">
        <v>45959.52104166667</v>
      </c>
      <c r="C2239" s="1" t="n">
        <v>45964</v>
      </c>
      <c r="D2239" t="inlineStr">
        <is>
          <t>VÄSTERBOTTENS LÄN</t>
        </is>
      </c>
      <c r="E2239" t="inlineStr">
        <is>
          <t>SKELLEFTEÅ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53410-2025</t>
        </is>
      </c>
      <c r="B2240" s="1" t="n">
        <v>45959.57429398148</v>
      </c>
      <c r="C2240" s="1" t="n">
        <v>45964</v>
      </c>
      <c r="D2240" t="inlineStr">
        <is>
          <t>VÄSTERBOTTENS LÄN</t>
        </is>
      </c>
      <c r="E2240" t="inlineStr">
        <is>
          <t>SKELLEFTEÅ</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44714-2025</t>
        </is>
      </c>
      <c r="B2241" s="1" t="n">
        <v>45917.62650462963</v>
      </c>
      <c r="C2241" s="1" t="n">
        <v>45964</v>
      </c>
      <c r="D2241" t="inlineStr">
        <is>
          <t>VÄSTERBOTTENS LÄN</t>
        </is>
      </c>
      <c r="E2241" t="inlineStr">
        <is>
          <t>SKELLEFTEÅ</t>
        </is>
      </c>
      <c r="F2241" t="inlineStr">
        <is>
          <t>Sveaskog</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44739-2025</t>
        </is>
      </c>
      <c r="B2242" s="1" t="n">
        <v>45917.66063657407</v>
      </c>
      <c r="C2242" s="1" t="n">
        <v>45964</v>
      </c>
      <c r="D2242" t="inlineStr">
        <is>
          <t>VÄSTERBOTTENS LÄN</t>
        </is>
      </c>
      <c r="E2242" t="inlineStr">
        <is>
          <t>SKELLEFTEÅ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44637-2025</t>
        </is>
      </c>
      <c r="B2243" s="1" t="n">
        <v>45917.50743055555</v>
      </c>
      <c r="C2243" s="1" t="n">
        <v>45964</v>
      </c>
      <c r="D2243" t="inlineStr">
        <is>
          <t>VÄSTERBOTTENS LÄN</t>
        </is>
      </c>
      <c r="E2243" t="inlineStr">
        <is>
          <t>SKELLEFTEÅ</t>
        </is>
      </c>
      <c r="F2243" t="inlineStr">
        <is>
          <t>Holmen skog AB</t>
        </is>
      </c>
      <c r="G2243" t="n">
        <v>9.300000000000001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44408-2025</t>
        </is>
      </c>
      <c r="B2244" s="1" t="n">
        <v>45916.53047453704</v>
      </c>
      <c r="C2244" s="1" t="n">
        <v>45964</v>
      </c>
      <c r="D2244" t="inlineStr">
        <is>
          <t>VÄSTERBOTTENS LÄN</t>
        </is>
      </c>
      <c r="E2244" t="inlineStr">
        <is>
          <t>SKELLEFTEÅ</t>
        </is>
      </c>
      <c r="F2244" t="inlineStr">
        <is>
          <t>Holmen skog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44729-2025</t>
        </is>
      </c>
      <c r="B2245" s="1" t="n">
        <v>45917.64934027778</v>
      </c>
      <c r="C2245" s="1" t="n">
        <v>45964</v>
      </c>
      <c r="D2245" t="inlineStr">
        <is>
          <t>VÄSTERBOTTENS LÄN</t>
        </is>
      </c>
      <c r="E2245" t="inlineStr">
        <is>
          <t>SKELLEFTEÅ</t>
        </is>
      </c>
      <c r="F2245" t="inlineStr">
        <is>
          <t>Sveaskog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44726-2025</t>
        </is>
      </c>
      <c r="B2246" s="1" t="n">
        <v>45917.64392361111</v>
      </c>
      <c r="C2246" s="1" t="n">
        <v>45964</v>
      </c>
      <c r="D2246" t="inlineStr">
        <is>
          <t>VÄSTERBOTTENS LÄN</t>
        </is>
      </c>
      <c r="E2246" t="inlineStr">
        <is>
          <t>SKELLEFTEÅ</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53027-2025</t>
        </is>
      </c>
      <c r="B2247" s="1" t="n">
        <v>45958.34142361111</v>
      </c>
      <c r="C2247" s="1" t="n">
        <v>45964</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53415-2025</t>
        </is>
      </c>
      <c r="B2248" s="1" t="n">
        <v>45959.58013888889</v>
      </c>
      <c r="C2248" s="1" t="n">
        <v>45964</v>
      </c>
      <c r="D2248" t="inlineStr">
        <is>
          <t>VÄSTERBOTTENS LÄN</t>
        </is>
      </c>
      <c r="E2248" t="inlineStr">
        <is>
          <t>SKELLEFTEÅ</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44353-2025</t>
        </is>
      </c>
      <c r="B2249" s="1" t="n">
        <v>45916.44612268519</v>
      </c>
      <c r="C2249" s="1" t="n">
        <v>45964</v>
      </c>
      <c r="D2249" t="inlineStr">
        <is>
          <t>VÄSTERBOTTENS LÄN</t>
        </is>
      </c>
      <c r="E2249" t="inlineStr">
        <is>
          <t>SKELLEFTEÅ</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53376-2025</t>
        </is>
      </c>
      <c r="B2250" s="1" t="n">
        <v>45959.52413194445</v>
      </c>
      <c r="C2250" s="1" t="n">
        <v>45964</v>
      </c>
      <c r="D2250" t="inlineStr">
        <is>
          <t>VÄSTERBOTTENS LÄN</t>
        </is>
      </c>
      <c r="E2250" t="inlineStr">
        <is>
          <t>SKELLEFTEÅ</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53385-2025</t>
        </is>
      </c>
      <c r="B2251" s="1" t="n">
        <v>45959.54261574074</v>
      </c>
      <c r="C2251" s="1" t="n">
        <v>45964</v>
      </c>
      <c r="D2251" t="inlineStr">
        <is>
          <t>VÄSTERBOTTENS LÄN</t>
        </is>
      </c>
      <c r="E2251" t="inlineStr">
        <is>
          <t>SKELLEFTEÅ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53026-2025</t>
        </is>
      </c>
      <c r="B2252" s="1" t="n">
        <v>45958.34028935185</v>
      </c>
      <c r="C2252" s="1" t="n">
        <v>45964</v>
      </c>
      <c r="D2252" t="inlineStr">
        <is>
          <t>VÄSTERBOTTENS LÄN</t>
        </is>
      </c>
      <c r="E2252" t="inlineStr">
        <is>
          <t>SKELLEFTEÅ</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53023-2025</t>
        </is>
      </c>
      <c r="B2253" s="1" t="n">
        <v>45958.3203125</v>
      </c>
      <c r="C2253" s="1" t="n">
        <v>45964</v>
      </c>
      <c r="D2253" t="inlineStr">
        <is>
          <t>VÄSTERBOTTENS LÄN</t>
        </is>
      </c>
      <c r="E2253" t="inlineStr">
        <is>
          <t>SKELLEFTEÅ</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44826-2025</t>
        </is>
      </c>
      <c r="B2254" s="1" t="n">
        <v>45918.38855324074</v>
      </c>
      <c r="C2254" s="1" t="n">
        <v>45964</v>
      </c>
      <c r="D2254" t="inlineStr">
        <is>
          <t>VÄSTERBOTTENS LÄN</t>
        </is>
      </c>
      <c r="E2254" t="inlineStr">
        <is>
          <t>SKELLEFTEÅ</t>
        </is>
      </c>
      <c r="F2254" t="inlineStr">
        <is>
          <t>Holmen skog AB</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53533-2025</t>
        </is>
      </c>
      <c r="B2255" s="1" t="n">
        <v>45960.36548611111</v>
      </c>
      <c r="C2255" s="1" t="n">
        <v>45964</v>
      </c>
      <c r="D2255" t="inlineStr">
        <is>
          <t>VÄSTERBOTTENS LÄN</t>
        </is>
      </c>
      <c r="E2255" t="inlineStr">
        <is>
          <t>SKELLEFTEÅ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53775-2025</t>
        </is>
      </c>
      <c r="B2256" s="1" t="n">
        <v>45960.68865740741</v>
      </c>
      <c r="C2256" s="1" t="n">
        <v>45964</v>
      </c>
      <c r="D2256" t="inlineStr">
        <is>
          <t>VÄSTERBOTTENS LÄN</t>
        </is>
      </c>
      <c r="E2256" t="inlineStr">
        <is>
          <t>SKELLEFTEÅ</t>
        </is>
      </c>
      <c r="G2256" t="n">
        <v>15.2</v>
      </c>
      <c r="H2256" t="n">
        <v>0</v>
      </c>
      <c r="I2256" t="n">
        <v>0</v>
      </c>
      <c r="J2256" t="n">
        <v>0</v>
      </c>
      <c r="K2256" t="n">
        <v>0</v>
      </c>
      <c r="L2256" t="n">
        <v>0</v>
      </c>
      <c r="M2256" t="n">
        <v>0</v>
      </c>
      <c r="N2256" t="n">
        <v>0</v>
      </c>
      <c r="O2256" t="n">
        <v>0</v>
      </c>
      <c r="P2256" t="n">
        <v>0</v>
      </c>
      <c r="Q2256" t="n">
        <v>0</v>
      </c>
      <c r="R2256" s="2" t="inlineStr"/>
    </row>
    <row r="2257" ht="15" customHeight="1">
      <c r="A2257" t="inlineStr">
        <is>
          <t>A 44942-2025</t>
        </is>
      </c>
      <c r="B2257" s="1" t="n">
        <v>45918</v>
      </c>
      <c r="C2257" s="1" t="n">
        <v>45964</v>
      </c>
      <c r="D2257" t="inlineStr">
        <is>
          <t>VÄSTERBOTTENS LÄN</t>
        </is>
      </c>
      <c r="E2257" t="inlineStr">
        <is>
          <t>SKELLEFTEÅ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53959-2025</t>
        </is>
      </c>
      <c r="B2258" s="1" t="n">
        <v>45961.53371527778</v>
      </c>
      <c r="C2258" s="1" t="n">
        <v>45964</v>
      </c>
      <c r="D2258" t="inlineStr">
        <is>
          <t>VÄSTERBOTTENS LÄN</t>
        </is>
      </c>
      <c r="E2258" t="inlineStr">
        <is>
          <t>SKELLEFTEÅ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44908-2025</t>
        </is>
      </c>
      <c r="B2259" s="1" t="n">
        <v>45918.53197916667</v>
      </c>
      <c r="C2259" s="1" t="n">
        <v>45964</v>
      </c>
      <c r="D2259" t="inlineStr">
        <is>
          <t>VÄSTERBOTTENS LÄN</t>
        </is>
      </c>
      <c r="E2259" t="inlineStr">
        <is>
          <t>SKELLEFTEÅ</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45183-2025</t>
        </is>
      </c>
      <c r="B2260" s="1" t="n">
        <v>45919.53484953703</v>
      </c>
      <c r="C2260" s="1" t="n">
        <v>45964</v>
      </c>
      <c r="D2260" t="inlineStr">
        <is>
          <t>VÄSTERBOTTENS LÄN</t>
        </is>
      </c>
      <c r="E2260" t="inlineStr">
        <is>
          <t>SKELLEFTEÅ</t>
        </is>
      </c>
      <c r="F2260" t="inlineStr">
        <is>
          <t>Holmen skog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40794-2025</t>
        </is>
      </c>
      <c r="B2261" s="1" t="n">
        <v>45897</v>
      </c>
      <c r="C2261" s="1" t="n">
        <v>45964</v>
      </c>
      <c r="D2261" t="inlineStr">
        <is>
          <t>VÄSTERBOTTENS LÄN</t>
        </is>
      </c>
      <c r="E2261" t="inlineStr">
        <is>
          <t>SKELLEFTEÅ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44823-2025</t>
        </is>
      </c>
      <c r="B2262" s="1" t="n">
        <v>45918.38574074074</v>
      </c>
      <c r="C2262" s="1" t="n">
        <v>45964</v>
      </c>
      <c r="D2262" t="inlineStr">
        <is>
          <t>VÄSTERBOTTENS LÄN</t>
        </is>
      </c>
      <c r="E2262" t="inlineStr">
        <is>
          <t>SKELLEFTEÅ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44921-2025</t>
        </is>
      </c>
      <c r="B2263" s="1" t="n">
        <v>45918.55270833334</v>
      </c>
      <c r="C2263" s="1" t="n">
        <v>45964</v>
      </c>
      <c r="D2263" t="inlineStr">
        <is>
          <t>VÄSTERBOTTENS LÄN</t>
        </is>
      </c>
      <c r="E2263" t="inlineStr">
        <is>
          <t>SKELLEFTEÅ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53515-2025</t>
        </is>
      </c>
      <c r="B2264" s="1" t="n">
        <v>45959</v>
      </c>
      <c r="C2264" s="1" t="n">
        <v>45964</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53512-2025</t>
        </is>
      </c>
      <c r="B2265" s="1" t="n">
        <v>45960.34540509259</v>
      </c>
      <c r="C2265" s="1" t="n">
        <v>45964</v>
      </c>
      <c r="D2265" t="inlineStr">
        <is>
          <t>VÄSTERBOTTENS LÄN</t>
        </is>
      </c>
      <c r="E2265" t="inlineStr">
        <is>
          <t>SKELLEFTEÅ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53514-2025</t>
        </is>
      </c>
      <c r="B2266" s="1" t="n">
        <v>45960.34552083333</v>
      </c>
      <c r="C2266" s="1" t="n">
        <v>45964</v>
      </c>
      <c r="D2266" t="inlineStr">
        <is>
          <t>VÄSTERBOTTENS LÄN</t>
        </is>
      </c>
      <c r="E2266" t="inlineStr">
        <is>
          <t>SKELLEFTEÅ</t>
        </is>
      </c>
      <c r="G2266" t="n">
        <v>18.1</v>
      </c>
      <c r="H2266" t="n">
        <v>0</v>
      </c>
      <c r="I2266" t="n">
        <v>0</v>
      </c>
      <c r="J2266" t="n">
        <v>0</v>
      </c>
      <c r="K2266" t="n">
        <v>0</v>
      </c>
      <c r="L2266" t="n">
        <v>0</v>
      </c>
      <c r="M2266" t="n">
        <v>0</v>
      </c>
      <c r="N2266" t="n">
        <v>0</v>
      </c>
      <c r="O2266" t="n">
        <v>0</v>
      </c>
      <c r="P2266" t="n">
        <v>0</v>
      </c>
      <c r="Q2266" t="n">
        <v>0</v>
      </c>
      <c r="R2266" s="2" t="inlineStr"/>
    </row>
    <row r="2267" ht="15" customHeight="1">
      <c r="A2267" t="inlineStr">
        <is>
          <t>A 44920-2025</t>
        </is>
      </c>
      <c r="B2267" s="1" t="n">
        <v>45918.55259259259</v>
      </c>
      <c r="C2267" s="1" t="n">
        <v>45964</v>
      </c>
      <c r="D2267" t="inlineStr">
        <is>
          <t>VÄSTERBOTTENS LÄN</t>
        </is>
      </c>
      <c r="E2267" t="inlineStr">
        <is>
          <t>SKELLEFTEÅ</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44911-2025</t>
        </is>
      </c>
      <c r="B2268" s="1" t="n">
        <v>45918.53216435185</v>
      </c>
      <c r="C2268" s="1" t="n">
        <v>45964</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44922-2025</t>
        </is>
      </c>
      <c r="B2269" s="1" t="n">
        <v>45918.55274305555</v>
      </c>
      <c r="C2269" s="1" t="n">
        <v>45964</v>
      </c>
      <c r="D2269" t="inlineStr">
        <is>
          <t>VÄSTERBOTTENS LÄN</t>
        </is>
      </c>
      <c r="E2269" t="inlineStr">
        <is>
          <t>SKELLEFTEÅ</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53767-2025</t>
        </is>
      </c>
      <c r="B2270" s="1" t="n">
        <v>45960.67798611111</v>
      </c>
      <c r="C2270" s="1" t="n">
        <v>45964</v>
      </c>
      <c r="D2270" t="inlineStr">
        <is>
          <t>VÄSTERBOTTENS LÄN</t>
        </is>
      </c>
      <c r="E2270" t="inlineStr">
        <is>
          <t>SKELLEFTEÅ</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53531-2025</t>
        </is>
      </c>
      <c r="B2271" s="1" t="n">
        <v>45960.36533564814</v>
      </c>
      <c r="C2271" s="1" t="n">
        <v>45964</v>
      </c>
      <c r="D2271" t="inlineStr">
        <is>
          <t>VÄSTERBOTTENS LÄN</t>
        </is>
      </c>
      <c r="E2271" t="inlineStr">
        <is>
          <t>SKELLEFTEÅ</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44909-2025</t>
        </is>
      </c>
      <c r="B2272" s="1" t="n">
        <v>45918.53211805555</v>
      </c>
      <c r="C2272" s="1" t="n">
        <v>45964</v>
      </c>
      <c r="D2272" t="inlineStr">
        <is>
          <t>VÄSTERBOTTENS LÄN</t>
        </is>
      </c>
      <c r="E2272" t="inlineStr">
        <is>
          <t>SKELLEFTEÅ</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44910-2025</t>
        </is>
      </c>
      <c r="B2273" s="1" t="n">
        <v>45918.5321412037</v>
      </c>
      <c r="C2273" s="1" t="n">
        <v>45964</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47243-2025</t>
        </is>
      </c>
      <c r="B2274" s="1" t="n">
        <v>45930</v>
      </c>
      <c r="C2274" s="1" t="n">
        <v>45964</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c r="A2275" t="inlineStr">
        <is>
          <t>A 52634-2025</t>
        </is>
      </c>
      <c r="B2275" s="1" t="n">
        <v>45953</v>
      </c>
      <c r="C2275" s="1" t="n">
        <v>45964</v>
      </c>
      <c r="D2275" t="inlineStr">
        <is>
          <t>VÄSTERBOTTENS LÄN</t>
        </is>
      </c>
      <c r="E2275" t="inlineStr">
        <is>
          <t>SKELLEFTEÅ</t>
        </is>
      </c>
      <c r="G2275" t="n">
        <v>8.300000000000001</v>
      </c>
      <c r="H2275" t="n">
        <v>0</v>
      </c>
      <c r="I2275" t="n">
        <v>0</v>
      </c>
      <c r="J2275" t="n">
        <v>0</v>
      </c>
      <c r="K2275" t="n">
        <v>0</v>
      </c>
      <c r="L2275" t="n">
        <v>0</v>
      </c>
      <c r="M2275" t="n">
        <v>0</v>
      </c>
      <c r="N2275" t="n">
        <v>0</v>
      </c>
      <c r="O2275" t="n">
        <v>0</v>
      </c>
      <c r="P2275" t="n">
        <v>0</v>
      </c>
      <c r="Q2275" t="n">
        <v>0</v>
      </c>
      <c r="R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2025-11-03T10:04:55Z</dcterms:created>
  <dcterms:modified xmlns:dcterms="http://purl.org/dc/terms/" xmlns:xsi="http://www.w3.org/2001/XMLSchema-instance" xsi:type="dcterms:W3CDTF">2025-11-03T10:04:57Z</dcterms:modified>
</cp:coreProperties>
</file>