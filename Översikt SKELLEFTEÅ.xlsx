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45781</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45781</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45781</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45781</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45781</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45781</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45781</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45781</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45781</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45781</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45781</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45781</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45781</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45781</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45781</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45781</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45781</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45781</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45781</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45781</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45781</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45781</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45781</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45781</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45781</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45781</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23485-2020</t>
        </is>
      </c>
      <c r="B38" s="1" t="n">
        <v>43966</v>
      </c>
      <c r="C38" s="1" t="n">
        <v>45781</v>
      </c>
      <c r="D38" t="inlineStr">
        <is>
          <t>VÄSTERBOTTENS LÄN</t>
        </is>
      </c>
      <c r="E38" t="inlineStr">
        <is>
          <t>SKELLEFTEÅ</t>
        </is>
      </c>
      <c r="G38" t="n">
        <v>7.5</v>
      </c>
      <c r="H38" t="n">
        <v>2</v>
      </c>
      <c r="I38" t="n">
        <v>2</v>
      </c>
      <c r="J38" t="n">
        <v>5</v>
      </c>
      <c r="K38" t="n">
        <v>0</v>
      </c>
      <c r="L38" t="n">
        <v>1</v>
      </c>
      <c r="M38" t="n">
        <v>0</v>
      </c>
      <c r="N38" t="n">
        <v>0</v>
      </c>
      <c r="O38" t="n">
        <v>6</v>
      </c>
      <c r="P38" t="n">
        <v>1</v>
      </c>
      <c r="Q38" t="n">
        <v>8</v>
      </c>
      <c r="R38" s="2" t="inlineStr">
        <is>
          <t>Trådbrosklav
Garnlav
Granticka
Gränsticka
Järpe
Lunglav
Nästlav
Plattlummer</t>
        </is>
      </c>
      <c r="S38">
        <f>HYPERLINK("https://klasma.github.io/Logging_2482/artfynd/A 23485-2020 artfynd.xlsx", "A 23485-2020")</f>
        <v/>
      </c>
      <c r="T38">
        <f>HYPERLINK("https://klasma.github.io/Logging_2482/kartor/A 23485-2020 karta.png", "A 23485-2020")</f>
        <v/>
      </c>
      <c r="V38">
        <f>HYPERLINK("https://klasma.github.io/Logging_2482/klagomål/A 23485-2020 FSC-klagomål.docx", "A 23485-2020")</f>
        <v/>
      </c>
      <c r="W38">
        <f>HYPERLINK("https://klasma.github.io/Logging_2482/klagomålsmail/A 23485-2020 FSC-klagomål mail.docx", "A 23485-2020")</f>
        <v/>
      </c>
      <c r="X38">
        <f>HYPERLINK("https://klasma.github.io/Logging_2482/tillsyn/A 23485-2020 tillsynsbegäran.docx", "A 23485-2020")</f>
        <v/>
      </c>
      <c r="Y38">
        <f>HYPERLINK("https://klasma.github.io/Logging_2482/tillsynsmail/A 23485-2020 tillsynsbegäran mail.docx", "A 23485-2020")</f>
        <v/>
      </c>
      <c r="Z38">
        <f>HYPERLINK("https://klasma.github.io/Logging_2482/fåglar/A 23485-2020 prioriterade fågelarter.docx", "A 23485-2020")</f>
        <v/>
      </c>
    </row>
    <row r="39" ht="15" customHeight="1">
      <c r="A39" t="inlineStr">
        <is>
          <t>A 44892-2021</t>
        </is>
      </c>
      <c r="B39" s="1" t="n">
        <v>44438</v>
      </c>
      <c r="C39" s="1" t="n">
        <v>45781</v>
      </c>
      <c r="D39" t="inlineStr">
        <is>
          <t>VÄSTERBOTTENS LÄN</t>
        </is>
      </c>
      <c r="E39" t="inlineStr">
        <is>
          <t>SKELLEFTEÅ</t>
        </is>
      </c>
      <c r="G39" t="n">
        <v>35.9</v>
      </c>
      <c r="H39" t="n">
        <v>3</v>
      </c>
      <c r="I39" t="n">
        <v>4</v>
      </c>
      <c r="J39" t="n">
        <v>2</v>
      </c>
      <c r="K39" t="n">
        <v>0</v>
      </c>
      <c r="L39" t="n">
        <v>0</v>
      </c>
      <c r="M39" t="n">
        <v>0</v>
      </c>
      <c r="N39" t="n">
        <v>0</v>
      </c>
      <c r="O39" t="n">
        <v>2</v>
      </c>
      <c r="P39" t="n">
        <v>0</v>
      </c>
      <c r="Q39" t="n">
        <v>8</v>
      </c>
      <c r="R39" s="2" t="inlineStr">
        <is>
          <t>Garnlav
Lunglav
Gräsull
Guckusko
Stuplav
Tibast
Brudsporre
Fläcknycklar</t>
        </is>
      </c>
      <c r="S39">
        <f>HYPERLINK("https://klasma.github.io/Logging_2482/artfynd/A 44892-2021 artfynd.xlsx", "A 44892-2021")</f>
        <v/>
      </c>
      <c r="T39">
        <f>HYPERLINK("https://klasma.github.io/Logging_2482/kartor/A 44892-2021 karta.png", "A 44892-2021")</f>
        <v/>
      </c>
      <c r="V39">
        <f>HYPERLINK("https://klasma.github.io/Logging_2482/klagomål/A 44892-2021 FSC-klagomål.docx", "A 44892-2021")</f>
        <v/>
      </c>
      <c r="W39">
        <f>HYPERLINK("https://klasma.github.io/Logging_2482/klagomålsmail/A 44892-2021 FSC-klagomål mail.docx", "A 44892-2021")</f>
        <v/>
      </c>
      <c r="X39">
        <f>HYPERLINK("https://klasma.github.io/Logging_2482/tillsyn/A 44892-2021 tillsynsbegäran.docx", "A 44892-2021")</f>
        <v/>
      </c>
      <c r="Y39">
        <f>HYPERLINK("https://klasma.github.io/Logging_2482/tillsynsmail/A 44892-2021 tillsynsbegäran mail.docx", "A 44892-2021")</f>
        <v/>
      </c>
    </row>
    <row r="40" ht="15" customHeight="1">
      <c r="A40" t="inlineStr">
        <is>
          <t>A 19608-2023</t>
        </is>
      </c>
      <c r="B40" s="1" t="n">
        <v>45051</v>
      </c>
      <c r="C40" s="1" t="n">
        <v>45781</v>
      </c>
      <c r="D40" t="inlineStr">
        <is>
          <t>VÄSTERBOTTENS LÄN</t>
        </is>
      </c>
      <c r="E40" t="inlineStr">
        <is>
          <t>SKELLEFTEÅ</t>
        </is>
      </c>
      <c r="G40" t="n">
        <v>5.4</v>
      </c>
      <c r="H40" t="n">
        <v>1</v>
      </c>
      <c r="I40" t="n">
        <v>3</v>
      </c>
      <c r="J40" t="n">
        <v>5</v>
      </c>
      <c r="K40" t="n">
        <v>0</v>
      </c>
      <c r="L40" t="n">
        <v>0</v>
      </c>
      <c r="M40" t="n">
        <v>0</v>
      </c>
      <c r="N40" t="n">
        <v>0</v>
      </c>
      <c r="O40" t="n">
        <v>5</v>
      </c>
      <c r="P40" t="n">
        <v>0</v>
      </c>
      <c r="Q40" t="n">
        <v>8</v>
      </c>
      <c r="R40" s="2" t="inlineStr">
        <is>
          <t>Blanksvart spiklav
Blå taggsvamp
Garnlav
Talltita
Vedskivlav
Dropptaggsvamp
Skarp dropptaggsvamp
Tallfingersvamp</t>
        </is>
      </c>
      <c r="S40">
        <f>HYPERLINK("https://klasma.github.io/Logging_2482/artfynd/A 19608-2023 artfynd.xlsx", "A 19608-2023")</f>
        <v/>
      </c>
      <c r="T40">
        <f>HYPERLINK("https://klasma.github.io/Logging_2482/kartor/A 19608-2023 karta.png", "A 19608-2023")</f>
        <v/>
      </c>
      <c r="V40">
        <f>HYPERLINK("https://klasma.github.io/Logging_2482/klagomål/A 19608-2023 FSC-klagomål.docx", "A 19608-2023")</f>
        <v/>
      </c>
      <c r="W40">
        <f>HYPERLINK("https://klasma.github.io/Logging_2482/klagomålsmail/A 19608-2023 FSC-klagomål mail.docx", "A 19608-2023")</f>
        <v/>
      </c>
      <c r="X40">
        <f>HYPERLINK("https://klasma.github.io/Logging_2482/tillsyn/A 19608-2023 tillsynsbegäran.docx", "A 19608-2023")</f>
        <v/>
      </c>
      <c r="Y40">
        <f>HYPERLINK("https://klasma.github.io/Logging_2482/tillsynsmail/A 19608-2023 tillsynsbegäran mail.docx", "A 19608-2023")</f>
        <v/>
      </c>
      <c r="Z40">
        <f>HYPERLINK("https://klasma.github.io/Logging_2482/fåglar/A 19608-2023 prioriterade fågelarter.docx", "A 19608-2023")</f>
        <v/>
      </c>
    </row>
    <row r="41" ht="15" customHeight="1">
      <c r="A41" t="inlineStr">
        <is>
          <t>A 21553-2023</t>
        </is>
      </c>
      <c r="B41" s="1" t="n">
        <v>45061</v>
      </c>
      <c r="C41" s="1" t="n">
        <v>45781</v>
      </c>
      <c r="D41" t="inlineStr">
        <is>
          <t>VÄSTERBOTTENS LÄN</t>
        </is>
      </c>
      <c r="E41" t="inlineStr">
        <is>
          <t>SKELLEFTEÅ</t>
        </is>
      </c>
      <c r="G41" t="n">
        <v>14.6</v>
      </c>
      <c r="H41" t="n">
        <v>0</v>
      </c>
      <c r="I41" t="n">
        <v>2</v>
      </c>
      <c r="J41" t="n">
        <v>3</v>
      </c>
      <c r="K41" t="n">
        <v>3</v>
      </c>
      <c r="L41" t="n">
        <v>0</v>
      </c>
      <c r="M41" t="n">
        <v>0</v>
      </c>
      <c r="N41" t="n">
        <v>0</v>
      </c>
      <c r="O41" t="n">
        <v>6</v>
      </c>
      <c r="P41" t="n">
        <v>3</v>
      </c>
      <c r="Q41" t="n">
        <v>8</v>
      </c>
      <c r="R41" s="2" t="inlineStr">
        <is>
          <t>Goliatmusseron
Lakritsmusseron
Lammticka
Blå taggsvamp
Skrovlig taggsvamp
Tallriska
Dropptaggsvamp
Skarp dropptaggsvamp</t>
        </is>
      </c>
      <c r="S41">
        <f>HYPERLINK("https://klasma.github.io/Logging_2482/artfynd/A 21553-2023 artfynd.xlsx", "A 21553-2023")</f>
        <v/>
      </c>
      <c r="T41">
        <f>HYPERLINK("https://klasma.github.io/Logging_2482/kartor/A 21553-2023 karta.png", "A 21553-2023")</f>
        <v/>
      </c>
      <c r="V41">
        <f>HYPERLINK("https://klasma.github.io/Logging_2482/klagomål/A 21553-2023 FSC-klagomål.docx", "A 21553-2023")</f>
        <v/>
      </c>
      <c r="W41">
        <f>HYPERLINK("https://klasma.github.io/Logging_2482/klagomålsmail/A 21553-2023 FSC-klagomål mail.docx", "A 21553-2023")</f>
        <v/>
      </c>
      <c r="X41">
        <f>HYPERLINK("https://klasma.github.io/Logging_2482/tillsyn/A 21553-2023 tillsynsbegäran.docx", "A 21553-2023")</f>
        <v/>
      </c>
      <c r="Y41">
        <f>HYPERLINK("https://klasma.github.io/Logging_2482/tillsynsmail/A 21553-2023 tillsynsbegäran mail.docx", "A 21553-2023")</f>
        <v/>
      </c>
    </row>
    <row r="42" ht="15" customHeight="1">
      <c r="A42" t="inlineStr">
        <is>
          <t>A 33565-2024</t>
        </is>
      </c>
      <c r="B42" s="1" t="n">
        <v>45520</v>
      </c>
      <c r="C42" s="1" t="n">
        <v>45781</v>
      </c>
      <c r="D42" t="inlineStr">
        <is>
          <t>VÄSTERBOTTENS LÄN</t>
        </is>
      </c>
      <c r="E42" t="inlineStr">
        <is>
          <t>SKELLEFTEÅ</t>
        </is>
      </c>
      <c r="G42" t="n">
        <v>6.8</v>
      </c>
      <c r="H42" t="n">
        <v>0</v>
      </c>
      <c r="I42" t="n">
        <v>3</v>
      </c>
      <c r="J42" t="n">
        <v>4</v>
      </c>
      <c r="K42" t="n">
        <v>1</v>
      </c>
      <c r="L42" t="n">
        <v>0</v>
      </c>
      <c r="M42" t="n">
        <v>0</v>
      </c>
      <c r="N42" t="n">
        <v>0</v>
      </c>
      <c r="O42" t="n">
        <v>5</v>
      </c>
      <c r="P42" t="n">
        <v>1</v>
      </c>
      <c r="Q42" t="n">
        <v>8</v>
      </c>
      <c r="R42" s="2" t="inlineStr">
        <is>
          <t>Smalfotad taggsvamp
Blå taggsvamp
Nordtagging
Orange taggsvamp
Tallriska
Dropptaggsvamp
Gullgröppa
Skarp dropptaggsvamp</t>
        </is>
      </c>
      <c r="S42">
        <f>HYPERLINK("https://klasma.github.io/Logging_2482/artfynd/A 33565-2024 artfynd.xlsx", "A 33565-2024")</f>
        <v/>
      </c>
      <c r="T42">
        <f>HYPERLINK("https://klasma.github.io/Logging_2482/kartor/A 33565-2024 karta.png", "A 33565-2024")</f>
        <v/>
      </c>
      <c r="V42">
        <f>HYPERLINK("https://klasma.github.io/Logging_2482/klagomål/A 33565-2024 FSC-klagomål.docx", "A 33565-2024")</f>
        <v/>
      </c>
      <c r="W42">
        <f>HYPERLINK("https://klasma.github.io/Logging_2482/klagomålsmail/A 33565-2024 FSC-klagomål mail.docx", "A 33565-2024")</f>
        <v/>
      </c>
      <c r="X42">
        <f>HYPERLINK("https://klasma.github.io/Logging_2482/tillsyn/A 33565-2024 tillsynsbegäran.docx", "A 33565-2024")</f>
        <v/>
      </c>
      <c r="Y42">
        <f>HYPERLINK("https://klasma.github.io/Logging_2482/tillsynsmail/A 33565-2024 tillsynsbegäran mail.docx", "A 33565-2024")</f>
        <v/>
      </c>
    </row>
    <row r="43" ht="15" customHeight="1">
      <c r="A43" t="inlineStr">
        <is>
          <t>A 43123-2024</t>
        </is>
      </c>
      <c r="B43" s="1" t="n">
        <v>45567</v>
      </c>
      <c r="C43" s="1" t="n">
        <v>45781</v>
      </c>
      <c r="D43" t="inlineStr">
        <is>
          <t>VÄSTERBOTTENS LÄN</t>
        </is>
      </c>
      <c r="E43" t="inlineStr">
        <is>
          <t>SKELLEFTEÅ</t>
        </is>
      </c>
      <c r="G43" t="n">
        <v>30.4</v>
      </c>
      <c r="H43" t="n">
        <v>2</v>
      </c>
      <c r="I43" t="n">
        <v>1</v>
      </c>
      <c r="J43" t="n">
        <v>7</v>
      </c>
      <c r="K43" t="n">
        <v>0</v>
      </c>
      <c r="L43" t="n">
        <v>0</v>
      </c>
      <c r="M43" t="n">
        <v>0</v>
      </c>
      <c r="N43" t="n">
        <v>0</v>
      </c>
      <c r="O43" t="n">
        <v>7</v>
      </c>
      <c r="P43" t="n">
        <v>0</v>
      </c>
      <c r="Q43" t="n">
        <v>8</v>
      </c>
      <c r="R43" s="2" t="inlineStr">
        <is>
          <t>Gammelgransskål
Garnlav
Granticka
Rosenticka
Spillkråka
Tretåig hackspett
Ullticka
Vedticka</t>
        </is>
      </c>
      <c r="S43">
        <f>HYPERLINK("https://klasma.github.io/Logging_2482/artfynd/A 43123-2024 artfynd.xlsx", "A 43123-2024")</f>
        <v/>
      </c>
      <c r="T43">
        <f>HYPERLINK("https://klasma.github.io/Logging_2482/kartor/A 43123-2024 karta.png", "A 43123-2024")</f>
        <v/>
      </c>
      <c r="V43">
        <f>HYPERLINK("https://klasma.github.io/Logging_2482/klagomål/A 43123-2024 FSC-klagomål.docx", "A 43123-2024")</f>
        <v/>
      </c>
      <c r="W43">
        <f>HYPERLINK("https://klasma.github.io/Logging_2482/klagomålsmail/A 43123-2024 FSC-klagomål mail.docx", "A 43123-2024")</f>
        <v/>
      </c>
      <c r="X43">
        <f>HYPERLINK("https://klasma.github.io/Logging_2482/tillsyn/A 43123-2024 tillsynsbegäran.docx", "A 43123-2024")</f>
        <v/>
      </c>
      <c r="Y43">
        <f>HYPERLINK("https://klasma.github.io/Logging_2482/tillsynsmail/A 43123-2024 tillsynsbegäran mail.docx", "A 43123-2024")</f>
        <v/>
      </c>
      <c r="Z43">
        <f>HYPERLINK("https://klasma.github.io/Logging_2482/fåglar/A 43123-2024 prioriterade fågelarter.docx", "A 43123-2024")</f>
        <v/>
      </c>
    </row>
    <row r="44" ht="15" customHeight="1">
      <c r="A44" t="inlineStr">
        <is>
          <t>A 48272-2024</t>
        </is>
      </c>
      <c r="B44" s="1" t="n">
        <v>45590</v>
      </c>
      <c r="C44" s="1" t="n">
        <v>45781</v>
      </c>
      <c r="D44" t="inlineStr">
        <is>
          <t>VÄSTERBOTTENS LÄN</t>
        </is>
      </c>
      <c r="E44" t="inlineStr">
        <is>
          <t>SKELLEFTEÅ</t>
        </is>
      </c>
      <c r="G44" t="n">
        <v>12.5</v>
      </c>
      <c r="H44" t="n">
        <v>1</v>
      </c>
      <c r="I44" t="n">
        <v>0</v>
      </c>
      <c r="J44" t="n">
        <v>7</v>
      </c>
      <c r="K44" t="n">
        <v>1</v>
      </c>
      <c r="L44" t="n">
        <v>0</v>
      </c>
      <c r="M44" t="n">
        <v>0</v>
      </c>
      <c r="N44" t="n">
        <v>0</v>
      </c>
      <c r="O44" t="n">
        <v>8</v>
      </c>
      <c r="P44" t="n">
        <v>1</v>
      </c>
      <c r="Q44" t="n">
        <v>8</v>
      </c>
      <c r="R44" s="2" t="inlineStr">
        <is>
          <t>Vågticka
Granticka
Harticka
Rosenticka
Stjärntagging
Tretåig hackspett
Ullticka
Violettgrå tagellav</t>
        </is>
      </c>
      <c r="S44">
        <f>HYPERLINK("https://klasma.github.io/Logging_2482/artfynd/A 48272-2024 artfynd.xlsx", "A 48272-2024")</f>
        <v/>
      </c>
      <c r="T44">
        <f>HYPERLINK("https://klasma.github.io/Logging_2482/kartor/A 48272-2024 karta.png", "A 48272-2024")</f>
        <v/>
      </c>
      <c r="V44">
        <f>HYPERLINK("https://klasma.github.io/Logging_2482/klagomål/A 48272-2024 FSC-klagomål.docx", "A 48272-2024")</f>
        <v/>
      </c>
      <c r="W44">
        <f>HYPERLINK("https://klasma.github.io/Logging_2482/klagomålsmail/A 48272-2024 FSC-klagomål mail.docx", "A 48272-2024")</f>
        <v/>
      </c>
      <c r="X44">
        <f>HYPERLINK("https://klasma.github.io/Logging_2482/tillsyn/A 48272-2024 tillsynsbegäran.docx", "A 48272-2024")</f>
        <v/>
      </c>
      <c r="Y44">
        <f>HYPERLINK("https://klasma.github.io/Logging_2482/tillsynsmail/A 48272-2024 tillsynsbegäran mail.docx", "A 48272-2024")</f>
        <v/>
      </c>
      <c r="Z44">
        <f>HYPERLINK("https://klasma.github.io/Logging_2482/fåglar/A 48272-2024 prioriterade fågelarter.docx", "A 48272-2024")</f>
        <v/>
      </c>
    </row>
    <row r="45" ht="15" customHeight="1">
      <c r="A45" t="inlineStr">
        <is>
          <t>A 53122-2024</t>
        </is>
      </c>
      <c r="B45" s="1" t="n">
        <v>45611</v>
      </c>
      <c r="C45" s="1" t="n">
        <v>45781</v>
      </c>
      <c r="D45" t="inlineStr">
        <is>
          <t>VÄSTERBOTTENS LÄN</t>
        </is>
      </c>
      <c r="E45" t="inlineStr">
        <is>
          <t>SKELLEFTEÅ</t>
        </is>
      </c>
      <c r="F45" t="inlineStr">
        <is>
          <t>Holmen skog AB</t>
        </is>
      </c>
      <c r="G45" t="n">
        <v>8.5</v>
      </c>
      <c r="H45" t="n">
        <v>1</v>
      </c>
      <c r="I45" t="n">
        <v>3</v>
      </c>
      <c r="J45" t="n">
        <v>4</v>
      </c>
      <c r="K45" t="n">
        <v>1</v>
      </c>
      <c r="L45" t="n">
        <v>0</v>
      </c>
      <c r="M45" t="n">
        <v>0</v>
      </c>
      <c r="N45" t="n">
        <v>0</v>
      </c>
      <c r="O45" t="n">
        <v>5</v>
      </c>
      <c r="P45" t="n">
        <v>1</v>
      </c>
      <c r="Q45" t="n">
        <v>8</v>
      </c>
      <c r="R45" s="2" t="inlineStr">
        <is>
          <t>Lammticka
Blå taggsvamp
Motaggsvamp
Orange taggsvamp
Vaddporing
Dropptaggsvamp
Plattlummer
Tallfingersvamp</t>
        </is>
      </c>
      <c r="S45">
        <f>HYPERLINK("https://klasma.github.io/Logging_2482/artfynd/A 53122-2024 artfynd.xlsx", "A 53122-2024")</f>
        <v/>
      </c>
      <c r="T45">
        <f>HYPERLINK("https://klasma.github.io/Logging_2482/kartor/A 53122-2024 karta.png", "A 53122-2024")</f>
        <v/>
      </c>
      <c r="V45">
        <f>HYPERLINK("https://klasma.github.io/Logging_2482/klagomål/A 53122-2024 FSC-klagomål.docx", "A 53122-2024")</f>
        <v/>
      </c>
      <c r="W45">
        <f>HYPERLINK("https://klasma.github.io/Logging_2482/klagomålsmail/A 53122-2024 FSC-klagomål mail.docx", "A 53122-2024")</f>
        <v/>
      </c>
      <c r="X45">
        <f>HYPERLINK("https://klasma.github.io/Logging_2482/tillsyn/A 53122-2024 tillsynsbegäran.docx", "A 53122-2024")</f>
        <v/>
      </c>
      <c r="Y45">
        <f>HYPERLINK("https://klasma.github.io/Logging_2482/tillsynsmail/A 53122-2024 tillsynsbegäran mail.docx", "A 53122-2024")</f>
        <v/>
      </c>
    </row>
    <row r="46" ht="15" customHeight="1">
      <c r="A46" t="inlineStr">
        <is>
          <t>A 25653-2019</t>
        </is>
      </c>
      <c r="B46" s="1" t="n">
        <v>43602</v>
      </c>
      <c r="C46" s="1" t="n">
        <v>45781</v>
      </c>
      <c r="D46" t="inlineStr">
        <is>
          <t>VÄSTERBOTTENS LÄN</t>
        </is>
      </c>
      <c r="E46" t="inlineStr">
        <is>
          <t>SKELLEFTEÅ</t>
        </is>
      </c>
      <c r="G46" t="n">
        <v>27.4</v>
      </c>
      <c r="H46" t="n">
        <v>6</v>
      </c>
      <c r="I46" t="n">
        <v>2</v>
      </c>
      <c r="J46" t="n">
        <v>3</v>
      </c>
      <c r="K46" t="n">
        <v>0</v>
      </c>
      <c r="L46" t="n">
        <v>0</v>
      </c>
      <c r="M46" t="n">
        <v>0</v>
      </c>
      <c r="N46" t="n">
        <v>0</v>
      </c>
      <c r="O46" t="n">
        <v>3</v>
      </c>
      <c r="P46" t="n">
        <v>0</v>
      </c>
      <c r="Q46" t="n">
        <v>7</v>
      </c>
      <c r="R46" s="2" t="inlineStr">
        <is>
          <t>Kolflarnlav
Nordfladdermus
Tretåig hackspett
Korallrot
Spindelblomster
Vanlig groda
Revlummer</t>
        </is>
      </c>
      <c r="S46">
        <f>HYPERLINK("https://klasma.github.io/Logging_2482/artfynd/A 25653-2019 artfynd.xlsx", "A 25653-2019")</f>
        <v/>
      </c>
      <c r="T46">
        <f>HYPERLINK("https://klasma.github.io/Logging_2482/kartor/A 25653-2019 karta.png", "A 25653-2019")</f>
        <v/>
      </c>
      <c r="V46">
        <f>HYPERLINK("https://klasma.github.io/Logging_2482/klagomål/A 25653-2019 FSC-klagomål.docx", "A 25653-2019")</f>
        <v/>
      </c>
      <c r="W46">
        <f>HYPERLINK("https://klasma.github.io/Logging_2482/klagomålsmail/A 25653-2019 FSC-klagomål mail.docx", "A 25653-2019")</f>
        <v/>
      </c>
      <c r="X46">
        <f>HYPERLINK("https://klasma.github.io/Logging_2482/tillsyn/A 25653-2019 tillsynsbegäran.docx", "A 25653-2019")</f>
        <v/>
      </c>
      <c r="Y46">
        <f>HYPERLINK("https://klasma.github.io/Logging_2482/tillsynsmail/A 25653-2019 tillsynsbegäran mail.docx", "A 25653-2019")</f>
        <v/>
      </c>
      <c r="Z46">
        <f>HYPERLINK("https://klasma.github.io/Logging_2482/fåglar/A 25653-2019 prioriterade fågelarter.docx", "A 25653-2019")</f>
        <v/>
      </c>
    </row>
    <row r="47" ht="15" customHeight="1">
      <c r="A47" t="inlineStr">
        <is>
          <t>A 30834-2020</t>
        </is>
      </c>
      <c r="B47" s="1" t="n">
        <v>44011</v>
      </c>
      <c r="C47" s="1" t="n">
        <v>45781</v>
      </c>
      <c r="D47" t="inlineStr">
        <is>
          <t>VÄSTERBOTTENS LÄN</t>
        </is>
      </c>
      <c r="E47" t="inlineStr">
        <is>
          <t>SKELLEFTEÅ</t>
        </is>
      </c>
      <c r="F47" t="inlineStr">
        <is>
          <t>Kyrkan</t>
        </is>
      </c>
      <c r="G47" t="n">
        <v>8.4</v>
      </c>
      <c r="H47" t="n">
        <v>2</v>
      </c>
      <c r="I47" t="n">
        <v>0</v>
      </c>
      <c r="J47" t="n">
        <v>6</v>
      </c>
      <c r="K47" t="n">
        <v>1</v>
      </c>
      <c r="L47" t="n">
        <v>0</v>
      </c>
      <c r="M47" t="n">
        <v>0</v>
      </c>
      <c r="N47" t="n">
        <v>0</v>
      </c>
      <c r="O47" t="n">
        <v>7</v>
      </c>
      <c r="P47" t="n">
        <v>1</v>
      </c>
      <c r="Q47" t="n">
        <v>7</v>
      </c>
      <c r="R47" s="2" t="inlineStr">
        <is>
          <t>Gräddticka
Harticka
Rosenticka
Spillkråka
Stjärntagging
Tretåig hackspett
Ullticka</t>
        </is>
      </c>
      <c r="S47">
        <f>HYPERLINK("https://klasma.github.io/Logging_2482/artfynd/A 30834-2020 artfynd.xlsx", "A 30834-2020")</f>
        <v/>
      </c>
      <c r="T47">
        <f>HYPERLINK("https://klasma.github.io/Logging_2482/kartor/A 30834-2020 karta.png", "A 30834-2020")</f>
        <v/>
      </c>
      <c r="V47">
        <f>HYPERLINK("https://klasma.github.io/Logging_2482/klagomål/A 30834-2020 FSC-klagomål.docx", "A 30834-2020")</f>
        <v/>
      </c>
      <c r="W47">
        <f>HYPERLINK("https://klasma.github.io/Logging_2482/klagomålsmail/A 30834-2020 FSC-klagomål mail.docx", "A 30834-2020")</f>
        <v/>
      </c>
      <c r="X47">
        <f>HYPERLINK("https://klasma.github.io/Logging_2482/tillsyn/A 30834-2020 tillsynsbegäran.docx", "A 30834-2020")</f>
        <v/>
      </c>
      <c r="Y47">
        <f>HYPERLINK("https://klasma.github.io/Logging_2482/tillsynsmail/A 30834-2020 tillsynsbegäran mail.docx", "A 30834-2020")</f>
        <v/>
      </c>
      <c r="Z47">
        <f>HYPERLINK("https://klasma.github.io/Logging_2482/fåglar/A 30834-2020 prioriterade fågelarter.docx", "A 30834-2020")</f>
        <v/>
      </c>
    </row>
    <row r="48" ht="15" customHeight="1">
      <c r="A48" t="inlineStr">
        <is>
          <t>A 14493-2022</t>
        </is>
      </c>
      <c r="B48" s="1" t="n">
        <v>44655</v>
      </c>
      <c r="C48" s="1" t="n">
        <v>45781</v>
      </c>
      <c r="D48" t="inlineStr">
        <is>
          <t>VÄSTERBOTTENS LÄN</t>
        </is>
      </c>
      <c r="E48" t="inlineStr">
        <is>
          <t>SKELLEFTEÅ</t>
        </is>
      </c>
      <c r="G48" t="n">
        <v>9.5</v>
      </c>
      <c r="H48" t="n">
        <v>2</v>
      </c>
      <c r="I48" t="n">
        <v>1</v>
      </c>
      <c r="J48" t="n">
        <v>5</v>
      </c>
      <c r="K48" t="n">
        <v>1</v>
      </c>
      <c r="L48" t="n">
        <v>0</v>
      </c>
      <c r="M48" t="n">
        <v>0</v>
      </c>
      <c r="N48" t="n">
        <v>0</v>
      </c>
      <c r="O48" t="n">
        <v>6</v>
      </c>
      <c r="P48" t="n">
        <v>1</v>
      </c>
      <c r="Q48" t="n">
        <v>7</v>
      </c>
      <c r="R48" s="2" t="inlineStr">
        <is>
          <t>Knärot
Gammelgransskål
Garnlav
Harticka
Tretåig hackspett
Ullticka
Vedticka</t>
        </is>
      </c>
      <c r="S48">
        <f>HYPERLINK("https://klasma.github.io/Logging_2482/artfynd/A 14493-2022 artfynd.xlsx", "A 14493-2022")</f>
        <v/>
      </c>
      <c r="T48">
        <f>HYPERLINK("https://klasma.github.io/Logging_2482/kartor/A 14493-2022 karta.png", "A 14493-2022")</f>
        <v/>
      </c>
      <c r="U48">
        <f>HYPERLINK("https://klasma.github.io/Logging_2482/knärot/A 14493-2022 karta knärot.png", "A 14493-2022")</f>
        <v/>
      </c>
      <c r="V48">
        <f>HYPERLINK("https://klasma.github.io/Logging_2482/klagomål/A 14493-2022 FSC-klagomål.docx", "A 14493-2022")</f>
        <v/>
      </c>
      <c r="W48">
        <f>HYPERLINK("https://klasma.github.io/Logging_2482/klagomålsmail/A 14493-2022 FSC-klagomål mail.docx", "A 14493-2022")</f>
        <v/>
      </c>
      <c r="X48">
        <f>HYPERLINK("https://klasma.github.io/Logging_2482/tillsyn/A 14493-2022 tillsynsbegäran.docx", "A 14493-2022")</f>
        <v/>
      </c>
      <c r="Y48">
        <f>HYPERLINK("https://klasma.github.io/Logging_2482/tillsynsmail/A 14493-2022 tillsynsbegäran mail.docx", "A 14493-2022")</f>
        <v/>
      </c>
      <c r="Z48">
        <f>HYPERLINK("https://klasma.github.io/Logging_2482/fåglar/A 14493-2022 prioriterade fågelarter.docx", "A 14493-2022")</f>
        <v/>
      </c>
    </row>
    <row r="49" ht="15" customHeight="1">
      <c r="A49" t="inlineStr">
        <is>
          <t>A 32605-2023</t>
        </is>
      </c>
      <c r="B49" s="1" t="n">
        <v>45121</v>
      </c>
      <c r="C49" s="1" t="n">
        <v>45781</v>
      </c>
      <c r="D49" t="inlineStr">
        <is>
          <t>VÄSTERBOTTENS LÄN</t>
        </is>
      </c>
      <c r="E49" t="inlineStr">
        <is>
          <t>SKELLEFTEÅ</t>
        </is>
      </c>
      <c r="F49" t="inlineStr">
        <is>
          <t>Holmen skog AB</t>
        </is>
      </c>
      <c r="G49" t="n">
        <v>5.5</v>
      </c>
      <c r="H49" t="n">
        <v>2</v>
      </c>
      <c r="I49" t="n">
        <v>1</v>
      </c>
      <c r="J49" t="n">
        <v>5</v>
      </c>
      <c r="K49" t="n">
        <v>0</v>
      </c>
      <c r="L49" t="n">
        <v>0</v>
      </c>
      <c r="M49" t="n">
        <v>0</v>
      </c>
      <c r="N49" t="n">
        <v>0</v>
      </c>
      <c r="O49" t="n">
        <v>5</v>
      </c>
      <c r="P49" t="n">
        <v>0</v>
      </c>
      <c r="Q49" t="n">
        <v>7</v>
      </c>
      <c r="R49" s="2" t="inlineStr">
        <is>
          <t>Blanksvart spiklav
Gammelgransskål
Garnlav
Spillkråka
Tallticka
Skinnlav
Lavskrika</t>
        </is>
      </c>
      <c r="S49">
        <f>HYPERLINK("https://klasma.github.io/Logging_2482/artfynd/A 32605-2023 artfynd.xlsx", "A 32605-2023")</f>
        <v/>
      </c>
      <c r="T49">
        <f>HYPERLINK("https://klasma.github.io/Logging_2482/kartor/A 32605-2023 karta.png", "A 32605-2023")</f>
        <v/>
      </c>
      <c r="V49">
        <f>HYPERLINK("https://klasma.github.io/Logging_2482/klagomål/A 32605-2023 FSC-klagomål.docx", "A 32605-2023")</f>
        <v/>
      </c>
      <c r="W49">
        <f>HYPERLINK("https://klasma.github.io/Logging_2482/klagomålsmail/A 32605-2023 FSC-klagomål mail.docx", "A 32605-2023")</f>
        <v/>
      </c>
      <c r="X49">
        <f>HYPERLINK("https://klasma.github.io/Logging_2482/tillsyn/A 32605-2023 tillsynsbegäran.docx", "A 32605-2023")</f>
        <v/>
      </c>
      <c r="Y49">
        <f>HYPERLINK("https://klasma.github.io/Logging_2482/tillsynsmail/A 32605-2023 tillsynsbegäran mail.docx", "A 32605-2023")</f>
        <v/>
      </c>
      <c r="Z49">
        <f>HYPERLINK("https://klasma.github.io/Logging_2482/fåglar/A 32605-2023 prioriterade fågelarter.docx", "A 32605-2023")</f>
        <v/>
      </c>
    </row>
    <row r="50" ht="15" customHeight="1">
      <c r="A50" t="inlineStr">
        <is>
          <t>A 54391-2023</t>
        </is>
      </c>
      <c r="B50" s="1" t="n">
        <v>45226</v>
      </c>
      <c r="C50" s="1" t="n">
        <v>45781</v>
      </c>
      <c r="D50" t="inlineStr">
        <is>
          <t>VÄSTERBOTTENS LÄN</t>
        </is>
      </c>
      <c r="E50" t="inlineStr">
        <is>
          <t>SKELLEFTEÅ</t>
        </is>
      </c>
      <c r="G50" t="n">
        <v>17.9</v>
      </c>
      <c r="H50" t="n">
        <v>3</v>
      </c>
      <c r="I50" t="n">
        <v>1</v>
      </c>
      <c r="J50" t="n">
        <v>4</v>
      </c>
      <c r="K50" t="n">
        <v>0</v>
      </c>
      <c r="L50" t="n">
        <v>0</v>
      </c>
      <c r="M50" t="n">
        <v>0</v>
      </c>
      <c r="N50" t="n">
        <v>0</v>
      </c>
      <c r="O50" t="n">
        <v>4</v>
      </c>
      <c r="P50" t="n">
        <v>0</v>
      </c>
      <c r="Q50" t="n">
        <v>7</v>
      </c>
      <c r="R50" s="2" t="inlineStr">
        <is>
          <t>Garnlav
Harticka
Spillkråka
Tallticka
Skinnlav
Fläcknycklar
Revlummer</t>
        </is>
      </c>
      <c r="S50">
        <f>HYPERLINK("https://klasma.github.io/Logging_2482/artfynd/A 54391-2023 artfynd.xlsx", "A 54391-2023")</f>
        <v/>
      </c>
      <c r="T50">
        <f>HYPERLINK("https://klasma.github.io/Logging_2482/kartor/A 54391-2023 karta.png", "A 54391-2023")</f>
        <v/>
      </c>
      <c r="V50">
        <f>HYPERLINK("https://klasma.github.io/Logging_2482/klagomål/A 54391-2023 FSC-klagomål.docx", "A 54391-2023")</f>
        <v/>
      </c>
      <c r="W50">
        <f>HYPERLINK("https://klasma.github.io/Logging_2482/klagomålsmail/A 54391-2023 FSC-klagomål mail.docx", "A 54391-2023")</f>
        <v/>
      </c>
      <c r="X50">
        <f>HYPERLINK("https://klasma.github.io/Logging_2482/tillsyn/A 54391-2023 tillsynsbegäran.docx", "A 54391-2023")</f>
        <v/>
      </c>
      <c r="Y50">
        <f>HYPERLINK("https://klasma.github.io/Logging_2482/tillsynsmail/A 54391-2023 tillsynsbegäran mail.docx", "A 54391-2023")</f>
        <v/>
      </c>
      <c r="Z50">
        <f>HYPERLINK("https://klasma.github.io/Logging_2482/fåglar/A 54391-2023 prioriterade fågelarter.docx", "A 54391-2023")</f>
        <v/>
      </c>
    </row>
    <row r="51" ht="15" customHeight="1">
      <c r="A51" t="inlineStr">
        <is>
          <t>A 13467-2024</t>
        </is>
      </c>
      <c r="B51" s="1" t="n">
        <v>45387</v>
      </c>
      <c r="C51" s="1" t="n">
        <v>45781</v>
      </c>
      <c r="D51" t="inlineStr">
        <is>
          <t>VÄSTERBOTTENS LÄN</t>
        </is>
      </c>
      <c r="E51" t="inlineStr">
        <is>
          <t>SKELLEFTEÅ</t>
        </is>
      </c>
      <c r="F51" t="inlineStr">
        <is>
          <t>Sveaskog</t>
        </is>
      </c>
      <c r="G51" t="n">
        <v>3.1</v>
      </c>
      <c r="H51" t="n">
        <v>3</v>
      </c>
      <c r="I51" t="n">
        <v>0</v>
      </c>
      <c r="J51" t="n">
        <v>5</v>
      </c>
      <c r="K51" t="n">
        <v>1</v>
      </c>
      <c r="L51" t="n">
        <v>0</v>
      </c>
      <c r="M51" t="n">
        <v>0</v>
      </c>
      <c r="N51" t="n">
        <v>0</v>
      </c>
      <c r="O51" t="n">
        <v>6</v>
      </c>
      <c r="P51" t="n">
        <v>1</v>
      </c>
      <c r="Q51" t="n">
        <v>7</v>
      </c>
      <c r="R51" s="2" t="inlineStr">
        <is>
          <t>Knärot
Garnlav
Granticka
Orange taggsvamp
Talltita
Äggvaxskivling
Lavskrika</t>
        </is>
      </c>
      <c r="S51">
        <f>HYPERLINK("https://klasma.github.io/Logging_2482/artfynd/A 13467-2024 artfynd.xlsx", "A 13467-2024")</f>
        <v/>
      </c>
      <c r="T51">
        <f>HYPERLINK("https://klasma.github.io/Logging_2482/kartor/A 13467-2024 karta.png", "A 13467-2024")</f>
        <v/>
      </c>
      <c r="U51">
        <f>HYPERLINK("https://klasma.github.io/Logging_2482/knärot/A 13467-2024 karta knärot.png", "A 13467-2024")</f>
        <v/>
      </c>
      <c r="V51">
        <f>HYPERLINK("https://klasma.github.io/Logging_2482/klagomål/A 13467-2024 FSC-klagomål.docx", "A 13467-2024")</f>
        <v/>
      </c>
      <c r="W51">
        <f>HYPERLINK("https://klasma.github.io/Logging_2482/klagomålsmail/A 13467-2024 FSC-klagomål mail.docx", "A 13467-2024")</f>
        <v/>
      </c>
      <c r="X51">
        <f>HYPERLINK("https://klasma.github.io/Logging_2482/tillsyn/A 13467-2024 tillsynsbegäran.docx", "A 13467-2024")</f>
        <v/>
      </c>
      <c r="Y51">
        <f>HYPERLINK("https://klasma.github.io/Logging_2482/tillsynsmail/A 13467-2024 tillsynsbegäran mail.docx", "A 13467-2024")</f>
        <v/>
      </c>
      <c r="Z51">
        <f>HYPERLINK("https://klasma.github.io/Logging_2482/fåglar/A 13467-2024 prioriterade fågelarter.docx", "A 13467-2024")</f>
        <v/>
      </c>
    </row>
    <row r="52" ht="15" customHeight="1">
      <c r="A52" t="inlineStr">
        <is>
          <t>A 31889-2019</t>
        </is>
      </c>
      <c r="B52" s="1" t="n">
        <v>43642</v>
      </c>
      <c r="C52" s="1" t="n">
        <v>45781</v>
      </c>
      <c r="D52" t="inlineStr">
        <is>
          <t>VÄSTERBOTTENS LÄN</t>
        </is>
      </c>
      <c r="E52" t="inlineStr">
        <is>
          <t>SKELLEFTEÅ</t>
        </is>
      </c>
      <c r="G52" t="n">
        <v>0.7</v>
      </c>
      <c r="H52" t="n">
        <v>2</v>
      </c>
      <c r="I52" t="n">
        <v>1</v>
      </c>
      <c r="J52" t="n">
        <v>3</v>
      </c>
      <c r="K52" t="n">
        <v>2</v>
      </c>
      <c r="L52" t="n">
        <v>0</v>
      </c>
      <c r="M52" t="n">
        <v>0</v>
      </c>
      <c r="N52" t="n">
        <v>0</v>
      </c>
      <c r="O52" t="n">
        <v>5</v>
      </c>
      <c r="P52" t="n">
        <v>2</v>
      </c>
      <c r="Q52" t="n">
        <v>6</v>
      </c>
      <c r="R52" s="2" t="inlineStr">
        <is>
          <t>Bombmurkla
Knärot
Garnlav
Rosenticka
Ullticka
Vedticka</t>
        </is>
      </c>
      <c r="S52">
        <f>HYPERLINK("https://klasma.github.io/Logging_2482/artfynd/A 31889-2019 artfynd.xlsx", "A 31889-2019")</f>
        <v/>
      </c>
      <c r="T52">
        <f>HYPERLINK("https://klasma.github.io/Logging_2482/kartor/A 31889-2019 karta.png", "A 31889-2019")</f>
        <v/>
      </c>
      <c r="U52">
        <f>HYPERLINK("https://klasma.github.io/Logging_2482/knärot/A 31889-2019 karta knärot.png", "A 31889-2019")</f>
        <v/>
      </c>
      <c r="V52">
        <f>HYPERLINK("https://klasma.github.io/Logging_2482/klagomål/A 31889-2019 FSC-klagomål.docx", "A 31889-2019")</f>
        <v/>
      </c>
      <c r="W52">
        <f>HYPERLINK("https://klasma.github.io/Logging_2482/klagomålsmail/A 31889-2019 FSC-klagomål mail.docx", "A 31889-2019")</f>
        <v/>
      </c>
      <c r="X52">
        <f>HYPERLINK("https://klasma.github.io/Logging_2482/tillsyn/A 31889-2019 tillsynsbegäran.docx", "A 31889-2019")</f>
        <v/>
      </c>
      <c r="Y52">
        <f>HYPERLINK("https://klasma.github.io/Logging_2482/tillsynsmail/A 31889-2019 tillsynsbegäran mail.docx", "A 31889-2019")</f>
        <v/>
      </c>
    </row>
    <row r="53" ht="15" customHeight="1">
      <c r="A53" t="inlineStr">
        <is>
          <t>A 41641-2019</t>
        </is>
      </c>
      <c r="B53" s="1" t="n">
        <v>43696</v>
      </c>
      <c r="C53" s="1" t="n">
        <v>45781</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45781</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45781</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45781</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45781</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45781</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45781</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45781</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45781</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45781</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45781</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45781</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45781</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45781</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45781</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45781</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45781</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45781</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45781</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45781</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45781</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45781</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45781</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45781</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45781</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45781</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45781</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45781</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45781</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45781</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45781</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45781</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45781</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45781</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45781</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45781</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45781</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45781</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45781</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45781</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45781</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45781</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45781</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45781</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45781</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45781</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45781</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45781</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45781</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45781</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45781</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45781</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45781</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45781</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45781</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45781</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45781</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45781</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45781</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45781</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45781</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45781</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45781</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45781</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45781</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45781</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45781</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45781</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45781</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45781</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45781</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45781</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45781</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45781</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45781</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45781</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45781</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45781</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45781</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45781</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45781</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45781</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45781</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45781</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45781</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45781</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45781</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45781</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45781</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45781</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45781</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45781</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45781</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45781</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45781</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45781</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45781</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45781</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45781</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45781</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45781</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45781</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45781</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45781</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45781</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45781</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45781</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45781</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45781</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45781</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45781</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45781</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45781</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45781</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45781</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45781</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45781</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45781</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45781</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45781</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45781</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45781</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45781</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45781</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45781</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45781</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45781</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45781</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45781</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45781</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45781</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45781</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45781</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45781</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45781</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45781</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45781</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45781</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45781</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45781</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45781</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45781</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45781</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45781</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45781</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45781</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45781</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45781</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45781</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45781</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45781</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45781</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45781</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45781</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45781</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45781</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45781</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45781</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45781</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45781</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45781</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45781</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45781</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45781</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45781</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45781</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45781</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45781</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45781</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45781</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45781</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45781</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45781</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45781</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45781</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45781</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45781</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45781</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45781</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45781</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45781</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45781</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45781</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45781</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45781</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45781</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45781</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45781</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45781</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45781</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45781</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45781</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45781</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45781</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45781</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45781</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45781</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45781</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45781</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45781</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45781</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45781</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45781</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45781</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45781</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45781</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45781</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45781</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45781</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45781</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45781</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45781</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45781</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45781</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45781</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45781</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45781</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45781</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45781</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45781</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45781</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45781</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45781</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45781</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45781</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45781</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45781</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45781</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45781</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45781</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45781</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45781</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45781</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45781</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45781</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45781</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45781</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45781</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45781</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45781</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45781</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45781</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45781</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45781</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45781</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45781</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45781</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45781</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45781</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45781</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45781</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45781</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45781</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45781</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45781</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45781</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45781</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45781</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45781</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45781</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45781</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45781</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45781</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45781</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45781</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45781</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45781</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45781</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45781</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45781</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45781</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45781</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45781</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45781</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45781</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45781</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45781</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45781</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45781</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45781</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45781</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45781</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45781</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45781</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45781</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45781</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45781</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45781</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45781</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45781</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45781</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45781</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45781</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45781</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45781</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45781</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45781</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45781</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45781</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45781</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45781</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45781</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45781</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45781</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45781</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45781</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45781</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45781</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45781</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45781</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45781</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45781</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45781</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45781</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45781</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45781</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45781</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45781</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45781</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45781</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45781</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45781</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45781</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45781</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45781</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45781</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45781</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45781</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45781</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45781</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45781</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45781</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45781</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45781</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45781</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45781</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45781</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45781</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45781</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45781</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45781</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45781</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45781</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45781</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45781</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45781</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45781</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45781</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45781</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45781</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45781</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45781</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45781</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45781</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45781</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45781</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45781</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45781</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45781</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45781</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45781</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45781</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45781</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45781</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45781</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45781</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45781</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45781</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45781</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45781</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45781</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45781</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45781</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45781</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45781</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45781</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45781</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45781</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45781</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45781</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45781</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45781</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45781</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45781</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45781</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45781</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45781</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45781</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45781</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45781</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45781</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45781</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45781</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45781</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45781</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45781</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45781</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45781</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45781</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45781</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45781</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45781</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45781</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45781</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45781</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45781</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45781</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45781</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45781</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45781</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45781</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45781</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45781</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45781</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45781</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45781</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45781</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45781</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45781</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45781</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45781</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45781</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45781</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45781</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45781</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45781</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45781</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45781</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45781</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45781</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45781</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45781</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45781</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45781</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45781</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45781</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45781</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45781</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45781</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45781</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45781</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45781</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45781</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45781</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45781</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45781</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45781</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45781</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45781</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45781</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45781</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45781</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45781</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45781</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45781</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45781</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45781</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45781</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45781</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45781</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45781</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45781</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45781</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45781</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45781</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45781</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45781</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45781</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45781</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45781</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45781</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45781</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45781</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45781</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45781</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45781</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45781</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45781</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45781</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45781</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45781</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45781</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45781</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45781</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45781</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45781</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45781</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45781</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45781</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45781</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45781</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45781</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45781</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45781</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45781</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45781</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45781</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45781</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45781</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45781</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45781</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45781</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45781</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45781</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45781</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45781</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45781</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45781</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45781</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45781</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45781</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45781</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45781</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45781</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45781</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45781</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45781</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45781</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45781</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45781</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45781</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45781</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45781</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45781</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45781</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45781</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45781</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45781</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45781</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45781</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45781</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45781</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45781</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45781</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45781</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45781</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45781</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45781</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45781</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45781</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45781</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45781</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45781</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45781</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45781</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45781</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45781</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45781</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45781</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45781</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45781</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45781</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45781</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45781</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45781</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45781</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45781</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45781</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45781</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45781</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45781</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45781</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45781</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45781</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45781</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45781</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45781</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45781</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45781</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45781</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45781</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45781</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45781</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45781</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45781</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45781</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45781</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45781</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45781</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45781</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45781</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45781</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45781</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45781</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45781</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45781</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45781</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45781</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45781</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45781</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45781</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45781</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45781</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45781</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45781</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45781</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45781</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45781</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45781</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45781</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45781</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45781</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45781</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45781</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45781</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45781</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45781</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45781</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45781</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45781</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45781</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45781</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45781</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45781</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45781</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45781</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45781</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45781</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45781</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45781</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45781</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45781</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45781</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45781</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45781</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45781</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45781</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45781</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45781</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45781</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45781</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45781</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45781</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45781</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45781</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45781</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45781</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45781</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45781</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45781</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45781</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45781</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45781</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45781</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45781</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45781</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45781</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45781</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45781</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45781</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45781</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45781</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45781</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45781</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45781</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45781</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45781</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45781</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45781</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45781</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45781</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45781</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45781</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45781</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45781</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45781</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45781</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45781</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45781</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45781</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45781</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45781</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45781</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45781</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45781</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45781</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45781</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45781</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45781</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45781</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45781</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45781</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45781</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45781</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45781</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45781</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45781</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45781</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45781</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45781</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45781</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45781</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45781</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45781</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45781</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45781</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45781</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45781</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45781</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45781</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45781</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45781</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45781</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45781</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45781</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45781</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45781</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45781</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45781</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45781</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45781</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45781</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45781</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45781</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45781</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45781</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45781</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45781</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45781</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45781</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45781</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45781</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45781</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45781</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45781</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45781</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45781</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45781</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45781</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45781</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45781</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45781</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45781</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45781</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45781</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45781</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45781</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45781</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45781</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45781</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45781</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45781</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45781</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45781</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45781</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45781</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45781</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45781</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45781</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45781</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45781</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45781</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45781</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45781</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45781</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45781</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45781</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45781</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45781</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45781</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45781</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45781</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45781</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45781</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45781</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45781</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45781</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45781</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45781</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45781</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45781</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45781</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45781</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45781</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45781</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45781</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45781</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45781</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45781</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45781</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45781</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45781</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45781</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45781</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45781</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45781</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45781</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45781</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45781</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45781</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45781</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45781</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45781</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45781</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45781</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45781</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45781</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45781</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45781</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45781</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45781</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45781</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45781</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45781</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45781</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45781</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45781</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45781</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45781</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45781</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45781</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45781</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45781</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45781</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45781</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45781</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45781</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45781</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45781</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45781</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45781</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45781</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45781</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45781</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45781</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45781</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45781</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45781</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45781</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45781</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45781</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45781</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45781</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45781</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45781</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45781</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45781</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45781</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45781</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45781</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45781</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45781</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45781</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45781</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45781</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45781</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45781</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45781</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45781</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45781</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45781</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45781</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45781</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45781</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45781</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45781</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45781</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45781</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45781</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45781</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45781</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45781</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45781</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45781</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45781</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45781</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45781</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45781</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45781</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45781</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45781</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45781</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45781</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45781</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45781</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45781</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45781</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45781</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45781</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45781</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45781</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45781</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45781</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45781</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45781</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45781</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45781</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45781</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45781</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45781</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45781</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45781</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45781</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45781</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45781</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45781</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45781</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45781</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45781</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45781</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45781</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45781</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45781</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45781</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45781</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45781</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45781</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45781</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45781</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45781</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45781</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45781</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45781</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45781</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45781</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45781</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45781</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45781</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45781</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45781</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45781</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45781</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45781</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45781</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45781</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45781</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45781</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45781</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45781</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45781</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45781</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45781</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45781</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45781</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45781</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45781</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45781</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45781</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45781</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45781</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45781</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45781</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45781</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45781</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45781</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45781</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45781</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45781</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45781</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45781</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45781</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45781</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45781</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45781</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45781</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45781</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45781</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45781</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45781</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45781</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45781</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45781</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45781</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45781</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45781</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45781</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45781</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45781</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45781</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45781</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45781</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45781</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45781</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45781</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45781</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45781</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45781</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45781</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45781</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45781</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45781</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45781</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45781</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45781</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45781</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45781</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45781</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45781</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45781</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45781</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45781</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45781</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45781</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45781</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45781</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45781</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45781</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45781</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45781</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45781</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45781</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45781</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45781</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45781</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45781</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45781</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45781</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45781</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45781</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45781</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45781</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45781</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45781</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45781</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45781</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45781</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45781</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45781</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45781</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45781</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45781</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45781</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45781</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45781</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45781</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45781</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45781</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45781</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45781</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45781</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45781</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45781</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45781</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45781</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45781</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45781</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45781</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45781</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45781</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45781</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45781</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45781</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45781</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45781</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45781</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45781</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45781</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45781</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45781</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45781</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45781</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45781</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45781</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45781</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45781</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45781</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45781</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45781</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45781</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45781</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45781</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45781</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45781</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45781</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45781</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45781</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45781</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45781</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45781</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45781</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45781</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45781</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45781</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45781</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45781</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45781</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45781</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45781</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45781</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45781</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45781</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45781</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45781</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45781</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45781</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45781</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45781</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45781</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45781</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45781</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45781</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45781</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45781</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45781</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45781</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45781</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45781</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45781</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45781</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45781</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45781</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45781</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45781</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45781</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45781</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45781</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45781</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45781</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45781</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45781</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45781</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45781</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45781</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45781</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45781</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45781</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45781</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45781</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45781</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45781</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45781</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45781</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45781</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45781</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45781</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45781</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45781</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45781</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45781</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45781</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45781</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45781</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45781</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45781</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45781</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45781</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45781</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45781</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45781</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45781</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45781</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45781</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45781</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45781</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45781</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45781</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45781</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45781</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45781</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45781</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45781</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45781</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45781</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45781</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45781</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45781</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45781</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45781</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45781</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45781</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45781</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45781</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45781</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45781</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45781</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45781</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45781</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45781</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45781</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45781</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45781</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45781</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45781</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45781</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45781</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45781</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45781</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45781</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45781</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45781</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45781</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45781</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45781</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45781</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45781</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45781</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45781</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45781</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45781</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45781</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45781</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45781</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45781</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45781</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45781</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45781</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45781</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45781</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45781</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45781</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45781</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45781</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45781</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45781</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45781</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45781</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45781</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45781</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45781</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45781</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45781</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45781</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45781</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45781</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45781</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45781</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45781</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45781</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45781</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45781</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45781</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45781</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45781</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45781</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45781</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45781</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45781</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45781</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45781</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45781</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45781</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45781</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45781</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45781</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45781</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45781</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45781</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45781</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45781</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45781</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45781</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45781</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45781</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45781</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45781</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45781</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45781</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45781</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45781</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45781</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45781</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45781</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45781</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45781</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45781</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45781</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45781</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45781</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45781</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45781</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45781</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45781</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45781</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45781</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45781</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45781</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45781</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45781</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45781</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45781</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45781</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45781</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45781</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45781</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45781</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45781</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45781</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45781</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45781</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45781</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45781</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45781</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45781</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45781</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45781</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45781</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45781</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45781</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45781</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45781</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45781</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45781</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45781</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45781</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45781</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45781</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45781</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45781</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45781</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45781</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45781</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45781</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45781</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45781</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45781</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45781</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45781</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45781</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45781</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45781</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45781</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45781</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45781</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45781</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45781</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45781</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45781</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45781</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45781</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45781</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45781</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45781</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45781</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45781</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45781</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45781</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45781</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45781</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45781</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45781</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45781</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45781</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45781</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45781</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45781</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45781</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45781</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45781</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45781</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45781</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45781</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45781</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45781</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45781</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45781</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45781</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45781</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45781</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45781</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45781</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45781</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45781</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45781</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45781</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45781</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45781</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45781</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45781</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45781</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45781</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45781</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45781</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45781</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45781</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45781</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45781</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45781</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45781</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45781</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45781</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45781</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45781</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45781</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45781</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45781</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45781</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45781</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45781</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45781</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45781</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45781</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45781</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45781</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45781</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45781</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45781</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45781</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45781</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45781</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45781</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45781</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45781</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45781</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45781</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45781</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45781</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45781</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45781</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45781</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45781</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45781</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45781</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45781</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45781</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45781</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45781</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45781</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45781</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45781</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45781</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45781</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45781</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45781</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45781</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45781</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45781</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45781</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45781</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45781</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45781</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45781</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45781</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45781</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45781</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45781</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45781</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45781</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45781</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45781</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45781</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45781</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45781</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45781</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45781</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45781</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45781</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45781</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45781</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45781</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45781</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45781</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45781</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45781</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45781</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45781</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45781</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45781</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45781</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45781</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45781</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45781</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45781</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45781</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45781</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45781</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45781</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45781</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45781</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45781</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45781</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45781</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45781</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45781</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45781</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45781</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45781</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45781</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45781</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45781</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45781</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45781</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45781</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45781</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45781</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45781</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45781</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45781</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45781</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45781</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45781</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45781</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45781</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45781</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45781</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45781</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45781</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45781</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45781</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45781</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45781</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45781</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45781</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45781</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45781</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45781</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45781</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45781</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45781</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45781</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45781</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45781</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45781</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45781</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45781</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45781</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45781</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45781</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45781</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45781</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45781</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45781</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45781</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45781</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45781</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45781</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45781</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45781</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45781</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45781</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45781</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45781</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45781</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45781</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45781</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45781</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45781</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45781</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45781</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45781</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45781</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45781</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45781</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45781</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45781</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45781</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45781</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45781</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45781</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45781</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45781</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45781</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45781</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45781</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45781</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45781</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45781</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45781</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45781</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45781</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45781</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45781</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45781</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45781</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45781</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45781</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45781</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45781</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45781</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45781</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45781</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45781</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45781</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45781</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45781</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45781</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45781</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45781</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45781</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45781</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45781</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45781</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45781</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45781</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45781</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45781</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45781</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45781</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45781</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45781</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45781</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45781</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45781</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45781</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45781</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45781</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45781</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45781</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45781</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45781</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45781</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45781</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45781</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45781</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45781</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45781</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45781</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45781</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45781</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45781</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45781</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45781</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45781</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45781</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45781</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45781</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45781</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45781</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45781</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45781</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45781</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45781</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45781</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45781</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45781</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45781</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45781</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45781</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45781</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45781</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45781</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45781</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45781</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45781</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45781</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45781</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45781</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45781</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45781</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45781</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45781</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45781</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45781</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45781</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45781</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45781</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45781</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45781</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45781</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45781</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45781</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45781</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45781</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45781</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45781</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45781</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45781</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45781</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45781</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45781</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45781</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45781</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45781</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45781</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45781</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45781</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45781</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45781</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45781</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45781</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45781</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45781</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45781</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45781</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45781</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45781</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45781</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45781</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45781</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45781</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45781</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45781</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45781</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45781</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45781</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45781</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45781</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45781</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45781</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45781</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45781</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45781</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45781</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45781</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45781</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45781</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45781</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45781</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45781</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45781</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45781</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45781</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45781</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45781</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45781</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45781</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45781</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45781</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45781</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45781</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45781</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45781</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45781</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45781</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45781</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45781</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45781</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45781</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45781</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45781</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45781</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45781</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45781</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45781</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45781</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45781</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45781</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45781</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45781</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45781</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45781</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45781</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45781</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45781</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45781</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45781</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45781</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45781</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45781</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45781</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45781</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45781</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45781</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45781</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45781</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45781</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45781</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45781</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45781</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45781</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45781</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45781</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45781</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45781</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45781</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45781</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45781</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45781</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45781</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45781</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45781</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45781</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45781</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45781</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45781</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45781</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45781</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45781</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45781</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45781</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45781</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45781</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45781</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45781</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45781</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45781</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45781</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45781</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45781</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45781</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45781</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45781</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45781</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45781</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45781</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45781</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45781</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45781</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45781</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45781</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45781</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45781</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45781</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45781</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45781</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45781</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45781</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45781</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45781</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45781</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45781</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45781</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45781</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45781</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45781</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45781</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45781</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45781</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45781</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45781</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45781</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45781</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45781</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45781</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45781</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45781</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45781</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45781</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45781</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45781</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45781</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45781</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45781</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45781</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45781</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45781</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45781</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45781</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45781</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45781</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45781</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45781</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45781</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45781</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45781</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45781</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45781</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45781</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45781</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45781</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45781</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45781</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45781</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45781</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45781</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45781</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45781</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45781</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45781</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45781</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45781</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45781</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45781</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45781</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45781</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45781</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45781</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45781</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45781</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45781</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45781</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45781</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45781</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45781</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45781</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45781</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45781</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45781</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45781</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45781</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45781</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45781</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45781</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45781</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45781</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45781</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45781</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45781</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45781</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45781</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45781</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45781</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45781</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45781</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45781</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45781</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45781</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45781</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45781</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45781</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45781</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45781</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45781</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45781</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45781</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45781</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45781</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45781</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45781</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45781</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45781</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45781</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45781</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45781</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45781</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45781</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45781</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45781</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45781</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45781</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45781</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45781</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45781</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45781</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45781</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45781</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45781</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45781</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45781</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45781</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45781</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45781</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45781</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45781</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45781</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45781</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45781</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45781</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45781</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45781</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45781</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45781</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45781</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45781</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45781</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45781</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45781</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45781</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45781</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45781</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45781</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45781</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45781</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45781</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45781</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45781</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45781</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45781</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45781</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45781</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45781</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45781</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45781</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45781</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45781</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45781</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45781</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45781</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45781</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45781</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45781</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45781</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45781</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45781</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45781</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45781</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45781</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45781</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45781</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45781</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45781</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45781</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45781</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45781</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45781</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45781</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45781</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45781</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45781</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45781</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45781</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45781</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45781</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45781</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45781</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45781</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45781</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45781</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45781</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45781</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45781</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45781</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45781</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45781</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45781</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45781</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45781</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45781</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45781</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45781</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45781</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45781</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45781</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45781</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45781</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45781</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45781</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45781</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45781</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45781</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45781</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45781</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45781</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45781</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45781</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45781</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45781</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45781</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45781</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45781</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45781</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45781</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45781</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45781</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45781</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45781</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45781</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45781</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45781</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45781</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45781</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45781</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45781</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45781</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45781</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45781</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45781</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45781</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45781</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45781</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45781</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45781</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45781</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45781</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45781</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45781</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45781</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45781</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45781</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45781</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45781</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45781</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45781</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45781</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45781</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45781</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45781</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45781</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45781</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45781</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45781</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45781</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45781</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45781</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45781</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45781</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45781</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45781</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45781</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45781</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45781</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45781</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45781</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45781</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45781</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45781</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45781</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45781</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45781</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45781</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45781</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45781</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45781</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45781</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45781</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45781</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45781</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45781</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45781</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45781</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45781</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45781</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45781</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45781</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45781</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45781</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45781</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45781</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45781</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45781</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45781</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45781</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45781</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45781</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45781</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45781</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45781</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45781</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45781</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45781</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45781</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45781</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45781</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45781</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45781</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45781</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45781</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45781</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45781</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45781</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45781</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45781</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45781</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45781</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45781</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45781</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45781</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45781</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45781</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45781</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45781</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45781</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45781</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45781</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45781</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45781</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45781</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45781</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45781</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45781</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45781</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45781</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45781</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45781</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45781</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45781</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45781</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45781</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45781</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45781</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45781</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45781</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45781</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45781</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45781</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45781</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45781</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45781</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45781</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45781</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45781</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45781</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45781</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45781</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45781</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45781</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45781</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45781</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45781</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45781</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45781</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45781</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45781</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45781</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45781</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45781</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45781</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45781</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45781</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45781</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45781</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45781</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45781</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45781</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45781</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45781</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45781</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45781</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45781</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45781</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45781</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45781</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45781</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45781</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45781</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45781</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45781</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45781</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45781</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45781</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45781</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45781</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45781</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45781</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45781</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45781</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45781</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45781</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45781</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45781</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45781</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45781</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45781</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45781</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45781</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45781</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45781</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45781</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45781</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45781</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45781</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45781</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45781</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45781</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45781</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45781</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45781</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45781</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45781</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45781</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45781</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45781</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45781</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45781</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45781</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45781</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45781</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45781</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45781</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45781</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45781</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45781</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45781</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45781</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45781</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45781</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45781</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45781</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45781</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45781</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45781</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45781</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45781</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45781</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45781</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45781</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45781</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45781</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45781</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45781</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45781</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45781</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45781</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45781</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45781</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45781</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45781</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45781</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45781</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45781</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45781</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45781</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45781</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45781</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45781</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45781</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45781</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45781</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45781</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45781</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45781</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45781</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45781</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45781</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45781</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45781</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45781</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45781</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45781</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45781</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45781</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45781</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45781</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45781</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45781</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45781</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45781</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45781</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45781</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45781</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45781</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45781</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45781</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45781</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45781</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45781</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45781</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45781</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45781</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45781</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45781</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45781</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45781</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45781</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45781</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45781</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45781</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45781</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45781</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45781</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45781</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45781</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45781</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45781</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45781</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45781</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45781</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45781</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45781</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45781</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45781</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45781</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45781</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45781</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45781</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45781</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45781</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45781</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45781</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45781</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45781</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45781</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45781</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45781</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45781</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45781</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45781</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45781</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45781</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45781</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45781</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45781</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45781</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45781</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45781</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45781</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45781</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45781</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45781</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45781</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45781</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45781</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45781</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45781</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45781</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45781</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45781</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45781</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45781</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45781</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45781</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45781</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45781</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45781</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45781</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45781</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45781</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45781</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45781</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45781</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45781</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45781</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45781</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45781</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45781</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45781</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45781</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45781</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45781</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45781</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45781</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45781</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45781</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45781</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45781</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45781</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45781</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45781</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45781</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45781</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45781</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45781</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45781</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45781</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45781</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45781</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45781</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45781</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45781</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45781</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45781</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45781</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45781</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45781</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45781</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45781</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45781</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45781</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45781</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45781</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45781</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45781</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45781</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45781</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45781</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45781</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45781</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45781</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45781</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45781</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45781</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45781</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45781</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45781</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45781</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45781</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45781</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45781</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45781</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45781</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45781</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45781</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45781</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45781</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45781</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45781</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45781</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45781</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45781</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45781</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45781</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45781</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45781</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45781</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45781</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45781</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45781</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45781</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45781</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45781</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45781</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45781</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45781</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45781</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45781</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45781</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45781</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45781</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45781</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45781</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45781</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45781</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45781</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45781</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45781</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45781</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45781</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45781</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45781</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45781</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45781</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45781</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45781</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45781</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45781</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45781</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45781</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45781</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45781</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45781</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45781</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45781</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45781</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45781</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45781</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45781</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45781</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45781</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45781</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45781</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45781</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45781</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45781</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45781</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45781</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45781</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45781</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45781</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45781</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45781</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45781</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45781</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45781</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45781</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45781</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45781</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45781</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45781</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45781</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45781</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45781</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45781</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45781</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45781</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45781</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45781</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45781</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45781</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45781</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45781</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45781</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45781</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45781</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45781</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45781</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45781</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45781</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45781</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45781</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45781</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45781</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45781</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45781</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45781</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45781</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45781</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45781</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45781</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45781</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45781</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45781</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45781</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45781</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45781</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45781</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45781</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45781</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45781</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45781</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45781</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45781</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45781</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45781</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45781</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45781</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45781</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45781</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45781</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45781</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45781</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45781</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45781</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45781</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45781</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45781</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45781</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45781</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45781</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45781</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45781</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45781</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45781</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45781</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45781</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45781</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45781</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45781</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45781</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45781</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45781</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45781</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45781</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45781</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45781</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45781</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45781</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45781</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45781</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45781</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45781</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45781</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45781</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45781</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45781</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45781</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45781</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45781</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45781</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45781</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45781</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45781</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45781</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45781</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45781</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45781</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45781</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45781</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45781</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45781</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45781</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45781</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45781</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45781</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45781</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45781</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45781</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45781</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45781</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45781</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45781</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45781</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45781</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45781</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45781</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45781</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45781</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45781</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45781</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45781</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45781</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45781</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45781</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45781</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45781</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45781</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45781</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45781</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45781</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45781</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45781</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45781</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45781</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45781</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45781</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45781</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45781</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45781</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45781</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45781</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45781</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45781</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45781</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45781</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45781</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45781</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45781</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45781</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45781</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45781</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45781</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45781</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45781</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45781</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45781</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45781</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45781</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45781</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45781</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45781</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45781</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45781</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45781</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45781</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45781</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45781</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45781</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45781</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45781</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45781</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45781</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45781</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45781</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45781</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45781</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45781</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45781</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45781</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45781</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45781</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45781</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45781</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45781</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45781</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45781</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45781</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45781</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45781</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45781</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45781</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45781</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45781</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45781</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45781</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45781</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45781</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45781</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45781</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45781</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45781</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45781</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45781</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45781</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45781</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45781</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45781</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45781</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45781</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45781</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45781</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45781</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45781</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45781</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45781</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45781</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45781</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45781</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45781</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45781</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45781</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45781</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45781</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45781</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45781</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45781</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45781</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45781</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45781</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45781</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45781</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45781</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45781</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45781</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45781</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45781</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45781</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45781</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45781</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45781</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45781</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45781</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45781</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45781</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45781</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45781</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45781</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45781</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45781</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45781</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45781</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45781</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45781</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45781</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45781</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45781</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45781</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45781</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45781</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45781</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45781</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45781</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45781</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45781</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45781</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45781</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45781</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45781</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45781</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45781</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45781</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45781</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45781</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45781</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45781</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45781</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45781</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45781</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45781</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45781</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45781</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45781</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45781</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45781</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45781</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45781</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45781</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45781</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45781</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45781</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45781</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45781</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45781</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45781</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45781</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45781</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45781</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45781</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45781</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45781</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45781</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45781</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45781</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45781</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45781</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45781</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45781</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45781</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45781</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45781</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45781</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45781</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45781</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45781</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45781</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45781</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45781</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45781</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45781</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45781</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45781</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45781</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45781</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45781</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45781</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45781</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45781</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45781</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45781</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45781</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45781</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45781</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45781</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45781</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45781</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45781</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45781</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45781</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45781</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45781</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45781</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45781</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45781</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45781</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45781</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45781</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45781</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45781</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45781</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45781</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45781</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45781</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45781</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45781</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45781</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45781</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45781</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45781</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45781</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45781</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45781</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45781</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45781</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45781</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45781</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45781</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45781</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45781</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45781</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45781</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45781</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45781</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45781</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45781</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45781</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45781</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45781</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45781</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45781</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45781</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45781</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45781</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45781</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45781</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45781</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45781</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45781</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45781</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45781</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45781</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45781</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45781</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45781</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45781</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45781</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45781</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45781</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45781</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45781</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45781</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45781</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45781</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45781</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45781</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45781</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45781</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45781</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45781</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45781</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45781</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45781</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45781</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45781</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45781</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45781</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45781</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45781</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45781</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45781</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45781</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45781</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45781</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45781</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45781</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45781</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45781</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45781</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45781</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45781</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45781</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45781</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45781</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45781</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45781</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45781</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45781</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45781</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45781</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45781</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45781</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45781</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45781</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45781</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45781</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45781</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45781</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45781</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45781</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45781</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45781</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45781</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45781</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45781</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45781</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45781</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45781</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45781</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45781</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45781</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45781</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45781</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45781</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45781</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45781</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45781</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45781</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45781</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45781</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45781</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45781</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45781</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45781</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45781</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45781</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45781</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45781</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45781</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45781</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45781</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45781</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45781</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45781</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45781</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45781</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45781</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45781</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45781</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45781</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45781</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45781</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45781</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45781</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45781</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45781</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45781</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45781</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45781</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45781</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45781</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45781</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45781</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45781</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45781</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45781</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45781</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45781</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45781</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45781</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45781</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45781</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45781</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45781</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45781</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45781</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45781</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45781</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45781</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45781</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45781</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45781</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45781</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45781</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45781</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45781</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45781</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45781</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45781</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45781</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45781</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45781</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45781</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45781</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45781</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45781</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45781</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45781</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45781</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45781</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45781</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45781</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45781</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45781</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45781</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45781</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45781</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45781</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45781</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45781</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45781</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45781</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45781</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45781</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45781</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45781</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45781</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45781</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45781</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45781</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45781</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45781</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45781</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45781</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45781</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45781</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45781</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45781</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45781</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45781</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45781</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45781</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45781</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45781</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45781</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45781</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45781</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45781</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45781</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45781</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45781</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45781</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45781</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45781</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45781</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45781</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45781</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45781</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45781</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45781</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45781</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45781</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45781</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45781</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45781</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45781</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45781</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45781</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45781</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45781</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45781</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45781</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45781</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45781</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45781</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45781</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45781</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45781</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45781</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45781</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45781</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45781</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45781</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45781</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45781</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45781</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45781</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45781</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45781</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45781</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45781</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45781</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45781</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45781</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45781</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45781</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45781</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45781</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45781</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45781</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45781</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45781</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45781</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45781</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45781</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45781</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45781</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45781</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45781</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45781</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45781</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45781</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45781</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45781</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45781</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45781</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45781</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45781</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45781</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45781</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45781</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45781</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45781</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45781</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45781</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45781</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45781</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45781</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45781</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45781</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45781</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45781</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45781</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45781</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45781</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45781</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45781</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45781</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45781</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45781</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45781</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45781</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45781</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45781</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45781</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45781</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45781</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45781</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45781</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45781</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45781</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45781</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45781</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45781</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45781</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45781</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45781</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45781</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45781</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45781</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45781</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45781</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45781</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45781</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45781</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45781</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45781</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45781</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45781</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45781</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45781</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45781</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45781</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45781</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45781</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45781</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45781</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45781</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45781</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45781</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45781</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45781</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45781</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45781</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45781</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45781</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45781</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45781</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45781</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45781</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45781</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45781</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45781</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45781</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45781</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45781</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45781</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45781</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45781</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45781</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45781</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45781</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45781</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45781</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45781</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45781</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45781</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45781</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45781</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45781</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45781</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45781</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45781</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45781</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45781</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45781</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45781</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45781</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45781</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45781</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45781</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45781</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45781</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45781</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45781</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45781</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45781</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45781</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45781</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45781</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45781</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45781</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45781</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45781</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45781</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45781</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45781</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45781</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45781</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45781</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45781</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45781</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45781</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45781</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45781</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45781</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45781</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45781</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45781</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45781</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45781</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45781</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45781</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45781</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45781</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45781</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45781</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45781</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45781</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45781</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45781</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45781</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45781</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45781</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45781</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45781</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45781</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45781</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45781</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45781</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45781</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45781</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45781</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45781</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45781</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45781</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45781</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45781</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45781</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45781</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45781</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45781</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45781</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45781</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45781</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45781</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45781</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45781</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45781</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45781</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45781</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45781</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45781</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45781</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45781</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45781</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45781</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45781</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45781</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45781</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45781</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45781</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45781</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45781</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45781</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45781</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45781</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45781</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45781</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45781</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45781</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45781</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45781</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45781</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45781</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45781</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45781</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45781</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45781</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45781</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45781</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45781</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45781</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45781</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45781</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45781</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45781</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45781</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45781</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45781</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45781</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45781</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45781</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45781</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45781</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45781</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45781</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45781</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45781</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45781</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45781</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45781</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45781</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45781</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45781</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45781</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45781</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45781</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45781</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45781</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45781</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45781</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45781</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45781</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45781</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45781</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45781</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45781</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45781</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45781</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45781</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45781</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45781</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45781</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45781</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45781</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45781</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45781</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45781</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45781</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45781</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45781</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45781</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45781</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45781</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45781</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45781</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45781</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45781</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45781</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45781</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45781</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45781</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45781</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45781</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45781</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45781</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45781</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45781</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45781</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45781</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45781</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45781</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45781</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45781</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45781</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45781</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45781</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45781</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45781</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45781</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45781</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45781</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45781</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45781</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45781</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45781</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45781</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45781</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45781</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45781</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45781</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45781</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45781</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45781</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45781</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45781</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45781</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45781</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45781</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45781</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45781</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45781</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45781</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45781</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45781</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45781</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45781</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45781</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45781</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45781</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45781</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45781</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45781</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45781</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45781</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45781</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45781</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45781</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45781</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45781</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45781</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45781</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45781</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45781</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45781</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45781</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45781</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45781</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45781</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45781</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45781</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45781</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45781</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45781</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45781</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45781</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45781</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45781</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45781</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45781</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45781</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45781</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45781</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45781</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45781</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45781</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45781</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45781</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45781</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45781</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45781</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45781</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45781</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45781</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45781</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45781</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45781</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45781</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45781</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45781</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45781</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45781</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45781</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45781</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45781</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45781</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45781</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45781</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45781</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45781</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45781</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45781</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45781</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45781</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45781</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45781</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45781</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45781</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45781</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45781</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45781</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45781</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45781</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45781</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45781</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45781</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45781</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45781</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45781</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45781</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45781</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45781</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45781</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45781</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45781</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45781</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45781</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45781</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45781</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45781</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45781</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45781</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45781</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45781</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45781</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45781</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45781</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45781</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45781</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45781</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45781</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45781</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45781</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45781</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45781</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45781</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45781</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45781</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45781</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45781</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45781</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45781</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45781</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45781</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45781</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45781</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45781</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45781</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45781</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45781</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45781</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45781</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45781</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45781</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45781</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45781</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45781</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45781</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45781</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45781</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45781</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45781</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45781</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45781</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45781</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45781</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45781</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45781</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45781</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45781</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45781</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45781</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45781</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45781</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45781</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45781</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45781</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45781</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45781</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45781</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45781</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45781</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45781</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45781</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45781</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45781</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45781</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45781</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45781</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45781</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45781</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45781</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45781</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45781</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45781</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45781</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45781</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45781</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45781</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45781</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45781</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45781</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45781</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45781</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45781</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45781</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45781</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45781</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45781</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45781</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45781</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45781</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45781</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45781</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45781</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45781</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45781</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45781</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45781</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45781</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45781</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45781</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45781</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45781</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45781</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45781</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45781</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45781</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45781</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45781</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45781</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45781</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45781</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45781</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45781</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45781</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45781</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45781</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45781</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45781</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45781</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45781</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45781</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45781</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45781</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45781</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45781</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45781</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45781</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45781</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45781</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45781</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45781</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45781</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45781</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45781</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45781</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45781</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45781</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45781</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45781</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45781</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45781</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45781</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45781</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45781</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45781</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45781</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45781</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45781</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45781</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45781</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45781</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45781</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45781</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45781</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45781</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45781</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45781</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45781</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45781</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45781</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45781</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45781</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45781</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45781</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45781</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45781</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45781</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45781</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45781</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45781</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45781</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45781</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45781</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45781</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45781</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45781</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45781</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45781</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45781</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45781</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45781</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45781</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45781</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45781</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45781</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45781</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45781</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45781</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45781</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45781</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45781</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45781</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45781</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45781</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45781</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45781</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45781</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45781</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45781</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45781</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45781</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45781</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45781</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45781</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45781</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45781</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45781</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45781</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45781</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45781</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45781</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45781</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45781</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45781</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45781</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45781</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45781</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45781</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45781</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45781</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45781</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45781</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45781</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45781</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45781</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45781</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45781</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45781</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45781</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45781</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45781</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45781</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45781</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45781</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45781</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45781</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45781</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45781</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45781</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45781</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45781</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45781</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45781</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45781</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45781</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45781</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45781</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45781</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45781</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45781</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45781</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45781</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45781</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45781</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45781</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45781</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45781</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45781</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45781</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45781</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45781</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45781</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45781</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45781</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45781</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45781</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45781</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45781</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45781</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45781</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45781</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45781</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45781</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45781</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45781</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45781</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45781</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45781</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45781</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45781</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45781</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45781</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45781</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45781</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45781</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45781</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45781</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45781</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45781</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45781</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45781</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45781</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45781</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45781</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45781</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45781</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45781</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45781</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45781</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45781</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45781</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45781</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45781</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45781</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45781</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45781</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45781</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45781</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45781</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45781</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45781</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45781</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45781</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45781</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45781</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45781</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45781</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45781</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45781</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45781</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45781</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45781</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45781</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45781</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45781</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45781</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45781</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45781</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45781</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45781</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45781</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45781</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45781</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45781</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45781</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45781</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45781</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45781</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45781</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45781</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45781</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45781</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45781</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45781</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45781</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45781</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45781</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45781</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45781</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45781</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45781</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45781</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45781</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45781</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45781</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45781</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45781</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45781</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45781</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45781</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45781</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45781</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45781</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45781</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45781</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45781</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45781</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45781</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45781</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45781</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16403-2025</t>
        </is>
      </c>
      <c r="B3997" s="1" t="n">
        <v>45751</v>
      </c>
      <c r="C3997" s="1" t="n">
        <v>45781</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45781</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45781</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45781</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45781</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45781</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45781</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45781</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16604-2025</t>
        </is>
      </c>
      <c r="B4005" s="1" t="n">
        <v>45753</v>
      </c>
      <c r="C4005" s="1" t="n">
        <v>45781</v>
      </c>
      <c r="D4005" t="inlineStr">
        <is>
          <t>VÄSTERBOTTENS LÄN</t>
        </is>
      </c>
      <c r="E4005" t="inlineStr">
        <is>
          <t>SKELLEFTEÅ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16602-2025</t>
        </is>
      </c>
      <c r="B4006" s="1" t="n">
        <v>45753</v>
      </c>
      <c r="C4006" s="1" t="n">
        <v>45781</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17010-2025</t>
        </is>
      </c>
      <c r="B4007" s="1" t="n">
        <v>45754</v>
      </c>
      <c r="C4007" s="1" t="n">
        <v>45781</v>
      </c>
      <c r="D4007" t="inlineStr">
        <is>
          <t>VÄSTERBOTTENS LÄN</t>
        </is>
      </c>
      <c r="E4007" t="inlineStr">
        <is>
          <t>SKELLEFTEÅ</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16663-2025</t>
        </is>
      </c>
      <c r="B4008" s="1" t="n">
        <v>45754</v>
      </c>
      <c r="C4008" s="1" t="n">
        <v>45781</v>
      </c>
      <c r="D4008" t="inlineStr">
        <is>
          <t>VÄSTERBOTTENS LÄN</t>
        </is>
      </c>
      <c r="E4008" t="inlineStr">
        <is>
          <t>SKELLEFTEÅ</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16672-2025</t>
        </is>
      </c>
      <c r="B4009" s="1" t="n">
        <v>45754</v>
      </c>
      <c r="C4009" s="1" t="n">
        <v>45781</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16760-2025</t>
        </is>
      </c>
      <c r="B4010" s="1" t="n">
        <v>45754</v>
      </c>
      <c r="C4010" s="1" t="n">
        <v>45781</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16642-2025</t>
        </is>
      </c>
      <c r="B4011" s="1" t="n">
        <v>45754</v>
      </c>
      <c r="C4011" s="1" t="n">
        <v>45781</v>
      </c>
      <c r="D4011" t="inlineStr">
        <is>
          <t>VÄSTERBOTTENS LÄN</t>
        </is>
      </c>
      <c r="E4011" t="inlineStr">
        <is>
          <t>SKELLEFTEÅ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45781</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17015-2025</t>
        </is>
      </c>
      <c r="B4013" s="1" t="n">
        <v>45755</v>
      </c>
      <c r="C4013" s="1" t="n">
        <v>45781</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17008-2025</t>
        </is>
      </c>
      <c r="B4014" s="1" t="n">
        <v>45755</v>
      </c>
      <c r="C4014" s="1" t="n">
        <v>45781</v>
      </c>
      <c r="D4014" t="inlineStr">
        <is>
          <t>VÄSTERBOTTENS LÄN</t>
        </is>
      </c>
      <c r="E4014" t="inlineStr">
        <is>
          <t>SKELLEFTEÅ</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45781</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17168-2025</t>
        </is>
      </c>
      <c r="B4016" s="1" t="n">
        <v>45755</v>
      </c>
      <c r="C4016" s="1" t="n">
        <v>45781</v>
      </c>
      <c r="D4016" t="inlineStr">
        <is>
          <t>VÄSTERBOTTENS LÄN</t>
        </is>
      </c>
      <c r="E4016" t="inlineStr">
        <is>
          <t>SKELLEFTEÅ</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16971-2025</t>
        </is>
      </c>
      <c r="B4017" s="1" t="n">
        <v>45755</v>
      </c>
      <c r="C4017" s="1" t="n">
        <v>45781</v>
      </c>
      <c r="D4017" t="inlineStr">
        <is>
          <t>VÄSTERBOTTENS LÄN</t>
        </is>
      </c>
      <c r="E4017" t="inlineStr">
        <is>
          <t>SKELLEFTEÅ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45781</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45781</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45781</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45781</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45781</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45781</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17561-2025</t>
        </is>
      </c>
      <c r="B4024" s="1" t="n">
        <v>45757</v>
      </c>
      <c r="C4024" s="1" t="n">
        <v>45781</v>
      </c>
      <c r="D4024" t="inlineStr">
        <is>
          <t>VÄSTERBOTTENS LÄN</t>
        </is>
      </c>
      <c r="E4024" t="inlineStr">
        <is>
          <t>SKELLEFTEÅ</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17628-2025</t>
        </is>
      </c>
      <c r="B4025" s="1" t="n">
        <v>45758</v>
      </c>
      <c r="C4025" s="1" t="n">
        <v>45781</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45781</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45781</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45781</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18030-2025</t>
        </is>
      </c>
      <c r="B4029" s="1" t="n">
        <v>45761</v>
      </c>
      <c r="C4029" s="1" t="n">
        <v>45781</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45781</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18098-2025</t>
        </is>
      </c>
      <c r="B4031" s="1" t="n">
        <v>45761</v>
      </c>
      <c r="C4031" s="1" t="n">
        <v>45781</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45781</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45781</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45781</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45781</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45781</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45781</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45781</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45781</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45781</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18637-2025</t>
        </is>
      </c>
      <c r="B4041" s="1" t="n">
        <v>45763</v>
      </c>
      <c r="C4041" s="1" t="n">
        <v>45781</v>
      </c>
      <c r="D4041" t="inlineStr">
        <is>
          <t>VÄSTERBOTTENS LÄN</t>
        </is>
      </c>
      <c r="E4041" t="inlineStr">
        <is>
          <t>SKELLEFTEÅ</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18498-2025</t>
        </is>
      </c>
      <c r="B4042" s="1" t="n">
        <v>45763</v>
      </c>
      <c r="C4042" s="1" t="n">
        <v>45781</v>
      </c>
      <c r="D4042" t="inlineStr">
        <is>
          <t>VÄSTERBOTTENS LÄN</t>
        </is>
      </c>
      <c r="E4042" t="inlineStr">
        <is>
          <t>SKELLEFTEÅ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45781</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45781</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45781</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45781</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45781</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45781</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45781</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45781</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45781</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45781</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45781</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45781</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19951-2025</t>
        </is>
      </c>
      <c r="B4055" s="1" t="n">
        <v>45771</v>
      </c>
      <c r="C4055" s="1" t="n">
        <v>45781</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19765-2025</t>
        </is>
      </c>
      <c r="B4056" s="1" t="n">
        <v>45771</v>
      </c>
      <c r="C4056" s="1" t="n">
        <v>45781</v>
      </c>
      <c r="D4056" t="inlineStr">
        <is>
          <t>VÄSTERBOTTENS LÄN</t>
        </is>
      </c>
      <c r="E4056" t="inlineStr">
        <is>
          <t>SKELLEFTEÅ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45781</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45781</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19779-2025</t>
        </is>
      </c>
      <c r="B4059" s="1" t="n">
        <v>45771</v>
      </c>
      <c r="C4059" s="1" t="n">
        <v>45781</v>
      </c>
      <c r="D4059" t="inlineStr">
        <is>
          <t>VÄSTERBOTTENS LÄN</t>
        </is>
      </c>
      <c r="E4059" t="inlineStr">
        <is>
          <t>SKELLEFTEÅ</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45781</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19731-2025</t>
        </is>
      </c>
      <c r="B4061" s="1" t="n">
        <v>45771</v>
      </c>
      <c r="C4061" s="1" t="n">
        <v>45781</v>
      </c>
      <c r="D4061" t="inlineStr">
        <is>
          <t>VÄSTERBOTTENS LÄN</t>
        </is>
      </c>
      <c r="E4061" t="inlineStr">
        <is>
          <t>SKELLEFTEÅ</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19970-2025</t>
        </is>
      </c>
      <c r="B4062" s="1" t="n">
        <v>45771</v>
      </c>
      <c r="C4062" s="1" t="n">
        <v>45781</v>
      </c>
      <c r="D4062" t="inlineStr">
        <is>
          <t>VÄSTERBOTTENS LÄN</t>
        </is>
      </c>
      <c r="E4062" t="inlineStr">
        <is>
          <t>SKELLEFTEÅ</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19730-2025</t>
        </is>
      </c>
      <c r="B4063" s="1" t="n">
        <v>45771</v>
      </c>
      <c r="C4063" s="1" t="n">
        <v>45781</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45781</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20245-2025</t>
        </is>
      </c>
      <c r="B4065" s="1" t="n">
        <v>45772</v>
      </c>
      <c r="C4065" s="1" t="n">
        <v>45781</v>
      </c>
      <c r="D4065" t="inlineStr">
        <is>
          <t>VÄSTERBOTTENS LÄN</t>
        </is>
      </c>
      <c r="E4065" t="inlineStr">
        <is>
          <t>SKELLEFTEÅ</t>
        </is>
      </c>
      <c r="G4065" t="n">
        <v>14.1</v>
      </c>
      <c r="H4065" t="n">
        <v>0</v>
      </c>
      <c r="I4065" t="n">
        <v>0</v>
      </c>
      <c r="J4065" t="n">
        <v>0</v>
      </c>
      <c r="K4065" t="n">
        <v>0</v>
      </c>
      <c r="L4065" t="n">
        <v>0</v>
      </c>
      <c r="M4065" t="n">
        <v>0</v>
      </c>
      <c r="N4065" t="n">
        <v>0</v>
      </c>
      <c r="O4065" t="n">
        <v>0</v>
      </c>
      <c r="P4065" t="n">
        <v>0</v>
      </c>
      <c r="Q4065" t="n">
        <v>0</v>
      </c>
      <c r="R4065" s="2" t="inlineStr"/>
    </row>
    <row r="4066" ht="15" customHeight="1">
      <c r="A4066" t="inlineStr">
        <is>
          <t>A 20084-2025</t>
        </is>
      </c>
      <c r="B4066" s="1" t="n">
        <v>45772</v>
      </c>
      <c r="C4066" s="1" t="n">
        <v>45781</v>
      </c>
      <c r="D4066" t="inlineStr">
        <is>
          <t>VÄSTERBOTTENS LÄN</t>
        </is>
      </c>
      <c r="E4066" t="inlineStr">
        <is>
          <t>SKELLEFTEÅ</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20216-2025</t>
        </is>
      </c>
      <c r="B4067" s="1" t="n">
        <v>45772</v>
      </c>
      <c r="C4067" s="1" t="n">
        <v>45781</v>
      </c>
      <c r="D4067" t="inlineStr">
        <is>
          <t>VÄSTERBOTTENS LÄN</t>
        </is>
      </c>
      <c r="E4067" t="inlineStr">
        <is>
          <t>SKELLEFTEÅ</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20220-2025</t>
        </is>
      </c>
      <c r="B4068" s="1" t="n">
        <v>45772</v>
      </c>
      <c r="C4068" s="1" t="n">
        <v>45781</v>
      </c>
      <c r="D4068" t="inlineStr">
        <is>
          <t>VÄSTERBOTTENS LÄN</t>
        </is>
      </c>
      <c r="E4068" t="inlineStr">
        <is>
          <t>SKELLEFTEÅ</t>
        </is>
      </c>
      <c r="G4068" t="n">
        <v>18.6</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45781</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45781</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45781</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45781</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45781</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45781</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45781</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45781</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45781</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45781</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20865-2025</t>
        </is>
      </c>
      <c r="B4079" s="1" t="n">
        <v>45777</v>
      </c>
      <c r="C4079" s="1" t="n">
        <v>45781</v>
      </c>
      <c r="D4079" t="inlineStr">
        <is>
          <t>VÄSTERBOTTENS LÄN</t>
        </is>
      </c>
      <c r="E4079" t="inlineStr">
        <is>
          <t>SKELLEFTEÅ</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21034-2025</t>
        </is>
      </c>
      <c r="B4080" s="1" t="n">
        <v>45777</v>
      </c>
      <c r="C4080" s="1" t="n">
        <v>45781</v>
      </c>
      <c r="D4080" t="inlineStr">
        <is>
          <t>VÄSTERBOTTENS LÄN</t>
        </is>
      </c>
      <c r="E4080" t="inlineStr">
        <is>
          <t>SKELLEFTEÅ</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45781</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45781</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45781</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45781</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45781</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45781</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c r="A4087" t="inlineStr">
        <is>
          <t>A 21222-2025</t>
        </is>
      </c>
      <c r="B4087" s="1" t="n">
        <v>45779</v>
      </c>
      <c r="C4087" s="1" t="n">
        <v>45781</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2025-05-04T21:34:23Z</dcterms:created>
  <dcterms:modified xmlns:dcterms="http://purl.org/dc/terms/" xmlns:xsi="http://www.w3.org/2001/XMLSchema-instance" xsi:type="dcterms:W3CDTF">2025-05-04T21:34:26Z</dcterms:modified>
</cp:coreProperties>
</file>