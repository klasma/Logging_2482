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45269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45269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45269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45269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45269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45269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45269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45269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45269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45269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45269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45269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45269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45269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45269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45269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45269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45269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45269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45269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45269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45269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45269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45269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45269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45269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45269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45269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45269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45269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45269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45269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45269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45269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45269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45269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45269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45269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45269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45269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45269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45269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45269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45269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45269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45269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45269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45269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45269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45269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45269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45269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45269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45269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45269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45269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45269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65202-2018</t>
        </is>
      </c>
      <c r="B62" s="1" t="n">
        <v>43423</v>
      </c>
      <c r="C62" s="1" t="n">
        <v>45269</v>
      </c>
      <c r="D62" t="inlineStr">
        <is>
          <t>VÄSTERBOTTENS LÄN</t>
        </is>
      </c>
      <c r="E62" t="inlineStr">
        <is>
          <t>SKELLEFTEÅ</t>
        </is>
      </c>
      <c r="G62" t="n">
        <v>4.7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Vedticka
Fläcknycklar</t>
        </is>
      </c>
      <c r="S62">
        <f>HYPERLINK("https://klasma.github.io/Logging_2482/artfynd/A 65202-2018 artfynd.xlsx", "A 65202-2018")</f>
        <v/>
      </c>
      <c r="T62">
        <f>HYPERLINK("https://klasma.github.io/Logging_2482/kartor/A 65202-2018 karta.png", "A 65202-2018")</f>
        <v/>
      </c>
      <c r="V62">
        <f>HYPERLINK("https://klasma.github.io/Logging_2482/klagomål/A 65202-2018 FSC-klagomål.docx", "A 65202-2018")</f>
        <v/>
      </c>
      <c r="W62">
        <f>HYPERLINK("https://klasma.github.io/Logging_2482/klagomålsmail/A 65202-2018 FSC-klagomål mail.docx", "A 65202-2018")</f>
        <v/>
      </c>
      <c r="X62">
        <f>HYPERLINK("https://klasma.github.io/Logging_2482/tillsyn/A 65202-2018 tillsynsbegäran.docx", "A 65202-2018")</f>
        <v/>
      </c>
      <c r="Y62">
        <f>HYPERLINK("https://klasma.github.io/Logging_2482/tillsynsmail/A 65202-2018 tillsynsbegäran mail.docx", "A 65202-2018")</f>
        <v/>
      </c>
    </row>
    <row r="63" ht="15" customHeight="1">
      <c r="A63" t="inlineStr">
        <is>
          <t>A 11624-2019</t>
        </is>
      </c>
      <c r="B63" s="1" t="n">
        <v>43517</v>
      </c>
      <c r="C63" s="1" t="n">
        <v>45269</v>
      </c>
      <c r="D63" t="inlineStr">
        <is>
          <t>VÄSTERBOTTENS LÄN</t>
        </is>
      </c>
      <c r="E63" t="inlineStr">
        <is>
          <t>SKELLEFTEÅ</t>
        </is>
      </c>
      <c r="G63" t="n">
        <v>24.7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Mindre vattensalamander</t>
        </is>
      </c>
      <c r="S63">
        <f>HYPERLINK("https://klasma.github.io/Logging_2482/artfynd/A 11624-2019 artfynd.xlsx", "A 11624-2019")</f>
        <v/>
      </c>
      <c r="T63">
        <f>HYPERLINK("https://klasma.github.io/Logging_2482/kartor/A 11624-2019 karta.png", "A 11624-2019")</f>
        <v/>
      </c>
      <c r="V63">
        <f>HYPERLINK("https://klasma.github.io/Logging_2482/klagomål/A 11624-2019 FSC-klagomål.docx", "A 11624-2019")</f>
        <v/>
      </c>
      <c r="W63">
        <f>HYPERLINK("https://klasma.github.io/Logging_2482/klagomålsmail/A 11624-2019 FSC-klagomål mail.docx", "A 11624-2019")</f>
        <v/>
      </c>
      <c r="X63">
        <f>HYPERLINK("https://klasma.github.io/Logging_2482/tillsyn/A 11624-2019 tillsynsbegäran.docx", "A 11624-2019")</f>
        <v/>
      </c>
      <c r="Y63">
        <f>HYPERLINK("https://klasma.github.io/Logging_2482/tillsynsmail/A 11624-2019 tillsynsbegäran mail.docx", "A 11624-2019")</f>
        <v/>
      </c>
    </row>
    <row r="64" ht="15" customHeight="1">
      <c r="A64" t="inlineStr">
        <is>
          <t>A 14580-2019</t>
        </is>
      </c>
      <c r="B64" s="1" t="n">
        <v>43536</v>
      </c>
      <c r="C64" s="1" t="n">
        <v>45269</v>
      </c>
      <c r="D64" t="inlineStr">
        <is>
          <t>VÄSTERBOTTENS LÄN</t>
        </is>
      </c>
      <c r="E64" t="inlineStr">
        <is>
          <t>SKELLEFTEÅ</t>
        </is>
      </c>
      <c r="G64" t="n">
        <v>11.3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Ullticka</t>
        </is>
      </c>
      <c r="S64">
        <f>HYPERLINK("https://klasma.github.io/Logging_2482/artfynd/A 14580-2019 artfynd.xlsx", "A 14580-2019")</f>
        <v/>
      </c>
      <c r="T64">
        <f>HYPERLINK("https://klasma.github.io/Logging_2482/kartor/A 14580-2019 karta.png", "A 14580-2019")</f>
        <v/>
      </c>
      <c r="V64">
        <f>HYPERLINK("https://klasma.github.io/Logging_2482/klagomål/A 14580-2019 FSC-klagomål.docx", "A 14580-2019")</f>
        <v/>
      </c>
      <c r="W64">
        <f>HYPERLINK("https://klasma.github.io/Logging_2482/klagomålsmail/A 14580-2019 FSC-klagomål mail.docx", "A 14580-2019")</f>
        <v/>
      </c>
      <c r="X64">
        <f>HYPERLINK("https://klasma.github.io/Logging_2482/tillsyn/A 14580-2019 tillsynsbegäran.docx", "A 14580-2019")</f>
        <v/>
      </c>
      <c r="Y64">
        <f>HYPERLINK("https://klasma.github.io/Logging_2482/tillsynsmail/A 14580-2019 tillsynsbegäran mail.docx", "A 14580-2019")</f>
        <v/>
      </c>
    </row>
    <row r="65" ht="15" customHeight="1">
      <c r="A65" t="inlineStr">
        <is>
          <t>A 35777-2019</t>
        </is>
      </c>
      <c r="B65" s="1" t="n">
        <v>43665</v>
      </c>
      <c r="C65" s="1" t="n">
        <v>45269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26.8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35777-2019 artfynd.xlsx", "A 35777-2019")</f>
        <v/>
      </c>
      <c r="T65">
        <f>HYPERLINK("https://klasma.github.io/Logging_2482/kartor/A 35777-2019 karta.png", "A 35777-2019")</f>
        <v/>
      </c>
      <c r="V65">
        <f>HYPERLINK("https://klasma.github.io/Logging_2482/klagomål/A 35777-2019 FSC-klagomål.docx", "A 35777-2019")</f>
        <v/>
      </c>
      <c r="W65">
        <f>HYPERLINK("https://klasma.github.io/Logging_2482/klagomålsmail/A 35777-2019 FSC-klagomål mail.docx", "A 35777-2019")</f>
        <v/>
      </c>
      <c r="X65">
        <f>HYPERLINK("https://klasma.github.io/Logging_2482/tillsyn/A 35777-2019 tillsynsbegäran.docx", "A 35777-2019")</f>
        <v/>
      </c>
      <c r="Y65">
        <f>HYPERLINK("https://klasma.github.io/Logging_2482/tillsynsmail/A 35777-2019 tillsynsbegäran mail.docx", "A 35777-2019")</f>
        <v/>
      </c>
    </row>
    <row r="66" ht="15" customHeight="1">
      <c r="A66" t="inlineStr">
        <is>
          <t>A 64056-2019</t>
        </is>
      </c>
      <c r="B66" s="1" t="n">
        <v>43796</v>
      </c>
      <c r="C66" s="1" t="n">
        <v>45269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Lunglav</t>
        </is>
      </c>
      <c r="S66">
        <f>HYPERLINK("https://klasma.github.io/Logging_2482/artfynd/A 64056-2019 artfynd.xlsx", "A 64056-2019")</f>
        <v/>
      </c>
      <c r="T66">
        <f>HYPERLINK("https://klasma.github.io/Logging_2482/kartor/A 64056-2019 karta.png", "A 64056-2019")</f>
        <v/>
      </c>
      <c r="V66">
        <f>HYPERLINK("https://klasma.github.io/Logging_2482/klagomål/A 64056-2019 FSC-klagomål.docx", "A 64056-2019")</f>
        <v/>
      </c>
      <c r="W66">
        <f>HYPERLINK("https://klasma.github.io/Logging_2482/klagomålsmail/A 64056-2019 FSC-klagomål mail.docx", "A 64056-2019")</f>
        <v/>
      </c>
      <c r="X66">
        <f>HYPERLINK("https://klasma.github.io/Logging_2482/tillsyn/A 64056-2019 tillsynsbegäran.docx", "A 64056-2019")</f>
        <v/>
      </c>
      <c r="Y66">
        <f>HYPERLINK("https://klasma.github.io/Logging_2482/tillsynsmail/A 64056-2019 tillsynsbegäran mail.docx", "A 64056-2019")</f>
        <v/>
      </c>
    </row>
    <row r="67" ht="15" customHeight="1">
      <c r="A67" t="inlineStr">
        <is>
          <t>A 32940-2020</t>
        </is>
      </c>
      <c r="B67" s="1" t="n">
        <v>44018</v>
      </c>
      <c r="C67" s="1" t="n">
        <v>45269</v>
      </c>
      <c r="D67" t="inlineStr">
        <is>
          <t>VÄSTERBOTTENS LÄN</t>
        </is>
      </c>
      <c r="E67" t="inlineStr">
        <is>
          <t>SKELLEFTEÅ</t>
        </is>
      </c>
      <c r="G67" t="n">
        <v>15.6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Goliatmusseron
Skrovlig taggsvamp
Dropptaggsvamp</t>
        </is>
      </c>
      <c r="S67">
        <f>HYPERLINK("https://klasma.github.io/Logging_2482/artfynd/A 32940-2020 artfynd.xlsx", "A 32940-2020")</f>
        <v/>
      </c>
      <c r="T67">
        <f>HYPERLINK("https://klasma.github.io/Logging_2482/kartor/A 32940-2020 karta.png", "A 32940-2020")</f>
        <v/>
      </c>
      <c r="V67">
        <f>HYPERLINK("https://klasma.github.io/Logging_2482/klagomål/A 32940-2020 FSC-klagomål.docx", "A 32940-2020")</f>
        <v/>
      </c>
      <c r="W67">
        <f>HYPERLINK("https://klasma.github.io/Logging_2482/klagomålsmail/A 32940-2020 FSC-klagomål mail.docx", "A 32940-2020")</f>
        <v/>
      </c>
      <c r="X67">
        <f>HYPERLINK("https://klasma.github.io/Logging_2482/tillsyn/A 32940-2020 tillsynsbegäran.docx", "A 32940-2020")</f>
        <v/>
      </c>
      <c r="Y67">
        <f>HYPERLINK("https://klasma.github.io/Logging_2482/tillsynsmail/A 32940-2020 tillsynsbegäran mail.docx", "A 32940-2020")</f>
        <v/>
      </c>
    </row>
    <row r="68" ht="15" customHeight="1">
      <c r="A68" t="inlineStr">
        <is>
          <t>A 55812-2020</t>
        </is>
      </c>
      <c r="B68" s="1" t="n">
        <v>44132</v>
      </c>
      <c r="C68" s="1" t="n">
        <v>45269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10.3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Doftskinn
Garnlav
Ullticka</t>
        </is>
      </c>
      <c r="S68">
        <f>HYPERLINK("https://klasma.github.io/Logging_2482/artfynd/A 55812-2020 artfynd.xlsx", "A 55812-2020")</f>
        <v/>
      </c>
      <c r="T68">
        <f>HYPERLINK("https://klasma.github.io/Logging_2482/kartor/A 55812-2020 karta.png", "A 55812-2020")</f>
        <v/>
      </c>
      <c r="V68">
        <f>HYPERLINK("https://klasma.github.io/Logging_2482/klagomål/A 55812-2020 FSC-klagomål.docx", "A 55812-2020")</f>
        <v/>
      </c>
      <c r="W68">
        <f>HYPERLINK("https://klasma.github.io/Logging_2482/klagomålsmail/A 55812-2020 FSC-klagomål mail.docx", "A 55812-2020")</f>
        <v/>
      </c>
      <c r="X68">
        <f>HYPERLINK("https://klasma.github.io/Logging_2482/tillsyn/A 55812-2020 tillsynsbegäran.docx", "A 55812-2020")</f>
        <v/>
      </c>
      <c r="Y68">
        <f>HYPERLINK("https://klasma.github.io/Logging_2482/tillsynsmail/A 55812-2020 tillsynsbegäran mail.docx", "A 55812-2020")</f>
        <v/>
      </c>
    </row>
    <row r="69" ht="15" customHeight="1">
      <c r="A69" t="inlineStr">
        <is>
          <t>A 68690-2020</t>
        </is>
      </c>
      <c r="B69" s="1" t="n">
        <v>44186</v>
      </c>
      <c r="C69" s="1" t="n">
        <v>45269</v>
      </c>
      <c r="D69" t="inlineStr">
        <is>
          <t>VÄSTERBOTTENS LÄN</t>
        </is>
      </c>
      <c r="E69" t="inlineStr">
        <is>
          <t>SKELLEFTEÅ</t>
        </is>
      </c>
      <c r="G69" t="n">
        <v>6.1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Vedticka</t>
        </is>
      </c>
      <c r="S69">
        <f>HYPERLINK("https://klasma.github.io/Logging_2482/artfynd/A 68690-2020 artfynd.xlsx", "A 68690-2020")</f>
        <v/>
      </c>
      <c r="T69">
        <f>HYPERLINK("https://klasma.github.io/Logging_2482/kartor/A 68690-2020 karta.png", "A 68690-2020")</f>
        <v/>
      </c>
      <c r="V69">
        <f>HYPERLINK("https://klasma.github.io/Logging_2482/klagomål/A 68690-2020 FSC-klagomål.docx", "A 68690-2020")</f>
        <v/>
      </c>
      <c r="W69">
        <f>HYPERLINK("https://klasma.github.io/Logging_2482/klagomålsmail/A 68690-2020 FSC-klagomål mail.docx", "A 68690-2020")</f>
        <v/>
      </c>
      <c r="X69">
        <f>HYPERLINK("https://klasma.github.io/Logging_2482/tillsyn/A 68690-2020 tillsynsbegäran.docx", "A 68690-2020")</f>
        <v/>
      </c>
      <c r="Y69">
        <f>HYPERLINK("https://klasma.github.io/Logging_2482/tillsynsmail/A 68690-2020 tillsynsbegäran mail.docx", "A 68690-2020")</f>
        <v/>
      </c>
    </row>
    <row r="70" ht="15" customHeight="1">
      <c r="A70" t="inlineStr">
        <is>
          <t>A 16152-2021</t>
        </is>
      </c>
      <c r="B70" s="1" t="n">
        <v>44287</v>
      </c>
      <c r="C70" s="1" t="n">
        <v>45269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Goliatmusseron
Granticka
Vedticka</t>
        </is>
      </c>
      <c r="S70">
        <f>HYPERLINK("https://klasma.github.io/Logging_2482/artfynd/A 16152-2021 artfynd.xlsx", "A 16152-2021")</f>
        <v/>
      </c>
      <c r="T70">
        <f>HYPERLINK("https://klasma.github.io/Logging_2482/kartor/A 16152-2021 karta.png", "A 16152-2021")</f>
        <v/>
      </c>
      <c r="V70">
        <f>HYPERLINK("https://klasma.github.io/Logging_2482/klagomål/A 16152-2021 FSC-klagomål.docx", "A 16152-2021")</f>
        <v/>
      </c>
      <c r="W70">
        <f>HYPERLINK("https://klasma.github.io/Logging_2482/klagomålsmail/A 16152-2021 FSC-klagomål mail.docx", "A 16152-2021")</f>
        <v/>
      </c>
      <c r="X70">
        <f>HYPERLINK("https://klasma.github.io/Logging_2482/tillsyn/A 16152-2021 tillsynsbegäran.docx", "A 16152-2021")</f>
        <v/>
      </c>
      <c r="Y70">
        <f>HYPERLINK("https://klasma.github.io/Logging_2482/tillsynsmail/A 16152-2021 tillsynsbegäran mail.docx", "A 16152-2021")</f>
        <v/>
      </c>
    </row>
    <row r="71" ht="15" customHeight="1">
      <c r="A71" t="inlineStr">
        <is>
          <t>A 29725-2021</t>
        </is>
      </c>
      <c r="B71" s="1" t="n">
        <v>44362</v>
      </c>
      <c r="C71" s="1" t="n">
        <v>45269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Orre</t>
        </is>
      </c>
      <c r="S71">
        <f>HYPERLINK("https://klasma.github.io/Logging_2482/artfynd/A 29725-2021 artfynd.xlsx", "A 29725-2021")</f>
        <v/>
      </c>
      <c r="T71">
        <f>HYPERLINK("https://klasma.github.io/Logging_2482/kartor/A 29725-2021 karta.png", "A 29725-2021")</f>
        <v/>
      </c>
      <c r="V71">
        <f>HYPERLINK("https://klasma.github.io/Logging_2482/klagomål/A 29725-2021 FSC-klagomål.docx", "A 29725-2021")</f>
        <v/>
      </c>
      <c r="W71">
        <f>HYPERLINK("https://klasma.github.io/Logging_2482/klagomålsmail/A 29725-2021 FSC-klagomål mail.docx", "A 29725-2021")</f>
        <v/>
      </c>
      <c r="X71">
        <f>HYPERLINK("https://klasma.github.io/Logging_2482/tillsyn/A 29725-2021 tillsynsbegäran.docx", "A 29725-2021")</f>
        <v/>
      </c>
      <c r="Y71">
        <f>HYPERLINK("https://klasma.github.io/Logging_2482/tillsynsmail/A 29725-2021 tillsynsbegäran mail.docx", "A 29725-2021")</f>
        <v/>
      </c>
    </row>
    <row r="72" ht="15" customHeight="1">
      <c r="A72" t="inlineStr">
        <is>
          <t>A 32918-2021</t>
        </is>
      </c>
      <c r="B72" s="1" t="n">
        <v>44375</v>
      </c>
      <c r="C72" s="1" t="n">
        <v>45269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16.7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Blå taggsvamp
Tallticka
Dropptaggsvamp</t>
        </is>
      </c>
      <c r="S72">
        <f>HYPERLINK("https://klasma.github.io/Logging_2482/artfynd/A 32918-2021 artfynd.xlsx", "A 32918-2021")</f>
        <v/>
      </c>
      <c r="T72">
        <f>HYPERLINK("https://klasma.github.io/Logging_2482/kartor/A 32918-2021 karta.png", "A 32918-2021")</f>
        <v/>
      </c>
      <c r="V72">
        <f>HYPERLINK("https://klasma.github.io/Logging_2482/klagomål/A 32918-2021 FSC-klagomål.docx", "A 32918-2021")</f>
        <v/>
      </c>
      <c r="W72">
        <f>HYPERLINK("https://klasma.github.io/Logging_2482/klagomålsmail/A 32918-2021 FSC-klagomål mail.docx", "A 32918-2021")</f>
        <v/>
      </c>
      <c r="X72">
        <f>HYPERLINK("https://klasma.github.io/Logging_2482/tillsyn/A 32918-2021 tillsynsbegäran.docx", "A 32918-2021")</f>
        <v/>
      </c>
      <c r="Y72">
        <f>HYPERLINK("https://klasma.github.io/Logging_2482/tillsynsmail/A 32918-2021 tillsynsbegäran mail.docx", "A 32918-2021")</f>
        <v/>
      </c>
    </row>
    <row r="73" ht="15" customHeight="1">
      <c r="A73" t="inlineStr">
        <is>
          <t>A 41508-2021</t>
        </is>
      </c>
      <c r="B73" s="1" t="n">
        <v>44424</v>
      </c>
      <c r="C73" s="1" t="n">
        <v>45269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9.800000000000001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Orange taggsvamp
Dropptaggsvamp</t>
        </is>
      </c>
      <c r="S73">
        <f>HYPERLINK("https://klasma.github.io/Logging_2482/artfynd/A 41508-2021 artfynd.xlsx", "A 41508-2021")</f>
        <v/>
      </c>
      <c r="T73">
        <f>HYPERLINK("https://klasma.github.io/Logging_2482/kartor/A 41508-2021 karta.png", "A 41508-2021")</f>
        <v/>
      </c>
      <c r="V73">
        <f>HYPERLINK("https://klasma.github.io/Logging_2482/klagomål/A 41508-2021 FSC-klagomål.docx", "A 41508-2021")</f>
        <v/>
      </c>
      <c r="W73">
        <f>HYPERLINK("https://klasma.github.io/Logging_2482/klagomålsmail/A 41508-2021 FSC-klagomål mail.docx", "A 41508-2021")</f>
        <v/>
      </c>
      <c r="X73">
        <f>HYPERLINK("https://klasma.github.io/Logging_2482/tillsyn/A 41508-2021 tillsynsbegäran.docx", "A 41508-2021")</f>
        <v/>
      </c>
      <c r="Y73">
        <f>HYPERLINK("https://klasma.github.io/Logging_2482/tillsynsmail/A 41508-2021 tillsynsbegäran mail.docx", "A 41508-2021")</f>
        <v/>
      </c>
    </row>
    <row r="74" ht="15" customHeight="1">
      <c r="A74" t="inlineStr">
        <is>
          <t>A 41506-2021</t>
        </is>
      </c>
      <c r="B74" s="1" t="n">
        <v>44425</v>
      </c>
      <c r="C74" s="1" t="n">
        <v>45269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4.2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Rosenticka
Ullticka
Vedticka</t>
        </is>
      </c>
      <c r="S74">
        <f>HYPERLINK("https://klasma.github.io/Logging_2482/artfynd/A 41506-2021 artfynd.xlsx", "A 41506-2021")</f>
        <v/>
      </c>
      <c r="T74">
        <f>HYPERLINK("https://klasma.github.io/Logging_2482/kartor/A 41506-2021 karta.png", "A 41506-2021")</f>
        <v/>
      </c>
      <c r="V74">
        <f>HYPERLINK("https://klasma.github.io/Logging_2482/klagomål/A 41506-2021 FSC-klagomål.docx", "A 41506-2021")</f>
        <v/>
      </c>
      <c r="W74">
        <f>HYPERLINK("https://klasma.github.io/Logging_2482/klagomålsmail/A 41506-2021 FSC-klagomål mail.docx", "A 41506-2021")</f>
        <v/>
      </c>
      <c r="X74">
        <f>HYPERLINK("https://klasma.github.io/Logging_2482/tillsyn/A 41506-2021 tillsynsbegäran.docx", "A 41506-2021")</f>
        <v/>
      </c>
      <c r="Y74">
        <f>HYPERLINK("https://klasma.github.io/Logging_2482/tillsynsmail/A 41506-2021 tillsynsbegäran mail.docx", "A 41506-2021")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45269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Garnlav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4245-2022</t>
        </is>
      </c>
      <c r="B76" s="1" t="n">
        <v>44588</v>
      </c>
      <c r="C76" s="1" t="n">
        <v>45269</v>
      </c>
      <c r="D76" t="inlineStr">
        <is>
          <t>VÄSTERBOTTENS LÄN</t>
        </is>
      </c>
      <c r="E76" t="inlineStr">
        <is>
          <t>SKELLEFTEÅ</t>
        </is>
      </c>
      <c r="G76" t="n">
        <v>0.2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Harticka</t>
        </is>
      </c>
      <c r="S76">
        <f>HYPERLINK("https://klasma.github.io/Logging_2482/artfynd/A 4245-2022 artfynd.xlsx", "A 4245-2022")</f>
        <v/>
      </c>
      <c r="T76">
        <f>HYPERLINK("https://klasma.github.io/Logging_2482/kartor/A 4245-2022 karta.png", "A 4245-2022")</f>
        <v/>
      </c>
      <c r="V76">
        <f>HYPERLINK("https://klasma.github.io/Logging_2482/klagomål/A 4245-2022 FSC-klagomål.docx", "A 4245-2022")</f>
        <v/>
      </c>
      <c r="W76">
        <f>HYPERLINK("https://klasma.github.io/Logging_2482/klagomålsmail/A 4245-2022 FSC-klagomål mail.docx", "A 4245-2022")</f>
        <v/>
      </c>
      <c r="X76">
        <f>HYPERLINK("https://klasma.github.io/Logging_2482/tillsyn/A 4245-2022 tillsynsbegäran.docx", "A 4245-2022")</f>
        <v/>
      </c>
      <c r="Y76">
        <f>HYPERLINK("https://klasma.github.io/Logging_2482/tillsynsmail/A 4245-2022 tillsynsbegäran mail.docx", "A 4245-2022")</f>
        <v/>
      </c>
    </row>
    <row r="77" ht="15" customHeight="1">
      <c r="A77" t="inlineStr">
        <is>
          <t>A 14498-2022</t>
        </is>
      </c>
      <c r="B77" s="1" t="n">
        <v>44655</v>
      </c>
      <c r="C77" s="1" t="n">
        <v>45269</v>
      </c>
      <c r="D77" t="inlineStr">
        <is>
          <t>VÄSTERBOTTENS LÄN</t>
        </is>
      </c>
      <c r="E77" t="inlineStr">
        <is>
          <t>SKELLEFTEÅ</t>
        </is>
      </c>
      <c r="G77" t="n">
        <v>8.6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HYPERLINK("https://klasma.github.io/Logging_2482/artfynd/A 14498-2022 artfynd.xlsx", "A 14498-2022")</f>
        <v/>
      </c>
      <c r="T77">
        <f>HYPERLINK("https://klasma.github.io/Logging_2482/kartor/A 14498-2022 karta.png", "A 14498-2022")</f>
        <v/>
      </c>
      <c r="V77">
        <f>HYPERLINK("https://klasma.github.io/Logging_2482/klagomål/A 14498-2022 FSC-klagomål.docx", "A 14498-2022")</f>
        <v/>
      </c>
      <c r="W77">
        <f>HYPERLINK("https://klasma.github.io/Logging_2482/klagomålsmail/A 14498-2022 FSC-klagomål mail.docx", "A 14498-2022")</f>
        <v/>
      </c>
      <c r="X77">
        <f>HYPERLINK("https://klasma.github.io/Logging_2482/tillsyn/A 14498-2022 tillsynsbegäran.docx", "A 14498-2022")</f>
        <v/>
      </c>
      <c r="Y77">
        <f>HYPERLINK("https://klasma.github.io/Logging_2482/tillsynsmail/A 14498-2022 tillsynsbegäran mail.docx", "A 14498-2022")</f>
        <v/>
      </c>
    </row>
    <row r="78" ht="15" customHeight="1">
      <c r="A78" t="inlineStr">
        <is>
          <t>A 19803-2022</t>
        </is>
      </c>
      <c r="B78" s="1" t="n">
        <v>44694</v>
      </c>
      <c r="C78" s="1" t="n">
        <v>45269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5.6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Rosenticka
Spillkråka
Vitgrynig nållav</t>
        </is>
      </c>
      <c r="S78">
        <f>HYPERLINK("https://klasma.github.io/Logging_2482/artfynd/A 19803-2022 artfynd.xlsx", "A 19803-2022")</f>
        <v/>
      </c>
      <c r="T78">
        <f>HYPERLINK("https://klasma.github.io/Logging_2482/kartor/A 19803-2022 karta.png", "A 19803-2022")</f>
        <v/>
      </c>
      <c r="V78">
        <f>HYPERLINK("https://klasma.github.io/Logging_2482/klagomål/A 19803-2022 FSC-klagomål.docx", "A 19803-2022")</f>
        <v/>
      </c>
      <c r="W78">
        <f>HYPERLINK("https://klasma.github.io/Logging_2482/klagomålsmail/A 19803-2022 FSC-klagomål mail.docx", "A 19803-2022")</f>
        <v/>
      </c>
      <c r="X78">
        <f>HYPERLINK("https://klasma.github.io/Logging_2482/tillsyn/A 19803-2022 tillsynsbegäran.docx", "A 19803-2022")</f>
        <v/>
      </c>
      <c r="Y78">
        <f>HYPERLINK("https://klasma.github.io/Logging_2482/tillsynsmail/A 19803-2022 tillsynsbegäran mail.docx", "A 19803-2022")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45269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45269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45269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Stjärntagging
Ullticka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51945-2022</t>
        </is>
      </c>
      <c r="B82" s="1" t="n">
        <v>44872</v>
      </c>
      <c r="C82" s="1" t="n">
        <v>45269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7.1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Trådticka
Lopplummer
Revlummer</t>
        </is>
      </c>
      <c r="S82">
        <f>HYPERLINK("https://klasma.github.io/Logging_2482/artfynd/A 51945-2022 artfynd.xlsx", "A 51945-2022")</f>
        <v/>
      </c>
      <c r="T82">
        <f>HYPERLINK("https://klasma.github.io/Logging_2482/kartor/A 51945-2022 karta.png", "A 51945-2022")</f>
        <v/>
      </c>
      <c r="V82">
        <f>HYPERLINK("https://klasma.github.io/Logging_2482/klagomål/A 51945-2022 FSC-klagomål.docx", "A 51945-2022")</f>
        <v/>
      </c>
      <c r="W82">
        <f>HYPERLINK("https://klasma.github.io/Logging_2482/klagomålsmail/A 51945-2022 FSC-klagomål mail.docx", "A 51945-2022")</f>
        <v/>
      </c>
      <c r="X82">
        <f>HYPERLINK("https://klasma.github.io/Logging_2482/tillsyn/A 51945-2022 tillsynsbegäran.docx", "A 51945-2022")</f>
        <v/>
      </c>
      <c r="Y82">
        <f>HYPERLINK("https://klasma.github.io/Logging_2482/tillsynsmail/A 51945-2022 tillsynsbegäran mail.docx", "A 51945-2022")</f>
        <v/>
      </c>
    </row>
    <row r="83" ht="15" customHeight="1">
      <c r="A83" t="inlineStr">
        <is>
          <t>A 41099-2023</t>
        </is>
      </c>
      <c r="B83" s="1" t="n">
        <v>45173</v>
      </c>
      <c r="C83" s="1" t="n">
        <v>45269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45269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45269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45269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45269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45269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45269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45269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45269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45269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45269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45269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45269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45269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45269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45269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45269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45269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45269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45269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45269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45269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45269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45269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45269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45269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45269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45269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45269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45269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45269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45269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45269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45269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45269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45269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45269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45269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45269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45269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45269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45269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45269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45269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45269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45269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45269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45269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45269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45269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45269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45269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45269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45269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45269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45269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45269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45269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45269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45269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45269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45269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45269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45269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45269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45269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45269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45269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45269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45269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45269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45269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45269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45269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45269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45269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45269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45269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45269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45269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45269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45269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45269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45269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45269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45269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45269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45269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45269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45269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45269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45269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45269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45269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45269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45269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45269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45269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45269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45269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45269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45269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45269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45269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45269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45269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45269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45269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45269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45269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45269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45269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45269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45269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45269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45269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45269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45269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45269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45269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45269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45269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45269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45269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45269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45269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45269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45269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45269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45269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45269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45269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45269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45269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45269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45269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45269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45269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45269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45269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45269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45269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45269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45269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45269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45269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45269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45269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45269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45269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45269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45269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45269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45269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45269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45269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45269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45269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45269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45269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45269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45269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45269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45269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45269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45269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45269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45269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45269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45269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45269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45269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45269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45269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45269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45269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45269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45269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45269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45269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45269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45269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45269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45269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45269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45269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45269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45269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45269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45269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45269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45269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45269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45269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45269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45269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45269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45269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45269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45269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45269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45269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45269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45269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45269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45269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45269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45269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45269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45269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45269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45269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45269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45269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45269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45269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45269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45269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45269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45269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45269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45269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45269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45269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45269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45269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45269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45269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45269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45269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45269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45269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45269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45269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45269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45269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45269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45269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45269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45269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45269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45269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45269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45269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45269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45269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45269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45269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45269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45269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45269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45269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45269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45269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45269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45269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45269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45269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45269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45269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45269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45269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45269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45269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45269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45269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45269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45269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45269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45269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45269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45269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45269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45269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45269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45269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45269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45269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45269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45269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45269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45269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45269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45269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45269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45269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45269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45269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45269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45269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45269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45269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45269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45269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45269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45269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45269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45269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45269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45269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45269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45269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45269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45269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45269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45269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45269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45269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45269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45269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45269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45269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45269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45269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45269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45269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45269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45269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45269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45269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45269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45269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45269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45269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45269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45269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45269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45269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45269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45269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45269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45269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45269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45269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45269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45269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45269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45269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45269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45269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45269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45269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45269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45269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45269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45269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45269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45269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45269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45269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45269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45269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45269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45269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45269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45269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45269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45269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45269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45269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45269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45269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45269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45269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45269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45269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45269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45269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45269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45269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45269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45269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45269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45269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45269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45269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45269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45269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45269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45269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45269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45269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45269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45269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45269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45269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45269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45269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45269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45269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45269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45269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45269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45269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45269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45269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45269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45269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45269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45269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45269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45269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45269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45269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45269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45269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45269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45269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45269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45269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45269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45269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45269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45269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45269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45269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45269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45269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45269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45269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45269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45269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45269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45269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45269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45269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45269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45269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45269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45269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45269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45269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45269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45269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45269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45269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45269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45269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45269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45269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45269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45269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45269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45269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45269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45269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45269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45269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45269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45269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45269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45269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45269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45269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45269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45269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45269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45269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45269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45269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45269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45269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45269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45269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45269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45269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45269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45269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45269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45269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45269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45269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45269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45269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45269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45269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45269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45269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45269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45269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45269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45269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45269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45269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45269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45269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45269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45269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45269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45269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45269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45269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45269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45269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45269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45269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45269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45269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45269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45269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45269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45269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45269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45269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45269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45269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45269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45269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45269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45269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45269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45269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45269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45269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45269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45269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45269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45269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45269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45269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45269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45269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45269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45269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45269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45269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45269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45269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45269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45269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45269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45269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45269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45269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45269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45269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45269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45269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45269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45269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45269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45269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45269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45269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45269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45269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45269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45269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45269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45269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45269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45269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45269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45269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45269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45269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45269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45269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45269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45269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45269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45269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45269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45269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45269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45269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45269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45269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45269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45269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45269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45269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45269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45269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45269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45269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45269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45269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45269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45269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45269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45269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45269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45269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45269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45269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45269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45269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45269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45269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45269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45269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45269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45269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45269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45269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45269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45269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45269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45269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45269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45269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45269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45269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45269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45269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45269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45269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45269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45269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45269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45269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45269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45269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45269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45269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45269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45269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45269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45269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45269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45269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45269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45269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45269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45269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45269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45269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45269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45269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45269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45269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45269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45269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45269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45269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45269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45269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45269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45269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45269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45269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45269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45269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45269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45269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45269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45269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45269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45269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45269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45269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45269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45269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45269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45269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45269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45269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45269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45269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45269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45269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45269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45269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45269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45269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45269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45269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45269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45269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45269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45269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45269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45269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45269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45269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45269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45269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45269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45269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45269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45269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45269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45269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45269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45269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45269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45269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45269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45269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45269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45269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45269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45269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45269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45269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45269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45269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45269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45269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45269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45269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45269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45269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45269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45269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45269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45269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45269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45269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45269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45269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45269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45269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45269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45269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45269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45269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45269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45269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45269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45269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45269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45269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45269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45269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45269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45269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45269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45269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45269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45269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45269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45269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45269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45269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45269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45269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45269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45269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45269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45269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45269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45269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45269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45269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45269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45269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45269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45269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45269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45269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45269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45269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45269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45269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45269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45269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45269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45269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45269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45269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45269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45269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45269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45269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45269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45269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45269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45269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45269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45269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45269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45269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45269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45269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45269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45269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45269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45269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45269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45269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45269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45269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45269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45269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45269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45269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45269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45269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45269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45269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45269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45269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45269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45269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45269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45269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45269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45269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45269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45269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45269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45269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45269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45269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45269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45269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45269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45269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45269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45269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45269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45269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45269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45269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45269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45269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45269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45269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45269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45269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45269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45269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45269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45269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45269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45269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45269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45269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45269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45269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45269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45269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45269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45269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45269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45269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45269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45269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45269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45269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45269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45269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45269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45269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45269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45269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45269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45269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45269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45269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45269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45269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45269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45269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45269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45269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45269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45269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45269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45269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45269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45269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45269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45269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45269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45269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45269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45269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45269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45269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45269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45269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45269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45269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45269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45269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45269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45269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45269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45269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45269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45269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45269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45269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45269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45269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45269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45269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45269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45269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45269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45269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45269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45269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45269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45269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45269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45269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45269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45269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45269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45269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45269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45269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45269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45269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45269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45269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45269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45269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45269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45269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45269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45269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45269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45269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45269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45269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45269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45269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45269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45269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45269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45269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45269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45269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45269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45269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45269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45269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45269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45269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45269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45269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45269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45269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45269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45269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45269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45269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45269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45269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45269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45269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45269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45269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45269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45269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45269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45269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45269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45269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45269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45269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45269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45269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45269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45269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45269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45269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45269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45269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45269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45269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45269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45269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45269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45269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45269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45269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45269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45269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45269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45269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45269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45269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45269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45269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45269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45269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45269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45269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45269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45269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45269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45269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45269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45269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45269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45269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45269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45269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45269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45269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45269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45269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45269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45269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45269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45269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45269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45269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45269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45269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45269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45269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45269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45269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45269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45269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45269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45269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45269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45269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45269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45269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45269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45269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45269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45269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45269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45269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45269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45269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45269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45269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45269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45269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45269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45269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45269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45269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45269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45269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45269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45269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45269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45269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45269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45269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45269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45269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45269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45269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45269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45269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45269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45269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45269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45269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45269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45269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45269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45269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45269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45269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45269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45269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45269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45269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45269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45269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45269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45269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45269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45269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45269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45269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45269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45269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45269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45269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45269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45269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45269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45269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45269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45269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45269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45269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45269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45269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45269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45269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45269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45269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45269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45269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45269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45269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45269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45269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45269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45269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45269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45269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45269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45269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45269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45269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45269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45269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45269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45269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45269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45269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45269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45269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45269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45269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45269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45269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45269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45269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45269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45269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45269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45269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45269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45269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45269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45269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45269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45269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45269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45269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45269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45269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45269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45269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45269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45269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45269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45269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45269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45269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45269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45269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45269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45269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45269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45269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45269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45269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45269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45269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45269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45269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45269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45269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45269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45269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45269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45269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45269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45269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45269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45269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45269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45269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45269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45269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45269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45269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45269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45269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45269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45269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45269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45269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45269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45269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45269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45269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45269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45269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45269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45269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45269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45269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45269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45269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45269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45269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45269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45269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45269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45269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45269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45269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45269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45269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45269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45269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45269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45269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45269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45269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45269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45269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45269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45269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45269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45269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45269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45269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45269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45269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45269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45269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45269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45269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45269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45269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45269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45269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45269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45269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45269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45269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45269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45269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45269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45269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45269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45269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45269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45269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45269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45269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45269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45269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45269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45269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45269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45269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45269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45269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45269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45269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45269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45269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45269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45269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45269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45269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45269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45269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45269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45269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45269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45269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45269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45269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45269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45269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45269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45269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45269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45269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45269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45269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45269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45269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45269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45269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45269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45269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45269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45269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45269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45269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45269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45269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45269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45269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45269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45269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45269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45269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45269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45269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45269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45269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45269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45269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45269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45269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45269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45269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45269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45269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45269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45269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45269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45269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45269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45269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45269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45269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45269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45269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45269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45269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45269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45269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45269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45269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45269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45269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45269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45269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45269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45269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45269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45269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45269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45269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45269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45269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45269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45269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45269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45269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45269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45269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45269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45269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45269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45269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45269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45269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45269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45269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45269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45269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45269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45269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45269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45269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45269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45269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45269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45269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45269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45269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45269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45269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45269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45269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45269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45269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45269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45269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45269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45269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45269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45269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45269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45269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45269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45269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45269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45269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45269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45269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45269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45269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45269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45269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45269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45269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45269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45269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45269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45269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45269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45269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45269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45269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45269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45269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45269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45269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45269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45269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45269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45269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45269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45269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45269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45269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45269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45269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45269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45269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45269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45269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45269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45269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45269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45269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45269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45269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45269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45269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45269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45269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45269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45269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45269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45269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45269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45269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45269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45269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45269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45269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45269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45269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45269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45269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45269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45269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45269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45269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45269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45269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45269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45269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45269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45269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45269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45269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45269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45269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45269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45269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45269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45269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45269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45269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45269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45269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45269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45269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45269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45269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45269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45269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45269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45269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45269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45269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45269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45269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45269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45269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45269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45269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45269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45269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45269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45269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45269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45269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45269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45269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45269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45269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45269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45269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45269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45269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45269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45269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45269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45269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45269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45269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45269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45269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45269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45269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45269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45269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45269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45269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45269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45269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45269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45269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45269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45269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45269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45269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45269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45269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45269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45269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45269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45269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45269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45269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45269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45269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45269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45269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45269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45269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45269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45269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45269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45269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45269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45269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45269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45269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45269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45269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45269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45269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45269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45269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45269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45269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45269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45269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45269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45269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45269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45269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45269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45269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45269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45269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45269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45269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45269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45269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45269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45269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45269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45269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45269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45269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45269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45269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45269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45269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45269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45269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45269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45269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45269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45269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45269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45269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45269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45269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45269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45269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45269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45269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45269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45269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45269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45269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45269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45269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45269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45269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45269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45269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45269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45269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45269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45269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45269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45269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45269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45269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45269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45269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45269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45269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45269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45269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45269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45269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45269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45269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45269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45269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45269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45269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45269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45269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45269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45269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45269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45269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45269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45269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45269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45269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45269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45269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45269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45269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45269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45269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45269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45269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45269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45269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45269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45269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45269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45269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45269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45269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45269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45269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45269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45269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45269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45269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45269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45269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45269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45269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45269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45269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45269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45269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45269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45269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45269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45269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45269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45269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45269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45269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45269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45269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45269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45269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45269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45269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45269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45269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45269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45269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45269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45269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45269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45269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45269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45269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45269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45269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45269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45269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45269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45269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45269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45269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45269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45269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45269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45269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45269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45269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45269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45269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45269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45269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45269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45269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45269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45269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45269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45269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45269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45269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45269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45269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45269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45269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45269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45269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45269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45269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45269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45269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45269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45269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45269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45269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45269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45269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45269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45269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45269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45269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45269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45269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45269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45269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45269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45269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45269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45269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45269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45269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45269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45269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45269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45269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45269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45269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45269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45269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45269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45269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45269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45269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45269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45269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45269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45269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45269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45269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45269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45269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45269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45269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45269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45269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45269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45269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45269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45269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45269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45269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45269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45269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45269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45269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45269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45269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45269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45269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45269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45269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45269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45269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45269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45269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45269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45269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45269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45269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45269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45269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45269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45269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45269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45269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45269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45269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45269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45269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45269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45269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45269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45269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45269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45269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45269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45269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45269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45269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45269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45269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45269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45269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45269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45269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45269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45269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45269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45269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45269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45269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45269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45269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45269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45269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45269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45269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45269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45269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45269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45269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45269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45269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45269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45269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45269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45269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45269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45269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45269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45269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45269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45269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45269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45269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45269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45269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45269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45269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45269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45269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45269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45269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45269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45269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45269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45269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45269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45269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45269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45269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45269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45269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45269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45269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45269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45269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45269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45269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45269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45269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45269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45269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45269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45269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45269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45269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45269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45269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45269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45269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45269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45269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45269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45269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45269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45269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45269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45269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45269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45269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45269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45269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45269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45269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45269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45269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45269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45269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45269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45269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45269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45269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45269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45269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45269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45269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45269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45269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45269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45269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45269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45269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45269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45269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45269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45269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45269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45269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45269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45269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45269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45269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45269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45269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45269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45269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45269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45269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45269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45269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45269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45269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45269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45269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45269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45269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45269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45269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45269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45269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45269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45269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45269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45269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45269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45269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45269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45269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45269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45269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45269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45269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45269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45269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45269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45269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45269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45269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45269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45269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45269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45269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45269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45269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45269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45269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45269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45269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45269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45269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45269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45269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45269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45269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45269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45269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45269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45269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45269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45269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45269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45269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45269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45269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45269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45269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45269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45269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45269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45269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45269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45269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45269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45269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45269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45269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45269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45269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45269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45269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45269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45269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45269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45269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45269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45269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45269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45269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45269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45269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45269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45269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45269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45269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45269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45269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45269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45269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45269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45269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45269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45269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45269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45269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45269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45269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45269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45269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45269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45269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45269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45269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45269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45269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45269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45269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45269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45269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45269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45269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45269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45269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45269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45269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45269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45269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45269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45269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45269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45269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45269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45269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45269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45269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45269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45269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45269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45269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45269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45269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45269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45269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45269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45269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45269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45269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45269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45269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45269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45269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45269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45269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45269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45269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45269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45269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45269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45269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45269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45269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45269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45269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45269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45269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45269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45269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45269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45269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45269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45269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45269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45269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45269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45269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45269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45269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45269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45269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45269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45269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45269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45269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45269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45269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45269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45269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45269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45269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45269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45269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45269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45269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45269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45269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45269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45269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45269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45269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45269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45269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45269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45269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45269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45269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45269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45269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45269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45269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45269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45269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45269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45269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45269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45269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45269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45269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45269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45269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45269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45269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45269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45269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45269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45269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45269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45269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45269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45269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45269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45269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45269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45269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45269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45269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45269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45269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45269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45269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45269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45269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45269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45269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45269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45269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45269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45269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45269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45269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45269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45269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45269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45269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45269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45269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45269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45269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45269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45269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45269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45269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45269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45269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45269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45269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45269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45269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45269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45269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45269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45269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45269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45269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45269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45269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45269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45269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45269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45269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45269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45269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45269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45269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45269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45269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45269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45269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45269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45269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45269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45269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45269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45269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45269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45269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45269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45269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45269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45269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45269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45269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45269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45269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45269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45269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45269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45269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45269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45269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45269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45269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45269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45269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45269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45269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45269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45269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45269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45269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45269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45269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45269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45269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45269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45269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45269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45269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45269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45269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45269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45269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45269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45269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45269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45269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45269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45269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45269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45269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45269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45269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45269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45269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45269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45269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45269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45269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45269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45269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45269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45269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45269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45269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45269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45269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45269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45269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45269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45269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45269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45269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45269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45269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45269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45269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45269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45269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45269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45269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45269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45269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45269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45269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45269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45269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45269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45269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45269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45269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45269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45269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45269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45269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45269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45269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45269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45269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45269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45269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45269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45269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45269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45269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45269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45269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45269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45269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45269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45269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45269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45269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45269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45269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45269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45269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45269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45269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45269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45269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45269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45269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45269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45269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45269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45269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45269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45269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45269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45269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45269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45269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45269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45269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45269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45269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45269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45269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45269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45269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45269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45269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45269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45269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45269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45269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45269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45269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45269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45269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45269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45269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45269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45269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45269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45269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45269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45269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45269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45269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45269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45269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45269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45269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45269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45269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45269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45269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45269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45269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45269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45269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45269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45269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45269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45269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45269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45269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45269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45269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45269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45269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45269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45269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45269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45269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45269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45269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45269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45269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45269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45269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45269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45269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45269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45269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45269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45269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45269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45269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45269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45269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45269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45269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45269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45269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45269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45269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45269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45269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45269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45269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45269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45269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45269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45269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45269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45269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45269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45269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45269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45269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45269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45269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45269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45269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45269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45269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45269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45269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45269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45269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45269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45269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45269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45269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45269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45269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45269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45269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45269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45269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45269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45269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45269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45269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45269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45269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45269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45269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45269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45269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45269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45269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45269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45269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45269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45269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45269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45269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45269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45269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45269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45269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45269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45269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45269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45269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45269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45269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45269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45269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45269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45269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45269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45269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45269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45269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45269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45269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45269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45269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45269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45269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45269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45269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45269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45269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45269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45269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45269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45269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45269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45269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45269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45269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45269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45269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45269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45269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45269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45269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45269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45269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45269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45269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45269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45269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45269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45269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45269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45269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45269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45269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45269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45269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45269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45269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45269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45269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45269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45269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45269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45269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45269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45269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45269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45269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45269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45269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45269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45269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45269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45269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45269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45269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45269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45269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45269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45269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45269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45269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45269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45269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45269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45269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45269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45269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45269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45269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45269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45269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45269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45269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45269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45269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45269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45269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45269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45269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45269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45269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45269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45269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45269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45269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45269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45269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45269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45269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45269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45269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45269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45269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45269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45269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45269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45269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45269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45269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45269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45269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45269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45269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45269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45269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45269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45269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45269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45269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45269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45269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45269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45269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45269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45269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45269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45269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45269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45269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45269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45269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45269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45269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45269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45269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45269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45269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45269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45269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45269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45269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45269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45269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45269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45269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45269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45269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45269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45269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45269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45269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45269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45269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45269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45269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45269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45269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45269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45269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45269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45269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45269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45269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45269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45269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56163-2023</t>
        </is>
      </c>
      <c r="B2705" s="1" t="n">
        <v>45240</v>
      </c>
      <c r="C2705" s="1" t="n">
        <v>45269</v>
      </c>
      <c r="D2705" t="inlineStr">
        <is>
          <t>VÄSTERBOTTENS LÄN</t>
        </is>
      </c>
      <c r="E2705" t="inlineStr">
        <is>
          <t>SKELLEFTEÅ</t>
        </is>
      </c>
      <c r="G2705" t="n">
        <v>7.9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56153-2023</t>
        </is>
      </c>
      <c r="B2706" s="1" t="n">
        <v>45240</v>
      </c>
      <c r="C2706" s="1" t="n">
        <v>45269</v>
      </c>
      <c r="D2706" t="inlineStr">
        <is>
          <t>VÄSTERBOTTENS LÄN</t>
        </is>
      </c>
      <c r="E2706" t="inlineStr">
        <is>
          <t>SKELLEFTEÅ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55986-2023</t>
        </is>
      </c>
      <c r="B2707" s="1" t="n">
        <v>45240</v>
      </c>
      <c r="C2707" s="1" t="n">
        <v>45269</v>
      </c>
      <c r="D2707" t="inlineStr">
        <is>
          <t>VÄSTERBOTTENS LÄN</t>
        </is>
      </c>
      <c r="E2707" t="inlineStr">
        <is>
          <t>SKELLEFTEÅ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56143-2023</t>
        </is>
      </c>
      <c r="B2708" s="1" t="n">
        <v>45240</v>
      </c>
      <c r="C2708" s="1" t="n">
        <v>45269</v>
      </c>
      <c r="D2708" t="inlineStr">
        <is>
          <t>VÄSTERBOTTENS LÄN</t>
        </is>
      </c>
      <c r="E2708" t="inlineStr">
        <is>
          <t>SKELLEFTEÅ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56265-2023</t>
        </is>
      </c>
      <c r="B2709" s="1" t="n">
        <v>45240</v>
      </c>
      <c r="C2709" s="1" t="n">
        <v>45269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57440-2023</t>
        </is>
      </c>
      <c r="B2710" s="1" t="n">
        <v>45240</v>
      </c>
      <c r="C2710" s="1" t="n">
        <v>45269</v>
      </c>
      <c r="D2710" t="inlineStr">
        <is>
          <t>VÄSTERBOTTENS LÄN</t>
        </is>
      </c>
      <c r="E2710" t="inlineStr">
        <is>
          <t>SKELLEFTEÅ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56203-2023</t>
        </is>
      </c>
      <c r="B2711" s="1" t="n">
        <v>45240</v>
      </c>
      <c r="C2711" s="1" t="n">
        <v>45269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Holmen skog AB</t>
        </is>
      </c>
      <c r="G2711" t="n">
        <v>29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45269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57437-2023</t>
        </is>
      </c>
      <c r="B2713" s="1" t="n">
        <v>45240</v>
      </c>
      <c r="C2713" s="1" t="n">
        <v>45269</v>
      </c>
      <c r="D2713" t="inlineStr">
        <is>
          <t>VÄSTERBOTTENS LÄN</t>
        </is>
      </c>
      <c r="E2713" t="inlineStr">
        <is>
          <t>SKELLEFTEÅ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56264-2023</t>
        </is>
      </c>
      <c r="B2714" s="1" t="n">
        <v>45240</v>
      </c>
      <c r="C2714" s="1" t="n">
        <v>45269</v>
      </c>
      <c r="D2714" t="inlineStr">
        <is>
          <t>VÄSTERBOTTENS LÄN</t>
        </is>
      </c>
      <c r="E2714" t="inlineStr">
        <is>
          <t>SKELLEFTEÅ</t>
        </is>
      </c>
      <c r="F2714" t="inlineStr">
        <is>
          <t>SCA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45269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56375-2023</t>
        </is>
      </c>
      <c r="B2716" s="1" t="n">
        <v>45243</v>
      </c>
      <c r="C2716" s="1" t="n">
        <v>45269</v>
      </c>
      <c r="D2716" t="inlineStr">
        <is>
          <t>VÄSTERBOTTENS LÄN</t>
        </is>
      </c>
      <c r="E2716" t="inlineStr">
        <is>
          <t>SKELLEFTEÅ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56471-2023</t>
        </is>
      </c>
      <c r="B2717" s="1" t="n">
        <v>45243</v>
      </c>
      <c r="C2717" s="1" t="n">
        <v>45269</v>
      </c>
      <c r="D2717" t="inlineStr">
        <is>
          <t>VÄSTERBOTTENS LÄN</t>
        </is>
      </c>
      <c r="E2717" t="inlineStr">
        <is>
          <t>SKELLEFTEÅ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56463-2023</t>
        </is>
      </c>
      <c r="B2718" s="1" t="n">
        <v>45243</v>
      </c>
      <c r="C2718" s="1" t="n">
        <v>45269</v>
      </c>
      <c r="D2718" t="inlineStr">
        <is>
          <t>VÄSTERBOTTENS LÄN</t>
        </is>
      </c>
      <c r="E2718" t="inlineStr">
        <is>
          <t>SKELLEFTEÅ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56450-2023</t>
        </is>
      </c>
      <c r="B2719" s="1" t="n">
        <v>45243</v>
      </c>
      <c r="C2719" s="1" t="n">
        <v>45269</v>
      </c>
      <c r="D2719" t="inlineStr">
        <is>
          <t>VÄSTERBOTTENS LÄN</t>
        </is>
      </c>
      <c r="E2719" t="inlineStr">
        <is>
          <t>SKELLEFTEÅ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56548-2023</t>
        </is>
      </c>
      <c r="B2720" s="1" t="n">
        <v>45243</v>
      </c>
      <c r="C2720" s="1" t="n">
        <v>45269</v>
      </c>
      <c r="D2720" t="inlineStr">
        <is>
          <t>VÄSTERBOTTENS LÄN</t>
        </is>
      </c>
      <c r="E2720" t="inlineStr">
        <is>
          <t>SKELLEFTEÅ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56653-2023</t>
        </is>
      </c>
      <c r="B2721" s="1" t="n">
        <v>45243</v>
      </c>
      <c r="C2721" s="1" t="n">
        <v>45269</v>
      </c>
      <c r="D2721" t="inlineStr">
        <is>
          <t>VÄSTERBOTTENS LÄN</t>
        </is>
      </c>
      <c r="E2721" t="inlineStr">
        <is>
          <t>SKELLEFTEÅ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57558-2023</t>
        </is>
      </c>
      <c r="B2722" s="1" t="n">
        <v>45243</v>
      </c>
      <c r="C2722" s="1" t="n">
        <v>45269</v>
      </c>
      <c r="D2722" t="inlineStr">
        <is>
          <t>VÄSTERBOTTENS LÄN</t>
        </is>
      </c>
      <c r="E2722" t="inlineStr">
        <is>
          <t>SKELLEFTEÅ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45269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45269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45269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45269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45269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45269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45269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57926-2023</t>
        </is>
      </c>
      <c r="B2730" s="1" t="n">
        <v>45247</v>
      </c>
      <c r="C2730" s="1" t="n">
        <v>45269</v>
      </c>
      <c r="D2730" t="inlineStr">
        <is>
          <t>VÄSTERBOTTENS LÄN</t>
        </is>
      </c>
      <c r="E2730" t="inlineStr">
        <is>
          <t>SKELLEFTEÅ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57958-2023</t>
        </is>
      </c>
      <c r="B2731" s="1" t="n">
        <v>45247</v>
      </c>
      <c r="C2731" s="1" t="n">
        <v>45269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Holmen skog AB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57838-2023</t>
        </is>
      </c>
      <c r="B2732" s="1" t="n">
        <v>45247</v>
      </c>
      <c r="C2732" s="1" t="n">
        <v>45269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58072-2023</t>
        </is>
      </c>
      <c r="B2733" s="1" t="n">
        <v>45247</v>
      </c>
      <c r="C2733" s="1" t="n">
        <v>45269</v>
      </c>
      <c r="D2733" t="inlineStr">
        <is>
          <t>VÄSTERBOTTENS LÄN</t>
        </is>
      </c>
      <c r="E2733" t="inlineStr">
        <is>
          <t>SKELLEFTEÅ</t>
        </is>
      </c>
      <c r="G2733" t="n">
        <v>8.199999999999999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58043-2023</t>
        </is>
      </c>
      <c r="B2734" s="1" t="n">
        <v>45247</v>
      </c>
      <c r="C2734" s="1" t="n">
        <v>45269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45269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58008-2023</t>
        </is>
      </c>
      <c r="B2736" s="1" t="n">
        <v>45247</v>
      </c>
      <c r="C2736" s="1" t="n">
        <v>45269</v>
      </c>
      <c r="D2736" t="inlineStr">
        <is>
          <t>VÄSTERBOTTENS LÄN</t>
        </is>
      </c>
      <c r="E2736" t="inlineStr">
        <is>
          <t>SKELLEFTEÅ</t>
        </is>
      </c>
      <c r="G2736" t="n">
        <v>7.3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58069-2023</t>
        </is>
      </c>
      <c r="B2737" s="1" t="n">
        <v>45247</v>
      </c>
      <c r="C2737" s="1" t="n">
        <v>45269</v>
      </c>
      <c r="D2737" t="inlineStr">
        <is>
          <t>VÄSTERBOTTENS LÄN</t>
        </is>
      </c>
      <c r="E2737" t="inlineStr">
        <is>
          <t>SKELLEFTEÅ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58680-2023</t>
        </is>
      </c>
      <c r="B2738" s="1" t="n">
        <v>45247</v>
      </c>
      <c r="C2738" s="1" t="n">
        <v>45269</v>
      </c>
      <c r="D2738" t="inlineStr">
        <is>
          <t>VÄSTERBOTTENS LÄN</t>
        </is>
      </c>
      <c r="E2738" t="inlineStr">
        <is>
          <t>SKELLEFTEÅ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58701-2023</t>
        </is>
      </c>
      <c r="B2739" s="1" t="n">
        <v>45247</v>
      </c>
      <c r="C2739" s="1" t="n">
        <v>45269</v>
      </c>
      <c r="D2739" t="inlineStr">
        <is>
          <t>VÄSTERBOTTENS LÄN</t>
        </is>
      </c>
      <c r="E2739" t="inlineStr">
        <is>
          <t>SKELLEFTEÅ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58821-2023</t>
        </is>
      </c>
      <c r="B2740" s="1" t="n">
        <v>45247</v>
      </c>
      <c r="C2740" s="1" t="n">
        <v>45269</v>
      </c>
      <c r="D2740" t="inlineStr">
        <is>
          <t>VÄSTERBOTTENS LÄN</t>
        </is>
      </c>
      <c r="E2740" t="inlineStr">
        <is>
          <t>SKELLEFTEÅ</t>
        </is>
      </c>
      <c r="G2740" t="n">
        <v>15.6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58117-2023</t>
        </is>
      </c>
      <c r="B2741" s="1" t="n">
        <v>45249</v>
      </c>
      <c r="C2741" s="1" t="n">
        <v>45269</v>
      </c>
      <c r="D2741" t="inlineStr">
        <is>
          <t>VÄSTERBOTTENS LÄN</t>
        </is>
      </c>
      <c r="E2741" t="inlineStr">
        <is>
          <t>SKELLEFTEÅ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58940-2023</t>
        </is>
      </c>
      <c r="B2742" s="1" t="n">
        <v>45250</v>
      </c>
      <c r="C2742" s="1" t="n">
        <v>45269</v>
      </c>
      <c r="D2742" t="inlineStr">
        <is>
          <t>VÄSTERBOTTENS LÄN</t>
        </is>
      </c>
      <c r="E2742" t="inlineStr">
        <is>
          <t>SKELLEFTEÅ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58194-2023</t>
        </is>
      </c>
      <c r="B2743" s="1" t="n">
        <v>45250</v>
      </c>
      <c r="C2743" s="1" t="n">
        <v>45269</v>
      </c>
      <c r="D2743" t="inlineStr">
        <is>
          <t>VÄSTERBOTTENS LÄN</t>
        </is>
      </c>
      <c r="E2743" t="inlineStr">
        <is>
          <t>SKELLEFTEÅ</t>
        </is>
      </c>
      <c r="G2743" t="n">
        <v>10.1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58517-2023</t>
        </is>
      </c>
      <c r="B2744" s="1" t="n">
        <v>45251</v>
      </c>
      <c r="C2744" s="1" t="n">
        <v>45269</v>
      </c>
      <c r="D2744" t="inlineStr">
        <is>
          <t>VÄSTERBOTTENS LÄN</t>
        </is>
      </c>
      <c r="E2744" t="inlineStr">
        <is>
          <t>SKELLEFTEÅ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58503-2023</t>
        </is>
      </c>
      <c r="B2745" s="1" t="n">
        <v>45251</v>
      </c>
      <c r="C2745" s="1" t="n">
        <v>45269</v>
      </c>
      <c r="D2745" t="inlineStr">
        <is>
          <t>VÄSTERBOTTENS LÄN</t>
        </is>
      </c>
      <c r="E2745" t="inlineStr">
        <is>
          <t>SKELLEFTEÅ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58525-2023</t>
        </is>
      </c>
      <c r="B2746" s="1" t="n">
        <v>45251</v>
      </c>
      <c r="C2746" s="1" t="n">
        <v>45269</v>
      </c>
      <c r="D2746" t="inlineStr">
        <is>
          <t>VÄSTERBOTTENS LÄN</t>
        </is>
      </c>
      <c r="E2746" t="inlineStr">
        <is>
          <t>SKELLEFTEÅ</t>
        </is>
      </c>
      <c r="F2746" t="inlineStr">
        <is>
          <t>Holmen skog AB</t>
        </is>
      </c>
      <c r="G2746" t="n">
        <v>19.1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58546-2023</t>
        </is>
      </c>
      <c r="B2747" s="1" t="n">
        <v>45251</v>
      </c>
      <c r="C2747" s="1" t="n">
        <v>45269</v>
      </c>
      <c r="D2747" t="inlineStr">
        <is>
          <t>VÄSTERBOTTENS LÄN</t>
        </is>
      </c>
      <c r="E2747" t="inlineStr">
        <is>
          <t>SKELLEFTEÅ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58560-2023</t>
        </is>
      </c>
      <c r="B2748" s="1" t="n">
        <v>45251</v>
      </c>
      <c r="C2748" s="1" t="n">
        <v>45269</v>
      </c>
      <c r="D2748" t="inlineStr">
        <is>
          <t>VÄSTERBOTTENS LÄN</t>
        </is>
      </c>
      <c r="E2748" t="inlineStr">
        <is>
          <t>SKELLEFTEÅ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58566-2023</t>
        </is>
      </c>
      <c r="B2749" s="1" t="n">
        <v>45251</v>
      </c>
      <c r="C2749" s="1" t="n">
        <v>45269</v>
      </c>
      <c r="D2749" t="inlineStr">
        <is>
          <t>VÄSTERBOTTENS LÄN</t>
        </is>
      </c>
      <c r="E2749" t="inlineStr">
        <is>
          <t>SKELLEFTEÅ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58752-2023</t>
        </is>
      </c>
      <c r="B2750" s="1" t="n">
        <v>45251</v>
      </c>
      <c r="C2750" s="1" t="n">
        <v>45269</v>
      </c>
      <c r="D2750" t="inlineStr">
        <is>
          <t>VÄSTERBOTTENS LÄN</t>
        </is>
      </c>
      <c r="E2750" t="inlineStr">
        <is>
          <t>SKELLEFTEÅ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58555-2023</t>
        </is>
      </c>
      <c r="B2751" s="1" t="n">
        <v>45251</v>
      </c>
      <c r="C2751" s="1" t="n">
        <v>45269</v>
      </c>
      <c r="D2751" t="inlineStr">
        <is>
          <t>VÄSTERBOTTENS LÄN</t>
        </is>
      </c>
      <c r="E2751" t="inlineStr">
        <is>
          <t>SKELLEFTEÅ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58750-2023</t>
        </is>
      </c>
      <c r="B2752" s="1" t="n">
        <v>45251</v>
      </c>
      <c r="C2752" s="1" t="n">
        <v>45269</v>
      </c>
      <c r="D2752" t="inlineStr">
        <is>
          <t>VÄSTERBOTTENS LÄN</t>
        </is>
      </c>
      <c r="E2752" t="inlineStr">
        <is>
          <t>SKELLEFTEÅ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58754-2023</t>
        </is>
      </c>
      <c r="B2753" s="1" t="n">
        <v>45251</v>
      </c>
      <c r="C2753" s="1" t="n">
        <v>45269</v>
      </c>
      <c r="D2753" t="inlineStr">
        <is>
          <t>VÄSTERBOTTENS LÄN</t>
        </is>
      </c>
      <c r="E2753" t="inlineStr">
        <is>
          <t>SKELLEFTEÅ</t>
        </is>
      </c>
      <c r="G2753" t="n">
        <v>8.199999999999999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59127-2023</t>
        </is>
      </c>
      <c r="B2754" s="1" t="n">
        <v>45251</v>
      </c>
      <c r="C2754" s="1" t="n">
        <v>45269</v>
      </c>
      <c r="D2754" t="inlineStr">
        <is>
          <t>VÄSTERBOTTENS LÄN</t>
        </is>
      </c>
      <c r="E2754" t="inlineStr">
        <is>
          <t>SKELLEFTEÅ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59165-2023</t>
        </is>
      </c>
      <c r="B2755" s="1" t="n">
        <v>45251</v>
      </c>
      <c r="C2755" s="1" t="n">
        <v>45269</v>
      </c>
      <c r="D2755" t="inlineStr">
        <is>
          <t>VÄSTERBOTTENS LÄN</t>
        </is>
      </c>
      <c r="E2755" t="inlineStr">
        <is>
          <t>SKELLEFTEÅ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58575-2023</t>
        </is>
      </c>
      <c r="B2756" s="1" t="n">
        <v>45251</v>
      </c>
      <c r="C2756" s="1" t="n">
        <v>45269</v>
      </c>
      <c r="D2756" t="inlineStr">
        <is>
          <t>VÄSTERBOTTENS LÄN</t>
        </is>
      </c>
      <c r="E2756" t="inlineStr">
        <is>
          <t>SKELLEFTEÅ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58672-2023</t>
        </is>
      </c>
      <c r="B2757" s="1" t="n">
        <v>45251</v>
      </c>
      <c r="C2757" s="1" t="n">
        <v>45269</v>
      </c>
      <c r="D2757" t="inlineStr">
        <is>
          <t>VÄSTERBOTTENS LÄN</t>
        </is>
      </c>
      <c r="E2757" t="inlineStr">
        <is>
          <t>SKELLEFTEÅ</t>
        </is>
      </c>
      <c r="F2757" t="inlineStr">
        <is>
          <t>Holmen skog AB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58751-2023</t>
        </is>
      </c>
      <c r="B2758" s="1" t="n">
        <v>45251</v>
      </c>
      <c r="C2758" s="1" t="n">
        <v>45269</v>
      </c>
      <c r="D2758" t="inlineStr">
        <is>
          <t>VÄSTERBOTTENS LÄN</t>
        </is>
      </c>
      <c r="E2758" t="inlineStr">
        <is>
          <t>SKELLEFTEÅ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58755-2023</t>
        </is>
      </c>
      <c r="B2759" s="1" t="n">
        <v>45251</v>
      </c>
      <c r="C2759" s="1" t="n">
        <v>45269</v>
      </c>
      <c r="D2759" t="inlineStr">
        <is>
          <t>VÄSTERBOTTENS LÄN</t>
        </is>
      </c>
      <c r="E2759" t="inlineStr">
        <is>
          <t>SKELLEFTEÅ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58838-2023</t>
        </is>
      </c>
      <c r="B2760" s="1" t="n">
        <v>45252</v>
      </c>
      <c r="C2760" s="1" t="n">
        <v>45269</v>
      </c>
      <c r="D2760" t="inlineStr">
        <is>
          <t>VÄSTERBOTTENS LÄN</t>
        </is>
      </c>
      <c r="E2760" t="inlineStr">
        <is>
          <t>SKELLEFTEÅ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59245-2023</t>
        </is>
      </c>
      <c r="B2761" s="1" t="n">
        <v>45252</v>
      </c>
      <c r="C2761" s="1" t="n">
        <v>45269</v>
      </c>
      <c r="D2761" t="inlineStr">
        <is>
          <t>VÄSTERBOTTENS LÄN</t>
        </is>
      </c>
      <c r="E2761" t="inlineStr">
        <is>
          <t>SKELLEFTEÅ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59242-2023</t>
        </is>
      </c>
      <c r="B2762" s="1" t="n">
        <v>45252</v>
      </c>
      <c r="C2762" s="1" t="n">
        <v>45269</v>
      </c>
      <c r="D2762" t="inlineStr">
        <is>
          <t>VÄSTERBOTTENS LÄN</t>
        </is>
      </c>
      <c r="E2762" t="inlineStr">
        <is>
          <t>SKELLEFTEÅ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59406-2023</t>
        </is>
      </c>
      <c r="B2763" s="1" t="n">
        <v>45253</v>
      </c>
      <c r="C2763" s="1" t="n">
        <v>45269</v>
      </c>
      <c r="D2763" t="inlineStr">
        <is>
          <t>VÄSTERBOTTENS LÄN</t>
        </is>
      </c>
      <c r="E2763" t="inlineStr">
        <is>
          <t>SKELLEFTEÅ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59648-2023</t>
        </is>
      </c>
      <c r="B2764" s="1" t="n">
        <v>45253</v>
      </c>
      <c r="C2764" s="1" t="n">
        <v>45269</v>
      </c>
      <c r="D2764" t="inlineStr">
        <is>
          <t>VÄSTERBOTTENS LÄN</t>
        </is>
      </c>
      <c r="E2764" t="inlineStr">
        <is>
          <t>SKELLEFTEÅ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59647-2023</t>
        </is>
      </c>
      <c r="B2765" s="1" t="n">
        <v>45253</v>
      </c>
      <c r="C2765" s="1" t="n">
        <v>45269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59653-2023</t>
        </is>
      </c>
      <c r="B2766" s="1" t="n">
        <v>45254</v>
      </c>
      <c r="C2766" s="1" t="n">
        <v>45269</v>
      </c>
      <c r="D2766" t="inlineStr">
        <is>
          <t>VÄSTERBOTTENS LÄN</t>
        </is>
      </c>
      <c r="E2766" t="inlineStr">
        <is>
          <t>SKELLEFTEÅ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59945-2023</t>
        </is>
      </c>
      <c r="B2767" s="1" t="n">
        <v>45254</v>
      </c>
      <c r="C2767" s="1" t="n">
        <v>45269</v>
      </c>
      <c r="D2767" t="inlineStr">
        <is>
          <t>VÄSTERBOTTENS LÄN</t>
        </is>
      </c>
      <c r="E2767" t="inlineStr">
        <is>
          <t>SKELLEFTEÅ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59791-2023</t>
        </is>
      </c>
      <c r="B2768" s="1" t="n">
        <v>45257</v>
      </c>
      <c r="C2768" s="1" t="n">
        <v>45269</v>
      </c>
      <c r="D2768" t="inlineStr">
        <is>
          <t>VÄSTERBOTTENS LÄN</t>
        </is>
      </c>
      <c r="E2768" t="inlineStr">
        <is>
          <t>SKELLEFTEÅ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59788-2023</t>
        </is>
      </c>
      <c r="B2769" s="1" t="n">
        <v>45257</v>
      </c>
      <c r="C2769" s="1" t="n">
        <v>45269</v>
      </c>
      <c r="D2769" t="inlineStr">
        <is>
          <t>VÄSTERBOTTENS LÄN</t>
        </is>
      </c>
      <c r="E2769" t="inlineStr">
        <is>
          <t>SKELLEFTEÅ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59793-2023</t>
        </is>
      </c>
      <c r="B2770" s="1" t="n">
        <v>45257</v>
      </c>
      <c r="C2770" s="1" t="n">
        <v>45269</v>
      </c>
      <c r="D2770" t="inlineStr">
        <is>
          <t>VÄSTERBOTTENS LÄN</t>
        </is>
      </c>
      <c r="E2770" t="inlineStr">
        <is>
          <t>SKELLEFTEÅ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60109-2023</t>
        </is>
      </c>
      <c r="B2771" s="1" t="n">
        <v>45257</v>
      </c>
      <c r="C2771" s="1" t="n">
        <v>45269</v>
      </c>
      <c r="D2771" t="inlineStr">
        <is>
          <t>VÄSTERBOTTENS LÄN</t>
        </is>
      </c>
      <c r="E2771" t="inlineStr">
        <is>
          <t>SKELLEFTEÅ</t>
        </is>
      </c>
      <c r="G2771" t="n">
        <v>7.2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60130-2023</t>
        </is>
      </c>
      <c r="B2772" s="1" t="n">
        <v>45257</v>
      </c>
      <c r="C2772" s="1" t="n">
        <v>45269</v>
      </c>
      <c r="D2772" t="inlineStr">
        <is>
          <t>VÄSTERBOTTENS LÄN</t>
        </is>
      </c>
      <c r="E2772" t="inlineStr">
        <is>
          <t>SKELLEFTEÅ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59798-2023</t>
        </is>
      </c>
      <c r="B2773" s="1" t="n">
        <v>45257</v>
      </c>
      <c r="C2773" s="1" t="n">
        <v>45269</v>
      </c>
      <c r="D2773" t="inlineStr">
        <is>
          <t>VÄSTERBOTTENS LÄN</t>
        </is>
      </c>
      <c r="E2773" t="inlineStr">
        <is>
          <t>SKELLEFTEÅ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59907-2023</t>
        </is>
      </c>
      <c r="B2774" s="1" t="n">
        <v>45257</v>
      </c>
      <c r="C2774" s="1" t="n">
        <v>45269</v>
      </c>
      <c r="D2774" t="inlineStr">
        <is>
          <t>VÄSTERBOTTENS LÄN</t>
        </is>
      </c>
      <c r="E2774" t="inlineStr">
        <is>
          <t>SKELLEFTEÅ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59919-2023</t>
        </is>
      </c>
      <c r="B2775" s="1" t="n">
        <v>45257</v>
      </c>
      <c r="C2775" s="1" t="n">
        <v>45269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60451-2023</t>
        </is>
      </c>
      <c r="B2776" s="1" t="n">
        <v>45258</v>
      </c>
      <c r="C2776" s="1" t="n">
        <v>45269</v>
      </c>
      <c r="D2776" t="inlineStr">
        <is>
          <t>VÄSTERBOTTENS LÄN</t>
        </is>
      </c>
      <c r="E2776" t="inlineStr">
        <is>
          <t>SKELLEFTEÅ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60305-2023</t>
        </is>
      </c>
      <c r="B2777" s="1" t="n">
        <v>45258</v>
      </c>
      <c r="C2777" s="1" t="n">
        <v>45269</v>
      </c>
      <c r="D2777" t="inlineStr">
        <is>
          <t>VÄSTERBOTTENS LÄN</t>
        </is>
      </c>
      <c r="E2777" t="inlineStr">
        <is>
          <t>SKELLEFTEÅ</t>
        </is>
      </c>
      <c r="G2777" t="n">
        <v>9.699999999999999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60479-2023</t>
        </is>
      </c>
      <c r="B2778" s="1" t="n">
        <v>45258</v>
      </c>
      <c r="C2778" s="1" t="n">
        <v>45269</v>
      </c>
      <c r="D2778" t="inlineStr">
        <is>
          <t>VÄSTERBOTTENS LÄN</t>
        </is>
      </c>
      <c r="E2778" t="inlineStr">
        <is>
          <t>SKELLEFTEÅ</t>
        </is>
      </c>
      <c r="G2778" t="n">
        <v>21.5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60339-2023</t>
        </is>
      </c>
      <c r="B2779" s="1" t="n">
        <v>45259</v>
      </c>
      <c r="C2779" s="1" t="n">
        <v>45269</v>
      </c>
      <c r="D2779" t="inlineStr">
        <is>
          <t>VÄSTERBOTTENS LÄN</t>
        </is>
      </c>
      <c r="E2779" t="inlineStr">
        <is>
          <t>SKELLEFTEÅ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60569-2023</t>
        </is>
      </c>
      <c r="B2780" s="1" t="n">
        <v>45259</v>
      </c>
      <c r="C2780" s="1" t="n">
        <v>45269</v>
      </c>
      <c r="D2780" t="inlineStr">
        <is>
          <t>VÄSTERBOTTENS LÄN</t>
        </is>
      </c>
      <c r="E2780" t="inlineStr">
        <is>
          <t>SKELLEFTEÅ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61049-2023</t>
        </is>
      </c>
      <c r="B2781" s="1" t="n">
        <v>45259</v>
      </c>
      <c r="C2781" s="1" t="n">
        <v>45269</v>
      </c>
      <c r="D2781" t="inlineStr">
        <is>
          <t>VÄSTERBOTTENS LÄN</t>
        </is>
      </c>
      <c r="E2781" t="inlineStr">
        <is>
          <t>SKELLEFTEÅ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61064-2023</t>
        </is>
      </c>
      <c r="B2782" s="1" t="n">
        <v>45259</v>
      </c>
      <c r="C2782" s="1" t="n">
        <v>45269</v>
      </c>
      <c r="D2782" t="inlineStr">
        <is>
          <t>VÄSTERBOTTENS LÄN</t>
        </is>
      </c>
      <c r="E2782" t="inlineStr">
        <is>
          <t>SKELLEFTEÅ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61069-2023</t>
        </is>
      </c>
      <c r="B2783" s="1" t="n">
        <v>45259</v>
      </c>
      <c r="C2783" s="1" t="n">
        <v>45269</v>
      </c>
      <c r="D2783" t="inlineStr">
        <is>
          <t>VÄSTERBOTTENS LÄN</t>
        </is>
      </c>
      <c r="E2783" t="inlineStr">
        <is>
          <t>SKELLEFTEÅ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60614-2023</t>
        </is>
      </c>
      <c r="B2784" s="1" t="n">
        <v>45260</v>
      </c>
      <c r="C2784" s="1" t="n">
        <v>45269</v>
      </c>
      <c r="D2784" t="inlineStr">
        <is>
          <t>VÄSTERBOTTENS LÄN</t>
        </is>
      </c>
      <c r="E2784" t="inlineStr">
        <is>
          <t>SKELLEFTEÅ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60612-2023</t>
        </is>
      </c>
      <c r="B2785" s="1" t="n">
        <v>45260</v>
      </c>
      <c r="C2785" s="1" t="n">
        <v>45269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60601-2023</t>
        </is>
      </c>
      <c r="B2786" s="1" t="n">
        <v>45260</v>
      </c>
      <c r="C2786" s="1" t="n">
        <v>45269</v>
      </c>
      <c r="D2786" t="inlineStr">
        <is>
          <t>VÄSTERBOTTENS LÄN</t>
        </is>
      </c>
      <c r="E2786" t="inlineStr">
        <is>
          <t>SKELLEFTEÅ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61087-2023</t>
        </is>
      </c>
      <c r="B2787" s="1" t="n">
        <v>45260</v>
      </c>
      <c r="C2787" s="1" t="n">
        <v>45269</v>
      </c>
      <c r="D2787" t="inlineStr">
        <is>
          <t>VÄSTERBOTTENS LÄN</t>
        </is>
      </c>
      <c r="E2787" t="inlineStr">
        <is>
          <t>SKELLEFTEÅ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60785-2023</t>
        </is>
      </c>
      <c r="B2788" s="1" t="n">
        <v>45260</v>
      </c>
      <c r="C2788" s="1" t="n">
        <v>45269</v>
      </c>
      <c r="D2788" t="inlineStr">
        <is>
          <t>VÄSTERBOTTENS LÄN</t>
        </is>
      </c>
      <c r="E2788" t="inlineStr">
        <is>
          <t>SKELLEFTEÅ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61089-2023</t>
        </is>
      </c>
      <c r="B2789" s="1" t="n">
        <v>45260</v>
      </c>
      <c r="C2789" s="1" t="n">
        <v>45269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60896-2023</t>
        </is>
      </c>
      <c r="B2790" s="1" t="n">
        <v>45261</v>
      </c>
      <c r="C2790" s="1" t="n">
        <v>45269</v>
      </c>
      <c r="D2790" t="inlineStr">
        <is>
          <t>VÄSTERBOTTENS LÄN</t>
        </is>
      </c>
      <c r="E2790" t="inlineStr">
        <is>
          <t>SKELLEFTEÅ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61033-2023</t>
        </is>
      </c>
      <c r="B2791" s="1" t="n">
        <v>45261</v>
      </c>
      <c r="C2791" s="1" t="n">
        <v>45269</v>
      </c>
      <c r="D2791" t="inlineStr">
        <is>
          <t>VÄSTERBOTTENS LÄN</t>
        </is>
      </c>
      <c r="E2791" t="inlineStr">
        <is>
          <t>SKELLEFTEÅ</t>
        </is>
      </c>
      <c r="F2791" t="inlineStr">
        <is>
          <t>Sveaskog</t>
        </is>
      </c>
      <c r="G2791" t="n">
        <v>16.4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61146-2023</t>
        </is>
      </c>
      <c r="B2792" s="1" t="n">
        <v>45262</v>
      </c>
      <c r="C2792" s="1" t="n">
        <v>45269</v>
      </c>
      <c r="D2792" t="inlineStr">
        <is>
          <t>VÄSTERBOTTENS LÄN</t>
        </is>
      </c>
      <c r="E2792" t="inlineStr">
        <is>
          <t>SKELLEFTEÅ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60898-2023</t>
        </is>
      </c>
      <c r="B2793" s="1" t="n">
        <v>45261</v>
      </c>
      <c r="C2793" s="1" t="n">
        <v>45269</v>
      </c>
      <c r="D2793" t="inlineStr">
        <is>
          <t>VÄSTERBOTTENS LÄN</t>
        </is>
      </c>
      <c r="E2793" t="inlineStr">
        <is>
          <t>SKELLEFTEÅ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61130-2023</t>
        </is>
      </c>
      <c r="B2794" s="1" t="n">
        <v>45261</v>
      </c>
      <c r="C2794" s="1" t="n">
        <v>45269</v>
      </c>
      <c r="D2794" t="inlineStr">
        <is>
          <t>VÄSTERBOTTENS LÄN</t>
        </is>
      </c>
      <c r="E2794" t="inlineStr">
        <is>
          <t>SKELLEFTEÅ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61145-2023</t>
        </is>
      </c>
      <c r="B2795" s="1" t="n">
        <v>45262</v>
      </c>
      <c r="C2795" s="1" t="n">
        <v>45269</v>
      </c>
      <c r="D2795" t="inlineStr">
        <is>
          <t>VÄSTERBOTTENS LÄN</t>
        </is>
      </c>
      <c r="E2795" t="inlineStr">
        <is>
          <t>SKELLEFTEÅ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61147-2023</t>
        </is>
      </c>
      <c r="B2796" s="1" t="n">
        <v>45262</v>
      </c>
      <c r="C2796" s="1" t="n">
        <v>45269</v>
      </c>
      <c r="D2796" t="inlineStr">
        <is>
          <t>VÄSTERBOTTENS LÄN</t>
        </is>
      </c>
      <c r="E2796" t="inlineStr">
        <is>
          <t>SKELLEFTEÅ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61292-2023</t>
        </is>
      </c>
      <c r="B2797" s="1" t="n">
        <v>45264</v>
      </c>
      <c r="C2797" s="1" t="n">
        <v>45269</v>
      </c>
      <c r="D2797" t="inlineStr">
        <is>
          <t>VÄSTERBOTTENS LÄN</t>
        </is>
      </c>
      <c r="E2797" t="inlineStr">
        <is>
          <t>SKELLEFTEÅ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61188-2023</t>
        </is>
      </c>
      <c r="B2798" s="1" t="n">
        <v>45264</v>
      </c>
      <c r="C2798" s="1" t="n">
        <v>45269</v>
      </c>
      <c r="D2798" t="inlineStr">
        <is>
          <t>VÄSTERBOTTENS LÄN</t>
        </is>
      </c>
      <c r="E2798" t="inlineStr">
        <is>
          <t>SKELLEFTEÅ</t>
        </is>
      </c>
      <c r="F2798" t="inlineStr">
        <is>
          <t>Sveaskog</t>
        </is>
      </c>
      <c r="G2798" t="n">
        <v>7.3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61186-2023</t>
        </is>
      </c>
      <c r="B2799" s="1" t="n">
        <v>45264</v>
      </c>
      <c r="C2799" s="1" t="n">
        <v>45269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61723-2023</t>
        </is>
      </c>
      <c r="B2800" s="1" t="n">
        <v>45264</v>
      </c>
      <c r="C2800" s="1" t="n">
        <v>45269</v>
      </c>
      <c r="D2800" t="inlineStr">
        <is>
          <t>VÄSTERBOTTENS LÄN</t>
        </is>
      </c>
      <c r="E2800" t="inlineStr">
        <is>
          <t>SKELLEFTEÅ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61808-2023</t>
        </is>
      </c>
      <c r="B2801" s="1" t="n">
        <v>45264</v>
      </c>
      <c r="C2801" s="1" t="n">
        <v>45269</v>
      </c>
      <c r="D2801" t="inlineStr">
        <is>
          <t>VÄSTERBOTTENS LÄN</t>
        </is>
      </c>
      <c r="E2801" t="inlineStr">
        <is>
          <t>SKELLEFTEÅ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61242-2023</t>
        </is>
      </c>
      <c r="B2802" s="1" t="n">
        <v>45264</v>
      </c>
      <c r="C2802" s="1" t="n">
        <v>45269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Holmen skog AB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61733-2023</t>
        </is>
      </c>
      <c r="B2803" s="1" t="n">
        <v>45264</v>
      </c>
      <c r="C2803" s="1" t="n">
        <v>45269</v>
      </c>
      <c r="D2803" t="inlineStr">
        <is>
          <t>VÄSTERBOTTENS LÄN</t>
        </is>
      </c>
      <c r="E2803" t="inlineStr">
        <is>
          <t>SKELLEFTEÅ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61457-2023</t>
        </is>
      </c>
      <c r="B2804" s="1" t="n">
        <v>45264</v>
      </c>
      <c r="C2804" s="1" t="n">
        <v>45269</v>
      </c>
      <c r="D2804" t="inlineStr">
        <is>
          <t>VÄSTERBOTTENS LÄN</t>
        </is>
      </c>
      <c r="E2804" t="inlineStr">
        <is>
          <t>SKELLEFTEÅ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61730-2023</t>
        </is>
      </c>
      <c r="B2805" s="1" t="n">
        <v>45264</v>
      </c>
      <c r="C2805" s="1" t="n">
        <v>45269</v>
      </c>
      <c r="D2805" t="inlineStr">
        <is>
          <t>VÄSTERBOTTENS LÄN</t>
        </is>
      </c>
      <c r="E2805" t="inlineStr">
        <is>
          <t>SKELLEFTEÅ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61928-2023</t>
        </is>
      </c>
      <c r="B2806" s="1" t="n">
        <v>45265</v>
      </c>
      <c r="C2806" s="1" t="n">
        <v>45269</v>
      </c>
      <c r="D2806" t="inlineStr">
        <is>
          <t>VÄSTERBOTTENS LÄN</t>
        </is>
      </c>
      <c r="E2806" t="inlineStr">
        <is>
          <t>SKELLEFTEÅ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61927-2023</t>
        </is>
      </c>
      <c r="B2807" s="1" t="n">
        <v>45265</v>
      </c>
      <c r="C2807" s="1" t="n">
        <v>45269</v>
      </c>
      <c r="D2807" t="inlineStr">
        <is>
          <t>VÄSTERBOTTENS LÄN</t>
        </is>
      </c>
      <c r="E2807" t="inlineStr">
        <is>
          <t>SKELLEFTEÅ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62300-2023</t>
        </is>
      </c>
      <c r="B2808" s="1" t="n">
        <v>45266</v>
      </c>
      <c r="C2808" s="1" t="n">
        <v>45269</v>
      </c>
      <c r="D2808" t="inlineStr">
        <is>
          <t>VÄSTERBOTTENS LÄN</t>
        </is>
      </c>
      <c r="E2808" t="inlineStr">
        <is>
          <t>SKELLEFTEÅ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62336-2023</t>
        </is>
      </c>
      <c r="B2809" s="1" t="n">
        <v>45267</v>
      </c>
      <c r="C2809" s="1" t="n">
        <v>45269</v>
      </c>
      <c r="D2809" t="inlineStr">
        <is>
          <t>VÄSTERBOTTENS LÄN</t>
        </is>
      </c>
      <c r="E2809" t="inlineStr">
        <is>
          <t>SKELLEFTEÅ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62344-2023</t>
        </is>
      </c>
      <c r="B2810" s="1" t="n">
        <v>45267</v>
      </c>
      <c r="C2810" s="1" t="n">
        <v>45269</v>
      </c>
      <c r="D2810" t="inlineStr">
        <is>
          <t>VÄSTERBOTTENS LÄN</t>
        </is>
      </c>
      <c r="E2810" t="inlineStr">
        <is>
          <t>SKELLEFTEÅ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62345-2023</t>
        </is>
      </c>
      <c r="B2811" s="1" t="n">
        <v>45267</v>
      </c>
      <c r="C2811" s="1" t="n">
        <v>45269</v>
      </c>
      <c r="D2811" t="inlineStr">
        <is>
          <t>VÄSTERBOTTENS LÄN</t>
        </is>
      </c>
      <c r="E2811" t="inlineStr">
        <is>
          <t>SKELLEFTEÅ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62347-2023</t>
        </is>
      </c>
      <c r="B2812" s="1" t="n">
        <v>45267</v>
      </c>
      <c r="C2812" s="1" t="n">
        <v>45269</v>
      </c>
      <c r="D2812" t="inlineStr">
        <is>
          <t>VÄSTERBOTTENS LÄN</t>
        </is>
      </c>
      <c r="E2812" t="inlineStr">
        <is>
          <t>SKELLEFTEÅ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62141-2023</t>
        </is>
      </c>
      <c r="B2813" s="1" t="n">
        <v>45267</v>
      </c>
      <c r="C2813" s="1" t="n">
        <v>45269</v>
      </c>
      <c r="D2813" t="inlineStr">
        <is>
          <t>VÄSTERBOTTENS LÄN</t>
        </is>
      </c>
      <c r="E2813" t="inlineStr">
        <is>
          <t>SKELLEFTEÅ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62191-2023</t>
        </is>
      </c>
      <c r="B2814" s="1" t="n">
        <v>45267</v>
      </c>
      <c r="C2814" s="1" t="n">
        <v>45269</v>
      </c>
      <c r="D2814" t="inlineStr">
        <is>
          <t>VÄSTERBOTTENS LÄN</t>
        </is>
      </c>
      <c r="E2814" t="inlineStr">
        <is>
          <t>SKELLEFTEÅ</t>
        </is>
      </c>
      <c r="G2814" t="n">
        <v>14.5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62504-2023</t>
        </is>
      </c>
      <c r="B2815" s="1" t="n">
        <v>45268</v>
      </c>
      <c r="C2815" s="1" t="n">
        <v>45269</v>
      </c>
      <c r="D2815" t="inlineStr">
        <is>
          <t>VÄSTERBOTTENS LÄN</t>
        </is>
      </c>
      <c r="E2815" t="inlineStr">
        <is>
          <t>SKELLEFTEÅ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>
      <c r="A2816" t="inlineStr">
        <is>
          <t>A 62547-2023</t>
        </is>
      </c>
      <c r="B2816" s="1" t="n">
        <v>45268</v>
      </c>
      <c r="C2816" s="1" t="n">
        <v>45269</v>
      </c>
      <c r="D2816" t="inlineStr">
        <is>
          <t>VÄSTERBOTTENS LÄN</t>
        </is>
      </c>
      <c r="E2816" t="inlineStr">
        <is>
          <t>SKELLEFTEÅ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2023-12-09T09:34:51Z</dcterms:created>
  <dcterms:modified xmlns:dcterms="http://purl.org/dc/terms/" xmlns:xsi="http://www.w3.org/2001/XMLSchema-instance" xsi:type="dcterms:W3CDTF">2023-12-09T09:34:52Z</dcterms:modified>
</cp:coreProperties>
</file>