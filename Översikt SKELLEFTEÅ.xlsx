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45832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45832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45832</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45832</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45832</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45832</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45832</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45832</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45832</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45832</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45832</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45832</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45832</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45832</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45832</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45832</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45832</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45832</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45832</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45832</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45832</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45832</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31079-2021</t>
        </is>
      </c>
      <c r="B24" s="1" t="n">
        <v>44368</v>
      </c>
      <c r="C24" s="1" t="n">
        <v>45832</v>
      </c>
      <c r="D24" t="inlineStr">
        <is>
          <t>VÄSTERBOTTENS LÄN</t>
        </is>
      </c>
      <c r="E24" t="inlineStr">
        <is>
          <t>SKELLEFTEÅ</t>
        </is>
      </c>
      <c r="F24" t="inlineStr">
        <is>
          <t>Holmen skog AB</t>
        </is>
      </c>
      <c r="G24" t="n">
        <v>6.9</v>
      </c>
      <c r="H24" t="n">
        <v>1</v>
      </c>
      <c r="I24" t="n">
        <v>5</v>
      </c>
      <c r="J24" t="n">
        <v>6</v>
      </c>
      <c r="K24" t="n">
        <v>0</v>
      </c>
      <c r="L24" t="n">
        <v>0</v>
      </c>
      <c r="M24" t="n">
        <v>0</v>
      </c>
      <c r="N24" t="n">
        <v>0</v>
      </c>
      <c r="O24" t="n">
        <v>6</v>
      </c>
      <c r="P24" t="n">
        <v>0</v>
      </c>
      <c r="Q24" t="n">
        <v>11</v>
      </c>
      <c r="R24" s="2" t="inlineStr">
        <is>
          <t>Gammelgransskål
Garnlav
Granticka
Lunglav
Ullticka
Violettgrå tagellav
Bårdlav
Luddlav
Skinnlav
Spindelblomster
Vedticka</t>
        </is>
      </c>
      <c r="S24">
        <f>HYPERLINK("https://klasma.github.io/Logging_2482/artfynd/A 31079-2021 artfynd.xlsx", "A 31079-2021")</f>
        <v/>
      </c>
      <c r="T24">
        <f>HYPERLINK("https://klasma.github.io/Logging_2482/kartor/A 31079-2021 karta.png", "A 31079-2021")</f>
        <v/>
      </c>
      <c r="V24">
        <f>HYPERLINK("https://klasma.github.io/Logging_2482/klagomål/A 31079-2021 FSC-klagomål.docx", "A 31079-2021")</f>
        <v/>
      </c>
      <c r="W24">
        <f>HYPERLINK("https://klasma.github.io/Logging_2482/klagomålsmail/A 31079-2021 FSC-klagomål mail.docx", "A 31079-2021")</f>
        <v/>
      </c>
      <c r="X24">
        <f>HYPERLINK("https://klasma.github.io/Logging_2482/tillsyn/A 31079-2021 tillsynsbegäran.docx", "A 31079-2021")</f>
        <v/>
      </c>
      <c r="Y24">
        <f>HYPERLINK("https://klasma.github.io/Logging_2482/tillsynsmail/A 31079-2021 tillsynsbegäran mail.docx", "A 31079-2021")</f>
        <v/>
      </c>
    </row>
    <row r="25" ht="15" customHeight="1">
      <c r="A25" t="inlineStr">
        <is>
          <t>A 9162-2024</t>
        </is>
      </c>
      <c r="B25" s="1" t="n">
        <v>45358</v>
      </c>
      <c r="C25" s="1" t="n">
        <v>45832</v>
      </c>
      <c r="D25" t="inlineStr">
        <is>
          <t>VÄSTERBOTTENS LÄN</t>
        </is>
      </c>
      <c r="E25" t="inlineStr">
        <is>
          <t>SKELLEFTEÅ</t>
        </is>
      </c>
      <c r="G25" t="n">
        <v>19.7</v>
      </c>
      <c r="H25" t="n">
        <v>3</v>
      </c>
      <c r="I25" t="n">
        <v>1</v>
      </c>
      <c r="J25" t="n">
        <v>8</v>
      </c>
      <c r="K25" t="n">
        <v>2</v>
      </c>
      <c r="L25" t="n">
        <v>0</v>
      </c>
      <c r="M25" t="n">
        <v>0</v>
      </c>
      <c r="N25" t="n">
        <v>0</v>
      </c>
      <c r="O25" t="n">
        <v>10</v>
      </c>
      <c r="P25" t="n">
        <v>2</v>
      </c>
      <c r="Q25" t="n">
        <v>11</v>
      </c>
      <c r="R25" s="2" t="inlineStr">
        <is>
          <t>Knärot
Ulltickeporing
Gammelgransskål
Garnlav
Granticka
Spillkråka
Tallriska
Tretåig hackspett
Ullticka
Violettgrå tagellav
Vedticka</t>
        </is>
      </c>
      <c r="S25">
        <f>HYPERLINK("https://klasma.github.io/Logging_2482/artfynd/A 9162-2024 artfynd.xlsx", "A 9162-2024")</f>
        <v/>
      </c>
      <c r="T25">
        <f>HYPERLINK("https://klasma.github.io/Logging_2482/kartor/A 9162-2024 karta.png", "A 9162-2024")</f>
        <v/>
      </c>
      <c r="U25">
        <f>HYPERLINK("https://klasma.github.io/Logging_2482/knärot/A 9162-2024 karta knärot.png", "A 9162-2024")</f>
        <v/>
      </c>
      <c r="V25">
        <f>HYPERLINK("https://klasma.github.io/Logging_2482/klagomål/A 9162-2024 FSC-klagomål.docx", "A 9162-2024")</f>
        <v/>
      </c>
      <c r="W25">
        <f>HYPERLINK("https://klasma.github.io/Logging_2482/klagomålsmail/A 9162-2024 FSC-klagomål mail.docx", "A 9162-2024")</f>
        <v/>
      </c>
      <c r="X25">
        <f>HYPERLINK("https://klasma.github.io/Logging_2482/tillsyn/A 9162-2024 tillsynsbegäran.docx", "A 9162-2024")</f>
        <v/>
      </c>
      <c r="Y25">
        <f>HYPERLINK("https://klasma.github.io/Logging_2482/tillsynsmail/A 9162-2024 tillsynsbegäran mail.docx", "A 9162-2024")</f>
        <v/>
      </c>
      <c r="Z25">
        <f>HYPERLINK("https://klasma.github.io/Logging_2482/fåglar/A 9162-2024 prioriterade fågelarter.docx", "A 9162-2024")</f>
        <v/>
      </c>
    </row>
    <row r="26" ht="15" customHeight="1">
      <c r="A26" t="inlineStr">
        <is>
          <t>A 63587-2019</t>
        </is>
      </c>
      <c r="B26" s="1" t="n">
        <v>43780</v>
      </c>
      <c r="C26" s="1" t="n">
        <v>45832</v>
      </c>
      <c r="D26" t="inlineStr">
        <is>
          <t>VÄSTERBOTTENS LÄN</t>
        </is>
      </c>
      <c r="E26" t="inlineStr">
        <is>
          <t>SKELLEFTEÅ</t>
        </is>
      </c>
      <c r="F26" t="inlineStr">
        <is>
          <t>Naturvårdsverket</t>
        </is>
      </c>
      <c r="G26" t="n">
        <v>6.1</v>
      </c>
      <c r="H26" t="n">
        <v>5</v>
      </c>
      <c r="I26" t="n">
        <v>4</v>
      </c>
      <c r="J26" t="n">
        <v>2</v>
      </c>
      <c r="K26" t="n">
        <v>0</v>
      </c>
      <c r="L26" t="n">
        <v>1</v>
      </c>
      <c r="M26" t="n">
        <v>0</v>
      </c>
      <c r="N26" t="n">
        <v>0</v>
      </c>
      <c r="O26" t="n">
        <v>3</v>
      </c>
      <c r="P26" t="n">
        <v>1</v>
      </c>
      <c r="Q26" t="n">
        <v>10</v>
      </c>
      <c r="R26" s="2" t="inlineStr">
        <is>
          <t>Grönfink
Granticka
Nordfladdermus
Barkticka
Robust tickgnagare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55811-2020</t>
        </is>
      </c>
      <c r="B27" s="1" t="n">
        <v>44132</v>
      </c>
      <c r="C27" s="1" t="n">
        <v>45832</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45832</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45832</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45832</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45832</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45832</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47887-2024</t>
        </is>
      </c>
      <c r="B33" s="1" t="n">
        <v>45588</v>
      </c>
      <c r="C33" s="1" t="n">
        <v>45832</v>
      </c>
      <c r="D33" t="inlineStr">
        <is>
          <t>VÄSTERBOTTENS LÄN</t>
        </is>
      </c>
      <c r="E33" t="inlineStr">
        <is>
          <t>SKELLEFTEÅ</t>
        </is>
      </c>
      <c r="F33" t="inlineStr">
        <is>
          <t>Sveaskog</t>
        </is>
      </c>
      <c r="G33" t="n">
        <v>24.7</v>
      </c>
      <c r="H33" t="n">
        <v>3</v>
      </c>
      <c r="I33" t="n">
        <v>2</v>
      </c>
      <c r="J33" t="n">
        <v>7</v>
      </c>
      <c r="K33" t="n">
        <v>0</v>
      </c>
      <c r="L33" t="n">
        <v>0</v>
      </c>
      <c r="M33" t="n">
        <v>0</v>
      </c>
      <c r="N33" t="n">
        <v>0</v>
      </c>
      <c r="O33" t="n">
        <v>7</v>
      </c>
      <c r="P33" t="n">
        <v>0</v>
      </c>
      <c r="Q33" t="n">
        <v>10</v>
      </c>
      <c r="R33" s="2" t="inlineStr">
        <is>
          <t>Blanksvart spiklav
Blågrå svartspik
Garnlav
Harticka
Nordtagging
Talltita
Vedflamlav
Dropptaggsvamp
Plattlummer
Tjäder</t>
        </is>
      </c>
      <c r="S33">
        <f>HYPERLINK("https://klasma.github.io/Logging_2482/artfynd/A 47887-2024 artfynd.xlsx", "A 47887-2024")</f>
        <v/>
      </c>
      <c r="T33">
        <f>HYPERLINK("https://klasma.github.io/Logging_2482/kartor/A 47887-2024 karta.png", "A 47887-2024")</f>
        <v/>
      </c>
      <c r="V33">
        <f>HYPERLINK("https://klasma.github.io/Logging_2482/klagomål/A 47887-2024 FSC-klagomål.docx", "A 47887-2024")</f>
        <v/>
      </c>
      <c r="W33">
        <f>HYPERLINK("https://klasma.github.io/Logging_2482/klagomålsmail/A 47887-2024 FSC-klagomål mail.docx", "A 47887-2024")</f>
        <v/>
      </c>
      <c r="X33">
        <f>HYPERLINK("https://klasma.github.io/Logging_2482/tillsyn/A 47887-2024 tillsynsbegäran.docx", "A 47887-2024")</f>
        <v/>
      </c>
      <c r="Y33">
        <f>HYPERLINK("https://klasma.github.io/Logging_2482/tillsynsmail/A 47887-2024 tillsynsbegäran mail.docx", "A 47887-2024")</f>
        <v/>
      </c>
      <c r="Z33">
        <f>HYPERLINK("https://klasma.github.io/Logging_2482/fåglar/A 47887-2024 prioriterade fågelarter.docx", "A 47887-2024")</f>
        <v/>
      </c>
    </row>
    <row r="34" ht="15" customHeight="1">
      <c r="A34" t="inlineStr">
        <is>
          <t>A 50032-2024</t>
        </is>
      </c>
      <c r="B34" s="1" t="n">
        <v>45599</v>
      </c>
      <c r="C34" s="1" t="n">
        <v>45832</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45832</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45832</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45832</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45832</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45832</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53424-2024</t>
        </is>
      </c>
      <c r="B40" s="1" t="n">
        <v>45614</v>
      </c>
      <c r="C40" s="1" t="n">
        <v>45832</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45832</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45832</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45832</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45832</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45832</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45832</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45832</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45832</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45832</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45832</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45832</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45832</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45832</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45832</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45832</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45832</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45832</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45832</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45832</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45832</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45832</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45832</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45832</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45832</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45832</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45832</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45832</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45832</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45832</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45832</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45832</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45832</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45832</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45832</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45832</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45832</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45832</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45832</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45832</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45832</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45832</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45832</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45832</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45832</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45832</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45832</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45832</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45832</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45832</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45832</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45832</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45832</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45832</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45832</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45832</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45832</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45832</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45832</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45832</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45832</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45832</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45832</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45832</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45832</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45832</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45832</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45832</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45832</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45832</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45832</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45832</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45832</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45832</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45832</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45832</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45832</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45832</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45832</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45832</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45832</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45832</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45832</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45832</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45832</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45832</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45832</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45832</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45832</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45832</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45832</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45832</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45832</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45832</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45832</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45832</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45832</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45832</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45832</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45832</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45832</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45832</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45832</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45832</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45832</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45832</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45832</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45832</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45832</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45832</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45832</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45832</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45832</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45832</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45832</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45832</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45832</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45832</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45832</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45832</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45832</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45832</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45832</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45832</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45832</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45832</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45832</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45832</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45832</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45832</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45832</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45832</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45832</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45832</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45832</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45832</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45832</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45832</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45832</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45832</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45832</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45832</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45832</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45832</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45832</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45832</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45832</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45832</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45832</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45832</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45832</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45832</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45832</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45832</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45832</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45832</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20465-2019</t>
        </is>
      </c>
      <c r="B196" s="1" t="n">
        <v>43572</v>
      </c>
      <c r="C196" s="1" t="n">
        <v>45832</v>
      </c>
      <c r="D196" t="inlineStr">
        <is>
          <t>VÄSTERBOTTENS LÄN</t>
        </is>
      </c>
      <c r="E196" t="inlineStr">
        <is>
          <t>SKELLEFTEÅ</t>
        </is>
      </c>
      <c r="G196" t="n">
        <v>2.1</v>
      </c>
      <c r="H196" t="n">
        <v>0</v>
      </c>
      <c r="I196" t="n">
        <v>0</v>
      </c>
      <c r="J196" t="n">
        <v>1</v>
      </c>
      <c r="K196" t="n">
        <v>0</v>
      </c>
      <c r="L196" t="n">
        <v>0</v>
      </c>
      <c r="M196" t="n">
        <v>0</v>
      </c>
      <c r="N196" t="n">
        <v>0</v>
      </c>
      <c r="O196" t="n">
        <v>1</v>
      </c>
      <c r="P196" t="n">
        <v>0</v>
      </c>
      <c r="Q196" t="n">
        <v>1</v>
      </c>
      <c r="R196" s="2" t="inlineStr">
        <is>
          <t>Violettgrå tagellav</t>
        </is>
      </c>
      <c r="S196">
        <f>HYPERLINK("https://klasma.github.io/Logging_2482/artfynd/A 20465-2019 artfynd.xlsx", "A 20465-2019")</f>
        <v/>
      </c>
      <c r="T196">
        <f>HYPERLINK("https://klasma.github.io/Logging_2482/kartor/A 20465-2019 karta.png", "A 20465-2019")</f>
        <v/>
      </c>
      <c r="V196">
        <f>HYPERLINK("https://klasma.github.io/Logging_2482/klagomål/A 20465-2019 FSC-klagomål.docx", "A 20465-2019")</f>
        <v/>
      </c>
      <c r="W196">
        <f>HYPERLINK("https://klasma.github.io/Logging_2482/klagomålsmail/A 20465-2019 FSC-klagomål mail.docx", "A 20465-2019")</f>
        <v/>
      </c>
      <c r="X196">
        <f>HYPERLINK("https://klasma.github.io/Logging_2482/tillsyn/A 20465-2019 tillsynsbegäran.docx", "A 20465-2019")</f>
        <v/>
      </c>
      <c r="Y196">
        <f>HYPERLINK("https://klasma.github.io/Logging_2482/tillsynsmail/A 20465-2019 tillsynsbegäran mail.docx", "A 20465-2019")</f>
        <v/>
      </c>
    </row>
    <row r="197" ht="15" customHeight="1">
      <c r="A197" t="inlineStr">
        <is>
          <t>A 25651-2019</t>
        </is>
      </c>
      <c r="B197" s="1" t="n">
        <v>43602</v>
      </c>
      <c r="C197" s="1" t="n">
        <v>45832</v>
      </c>
      <c r="D197" t="inlineStr">
        <is>
          <t>VÄSTERBOTTENS LÄN</t>
        </is>
      </c>
      <c r="E197" t="inlineStr">
        <is>
          <t>SKELLEFTEÅ</t>
        </is>
      </c>
      <c r="G197" t="n">
        <v>16.9</v>
      </c>
      <c r="H197" t="n">
        <v>1</v>
      </c>
      <c r="I197" t="n">
        <v>0</v>
      </c>
      <c r="J197" t="n">
        <v>0</v>
      </c>
      <c r="K197" t="n">
        <v>0</v>
      </c>
      <c r="L197" t="n">
        <v>0</v>
      </c>
      <c r="M197" t="n">
        <v>0</v>
      </c>
      <c r="N197" t="n">
        <v>0</v>
      </c>
      <c r="O197" t="n">
        <v>0</v>
      </c>
      <c r="P197" t="n">
        <v>0</v>
      </c>
      <c r="Q197" t="n">
        <v>1</v>
      </c>
      <c r="R197" s="2" t="inlineStr">
        <is>
          <t>Fläcknycklar</t>
        </is>
      </c>
      <c r="S197">
        <f>HYPERLINK("https://klasma.github.io/Logging_2482/artfynd/A 25651-2019 artfynd.xlsx", "A 25651-2019")</f>
        <v/>
      </c>
      <c r="T197">
        <f>HYPERLINK("https://klasma.github.io/Logging_2482/kartor/A 25651-2019 karta.png", "A 25651-2019")</f>
        <v/>
      </c>
      <c r="V197">
        <f>HYPERLINK("https://klasma.github.io/Logging_2482/klagomål/A 25651-2019 FSC-klagomål.docx", "A 25651-2019")</f>
        <v/>
      </c>
      <c r="W197">
        <f>HYPERLINK("https://klasma.github.io/Logging_2482/klagomålsmail/A 25651-2019 FSC-klagomål mail.docx", "A 25651-2019")</f>
        <v/>
      </c>
      <c r="X197">
        <f>HYPERLINK("https://klasma.github.io/Logging_2482/tillsyn/A 25651-2019 tillsynsbegäran.docx", "A 25651-2019")</f>
        <v/>
      </c>
      <c r="Y197">
        <f>HYPERLINK("https://klasma.github.io/Logging_2482/tillsynsmail/A 25651-2019 tillsynsbegäran mail.docx", "A 25651-2019")</f>
        <v/>
      </c>
    </row>
    <row r="198" ht="15" customHeight="1">
      <c r="A198" t="inlineStr">
        <is>
          <t>A 49035-2019</t>
        </is>
      </c>
      <c r="B198" s="1" t="n">
        <v>43731</v>
      </c>
      <c r="C198" s="1" t="n">
        <v>45832</v>
      </c>
      <c r="D198" t="inlineStr">
        <is>
          <t>VÄSTERBOTTENS LÄN</t>
        </is>
      </c>
      <c r="E198" t="inlineStr">
        <is>
          <t>SKELLEFTEÅ</t>
        </is>
      </c>
      <c r="F198" t="inlineStr">
        <is>
          <t>Kommuner</t>
        </is>
      </c>
      <c r="G198" t="n">
        <v>1.4</v>
      </c>
      <c r="H198" t="n">
        <v>1</v>
      </c>
      <c r="I198" t="n">
        <v>0</v>
      </c>
      <c r="J198" t="n">
        <v>0</v>
      </c>
      <c r="K198" t="n">
        <v>0</v>
      </c>
      <c r="L198" t="n">
        <v>0</v>
      </c>
      <c r="M198" t="n">
        <v>0</v>
      </c>
      <c r="N198" t="n">
        <v>0</v>
      </c>
      <c r="O198" t="n">
        <v>0</v>
      </c>
      <c r="P198" t="n">
        <v>0</v>
      </c>
      <c r="Q198" t="n">
        <v>1</v>
      </c>
      <c r="R198" s="2" t="inlineStr">
        <is>
          <t>Huggorm</t>
        </is>
      </c>
      <c r="S198">
        <f>HYPERLINK("https://klasma.github.io/Logging_2482/artfynd/A 49035-2019 artfynd.xlsx", "A 49035-2019")</f>
        <v/>
      </c>
      <c r="T198">
        <f>HYPERLINK("https://klasma.github.io/Logging_2482/kartor/A 49035-2019 karta.png", "A 49035-2019")</f>
        <v/>
      </c>
      <c r="V198">
        <f>HYPERLINK("https://klasma.github.io/Logging_2482/klagomål/A 49035-2019 FSC-klagomål.docx", "A 49035-2019")</f>
        <v/>
      </c>
      <c r="W198">
        <f>HYPERLINK("https://klasma.github.io/Logging_2482/klagomålsmail/A 49035-2019 FSC-klagomål mail.docx", "A 49035-2019")</f>
        <v/>
      </c>
      <c r="X198">
        <f>HYPERLINK("https://klasma.github.io/Logging_2482/tillsyn/A 49035-2019 tillsynsbegäran.docx", "A 49035-2019")</f>
        <v/>
      </c>
      <c r="Y198">
        <f>HYPERLINK("https://klasma.github.io/Logging_2482/tillsynsmail/A 49035-2019 tillsynsbegäran mail.docx", "A 49035-2019")</f>
        <v/>
      </c>
    </row>
    <row r="199" ht="15" customHeight="1">
      <c r="A199" t="inlineStr">
        <is>
          <t>A 51461-2019</t>
        </is>
      </c>
      <c r="B199" s="1" t="n">
        <v>43740</v>
      </c>
      <c r="C199" s="1" t="n">
        <v>45832</v>
      </c>
      <c r="D199" t="inlineStr">
        <is>
          <t>VÄSTERBOTTENS LÄN</t>
        </is>
      </c>
      <c r="E199" t="inlineStr">
        <is>
          <t>SKELLEFTEÅ</t>
        </is>
      </c>
      <c r="F199" t="inlineStr">
        <is>
          <t>Sveaskog</t>
        </is>
      </c>
      <c r="G199" t="n">
        <v>12.2</v>
      </c>
      <c r="H199" t="n">
        <v>0</v>
      </c>
      <c r="I199" t="n">
        <v>0</v>
      </c>
      <c r="J199" t="n">
        <v>0</v>
      </c>
      <c r="K199" t="n">
        <v>0</v>
      </c>
      <c r="L199" t="n">
        <v>1</v>
      </c>
      <c r="M199" t="n">
        <v>0</v>
      </c>
      <c r="N199" t="n">
        <v>0</v>
      </c>
      <c r="O199" t="n">
        <v>1</v>
      </c>
      <c r="P199" t="n">
        <v>1</v>
      </c>
      <c r="Q199" t="n">
        <v>1</v>
      </c>
      <c r="R199" s="2" t="inlineStr">
        <is>
          <t>Flodpärlmussla</t>
        </is>
      </c>
      <c r="S199">
        <f>HYPERLINK("https://klasma.github.io/Logging_2482/artfynd/A 51461-2019 artfynd.xlsx", "A 51461-2019")</f>
        <v/>
      </c>
      <c r="T199">
        <f>HYPERLINK("https://klasma.github.io/Logging_2482/kartor/A 51461-2019 karta.png", "A 51461-2019")</f>
        <v/>
      </c>
      <c r="V199">
        <f>HYPERLINK("https://klasma.github.io/Logging_2482/klagomål/A 51461-2019 FSC-klagomål.docx", "A 51461-2019")</f>
        <v/>
      </c>
      <c r="W199">
        <f>HYPERLINK("https://klasma.github.io/Logging_2482/klagomålsmail/A 51461-2019 FSC-klagomål mail.docx", "A 51461-2019")</f>
        <v/>
      </c>
      <c r="X199">
        <f>HYPERLINK("https://klasma.github.io/Logging_2482/tillsyn/A 51461-2019 tillsynsbegäran.docx", "A 51461-2019")</f>
        <v/>
      </c>
      <c r="Y199">
        <f>HYPERLINK("https://klasma.github.io/Logging_2482/tillsynsmail/A 51461-2019 tillsynsbegäran mail.docx", "A 51461-2019")</f>
        <v/>
      </c>
    </row>
    <row r="200" ht="15" customHeight="1">
      <c r="A200" t="inlineStr">
        <is>
          <t>A 63709-2019</t>
        </is>
      </c>
      <c r="B200" s="1" t="n">
        <v>43795</v>
      </c>
      <c r="C200" s="1" t="n">
        <v>45832</v>
      </c>
      <c r="D200" t="inlineStr">
        <is>
          <t>VÄSTERBOTTENS LÄN</t>
        </is>
      </c>
      <c r="E200" t="inlineStr">
        <is>
          <t>SKELLEFTEÅ</t>
        </is>
      </c>
      <c r="F200" t="inlineStr">
        <is>
          <t>Sveaskog</t>
        </is>
      </c>
      <c r="G200" t="n">
        <v>39.7</v>
      </c>
      <c r="H200" t="n">
        <v>1</v>
      </c>
      <c r="I200" t="n">
        <v>0</v>
      </c>
      <c r="J200" t="n">
        <v>0</v>
      </c>
      <c r="K200" t="n">
        <v>0</v>
      </c>
      <c r="L200" t="n">
        <v>0</v>
      </c>
      <c r="M200" t="n">
        <v>0</v>
      </c>
      <c r="N200" t="n">
        <v>0</v>
      </c>
      <c r="O200" t="n">
        <v>0</v>
      </c>
      <c r="P200" t="n">
        <v>0</v>
      </c>
      <c r="Q200" t="n">
        <v>1</v>
      </c>
      <c r="R200" s="2" t="inlineStr">
        <is>
          <t>Fläcknycklar</t>
        </is>
      </c>
      <c r="S200">
        <f>HYPERLINK("https://klasma.github.io/Logging_2482/artfynd/A 63709-2019 artfynd.xlsx", "A 63709-2019")</f>
        <v/>
      </c>
      <c r="T200">
        <f>HYPERLINK("https://klasma.github.io/Logging_2482/kartor/A 63709-2019 karta.png", "A 63709-2019")</f>
        <v/>
      </c>
      <c r="V200">
        <f>HYPERLINK("https://klasma.github.io/Logging_2482/klagomål/A 63709-2019 FSC-klagomål.docx", "A 63709-2019")</f>
        <v/>
      </c>
      <c r="W200">
        <f>HYPERLINK("https://klasma.github.io/Logging_2482/klagomålsmail/A 63709-2019 FSC-klagomål mail.docx", "A 63709-2019")</f>
        <v/>
      </c>
      <c r="X200">
        <f>HYPERLINK("https://klasma.github.io/Logging_2482/tillsyn/A 63709-2019 tillsynsbegäran.docx", "A 63709-2019")</f>
        <v/>
      </c>
      <c r="Y200">
        <f>HYPERLINK("https://klasma.github.io/Logging_2482/tillsynsmail/A 63709-2019 tillsynsbegäran mail.docx", "A 63709-2019")</f>
        <v/>
      </c>
    </row>
    <row r="201" ht="15" customHeight="1">
      <c r="A201" t="inlineStr">
        <is>
          <t>A 43180-2020</t>
        </is>
      </c>
      <c r="B201" s="1" t="n">
        <v>44076</v>
      </c>
      <c r="C201" s="1" t="n">
        <v>45832</v>
      </c>
      <c r="D201" t="inlineStr">
        <is>
          <t>VÄSTERBOTTENS LÄN</t>
        </is>
      </c>
      <c r="E201" t="inlineStr">
        <is>
          <t>SKELLEFTEÅ</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HYPERLINK("https://klasma.github.io/Logging_2482/artfynd/A 43180-2020 artfynd.xlsx", "A 43180-2020")</f>
        <v/>
      </c>
      <c r="T201">
        <f>HYPERLINK("https://klasma.github.io/Logging_2482/kartor/A 43180-2020 karta.png", "A 43180-2020")</f>
        <v/>
      </c>
      <c r="V201">
        <f>HYPERLINK("https://klasma.github.io/Logging_2482/klagomål/A 43180-2020 FSC-klagomål.docx", "A 43180-2020")</f>
        <v/>
      </c>
      <c r="W201">
        <f>HYPERLINK("https://klasma.github.io/Logging_2482/klagomålsmail/A 43180-2020 FSC-klagomål mail.docx", "A 43180-2020")</f>
        <v/>
      </c>
      <c r="X201">
        <f>HYPERLINK("https://klasma.github.io/Logging_2482/tillsyn/A 43180-2020 tillsynsbegäran.docx", "A 43180-2020")</f>
        <v/>
      </c>
      <c r="Y201">
        <f>HYPERLINK("https://klasma.github.io/Logging_2482/tillsynsmail/A 43180-2020 tillsynsbegäran mail.docx", "A 43180-2020")</f>
        <v/>
      </c>
    </row>
    <row r="202" ht="15" customHeight="1">
      <c r="A202" t="inlineStr">
        <is>
          <t>A 42794-2020</t>
        </is>
      </c>
      <c r="B202" s="1" t="n">
        <v>44078</v>
      </c>
      <c r="C202" s="1" t="n">
        <v>45832</v>
      </c>
      <c r="D202" t="inlineStr">
        <is>
          <t>VÄSTERBOTTENS LÄN</t>
        </is>
      </c>
      <c r="E202" t="inlineStr">
        <is>
          <t>SKELLEFTEÅ</t>
        </is>
      </c>
      <c r="F202" t="inlineStr">
        <is>
          <t>Kommuner</t>
        </is>
      </c>
      <c r="G202" t="n">
        <v>3.4</v>
      </c>
      <c r="H202" t="n">
        <v>0</v>
      </c>
      <c r="I202" t="n">
        <v>0</v>
      </c>
      <c r="J202" t="n">
        <v>1</v>
      </c>
      <c r="K202" t="n">
        <v>0</v>
      </c>
      <c r="L202" t="n">
        <v>0</v>
      </c>
      <c r="M202" t="n">
        <v>0</v>
      </c>
      <c r="N202" t="n">
        <v>0</v>
      </c>
      <c r="O202" t="n">
        <v>1</v>
      </c>
      <c r="P202" t="n">
        <v>0</v>
      </c>
      <c r="Q202" t="n">
        <v>1</v>
      </c>
      <c r="R202" s="2" t="inlineStr">
        <is>
          <t>Motaggsvamp</t>
        </is>
      </c>
      <c r="S202">
        <f>HYPERLINK("https://klasma.github.io/Logging_2482/artfynd/A 42794-2020 artfynd.xlsx", "A 42794-2020")</f>
        <v/>
      </c>
      <c r="T202">
        <f>HYPERLINK("https://klasma.github.io/Logging_2482/kartor/A 42794-2020 karta.png", "A 42794-2020")</f>
        <v/>
      </c>
      <c r="V202">
        <f>HYPERLINK("https://klasma.github.io/Logging_2482/klagomål/A 42794-2020 FSC-klagomål.docx", "A 42794-2020")</f>
        <v/>
      </c>
      <c r="W202">
        <f>HYPERLINK("https://klasma.github.io/Logging_2482/klagomålsmail/A 42794-2020 FSC-klagomål mail.docx", "A 42794-2020")</f>
        <v/>
      </c>
      <c r="X202">
        <f>HYPERLINK("https://klasma.github.io/Logging_2482/tillsyn/A 42794-2020 tillsynsbegäran.docx", "A 42794-2020")</f>
        <v/>
      </c>
      <c r="Y202">
        <f>HYPERLINK("https://klasma.github.io/Logging_2482/tillsynsmail/A 42794-2020 tillsynsbegäran mail.docx", "A 42794-2020")</f>
        <v/>
      </c>
    </row>
    <row r="203" ht="15" customHeight="1">
      <c r="A203" t="inlineStr">
        <is>
          <t>A 43297-2020</t>
        </is>
      </c>
      <c r="B203" s="1" t="n">
        <v>44081</v>
      </c>
      <c r="C203" s="1" t="n">
        <v>45832</v>
      </c>
      <c r="D203" t="inlineStr">
        <is>
          <t>VÄSTERBOTTENS LÄN</t>
        </is>
      </c>
      <c r="E203" t="inlineStr">
        <is>
          <t>SKELLEFTEÅ</t>
        </is>
      </c>
      <c r="F203" t="inlineStr">
        <is>
          <t>Sveaskog</t>
        </is>
      </c>
      <c r="G203" t="n">
        <v>6</v>
      </c>
      <c r="H203" t="n">
        <v>0</v>
      </c>
      <c r="I203" t="n">
        <v>1</v>
      </c>
      <c r="J203" t="n">
        <v>0</v>
      </c>
      <c r="K203" t="n">
        <v>0</v>
      </c>
      <c r="L203" t="n">
        <v>0</v>
      </c>
      <c r="M203" t="n">
        <v>0</v>
      </c>
      <c r="N203" t="n">
        <v>0</v>
      </c>
      <c r="O203" t="n">
        <v>0</v>
      </c>
      <c r="P203" t="n">
        <v>0</v>
      </c>
      <c r="Q203" t="n">
        <v>1</v>
      </c>
      <c r="R203" s="2" t="inlineStr">
        <is>
          <t>Vedticka</t>
        </is>
      </c>
      <c r="S203">
        <f>HYPERLINK("https://klasma.github.io/Logging_2482/artfynd/A 43297-2020 artfynd.xlsx", "A 43297-2020")</f>
        <v/>
      </c>
      <c r="T203">
        <f>HYPERLINK("https://klasma.github.io/Logging_2482/kartor/A 43297-2020 karta.png", "A 43297-2020")</f>
        <v/>
      </c>
      <c r="V203">
        <f>HYPERLINK("https://klasma.github.io/Logging_2482/klagomål/A 43297-2020 FSC-klagomål.docx", "A 43297-2020")</f>
        <v/>
      </c>
      <c r="W203">
        <f>HYPERLINK("https://klasma.github.io/Logging_2482/klagomålsmail/A 43297-2020 FSC-klagomål mail.docx", "A 43297-2020")</f>
        <v/>
      </c>
      <c r="X203">
        <f>HYPERLINK("https://klasma.github.io/Logging_2482/tillsyn/A 43297-2020 tillsynsbegäran.docx", "A 43297-2020")</f>
        <v/>
      </c>
      <c r="Y203">
        <f>HYPERLINK("https://klasma.github.io/Logging_2482/tillsynsmail/A 43297-2020 tillsynsbegäran mail.docx", "A 43297-2020")</f>
        <v/>
      </c>
    </row>
    <row r="204" ht="15" customHeight="1">
      <c r="A204" t="inlineStr">
        <is>
          <t>A 43303-2020</t>
        </is>
      </c>
      <c r="B204" s="1" t="n">
        <v>44081</v>
      </c>
      <c r="C204" s="1" t="n">
        <v>45832</v>
      </c>
      <c r="D204" t="inlineStr">
        <is>
          <t>VÄSTERBOTTENS LÄN</t>
        </is>
      </c>
      <c r="E204" t="inlineStr">
        <is>
          <t>SKELLEFTEÅ</t>
        </is>
      </c>
      <c r="F204" t="inlineStr">
        <is>
          <t>Sveaskog</t>
        </is>
      </c>
      <c r="G204" t="n">
        <v>2.8</v>
      </c>
      <c r="H204" t="n">
        <v>0</v>
      </c>
      <c r="I204" t="n">
        <v>1</v>
      </c>
      <c r="J204" t="n">
        <v>0</v>
      </c>
      <c r="K204" t="n">
        <v>0</v>
      </c>
      <c r="L204" t="n">
        <v>0</v>
      </c>
      <c r="M204" t="n">
        <v>0</v>
      </c>
      <c r="N204" t="n">
        <v>0</v>
      </c>
      <c r="O204" t="n">
        <v>0</v>
      </c>
      <c r="P204" t="n">
        <v>0</v>
      </c>
      <c r="Q204" t="n">
        <v>1</v>
      </c>
      <c r="R204" s="2" t="inlineStr">
        <is>
          <t>Stuplav</t>
        </is>
      </c>
      <c r="S204">
        <f>HYPERLINK("https://klasma.github.io/Logging_2482/artfynd/A 43303-2020 artfynd.xlsx", "A 43303-2020")</f>
        <v/>
      </c>
      <c r="T204">
        <f>HYPERLINK("https://klasma.github.io/Logging_2482/kartor/A 43303-2020 karta.png", "A 43303-2020")</f>
        <v/>
      </c>
      <c r="V204">
        <f>HYPERLINK("https://klasma.github.io/Logging_2482/klagomål/A 43303-2020 FSC-klagomål.docx", "A 43303-2020")</f>
        <v/>
      </c>
      <c r="W204">
        <f>HYPERLINK("https://klasma.github.io/Logging_2482/klagomålsmail/A 43303-2020 FSC-klagomål mail.docx", "A 43303-2020")</f>
        <v/>
      </c>
      <c r="X204">
        <f>HYPERLINK("https://klasma.github.io/Logging_2482/tillsyn/A 43303-2020 tillsynsbegäran.docx", "A 43303-2020")</f>
        <v/>
      </c>
      <c r="Y204">
        <f>HYPERLINK("https://klasma.github.io/Logging_2482/tillsynsmail/A 43303-2020 tillsynsbegäran mail.docx", "A 43303-2020")</f>
        <v/>
      </c>
    </row>
    <row r="205" ht="15" customHeight="1">
      <c r="A205" t="inlineStr">
        <is>
          <t>A 55810-2020</t>
        </is>
      </c>
      <c r="B205" s="1" t="n">
        <v>44132</v>
      </c>
      <c r="C205" s="1" t="n">
        <v>45832</v>
      </c>
      <c r="D205" t="inlineStr">
        <is>
          <t>VÄSTERBOTTENS LÄN</t>
        </is>
      </c>
      <c r="E205" t="inlineStr">
        <is>
          <t>SKELLEFTEÅ</t>
        </is>
      </c>
      <c r="F205" t="inlineStr">
        <is>
          <t>Sveaskog</t>
        </is>
      </c>
      <c r="G205" t="n">
        <v>20.1</v>
      </c>
      <c r="H205" t="n">
        <v>1</v>
      </c>
      <c r="I205" t="n">
        <v>0</v>
      </c>
      <c r="J205" t="n">
        <v>0</v>
      </c>
      <c r="K205" t="n">
        <v>0</v>
      </c>
      <c r="L205" t="n">
        <v>0</v>
      </c>
      <c r="M205" t="n">
        <v>0</v>
      </c>
      <c r="N205" t="n">
        <v>0</v>
      </c>
      <c r="O205" t="n">
        <v>0</v>
      </c>
      <c r="P205" t="n">
        <v>0</v>
      </c>
      <c r="Q205" t="n">
        <v>1</v>
      </c>
      <c r="R205" s="2" t="inlineStr">
        <is>
          <t>Fläcknycklar</t>
        </is>
      </c>
      <c r="S205">
        <f>HYPERLINK("https://klasma.github.io/Logging_2482/artfynd/A 55810-2020 artfynd.xlsx", "A 55810-2020")</f>
        <v/>
      </c>
      <c r="T205">
        <f>HYPERLINK("https://klasma.github.io/Logging_2482/kartor/A 55810-2020 karta.png", "A 55810-2020")</f>
        <v/>
      </c>
      <c r="V205">
        <f>HYPERLINK("https://klasma.github.io/Logging_2482/klagomål/A 55810-2020 FSC-klagomål.docx", "A 55810-2020")</f>
        <v/>
      </c>
      <c r="W205">
        <f>HYPERLINK("https://klasma.github.io/Logging_2482/klagomålsmail/A 55810-2020 FSC-klagomål mail.docx", "A 55810-2020")</f>
        <v/>
      </c>
      <c r="X205">
        <f>HYPERLINK("https://klasma.github.io/Logging_2482/tillsyn/A 55810-2020 tillsynsbegäran.docx", "A 55810-2020")</f>
        <v/>
      </c>
      <c r="Y205">
        <f>HYPERLINK("https://klasma.github.io/Logging_2482/tillsynsmail/A 55810-2020 tillsynsbegäran mail.docx", "A 55810-2020")</f>
        <v/>
      </c>
    </row>
    <row r="206" ht="15" customHeight="1">
      <c r="A206" t="inlineStr">
        <is>
          <t>A 14857-2021</t>
        </is>
      </c>
      <c r="B206" s="1" t="n">
        <v>44280</v>
      </c>
      <c r="C206" s="1" t="n">
        <v>45832</v>
      </c>
      <c r="D206" t="inlineStr">
        <is>
          <t>VÄSTERBOTTENS LÄN</t>
        </is>
      </c>
      <c r="E206" t="inlineStr">
        <is>
          <t>SKELLEFTEÅ</t>
        </is>
      </c>
      <c r="F206" t="inlineStr">
        <is>
          <t>SCA</t>
        </is>
      </c>
      <c r="G206" t="n">
        <v>3.7</v>
      </c>
      <c r="H206" t="n">
        <v>1</v>
      </c>
      <c r="I206" t="n">
        <v>0</v>
      </c>
      <c r="J206" t="n">
        <v>1</v>
      </c>
      <c r="K206" t="n">
        <v>0</v>
      </c>
      <c r="L206" t="n">
        <v>0</v>
      </c>
      <c r="M206" t="n">
        <v>0</v>
      </c>
      <c r="N206" t="n">
        <v>0</v>
      </c>
      <c r="O206" t="n">
        <v>1</v>
      </c>
      <c r="P206" t="n">
        <v>0</v>
      </c>
      <c r="Q206" t="n">
        <v>1</v>
      </c>
      <c r="R206" s="2" t="inlineStr">
        <is>
          <t>Tretåig hackspett</t>
        </is>
      </c>
      <c r="S206">
        <f>HYPERLINK("https://klasma.github.io/Logging_2482/artfynd/A 14857-2021 artfynd.xlsx", "A 14857-2021")</f>
        <v/>
      </c>
      <c r="T206">
        <f>HYPERLINK("https://klasma.github.io/Logging_2482/kartor/A 14857-2021 karta.png", "A 14857-2021")</f>
        <v/>
      </c>
      <c r="V206">
        <f>HYPERLINK("https://klasma.github.io/Logging_2482/klagomål/A 14857-2021 FSC-klagomål.docx", "A 14857-2021")</f>
        <v/>
      </c>
      <c r="W206">
        <f>HYPERLINK("https://klasma.github.io/Logging_2482/klagomålsmail/A 14857-2021 FSC-klagomål mail.docx", "A 14857-2021")</f>
        <v/>
      </c>
      <c r="X206">
        <f>HYPERLINK("https://klasma.github.io/Logging_2482/tillsyn/A 14857-2021 tillsynsbegäran.docx", "A 14857-2021")</f>
        <v/>
      </c>
      <c r="Y206">
        <f>HYPERLINK("https://klasma.github.io/Logging_2482/tillsynsmail/A 14857-2021 tillsynsbegäran mail.docx", "A 14857-2021")</f>
        <v/>
      </c>
      <c r="Z206">
        <f>HYPERLINK("https://klasma.github.io/Logging_2482/fåglar/A 14857-2021 prioriterade fågelarter.docx", "A 14857-2021")</f>
        <v/>
      </c>
    </row>
    <row r="207" ht="15" customHeight="1">
      <c r="A207" t="inlineStr">
        <is>
          <t>A 32964-2021</t>
        </is>
      </c>
      <c r="B207" s="1" t="n">
        <v>44376</v>
      </c>
      <c r="C207" s="1" t="n">
        <v>45832</v>
      </c>
      <c r="D207" t="inlineStr">
        <is>
          <t>VÄSTERBOTTENS LÄN</t>
        </is>
      </c>
      <c r="E207" t="inlineStr">
        <is>
          <t>SKELLEFTEÅ</t>
        </is>
      </c>
      <c r="G207" t="n">
        <v>16</v>
      </c>
      <c r="H207" t="n">
        <v>0</v>
      </c>
      <c r="I207" t="n">
        <v>0</v>
      </c>
      <c r="J207" t="n">
        <v>1</v>
      </c>
      <c r="K207" t="n">
        <v>0</v>
      </c>
      <c r="L207" t="n">
        <v>0</v>
      </c>
      <c r="M207" t="n">
        <v>0</v>
      </c>
      <c r="N207" t="n">
        <v>0</v>
      </c>
      <c r="O207" t="n">
        <v>1</v>
      </c>
      <c r="P207" t="n">
        <v>0</v>
      </c>
      <c r="Q207" t="n">
        <v>1</v>
      </c>
      <c r="R207" s="2" t="inlineStr">
        <is>
          <t>Kådvaxskinn</t>
        </is>
      </c>
      <c r="S207">
        <f>HYPERLINK("https://klasma.github.io/Logging_2482/artfynd/A 32964-2021 artfynd.xlsx", "A 32964-2021")</f>
        <v/>
      </c>
      <c r="T207">
        <f>HYPERLINK("https://klasma.github.io/Logging_2482/kartor/A 32964-2021 karta.png", "A 32964-2021")</f>
        <v/>
      </c>
      <c r="V207">
        <f>HYPERLINK("https://klasma.github.io/Logging_2482/klagomål/A 32964-2021 FSC-klagomål.docx", "A 32964-2021")</f>
        <v/>
      </c>
      <c r="W207">
        <f>HYPERLINK("https://klasma.github.io/Logging_2482/klagomålsmail/A 32964-2021 FSC-klagomål mail.docx", "A 32964-2021")</f>
        <v/>
      </c>
      <c r="X207">
        <f>HYPERLINK("https://klasma.github.io/Logging_2482/tillsyn/A 32964-2021 tillsynsbegäran.docx", "A 32964-2021")</f>
        <v/>
      </c>
      <c r="Y207">
        <f>HYPERLINK("https://klasma.github.io/Logging_2482/tillsynsmail/A 32964-2021 tillsynsbegäran mail.docx", "A 32964-2021")</f>
        <v/>
      </c>
    </row>
    <row r="208" ht="15" customHeight="1">
      <c r="A208" t="inlineStr">
        <is>
          <t>A 35047-2021</t>
        </is>
      </c>
      <c r="B208" s="1" t="n">
        <v>44384</v>
      </c>
      <c r="C208" s="1" t="n">
        <v>45832</v>
      </c>
      <c r="D208" t="inlineStr">
        <is>
          <t>VÄSTERBOTTENS LÄN</t>
        </is>
      </c>
      <c r="E208" t="inlineStr">
        <is>
          <t>SKELLEFTEÅ</t>
        </is>
      </c>
      <c r="G208" t="n">
        <v>3.1</v>
      </c>
      <c r="H208" t="n">
        <v>0</v>
      </c>
      <c r="I208" t="n">
        <v>0</v>
      </c>
      <c r="J208" t="n">
        <v>1</v>
      </c>
      <c r="K208" t="n">
        <v>0</v>
      </c>
      <c r="L208" t="n">
        <v>0</v>
      </c>
      <c r="M208" t="n">
        <v>0</v>
      </c>
      <c r="N208" t="n">
        <v>0</v>
      </c>
      <c r="O208" t="n">
        <v>1</v>
      </c>
      <c r="P208" t="n">
        <v>0</v>
      </c>
      <c r="Q208" t="n">
        <v>1</v>
      </c>
      <c r="R208" s="2" t="inlineStr">
        <is>
          <t>Garnlav</t>
        </is>
      </c>
      <c r="S208">
        <f>HYPERLINK("https://klasma.github.io/Logging_2482/artfynd/A 35047-2021 artfynd.xlsx", "A 35047-2021")</f>
        <v/>
      </c>
      <c r="T208">
        <f>HYPERLINK("https://klasma.github.io/Logging_2482/kartor/A 35047-2021 karta.png", "A 35047-2021")</f>
        <v/>
      </c>
      <c r="V208">
        <f>HYPERLINK("https://klasma.github.io/Logging_2482/klagomål/A 35047-2021 FSC-klagomål.docx", "A 35047-2021")</f>
        <v/>
      </c>
      <c r="W208">
        <f>HYPERLINK("https://klasma.github.io/Logging_2482/klagomålsmail/A 35047-2021 FSC-klagomål mail.docx", "A 35047-2021")</f>
        <v/>
      </c>
      <c r="X208">
        <f>HYPERLINK("https://klasma.github.io/Logging_2482/tillsyn/A 35047-2021 tillsynsbegäran.docx", "A 35047-2021")</f>
        <v/>
      </c>
      <c r="Y208">
        <f>HYPERLINK("https://klasma.github.io/Logging_2482/tillsynsmail/A 35047-2021 tillsynsbegäran mail.docx", "A 35047-2021")</f>
        <v/>
      </c>
    </row>
    <row r="209" ht="15" customHeight="1">
      <c r="A209" t="inlineStr">
        <is>
          <t>A 35625-2021</t>
        </is>
      </c>
      <c r="B209" s="1" t="n">
        <v>44386</v>
      </c>
      <c r="C209" s="1" t="n">
        <v>45832</v>
      </c>
      <c r="D209" t="inlineStr">
        <is>
          <t>VÄSTERBOTTENS LÄN</t>
        </is>
      </c>
      <c r="E209" t="inlineStr">
        <is>
          <t>SKELLEFTEÅ</t>
        </is>
      </c>
      <c r="F209" t="inlineStr">
        <is>
          <t>Holmen skog AB</t>
        </is>
      </c>
      <c r="G209" t="n">
        <v>3.5</v>
      </c>
      <c r="H209" t="n">
        <v>0</v>
      </c>
      <c r="I209" t="n">
        <v>1</v>
      </c>
      <c r="J209" t="n">
        <v>0</v>
      </c>
      <c r="K209" t="n">
        <v>0</v>
      </c>
      <c r="L209" t="n">
        <v>0</v>
      </c>
      <c r="M209" t="n">
        <v>0</v>
      </c>
      <c r="N209" t="n">
        <v>0</v>
      </c>
      <c r="O209" t="n">
        <v>0</v>
      </c>
      <c r="P209" t="n">
        <v>0</v>
      </c>
      <c r="Q209" t="n">
        <v>1</v>
      </c>
      <c r="R209" s="2" t="inlineStr">
        <is>
          <t>Vedticka</t>
        </is>
      </c>
      <c r="S209">
        <f>HYPERLINK("https://klasma.github.io/Logging_2482/artfynd/A 35625-2021 artfynd.xlsx", "A 35625-2021")</f>
        <v/>
      </c>
      <c r="T209">
        <f>HYPERLINK("https://klasma.github.io/Logging_2482/kartor/A 35625-2021 karta.png", "A 35625-2021")</f>
        <v/>
      </c>
      <c r="V209">
        <f>HYPERLINK("https://klasma.github.io/Logging_2482/klagomål/A 35625-2021 FSC-klagomål.docx", "A 35625-2021")</f>
        <v/>
      </c>
      <c r="W209">
        <f>HYPERLINK("https://klasma.github.io/Logging_2482/klagomålsmail/A 35625-2021 FSC-klagomål mail.docx", "A 35625-2021")</f>
        <v/>
      </c>
      <c r="X209">
        <f>HYPERLINK("https://klasma.github.io/Logging_2482/tillsyn/A 35625-2021 tillsynsbegäran.docx", "A 35625-2021")</f>
        <v/>
      </c>
      <c r="Y209">
        <f>HYPERLINK("https://klasma.github.io/Logging_2482/tillsynsmail/A 35625-2021 tillsynsbegäran mail.docx", "A 35625-2021")</f>
        <v/>
      </c>
    </row>
    <row r="210" ht="15" customHeight="1">
      <c r="A210" t="inlineStr">
        <is>
          <t>A 39946-2021</t>
        </is>
      </c>
      <c r="B210" s="1" t="n">
        <v>44417</v>
      </c>
      <c r="C210" s="1" t="n">
        <v>45832</v>
      </c>
      <c r="D210" t="inlineStr">
        <is>
          <t>VÄSTERBOTTENS LÄN</t>
        </is>
      </c>
      <c r="E210" t="inlineStr">
        <is>
          <t>SKELLEFTEÅ</t>
        </is>
      </c>
      <c r="F210" t="inlineStr">
        <is>
          <t>SCA</t>
        </is>
      </c>
      <c r="G210" t="n">
        <v>3.4</v>
      </c>
      <c r="H210" t="n">
        <v>1</v>
      </c>
      <c r="I210" t="n">
        <v>0</v>
      </c>
      <c r="J210" t="n">
        <v>0</v>
      </c>
      <c r="K210" t="n">
        <v>0</v>
      </c>
      <c r="L210" t="n">
        <v>0</v>
      </c>
      <c r="M210" t="n">
        <v>0</v>
      </c>
      <c r="N210" t="n">
        <v>0</v>
      </c>
      <c r="O210" t="n">
        <v>0</v>
      </c>
      <c r="P210" t="n">
        <v>0</v>
      </c>
      <c r="Q210" t="n">
        <v>1</v>
      </c>
      <c r="R210" s="2" t="inlineStr">
        <is>
          <t>Fläcknycklar</t>
        </is>
      </c>
      <c r="S210">
        <f>HYPERLINK("https://klasma.github.io/Logging_2482/artfynd/A 39946-2021 artfynd.xlsx", "A 39946-2021")</f>
        <v/>
      </c>
      <c r="T210">
        <f>HYPERLINK("https://klasma.github.io/Logging_2482/kartor/A 39946-2021 karta.png", "A 39946-2021")</f>
        <v/>
      </c>
      <c r="V210">
        <f>HYPERLINK("https://klasma.github.io/Logging_2482/klagomål/A 39946-2021 FSC-klagomål.docx", "A 39946-2021")</f>
        <v/>
      </c>
      <c r="W210">
        <f>HYPERLINK("https://klasma.github.io/Logging_2482/klagomålsmail/A 39946-2021 FSC-klagomål mail.docx", "A 39946-2021")</f>
        <v/>
      </c>
      <c r="X210">
        <f>HYPERLINK("https://klasma.github.io/Logging_2482/tillsyn/A 39946-2021 tillsynsbegäran.docx", "A 39946-2021")</f>
        <v/>
      </c>
      <c r="Y210">
        <f>HYPERLINK("https://klasma.github.io/Logging_2482/tillsynsmail/A 39946-2021 tillsynsbegäran mail.docx", "A 39946-2021")</f>
        <v/>
      </c>
    </row>
    <row r="211" ht="15" customHeight="1">
      <c r="A211" t="inlineStr">
        <is>
          <t>A 58766-2021</t>
        </is>
      </c>
      <c r="B211" s="1" t="n">
        <v>44489</v>
      </c>
      <c r="C211" s="1" t="n">
        <v>45832</v>
      </c>
      <c r="D211" t="inlineStr">
        <is>
          <t>VÄSTERBOTTENS LÄN</t>
        </is>
      </c>
      <c r="E211" t="inlineStr">
        <is>
          <t>SKELLEFTEÅ</t>
        </is>
      </c>
      <c r="G211" t="n">
        <v>5.5</v>
      </c>
      <c r="H211" t="n">
        <v>0</v>
      </c>
      <c r="I211" t="n">
        <v>0</v>
      </c>
      <c r="J211" t="n">
        <v>1</v>
      </c>
      <c r="K211" t="n">
        <v>0</v>
      </c>
      <c r="L211" t="n">
        <v>0</v>
      </c>
      <c r="M211" t="n">
        <v>0</v>
      </c>
      <c r="N211" t="n">
        <v>0</v>
      </c>
      <c r="O211" t="n">
        <v>1</v>
      </c>
      <c r="P211" t="n">
        <v>0</v>
      </c>
      <c r="Q211" t="n">
        <v>1</v>
      </c>
      <c r="R211" s="2" t="inlineStr">
        <is>
          <t>Stjärntagging</t>
        </is>
      </c>
      <c r="S211">
        <f>HYPERLINK("https://klasma.github.io/Logging_2482/artfynd/A 58766-2021 artfynd.xlsx", "A 58766-2021")</f>
        <v/>
      </c>
      <c r="T211">
        <f>HYPERLINK("https://klasma.github.io/Logging_2482/kartor/A 58766-2021 karta.png", "A 58766-2021")</f>
        <v/>
      </c>
      <c r="V211">
        <f>HYPERLINK("https://klasma.github.io/Logging_2482/klagomål/A 58766-2021 FSC-klagomål.docx", "A 58766-2021")</f>
        <v/>
      </c>
      <c r="W211">
        <f>HYPERLINK("https://klasma.github.io/Logging_2482/klagomålsmail/A 58766-2021 FSC-klagomål mail.docx", "A 58766-2021")</f>
        <v/>
      </c>
      <c r="X211">
        <f>HYPERLINK("https://klasma.github.io/Logging_2482/tillsyn/A 58766-2021 tillsynsbegäran.docx", "A 58766-2021")</f>
        <v/>
      </c>
      <c r="Y211">
        <f>HYPERLINK("https://klasma.github.io/Logging_2482/tillsynsmail/A 58766-2021 tillsynsbegäran mail.docx", "A 58766-2021")</f>
        <v/>
      </c>
    </row>
    <row r="212" ht="15" customHeight="1">
      <c r="A212" t="inlineStr">
        <is>
          <t>A 61658-2021</t>
        </is>
      </c>
      <c r="B212" s="1" t="n">
        <v>44501</v>
      </c>
      <c r="C212" s="1" t="n">
        <v>45832</v>
      </c>
      <c r="D212" t="inlineStr">
        <is>
          <t>VÄSTERBOTTENS LÄN</t>
        </is>
      </c>
      <c r="E212" t="inlineStr">
        <is>
          <t>SKELLEFTEÅ</t>
        </is>
      </c>
      <c r="F212" t="inlineStr">
        <is>
          <t>Sveaskog</t>
        </is>
      </c>
      <c r="G212" t="n">
        <v>16.3</v>
      </c>
      <c r="H212" t="n">
        <v>1</v>
      </c>
      <c r="I212" t="n">
        <v>0</v>
      </c>
      <c r="J212" t="n">
        <v>0</v>
      </c>
      <c r="K212" t="n">
        <v>0</v>
      </c>
      <c r="L212" t="n">
        <v>0</v>
      </c>
      <c r="M212" t="n">
        <v>0</v>
      </c>
      <c r="N212" t="n">
        <v>0</v>
      </c>
      <c r="O212" t="n">
        <v>0</v>
      </c>
      <c r="P212" t="n">
        <v>0</v>
      </c>
      <c r="Q212" t="n">
        <v>1</v>
      </c>
      <c r="R212" s="2" t="inlineStr">
        <is>
          <t>Revlummer</t>
        </is>
      </c>
      <c r="S212">
        <f>HYPERLINK("https://klasma.github.io/Logging_2482/artfynd/A 61658-2021 artfynd.xlsx", "A 61658-2021")</f>
        <v/>
      </c>
      <c r="T212">
        <f>HYPERLINK("https://klasma.github.io/Logging_2482/kartor/A 61658-2021 karta.png", "A 61658-2021")</f>
        <v/>
      </c>
      <c r="V212">
        <f>HYPERLINK("https://klasma.github.io/Logging_2482/klagomål/A 61658-2021 FSC-klagomål.docx", "A 61658-2021")</f>
        <v/>
      </c>
      <c r="W212">
        <f>HYPERLINK("https://klasma.github.io/Logging_2482/klagomålsmail/A 61658-2021 FSC-klagomål mail.docx", "A 61658-2021")</f>
        <v/>
      </c>
      <c r="X212">
        <f>HYPERLINK("https://klasma.github.io/Logging_2482/tillsyn/A 61658-2021 tillsynsbegäran.docx", "A 61658-2021")</f>
        <v/>
      </c>
      <c r="Y212">
        <f>HYPERLINK("https://klasma.github.io/Logging_2482/tillsynsmail/A 61658-2021 tillsynsbegäran mail.docx", "A 61658-2021")</f>
        <v/>
      </c>
    </row>
    <row r="213" ht="15" customHeight="1">
      <c r="A213" t="inlineStr">
        <is>
          <t>A 62436-2021</t>
        </is>
      </c>
      <c r="B213" s="1" t="n">
        <v>44503</v>
      </c>
      <c r="C213" s="1" t="n">
        <v>45832</v>
      </c>
      <c r="D213" t="inlineStr">
        <is>
          <t>VÄSTERBOTTENS LÄN</t>
        </is>
      </c>
      <c r="E213" t="inlineStr">
        <is>
          <t>SKELLEFTEÅ</t>
        </is>
      </c>
      <c r="F213" t="inlineStr">
        <is>
          <t>Holmen skog AB</t>
        </is>
      </c>
      <c r="G213" t="n">
        <v>19.5</v>
      </c>
      <c r="H213" t="n">
        <v>0</v>
      </c>
      <c r="I213" t="n">
        <v>0</v>
      </c>
      <c r="J213" t="n">
        <v>1</v>
      </c>
      <c r="K213" t="n">
        <v>0</v>
      </c>
      <c r="L213" t="n">
        <v>0</v>
      </c>
      <c r="M213" t="n">
        <v>0</v>
      </c>
      <c r="N213" t="n">
        <v>0</v>
      </c>
      <c r="O213" t="n">
        <v>1</v>
      </c>
      <c r="P213" t="n">
        <v>0</v>
      </c>
      <c r="Q213" t="n">
        <v>1</v>
      </c>
      <c r="R213" s="2" t="inlineStr">
        <is>
          <t>Lunglav</t>
        </is>
      </c>
      <c r="S213">
        <f>HYPERLINK("https://klasma.github.io/Logging_2482/artfynd/A 62436-2021 artfynd.xlsx", "A 62436-2021")</f>
        <v/>
      </c>
      <c r="T213">
        <f>HYPERLINK("https://klasma.github.io/Logging_2482/kartor/A 62436-2021 karta.png", "A 62436-2021")</f>
        <v/>
      </c>
      <c r="V213">
        <f>HYPERLINK("https://klasma.github.io/Logging_2482/klagomål/A 62436-2021 FSC-klagomål.docx", "A 62436-2021")</f>
        <v/>
      </c>
      <c r="W213">
        <f>HYPERLINK("https://klasma.github.io/Logging_2482/klagomålsmail/A 62436-2021 FSC-klagomål mail.docx", "A 62436-2021")</f>
        <v/>
      </c>
      <c r="X213">
        <f>HYPERLINK("https://klasma.github.io/Logging_2482/tillsyn/A 62436-2021 tillsynsbegäran.docx", "A 62436-2021")</f>
        <v/>
      </c>
      <c r="Y213">
        <f>HYPERLINK("https://klasma.github.io/Logging_2482/tillsynsmail/A 62436-2021 tillsynsbegäran mail.docx", "A 62436-2021")</f>
        <v/>
      </c>
    </row>
    <row r="214" ht="15" customHeight="1">
      <c r="A214" t="inlineStr">
        <is>
          <t>A 72939-2021</t>
        </is>
      </c>
      <c r="B214" s="1" t="n">
        <v>44547</v>
      </c>
      <c r="C214" s="1" t="n">
        <v>45832</v>
      </c>
      <c r="D214" t="inlineStr">
        <is>
          <t>VÄSTERBOTTENS LÄN</t>
        </is>
      </c>
      <c r="E214" t="inlineStr">
        <is>
          <t>SKELLEFTEÅ</t>
        </is>
      </c>
      <c r="G214" t="n">
        <v>14.8</v>
      </c>
      <c r="H214" t="n">
        <v>0</v>
      </c>
      <c r="I214" t="n">
        <v>1</v>
      </c>
      <c r="J214" t="n">
        <v>0</v>
      </c>
      <c r="K214" t="n">
        <v>0</v>
      </c>
      <c r="L214" t="n">
        <v>0</v>
      </c>
      <c r="M214" t="n">
        <v>0</v>
      </c>
      <c r="N214" t="n">
        <v>0</v>
      </c>
      <c r="O214" t="n">
        <v>0</v>
      </c>
      <c r="P214" t="n">
        <v>0</v>
      </c>
      <c r="Q214" t="n">
        <v>1</v>
      </c>
      <c r="R214" s="2" t="inlineStr">
        <is>
          <t>Dropptaggsvamp</t>
        </is>
      </c>
      <c r="S214">
        <f>HYPERLINK("https://klasma.github.io/Logging_2482/artfynd/A 72939-2021 artfynd.xlsx", "A 72939-2021")</f>
        <v/>
      </c>
      <c r="T214">
        <f>HYPERLINK("https://klasma.github.io/Logging_2482/kartor/A 72939-2021 karta.png", "A 72939-2021")</f>
        <v/>
      </c>
      <c r="V214">
        <f>HYPERLINK("https://klasma.github.io/Logging_2482/klagomål/A 72939-2021 FSC-klagomål.docx", "A 72939-2021")</f>
        <v/>
      </c>
      <c r="W214">
        <f>HYPERLINK("https://klasma.github.io/Logging_2482/klagomålsmail/A 72939-2021 FSC-klagomål mail.docx", "A 72939-2021")</f>
        <v/>
      </c>
      <c r="X214">
        <f>HYPERLINK("https://klasma.github.io/Logging_2482/tillsyn/A 72939-2021 tillsynsbegäran.docx", "A 72939-2021")</f>
        <v/>
      </c>
      <c r="Y214">
        <f>HYPERLINK("https://klasma.github.io/Logging_2482/tillsynsmail/A 72939-2021 tillsynsbegäran mail.docx", "A 72939-2021")</f>
        <v/>
      </c>
    </row>
    <row r="215" ht="15" customHeight="1">
      <c r="A215" t="inlineStr">
        <is>
          <t>A 12963-2022</t>
        </is>
      </c>
      <c r="B215" s="1" t="n">
        <v>44642</v>
      </c>
      <c r="C215" s="1" t="n">
        <v>45832</v>
      </c>
      <c r="D215" t="inlineStr">
        <is>
          <t>VÄSTERBOTTENS LÄN</t>
        </is>
      </c>
      <c r="E215" t="inlineStr">
        <is>
          <t>SKELLEFTEÅ</t>
        </is>
      </c>
      <c r="G215" t="n">
        <v>4.3</v>
      </c>
      <c r="H215" t="n">
        <v>1</v>
      </c>
      <c r="I215" t="n">
        <v>0</v>
      </c>
      <c r="J215" t="n">
        <v>1</v>
      </c>
      <c r="K215" t="n">
        <v>0</v>
      </c>
      <c r="L215" t="n">
        <v>0</v>
      </c>
      <c r="M215" t="n">
        <v>0</v>
      </c>
      <c r="N215" t="n">
        <v>0</v>
      </c>
      <c r="O215" t="n">
        <v>1</v>
      </c>
      <c r="P215" t="n">
        <v>0</v>
      </c>
      <c r="Q215" t="n">
        <v>1</v>
      </c>
      <c r="R215" s="2" t="inlineStr">
        <is>
          <t>Duvhök</t>
        </is>
      </c>
      <c r="S215">
        <f>HYPERLINK("https://klasma.github.io/Logging_2482/artfynd/A 12963-2022 artfynd.xlsx", "A 12963-2022")</f>
        <v/>
      </c>
      <c r="T215">
        <f>HYPERLINK("https://klasma.github.io/Logging_2482/kartor/A 12963-2022 karta.png", "A 12963-2022")</f>
        <v/>
      </c>
      <c r="V215">
        <f>HYPERLINK("https://klasma.github.io/Logging_2482/klagomål/A 12963-2022 FSC-klagomål.docx", "A 12963-2022")</f>
        <v/>
      </c>
      <c r="W215">
        <f>HYPERLINK("https://klasma.github.io/Logging_2482/klagomålsmail/A 12963-2022 FSC-klagomål mail.docx", "A 12963-2022")</f>
        <v/>
      </c>
      <c r="X215">
        <f>HYPERLINK("https://klasma.github.io/Logging_2482/tillsyn/A 12963-2022 tillsynsbegäran.docx", "A 12963-2022")</f>
        <v/>
      </c>
      <c r="Y215">
        <f>HYPERLINK("https://klasma.github.io/Logging_2482/tillsynsmail/A 12963-2022 tillsynsbegäran mail.docx", "A 12963-2022")</f>
        <v/>
      </c>
      <c r="Z215">
        <f>HYPERLINK("https://klasma.github.io/Logging_2482/fåglar/A 12963-2022 prioriterade fågelarter.docx", "A 12963-2022")</f>
        <v/>
      </c>
    </row>
    <row r="216" ht="15" customHeight="1">
      <c r="A216" t="inlineStr">
        <is>
          <t>A 14277-2022</t>
        </is>
      </c>
      <c r="B216" s="1" t="n">
        <v>44651</v>
      </c>
      <c r="C216" s="1" t="n">
        <v>45832</v>
      </c>
      <c r="D216" t="inlineStr">
        <is>
          <t>VÄSTERBOTTENS LÄN</t>
        </is>
      </c>
      <c r="E216" t="inlineStr">
        <is>
          <t>SKELLEFTEÅ</t>
        </is>
      </c>
      <c r="G216" t="n">
        <v>7.4</v>
      </c>
      <c r="H216" t="n">
        <v>1</v>
      </c>
      <c r="I216" t="n">
        <v>0</v>
      </c>
      <c r="J216" t="n">
        <v>0</v>
      </c>
      <c r="K216" t="n">
        <v>0</v>
      </c>
      <c r="L216" t="n">
        <v>0</v>
      </c>
      <c r="M216" t="n">
        <v>0</v>
      </c>
      <c r="N216" t="n">
        <v>0</v>
      </c>
      <c r="O216" t="n">
        <v>0</v>
      </c>
      <c r="P216" t="n">
        <v>0</v>
      </c>
      <c r="Q216" t="n">
        <v>1</v>
      </c>
      <c r="R216" s="2" t="inlineStr">
        <is>
          <t>Fläcknycklar</t>
        </is>
      </c>
      <c r="S216">
        <f>HYPERLINK("https://klasma.github.io/Logging_2482/artfynd/A 14277-2022 artfynd.xlsx", "A 14277-2022")</f>
        <v/>
      </c>
      <c r="T216">
        <f>HYPERLINK("https://klasma.github.io/Logging_2482/kartor/A 14277-2022 karta.png", "A 14277-2022")</f>
        <v/>
      </c>
      <c r="V216">
        <f>HYPERLINK("https://klasma.github.io/Logging_2482/klagomål/A 14277-2022 FSC-klagomål.docx", "A 14277-2022")</f>
        <v/>
      </c>
      <c r="W216">
        <f>HYPERLINK("https://klasma.github.io/Logging_2482/klagomålsmail/A 14277-2022 FSC-klagomål mail.docx", "A 14277-2022")</f>
        <v/>
      </c>
      <c r="X216">
        <f>HYPERLINK("https://klasma.github.io/Logging_2482/tillsyn/A 14277-2022 tillsynsbegäran.docx", "A 14277-2022")</f>
        <v/>
      </c>
      <c r="Y216">
        <f>HYPERLINK("https://klasma.github.io/Logging_2482/tillsynsmail/A 14277-2022 tillsynsbegäran mail.docx", "A 14277-2022")</f>
        <v/>
      </c>
    </row>
    <row r="217" ht="15" customHeight="1">
      <c r="A217" t="inlineStr">
        <is>
          <t>A 17336-2022</t>
        </is>
      </c>
      <c r="B217" s="1" t="n">
        <v>44678</v>
      </c>
      <c r="C217" s="1" t="n">
        <v>45832</v>
      </c>
      <c r="D217" t="inlineStr">
        <is>
          <t>VÄSTERBOTTENS LÄN</t>
        </is>
      </c>
      <c r="E217" t="inlineStr">
        <is>
          <t>SKELLEFTEÅ</t>
        </is>
      </c>
      <c r="G217" t="n">
        <v>0.5</v>
      </c>
      <c r="H217" t="n">
        <v>0</v>
      </c>
      <c r="I217" t="n">
        <v>0</v>
      </c>
      <c r="J217" t="n">
        <v>1</v>
      </c>
      <c r="K217" t="n">
        <v>0</v>
      </c>
      <c r="L217" t="n">
        <v>0</v>
      </c>
      <c r="M217" t="n">
        <v>0</v>
      </c>
      <c r="N217" t="n">
        <v>0</v>
      </c>
      <c r="O217" t="n">
        <v>1</v>
      </c>
      <c r="P217" t="n">
        <v>0</v>
      </c>
      <c r="Q217" t="n">
        <v>1</v>
      </c>
      <c r="R217" s="2" t="inlineStr">
        <is>
          <t>Doftskinn</t>
        </is>
      </c>
      <c r="S217">
        <f>HYPERLINK("https://klasma.github.io/Logging_2482/artfynd/A 17336-2022 artfynd.xlsx", "A 17336-2022")</f>
        <v/>
      </c>
      <c r="T217">
        <f>HYPERLINK("https://klasma.github.io/Logging_2482/kartor/A 17336-2022 karta.png", "A 17336-2022")</f>
        <v/>
      </c>
      <c r="V217">
        <f>HYPERLINK("https://klasma.github.io/Logging_2482/klagomål/A 17336-2022 FSC-klagomål.docx", "A 17336-2022")</f>
        <v/>
      </c>
      <c r="W217">
        <f>HYPERLINK("https://klasma.github.io/Logging_2482/klagomålsmail/A 17336-2022 FSC-klagomål mail.docx", "A 17336-2022")</f>
        <v/>
      </c>
      <c r="X217">
        <f>HYPERLINK("https://klasma.github.io/Logging_2482/tillsyn/A 17336-2022 tillsynsbegäran.docx", "A 17336-2022")</f>
        <v/>
      </c>
      <c r="Y217">
        <f>HYPERLINK("https://klasma.github.io/Logging_2482/tillsynsmail/A 17336-2022 tillsynsbegäran mail.docx", "A 17336-2022")</f>
        <v/>
      </c>
    </row>
    <row r="218" ht="15" customHeight="1">
      <c r="A218" t="inlineStr">
        <is>
          <t>A 24885-2022</t>
        </is>
      </c>
      <c r="B218" s="1" t="n">
        <v>44728</v>
      </c>
      <c r="C218" s="1" t="n">
        <v>45832</v>
      </c>
      <c r="D218" t="inlineStr">
        <is>
          <t>VÄSTERBOTTENS LÄN</t>
        </is>
      </c>
      <c r="E218" t="inlineStr">
        <is>
          <t>SKELLEFTEÅ</t>
        </is>
      </c>
      <c r="F218" t="inlineStr">
        <is>
          <t>Holmen skog AB</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HYPERLINK("https://klasma.github.io/Logging_2482/artfynd/A 24885-2022 artfynd.xlsx", "A 24885-2022")</f>
        <v/>
      </c>
      <c r="T218">
        <f>HYPERLINK("https://klasma.github.io/Logging_2482/kartor/A 24885-2022 karta.png", "A 24885-2022")</f>
        <v/>
      </c>
      <c r="V218">
        <f>HYPERLINK("https://klasma.github.io/Logging_2482/klagomål/A 24885-2022 FSC-klagomål.docx", "A 24885-2022")</f>
        <v/>
      </c>
      <c r="W218">
        <f>HYPERLINK("https://klasma.github.io/Logging_2482/klagomålsmail/A 24885-2022 FSC-klagomål mail.docx", "A 24885-2022")</f>
        <v/>
      </c>
      <c r="X218">
        <f>HYPERLINK("https://klasma.github.io/Logging_2482/tillsyn/A 24885-2022 tillsynsbegäran.docx", "A 24885-2022")</f>
        <v/>
      </c>
      <c r="Y218">
        <f>HYPERLINK("https://klasma.github.io/Logging_2482/tillsynsmail/A 24885-2022 tillsynsbegäran mail.docx", "A 24885-2022")</f>
        <v/>
      </c>
    </row>
    <row r="219" ht="15" customHeight="1">
      <c r="A219" t="inlineStr">
        <is>
          <t>A 36531-2022</t>
        </is>
      </c>
      <c r="B219" s="1" t="n">
        <v>44804</v>
      </c>
      <c r="C219" s="1" t="n">
        <v>45832</v>
      </c>
      <c r="D219" t="inlineStr">
        <is>
          <t>VÄSTERBOTTENS LÄN</t>
        </is>
      </c>
      <c r="E219" t="inlineStr">
        <is>
          <t>SKELLEFTEÅ</t>
        </is>
      </c>
      <c r="F219" t="inlineStr">
        <is>
          <t>Kommuner</t>
        </is>
      </c>
      <c r="G219" t="n">
        <v>3.1</v>
      </c>
      <c r="H219" t="n">
        <v>0</v>
      </c>
      <c r="I219" t="n">
        <v>1</v>
      </c>
      <c r="J219" t="n">
        <v>0</v>
      </c>
      <c r="K219" t="n">
        <v>0</v>
      </c>
      <c r="L219" t="n">
        <v>0</v>
      </c>
      <c r="M219" t="n">
        <v>0</v>
      </c>
      <c r="N219" t="n">
        <v>0</v>
      </c>
      <c r="O219" t="n">
        <v>0</v>
      </c>
      <c r="P219" t="n">
        <v>0</v>
      </c>
      <c r="Q219" t="n">
        <v>1</v>
      </c>
      <c r="R219" s="2" t="inlineStr">
        <is>
          <t>Dropptaggsvamp</t>
        </is>
      </c>
      <c r="S219">
        <f>HYPERLINK("https://klasma.github.io/Logging_2482/artfynd/A 36531-2022 artfynd.xlsx", "A 36531-2022")</f>
        <v/>
      </c>
      <c r="T219">
        <f>HYPERLINK("https://klasma.github.io/Logging_2482/kartor/A 36531-2022 karta.png", "A 36531-2022")</f>
        <v/>
      </c>
      <c r="V219">
        <f>HYPERLINK("https://klasma.github.io/Logging_2482/klagomål/A 36531-2022 FSC-klagomål.docx", "A 36531-2022")</f>
        <v/>
      </c>
      <c r="W219">
        <f>HYPERLINK("https://klasma.github.io/Logging_2482/klagomålsmail/A 36531-2022 FSC-klagomål mail.docx", "A 36531-2022")</f>
        <v/>
      </c>
      <c r="X219">
        <f>HYPERLINK("https://klasma.github.io/Logging_2482/tillsyn/A 36531-2022 tillsynsbegäran.docx", "A 36531-2022")</f>
        <v/>
      </c>
      <c r="Y219">
        <f>HYPERLINK("https://klasma.github.io/Logging_2482/tillsynsmail/A 36531-2022 tillsynsbegäran mail.docx", "A 36531-2022")</f>
        <v/>
      </c>
    </row>
    <row r="220" ht="15" customHeight="1">
      <c r="A220" t="inlineStr">
        <is>
          <t>A 42674-2022</t>
        </is>
      </c>
      <c r="B220" s="1" t="n">
        <v>44831</v>
      </c>
      <c r="C220" s="1" t="n">
        <v>45832</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Granticka</t>
        </is>
      </c>
      <c r="S220">
        <f>HYPERLINK("https://klasma.github.io/Logging_2482/artfynd/A 42674-2022 artfynd.xlsx", "A 42674-2022")</f>
        <v/>
      </c>
      <c r="T220">
        <f>HYPERLINK("https://klasma.github.io/Logging_2482/kartor/A 42674-2022 karta.png", "A 42674-2022")</f>
        <v/>
      </c>
      <c r="V220">
        <f>HYPERLINK("https://klasma.github.io/Logging_2482/klagomål/A 42674-2022 FSC-klagomål.docx", "A 42674-2022")</f>
        <v/>
      </c>
      <c r="W220">
        <f>HYPERLINK("https://klasma.github.io/Logging_2482/klagomålsmail/A 42674-2022 FSC-klagomål mail.docx", "A 42674-2022")</f>
        <v/>
      </c>
      <c r="X220">
        <f>HYPERLINK("https://klasma.github.io/Logging_2482/tillsyn/A 42674-2022 tillsynsbegäran.docx", "A 42674-2022")</f>
        <v/>
      </c>
      <c r="Y220">
        <f>HYPERLINK("https://klasma.github.io/Logging_2482/tillsynsmail/A 42674-2022 tillsynsbegäran mail.docx", "A 42674-2022")</f>
        <v/>
      </c>
    </row>
    <row r="221" ht="15" customHeight="1">
      <c r="A221" t="inlineStr">
        <is>
          <t>A 47963-2022</t>
        </is>
      </c>
      <c r="B221" s="1" t="n">
        <v>44855</v>
      </c>
      <c r="C221" s="1" t="n">
        <v>45832</v>
      </c>
      <c r="D221" t="inlineStr">
        <is>
          <t>VÄSTERBOTTENS LÄN</t>
        </is>
      </c>
      <c r="E221" t="inlineStr">
        <is>
          <t>SKELLEFTEÅ</t>
        </is>
      </c>
      <c r="F221" t="inlineStr">
        <is>
          <t>Holmen skog AB</t>
        </is>
      </c>
      <c r="G221" t="n">
        <v>18.7</v>
      </c>
      <c r="H221" t="n">
        <v>0</v>
      </c>
      <c r="I221" t="n">
        <v>1</v>
      </c>
      <c r="J221" t="n">
        <v>0</v>
      </c>
      <c r="K221" t="n">
        <v>0</v>
      </c>
      <c r="L221" t="n">
        <v>0</v>
      </c>
      <c r="M221" t="n">
        <v>0</v>
      </c>
      <c r="N221" t="n">
        <v>0</v>
      </c>
      <c r="O221" t="n">
        <v>0</v>
      </c>
      <c r="P221" t="n">
        <v>0</v>
      </c>
      <c r="Q221" t="n">
        <v>1</v>
      </c>
      <c r="R221" s="2" t="inlineStr">
        <is>
          <t>Skinnlav</t>
        </is>
      </c>
      <c r="S221">
        <f>HYPERLINK("https://klasma.github.io/Logging_2482/artfynd/A 47963-2022 artfynd.xlsx", "A 47963-2022")</f>
        <v/>
      </c>
      <c r="T221">
        <f>HYPERLINK("https://klasma.github.io/Logging_2482/kartor/A 47963-2022 karta.png", "A 47963-2022")</f>
        <v/>
      </c>
      <c r="V221">
        <f>HYPERLINK("https://klasma.github.io/Logging_2482/klagomål/A 47963-2022 FSC-klagomål.docx", "A 47963-2022")</f>
        <v/>
      </c>
      <c r="W221">
        <f>HYPERLINK("https://klasma.github.io/Logging_2482/klagomålsmail/A 47963-2022 FSC-klagomål mail.docx", "A 47963-2022")</f>
        <v/>
      </c>
      <c r="X221">
        <f>HYPERLINK("https://klasma.github.io/Logging_2482/tillsyn/A 47963-2022 tillsynsbegäran.docx", "A 47963-2022")</f>
        <v/>
      </c>
      <c r="Y221">
        <f>HYPERLINK("https://klasma.github.io/Logging_2482/tillsynsmail/A 47963-2022 tillsynsbegäran mail.docx", "A 47963-2022")</f>
        <v/>
      </c>
    </row>
    <row r="222" ht="15" customHeight="1">
      <c r="A222" t="inlineStr">
        <is>
          <t>A 49588-2022</t>
        </is>
      </c>
      <c r="B222" s="1" t="n">
        <v>44862</v>
      </c>
      <c r="C222" s="1" t="n">
        <v>45832</v>
      </c>
      <c r="D222" t="inlineStr">
        <is>
          <t>VÄSTERBOTTENS LÄN</t>
        </is>
      </c>
      <c r="E222" t="inlineStr">
        <is>
          <t>SKELLEFTEÅ</t>
        </is>
      </c>
      <c r="F222" t="inlineStr">
        <is>
          <t>Holmen skog AB</t>
        </is>
      </c>
      <c r="G222" t="n">
        <v>6.1</v>
      </c>
      <c r="H222" t="n">
        <v>0</v>
      </c>
      <c r="I222" t="n">
        <v>0</v>
      </c>
      <c r="J222" t="n">
        <v>1</v>
      </c>
      <c r="K222" t="n">
        <v>0</v>
      </c>
      <c r="L222" t="n">
        <v>0</v>
      </c>
      <c r="M222" t="n">
        <v>0</v>
      </c>
      <c r="N222" t="n">
        <v>0</v>
      </c>
      <c r="O222" t="n">
        <v>1</v>
      </c>
      <c r="P222" t="n">
        <v>0</v>
      </c>
      <c r="Q222" t="n">
        <v>1</v>
      </c>
      <c r="R222" s="2" t="inlineStr">
        <is>
          <t>Lunglav</t>
        </is>
      </c>
      <c r="S222">
        <f>HYPERLINK("https://klasma.github.io/Logging_2482/artfynd/A 49588-2022 artfynd.xlsx", "A 49588-2022")</f>
        <v/>
      </c>
      <c r="T222">
        <f>HYPERLINK("https://klasma.github.io/Logging_2482/kartor/A 49588-2022 karta.png", "A 49588-2022")</f>
        <v/>
      </c>
      <c r="V222">
        <f>HYPERLINK("https://klasma.github.io/Logging_2482/klagomål/A 49588-2022 FSC-klagomål.docx", "A 49588-2022")</f>
        <v/>
      </c>
      <c r="W222">
        <f>HYPERLINK("https://klasma.github.io/Logging_2482/klagomålsmail/A 49588-2022 FSC-klagomål mail.docx", "A 49588-2022")</f>
        <v/>
      </c>
      <c r="X222">
        <f>HYPERLINK("https://klasma.github.io/Logging_2482/tillsyn/A 49588-2022 tillsynsbegäran.docx", "A 49588-2022")</f>
        <v/>
      </c>
      <c r="Y222">
        <f>HYPERLINK("https://klasma.github.io/Logging_2482/tillsynsmail/A 49588-2022 tillsynsbegäran mail.docx", "A 49588-2022")</f>
        <v/>
      </c>
    </row>
    <row r="223" ht="15" customHeight="1">
      <c r="A223" t="inlineStr">
        <is>
          <t>A 49842-2022</t>
        </is>
      </c>
      <c r="B223" s="1" t="n">
        <v>44862</v>
      </c>
      <c r="C223" s="1" t="n">
        <v>45832</v>
      </c>
      <c r="D223" t="inlineStr">
        <is>
          <t>VÄSTERBOTTENS LÄN</t>
        </is>
      </c>
      <c r="E223" t="inlineStr">
        <is>
          <t>SKELLEFTEÅ</t>
        </is>
      </c>
      <c r="G223" t="n">
        <v>7</v>
      </c>
      <c r="H223" t="n">
        <v>0</v>
      </c>
      <c r="I223" t="n">
        <v>0</v>
      </c>
      <c r="J223" t="n">
        <v>1</v>
      </c>
      <c r="K223" t="n">
        <v>0</v>
      </c>
      <c r="L223" t="n">
        <v>0</v>
      </c>
      <c r="M223" t="n">
        <v>0</v>
      </c>
      <c r="N223" t="n">
        <v>0</v>
      </c>
      <c r="O223" t="n">
        <v>1</v>
      </c>
      <c r="P223" t="n">
        <v>0</v>
      </c>
      <c r="Q223" t="n">
        <v>1</v>
      </c>
      <c r="R223" s="2" t="inlineStr">
        <is>
          <t>Blå taggsvamp</t>
        </is>
      </c>
      <c r="S223">
        <f>HYPERLINK("https://klasma.github.io/Logging_2482/artfynd/A 49842-2022 artfynd.xlsx", "A 49842-2022")</f>
        <v/>
      </c>
      <c r="T223">
        <f>HYPERLINK("https://klasma.github.io/Logging_2482/kartor/A 49842-2022 karta.png", "A 49842-2022")</f>
        <v/>
      </c>
      <c r="V223">
        <f>HYPERLINK("https://klasma.github.io/Logging_2482/klagomål/A 49842-2022 FSC-klagomål.docx", "A 49842-2022")</f>
        <v/>
      </c>
      <c r="W223">
        <f>HYPERLINK("https://klasma.github.io/Logging_2482/klagomålsmail/A 49842-2022 FSC-klagomål mail.docx", "A 49842-2022")</f>
        <v/>
      </c>
      <c r="X223">
        <f>HYPERLINK("https://klasma.github.io/Logging_2482/tillsyn/A 49842-2022 tillsynsbegäran.docx", "A 49842-2022")</f>
        <v/>
      </c>
      <c r="Y223">
        <f>HYPERLINK("https://klasma.github.io/Logging_2482/tillsynsmail/A 49842-2022 tillsynsbegäran mail.docx", "A 49842-2022")</f>
        <v/>
      </c>
    </row>
    <row r="224" ht="15" customHeight="1">
      <c r="A224" t="inlineStr">
        <is>
          <t>A 53071-2022</t>
        </is>
      </c>
      <c r="B224" s="1" t="n">
        <v>44873</v>
      </c>
      <c r="C224" s="1" t="n">
        <v>45832</v>
      </c>
      <c r="D224" t="inlineStr">
        <is>
          <t>VÄSTERBOTTENS LÄN</t>
        </is>
      </c>
      <c r="E224" t="inlineStr">
        <is>
          <t>SKELLEFTEÅ</t>
        </is>
      </c>
      <c r="G224" t="n">
        <v>10.6</v>
      </c>
      <c r="H224" t="n">
        <v>0</v>
      </c>
      <c r="I224" t="n">
        <v>0</v>
      </c>
      <c r="J224" t="n">
        <v>1</v>
      </c>
      <c r="K224" t="n">
        <v>0</v>
      </c>
      <c r="L224" t="n">
        <v>0</v>
      </c>
      <c r="M224" t="n">
        <v>0</v>
      </c>
      <c r="N224" t="n">
        <v>0</v>
      </c>
      <c r="O224" t="n">
        <v>1</v>
      </c>
      <c r="P224" t="n">
        <v>0</v>
      </c>
      <c r="Q224" t="n">
        <v>1</v>
      </c>
      <c r="R224" s="2" t="inlineStr">
        <is>
          <t>Granticka</t>
        </is>
      </c>
      <c r="S224">
        <f>HYPERLINK("https://klasma.github.io/Logging_2482/artfynd/A 53071-2022 artfynd.xlsx", "A 53071-2022")</f>
        <v/>
      </c>
      <c r="T224">
        <f>HYPERLINK("https://klasma.github.io/Logging_2482/kartor/A 53071-2022 karta.png", "A 53071-2022")</f>
        <v/>
      </c>
      <c r="V224">
        <f>HYPERLINK("https://klasma.github.io/Logging_2482/klagomål/A 53071-2022 FSC-klagomål.docx", "A 53071-2022")</f>
        <v/>
      </c>
      <c r="W224">
        <f>HYPERLINK("https://klasma.github.io/Logging_2482/klagomålsmail/A 53071-2022 FSC-klagomål mail.docx", "A 53071-2022")</f>
        <v/>
      </c>
      <c r="X224">
        <f>HYPERLINK("https://klasma.github.io/Logging_2482/tillsyn/A 53071-2022 tillsynsbegäran.docx", "A 53071-2022")</f>
        <v/>
      </c>
      <c r="Y224">
        <f>HYPERLINK("https://klasma.github.io/Logging_2482/tillsynsmail/A 53071-2022 tillsynsbegäran mail.docx", "A 53071-2022")</f>
        <v/>
      </c>
    </row>
    <row r="225" ht="15" customHeight="1">
      <c r="A225" t="inlineStr">
        <is>
          <t>A 54058-2022</t>
        </is>
      </c>
      <c r="B225" s="1" t="n">
        <v>44881</v>
      </c>
      <c r="C225" s="1" t="n">
        <v>45832</v>
      </c>
      <c r="D225" t="inlineStr">
        <is>
          <t>VÄSTERBOTTENS LÄN</t>
        </is>
      </c>
      <c r="E225" t="inlineStr">
        <is>
          <t>SKELLEFTEÅ</t>
        </is>
      </c>
      <c r="F225" t="inlineStr">
        <is>
          <t>Sveaskog</t>
        </is>
      </c>
      <c r="G225" t="n">
        <v>1.2</v>
      </c>
      <c r="H225" t="n">
        <v>0</v>
      </c>
      <c r="I225" t="n">
        <v>1</v>
      </c>
      <c r="J225" t="n">
        <v>0</v>
      </c>
      <c r="K225" t="n">
        <v>0</v>
      </c>
      <c r="L225" t="n">
        <v>0</v>
      </c>
      <c r="M225" t="n">
        <v>0</v>
      </c>
      <c r="N225" t="n">
        <v>0</v>
      </c>
      <c r="O225" t="n">
        <v>0</v>
      </c>
      <c r="P225" t="n">
        <v>0</v>
      </c>
      <c r="Q225" t="n">
        <v>1</v>
      </c>
      <c r="R225" s="2" t="inlineStr">
        <is>
          <t>Luddlav</t>
        </is>
      </c>
      <c r="S225">
        <f>HYPERLINK("https://klasma.github.io/Logging_2482/artfynd/A 54058-2022 artfynd.xlsx", "A 54058-2022")</f>
        <v/>
      </c>
      <c r="T225">
        <f>HYPERLINK("https://klasma.github.io/Logging_2482/kartor/A 54058-2022 karta.png", "A 54058-2022")</f>
        <v/>
      </c>
      <c r="V225">
        <f>HYPERLINK("https://klasma.github.io/Logging_2482/klagomål/A 54058-2022 FSC-klagomål.docx", "A 54058-2022")</f>
        <v/>
      </c>
      <c r="W225">
        <f>HYPERLINK("https://klasma.github.io/Logging_2482/klagomålsmail/A 54058-2022 FSC-klagomål mail.docx", "A 54058-2022")</f>
        <v/>
      </c>
      <c r="X225">
        <f>HYPERLINK("https://klasma.github.io/Logging_2482/tillsyn/A 54058-2022 tillsynsbegäran.docx", "A 54058-2022")</f>
        <v/>
      </c>
      <c r="Y225">
        <f>HYPERLINK("https://klasma.github.io/Logging_2482/tillsynsmail/A 54058-2022 tillsynsbegäran mail.docx", "A 54058-2022")</f>
        <v/>
      </c>
    </row>
    <row r="226" ht="15" customHeight="1">
      <c r="A226" t="inlineStr">
        <is>
          <t>A 57851-2022</t>
        </is>
      </c>
      <c r="B226" s="1" t="n">
        <v>44898</v>
      </c>
      <c r="C226" s="1" t="n">
        <v>45832</v>
      </c>
      <c r="D226" t="inlineStr">
        <is>
          <t>VÄSTERBOTTENS LÄN</t>
        </is>
      </c>
      <c r="E226" t="inlineStr">
        <is>
          <t>SKELLEFTEÅ</t>
        </is>
      </c>
      <c r="F226" t="inlineStr">
        <is>
          <t>Holmen skog AB</t>
        </is>
      </c>
      <c r="G226" t="n">
        <v>4.6</v>
      </c>
      <c r="H226" t="n">
        <v>1</v>
      </c>
      <c r="I226" t="n">
        <v>0</v>
      </c>
      <c r="J226" t="n">
        <v>1</v>
      </c>
      <c r="K226" t="n">
        <v>0</v>
      </c>
      <c r="L226" t="n">
        <v>0</v>
      </c>
      <c r="M226" t="n">
        <v>0</v>
      </c>
      <c r="N226" t="n">
        <v>0</v>
      </c>
      <c r="O226" t="n">
        <v>1</v>
      </c>
      <c r="P226" t="n">
        <v>0</v>
      </c>
      <c r="Q226" t="n">
        <v>1</v>
      </c>
      <c r="R226" s="2" t="inlineStr">
        <is>
          <t>Utter</t>
        </is>
      </c>
      <c r="S226">
        <f>HYPERLINK("https://klasma.github.io/Logging_2482/artfynd/A 57851-2022 artfynd.xlsx", "A 57851-2022")</f>
        <v/>
      </c>
      <c r="T226">
        <f>HYPERLINK("https://klasma.github.io/Logging_2482/kartor/A 57851-2022 karta.png", "A 57851-2022")</f>
        <v/>
      </c>
      <c r="V226">
        <f>HYPERLINK("https://klasma.github.io/Logging_2482/klagomål/A 57851-2022 FSC-klagomål.docx", "A 57851-2022")</f>
        <v/>
      </c>
      <c r="W226">
        <f>HYPERLINK("https://klasma.github.io/Logging_2482/klagomålsmail/A 57851-2022 FSC-klagomål mail.docx", "A 57851-2022")</f>
        <v/>
      </c>
      <c r="X226">
        <f>HYPERLINK("https://klasma.github.io/Logging_2482/tillsyn/A 57851-2022 tillsynsbegäran.docx", "A 57851-2022")</f>
        <v/>
      </c>
      <c r="Y226">
        <f>HYPERLINK("https://klasma.github.io/Logging_2482/tillsynsmail/A 57851-2022 tillsynsbegäran mail.docx", "A 57851-2022")</f>
        <v/>
      </c>
    </row>
    <row r="227" ht="15" customHeight="1">
      <c r="A227" t="inlineStr">
        <is>
          <t>A 58306-2022</t>
        </is>
      </c>
      <c r="B227" s="1" t="n">
        <v>44901</v>
      </c>
      <c r="C227" s="1" t="n">
        <v>45832</v>
      </c>
      <c r="D227" t="inlineStr">
        <is>
          <t>VÄSTERBOTTENS LÄN</t>
        </is>
      </c>
      <c r="E227" t="inlineStr">
        <is>
          <t>SKELLEFTEÅ</t>
        </is>
      </c>
      <c r="F227" t="inlineStr">
        <is>
          <t>Sveaskog</t>
        </is>
      </c>
      <c r="G227" t="n">
        <v>10.8</v>
      </c>
      <c r="H227" t="n">
        <v>0</v>
      </c>
      <c r="I227" t="n">
        <v>0</v>
      </c>
      <c r="J227" t="n">
        <v>1</v>
      </c>
      <c r="K227" t="n">
        <v>0</v>
      </c>
      <c r="L227" t="n">
        <v>0</v>
      </c>
      <c r="M227" t="n">
        <v>0</v>
      </c>
      <c r="N227" t="n">
        <v>0</v>
      </c>
      <c r="O227" t="n">
        <v>1</v>
      </c>
      <c r="P227" t="n">
        <v>0</v>
      </c>
      <c r="Q227" t="n">
        <v>1</v>
      </c>
      <c r="R227" s="2" t="inlineStr">
        <is>
          <t>Lunglav</t>
        </is>
      </c>
      <c r="S227">
        <f>HYPERLINK("https://klasma.github.io/Logging_2482/artfynd/A 58306-2022 artfynd.xlsx", "A 58306-2022")</f>
        <v/>
      </c>
      <c r="T227">
        <f>HYPERLINK("https://klasma.github.io/Logging_2482/kartor/A 58306-2022 karta.png", "A 58306-2022")</f>
        <v/>
      </c>
      <c r="V227">
        <f>HYPERLINK("https://klasma.github.io/Logging_2482/klagomål/A 58306-2022 FSC-klagomål.docx", "A 58306-2022")</f>
        <v/>
      </c>
      <c r="W227">
        <f>HYPERLINK("https://klasma.github.io/Logging_2482/klagomålsmail/A 58306-2022 FSC-klagomål mail.docx", "A 58306-2022")</f>
        <v/>
      </c>
      <c r="X227">
        <f>HYPERLINK("https://klasma.github.io/Logging_2482/tillsyn/A 58306-2022 tillsynsbegäran.docx", "A 58306-2022")</f>
        <v/>
      </c>
      <c r="Y227">
        <f>HYPERLINK("https://klasma.github.io/Logging_2482/tillsynsmail/A 58306-2022 tillsynsbegäran mail.docx", "A 58306-2022")</f>
        <v/>
      </c>
    </row>
    <row r="228" ht="15" customHeight="1">
      <c r="A228" t="inlineStr">
        <is>
          <t>A 60231-2022</t>
        </is>
      </c>
      <c r="B228" s="1" t="n">
        <v>44910</v>
      </c>
      <c r="C228" s="1" t="n">
        <v>45832</v>
      </c>
      <c r="D228" t="inlineStr">
        <is>
          <t>VÄSTERBOTTENS LÄN</t>
        </is>
      </c>
      <c r="E228" t="inlineStr">
        <is>
          <t>SKELLEFTEÅ</t>
        </is>
      </c>
      <c r="F228" t="inlineStr">
        <is>
          <t>Holmen skog AB</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HYPERLINK("https://klasma.github.io/Logging_2482/artfynd/A 60231-2022 artfynd.xlsx", "A 60231-2022")</f>
        <v/>
      </c>
      <c r="T228">
        <f>HYPERLINK("https://klasma.github.io/Logging_2482/kartor/A 60231-2022 karta.png", "A 60231-2022")</f>
        <v/>
      </c>
      <c r="V228">
        <f>HYPERLINK("https://klasma.github.io/Logging_2482/klagomål/A 60231-2022 FSC-klagomål.docx", "A 60231-2022")</f>
        <v/>
      </c>
      <c r="W228">
        <f>HYPERLINK("https://klasma.github.io/Logging_2482/klagomålsmail/A 60231-2022 FSC-klagomål mail.docx", "A 60231-2022")</f>
        <v/>
      </c>
      <c r="X228">
        <f>HYPERLINK("https://klasma.github.io/Logging_2482/tillsyn/A 60231-2022 tillsynsbegäran.docx", "A 60231-2022")</f>
        <v/>
      </c>
      <c r="Y228">
        <f>HYPERLINK("https://klasma.github.io/Logging_2482/tillsynsmail/A 60231-2022 tillsynsbegäran mail.docx", "A 60231-2022")</f>
        <v/>
      </c>
    </row>
    <row r="229" ht="15" customHeight="1">
      <c r="A229" t="inlineStr">
        <is>
          <t>A 60586-2022</t>
        </is>
      </c>
      <c r="B229" s="1" t="n">
        <v>44911</v>
      </c>
      <c r="C229" s="1" t="n">
        <v>45832</v>
      </c>
      <c r="D229" t="inlineStr">
        <is>
          <t>VÄSTERBOTTENS LÄN</t>
        </is>
      </c>
      <c r="E229" t="inlineStr">
        <is>
          <t>SKELLEFTEÅ</t>
        </is>
      </c>
      <c r="F229" t="inlineStr">
        <is>
          <t>Sveaskog</t>
        </is>
      </c>
      <c r="G229" t="n">
        <v>10.8</v>
      </c>
      <c r="H229" t="n">
        <v>0</v>
      </c>
      <c r="I229" t="n">
        <v>0</v>
      </c>
      <c r="J229" t="n">
        <v>1</v>
      </c>
      <c r="K229" t="n">
        <v>0</v>
      </c>
      <c r="L229" t="n">
        <v>0</v>
      </c>
      <c r="M229" t="n">
        <v>0</v>
      </c>
      <c r="N229" t="n">
        <v>0</v>
      </c>
      <c r="O229" t="n">
        <v>1</v>
      </c>
      <c r="P229" t="n">
        <v>0</v>
      </c>
      <c r="Q229" t="n">
        <v>1</v>
      </c>
      <c r="R229" s="2" t="inlineStr">
        <is>
          <t>Garnlav</t>
        </is>
      </c>
      <c r="S229">
        <f>HYPERLINK("https://klasma.github.io/Logging_2482/artfynd/A 60586-2022 artfynd.xlsx", "A 60586-2022")</f>
        <v/>
      </c>
      <c r="T229">
        <f>HYPERLINK("https://klasma.github.io/Logging_2482/kartor/A 60586-2022 karta.png", "A 60586-2022")</f>
        <v/>
      </c>
      <c r="V229">
        <f>HYPERLINK("https://klasma.github.io/Logging_2482/klagomål/A 60586-2022 FSC-klagomål.docx", "A 60586-2022")</f>
        <v/>
      </c>
      <c r="W229">
        <f>HYPERLINK("https://klasma.github.io/Logging_2482/klagomålsmail/A 60586-2022 FSC-klagomål mail.docx", "A 60586-2022")</f>
        <v/>
      </c>
      <c r="X229">
        <f>HYPERLINK("https://klasma.github.io/Logging_2482/tillsyn/A 60586-2022 tillsynsbegäran.docx", "A 60586-2022")</f>
        <v/>
      </c>
      <c r="Y229">
        <f>HYPERLINK("https://klasma.github.io/Logging_2482/tillsynsmail/A 60586-2022 tillsynsbegäran mail.docx", "A 60586-2022")</f>
        <v/>
      </c>
    </row>
    <row r="230" ht="15" customHeight="1">
      <c r="A230" t="inlineStr">
        <is>
          <t>A 609-2023</t>
        </is>
      </c>
      <c r="B230" s="1" t="n">
        <v>44928</v>
      </c>
      <c r="C230" s="1" t="n">
        <v>45832</v>
      </c>
      <c r="D230" t="inlineStr">
        <is>
          <t>VÄSTERBOTTENS LÄN</t>
        </is>
      </c>
      <c r="E230" t="inlineStr">
        <is>
          <t>SKELLEFTEÅ</t>
        </is>
      </c>
      <c r="G230" t="n">
        <v>20.1</v>
      </c>
      <c r="H230" t="n">
        <v>0</v>
      </c>
      <c r="I230" t="n">
        <v>0</v>
      </c>
      <c r="J230" t="n">
        <v>1</v>
      </c>
      <c r="K230" t="n">
        <v>0</v>
      </c>
      <c r="L230" t="n">
        <v>0</v>
      </c>
      <c r="M230" t="n">
        <v>0</v>
      </c>
      <c r="N230" t="n">
        <v>0</v>
      </c>
      <c r="O230" t="n">
        <v>1</v>
      </c>
      <c r="P230" t="n">
        <v>0</v>
      </c>
      <c r="Q230" t="n">
        <v>1</v>
      </c>
      <c r="R230" s="2" t="inlineStr">
        <is>
          <t>Granticka</t>
        </is>
      </c>
      <c r="S230">
        <f>HYPERLINK("https://klasma.github.io/Logging_2482/artfynd/A 609-2023 artfynd.xlsx", "A 609-2023")</f>
        <v/>
      </c>
      <c r="T230">
        <f>HYPERLINK("https://klasma.github.io/Logging_2482/kartor/A 609-2023 karta.png", "A 609-2023")</f>
        <v/>
      </c>
      <c r="V230">
        <f>HYPERLINK("https://klasma.github.io/Logging_2482/klagomål/A 609-2023 FSC-klagomål.docx", "A 609-2023")</f>
        <v/>
      </c>
      <c r="W230">
        <f>HYPERLINK("https://klasma.github.io/Logging_2482/klagomålsmail/A 609-2023 FSC-klagomål mail.docx", "A 609-2023")</f>
        <v/>
      </c>
      <c r="X230">
        <f>HYPERLINK("https://klasma.github.io/Logging_2482/tillsyn/A 609-2023 tillsynsbegäran.docx", "A 609-2023")</f>
        <v/>
      </c>
      <c r="Y230">
        <f>HYPERLINK("https://klasma.github.io/Logging_2482/tillsynsmail/A 609-2023 tillsynsbegäran mail.docx", "A 609-2023")</f>
        <v/>
      </c>
    </row>
    <row r="231" ht="15" customHeight="1">
      <c r="A231" t="inlineStr">
        <is>
          <t>A 1533-2023</t>
        </is>
      </c>
      <c r="B231" s="1" t="n">
        <v>44935</v>
      </c>
      <c r="C231" s="1" t="n">
        <v>45832</v>
      </c>
      <c r="D231" t="inlineStr">
        <is>
          <t>VÄSTERBOTTENS LÄN</t>
        </is>
      </c>
      <c r="E231" t="inlineStr">
        <is>
          <t>SKELLEFTEÅ</t>
        </is>
      </c>
      <c r="G231" t="n">
        <v>6.1</v>
      </c>
      <c r="H231" t="n">
        <v>0</v>
      </c>
      <c r="I231" t="n">
        <v>0</v>
      </c>
      <c r="J231" t="n">
        <v>1</v>
      </c>
      <c r="K231" t="n">
        <v>0</v>
      </c>
      <c r="L231" t="n">
        <v>0</v>
      </c>
      <c r="M231" t="n">
        <v>0</v>
      </c>
      <c r="N231" t="n">
        <v>0</v>
      </c>
      <c r="O231" t="n">
        <v>1</v>
      </c>
      <c r="P231" t="n">
        <v>0</v>
      </c>
      <c r="Q231" t="n">
        <v>1</v>
      </c>
      <c r="R231" s="2" t="inlineStr">
        <is>
          <t>Garnlav</t>
        </is>
      </c>
      <c r="S231">
        <f>HYPERLINK("https://klasma.github.io/Logging_2482/artfynd/A 1533-2023 artfynd.xlsx", "A 1533-2023")</f>
        <v/>
      </c>
      <c r="T231">
        <f>HYPERLINK("https://klasma.github.io/Logging_2482/kartor/A 1533-2023 karta.png", "A 1533-2023")</f>
        <v/>
      </c>
      <c r="V231">
        <f>HYPERLINK("https://klasma.github.io/Logging_2482/klagomål/A 1533-2023 FSC-klagomål.docx", "A 1533-2023")</f>
        <v/>
      </c>
      <c r="W231">
        <f>HYPERLINK("https://klasma.github.io/Logging_2482/klagomålsmail/A 1533-2023 FSC-klagomål mail.docx", "A 1533-2023")</f>
        <v/>
      </c>
      <c r="X231">
        <f>HYPERLINK("https://klasma.github.io/Logging_2482/tillsyn/A 1533-2023 tillsynsbegäran.docx", "A 1533-2023")</f>
        <v/>
      </c>
      <c r="Y231">
        <f>HYPERLINK("https://klasma.github.io/Logging_2482/tillsynsmail/A 1533-2023 tillsynsbegäran mail.docx", "A 1533-2023")</f>
        <v/>
      </c>
    </row>
    <row r="232" ht="15" customHeight="1">
      <c r="A232" t="inlineStr">
        <is>
          <t>A 9652-2023</t>
        </is>
      </c>
      <c r="B232" s="1" t="n">
        <v>44978</v>
      </c>
      <c r="C232" s="1" t="n">
        <v>45832</v>
      </c>
      <c r="D232" t="inlineStr">
        <is>
          <t>VÄSTERBOTTENS LÄN</t>
        </is>
      </c>
      <c r="E232" t="inlineStr">
        <is>
          <t>SKELLEFTEÅ</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HYPERLINK("https://klasma.github.io/Logging_2482/artfynd/A 9652-2023 artfynd.xlsx", "A 9652-2023")</f>
        <v/>
      </c>
      <c r="T232">
        <f>HYPERLINK("https://klasma.github.io/Logging_2482/kartor/A 9652-2023 karta.png", "A 9652-2023")</f>
        <v/>
      </c>
      <c r="V232">
        <f>HYPERLINK("https://klasma.github.io/Logging_2482/klagomål/A 9652-2023 FSC-klagomål.docx", "A 9652-2023")</f>
        <v/>
      </c>
      <c r="W232">
        <f>HYPERLINK("https://klasma.github.io/Logging_2482/klagomålsmail/A 9652-2023 FSC-klagomål mail.docx", "A 9652-2023")</f>
        <v/>
      </c>
      <c r="X232">
        <f>HYPERLINK("https://klasma.github.io/Logging_2482/tillsyn/A 9652-2023 tillsynsbegäran.docx", "A 9652-2023")</f>
        <v/>
      </c>
      <c r="Y232">
        <f>HYPERLINK("https://klasma.github.io/Logging_2482/tillsynsmail/A 9652-2023 tillsynsbegäran mail.docx", "A 9652-2023")</f>
        <v/>
      </c>
    </row>
    <row r="233" ht="15" customHeight="1">
      <c r="A233" t="inlineStr">
        <is>
          <t>A 10069-2023</t>
        </is>
      </c>
      <c r="B233" s="1" t="n">
        <v>44985</v>
      </c>
      <c r="C233" s="1" t="n">
        <v>45832</v>
      </c>
      <c r="D233" t="inlineStr">
        <is>
          <t>VÄSTERBOTTENS LÄN</t>
        </is>
      </c>
      <c r="E233" t="inlineStr">
        <is>
          <t>SKELLEFTEÅ</t>
        </is>
      </c>
      <c r="G233" t="n">
        <v>11.9</v>
      </c>
      <c r="H233" t="n">
        <v>1</v>
      </c>
      <c r="I233" t="n">
        <v>0</v>
      </c>
      <c r="J233" t="n">
        <v>0</v>
      </c>
      <c r="K233" t="n">
        <v>1</v>
      </c>
      <c r="L233" t="n">
        <v>0</v>
      </c>
      <c r="M233" t="n">
        <v>0</v>
      </c>
      <c r="N233" t="n">
        <v>0</v>
      </c>
      <c r="O233" t="n">
        <v>1</v>
      </c>
      <c r="P233" t="n">
        <v>1</v>
      </c>
      <c r="Q233" t="n">
        <v>1</v>
      </c>
      <c r="R233" s="2" t="inlineStr">
        <is>
          <t>Knärot</t>
        </is>
      </c>
      <c r="S233">
        <f>HYPERLINK("https://klasma.github.io/Logging_2482/artfynd/A 10069-2023 artfynd.xlsx", "A 10069-2023")</f>
        <v/>
      </c>
      <c r="T233">
        <f>HYPERLINK("https://klasma.github.io/Logging_2482/kartor/A 10069-2023 karta.png", "A 10069-2023")</f>
        <v/>
      </c>
      <c r="U233">
        <f>HYPERLINK("https://klasma.github.io/Logging_2482/knärot/A 10069-2023 karta knärot.png", "A 10069-2023")</f>
        <v/>
      </c>
      <c r="V233">
        <f>HYPERLINK("https://klasma.github.io/Logging_2482/klagomål/A 10069-2023 FSC-klagomål.docx", "A 10069-2023")</f>
        <v/>
      </c>
      <c r="W233">
        <f>HYPERLINK("https://klasma.github.io/Logging_2482/klagomålsmail/A 10069-2023 FSC-klagomål mail.docx", "A 10069-2023")</f>
        <v/>
      </c>
      <c r="X233">
        <f>HYPERLINK("https://klasma.github.io/Logging_2482/tillsyn/A 10069-2023 tillsynsbegäran.docx", "A 10069-2023")</f>
        <v/>
      </c>
      <c r="Y233">
        <f>HYPERLINK("https://klasma.github.io/Logging_2482/tillsynsmail/A 10069-2023 tillsynsbegäran mail.docx", "A 10069-2023")</f>
        <v/>
      </c>
    </row>
    <row r="234" ht="15" customHeight="1">
      <c r="A234" t="inlineStr">
        <is>
          <t>A 11891-2023</t>
        </is>
      </c>
      <c r="B234" s="1" t="n">
        <v>44994</v>
      </c>
      <c r="C234" s="1" t="n">
        <v>45832</v>
      </c>
      <c r="D234" t="inlineStr">
        <is>
          <t>VÄSTERBOTTENS LÄN</t>
        </is>
      </c>
      <c r="E234" t="inlineStr">
        <is>
          <t>SKELLEFTEÅ</t>
        </is>
      </c>
      <c r="G234" t="n">
        <v>10.5</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11891-2023 artfynd.xlsx", "A 11891-2023")</f>
        <v/>
      </c>
      <c r="T234">
        <f>HYPERLINK("https://klasma.github.io/Logging_2482/kartor/A 11891-2023 karta.png", "A 11891-2023")</f>
        <v/>
      </c>
      <c r="V234">
        <f>HYPERLINK("https://klasma.github.io/Logging_2482/klagomål/A 11891-2023 FSC-klagomål.docx", "A 11891-2023")</f>
        <v/>
      </c>
      <c r="W234">
        <f>HYPERLINK("https://klasma.github.io/Logging_2482/klagomålsmail/A 11891-2023 FSC-klagomål mail.docx", "A 11891-2023")</f>
        <v/>
      </c>
      <c r="X234">
        <f>HYPERLINK("https://klasma.github.io/Logging_2482/tillsyn/A 11891-2023 tillsynsbegäran.docx", "A 11891-2023")</f>
        <v/>
      </c>
      <c r="Y234">
        <f>HYPERLINK("https://klasma.github.io/Logging_2482/tillsynsmail/A 11891-2023 tillsynsbegäran mail.docx", "A 11891-2023")</f>
        <v/>
      </c>
    </row>
    <row r="235" ht="15" customHeight="1">
      <c r="A235" t="inlineStr">
        <is>
          <t>A 27358-2023</t>
        </is>
      </c>
      <c r="B235" s="1" t="n">
        <v>45096</v>
      </c>
      <c r="C235" s="1" t="n">
        <v>45832</v>
      </c>
      <c r="D235" t="inlineStr">
        <is>
          <t>VÄSTERBOTTENS LÄN</t>
        </is>
      </c>
      <c r="E235" t="inlineStr">
        <is>
          <t>SKELLEFTEÅ</t>
        </is>
      </c>
      <c r="G235" t="n">
        <v>5</v>
      </c>
      <c r="H235" t="n">
        <v>1</v>
      </c>
      <c r="I235" t="n">
        <v>0</v>
      </c>
      <c r="J235" t="n">
        <v>0</v>
      </c>
      <c r="K235" t="n">
        <v>1</v>
      </c>
      <c r="L235" t="n">
        <v>0</v>
      </c>
      <c r="M235" t="n">
        <v>0</v>
      </c>
      <c r="N235" t="n">
        <v>0</v>
      </c>
      <c r="O235" t="n">
        <v>1</v>
      </c>
      <c r="P235" t="n">
        <v>1</v>
      </c>
      <c r="Q235" t="n">
        <v>1</v>
      </c>
      <c r="R235" s="2" t="inlineStr">
        <is>
          <t>Knärot</t>
        </is>
      </c>
      <c r="S235">
        <f>HYPERLINK("https://klasma.github.io/Logging_2482/artfynd/A 27358-2023 artfynd.xlsx", "A 27358-2023")</f>
        <v/>
      </c>
      <c r="T235">
        <f>HYPERLINK("https://klasma.github.io/Logging_2482/kartor/A 27358-2023 karta.png", "A 27358-2023")</f>
        <v/>
      </c>
      <c r="U235">
        <f>HYPERLINK("https://klasma.github.io/Logging_2482/knärot/A 27358-2023 karta knärot.png", "A 27358-2023")</f>
        <v/>
      </c>
      <c r="V235">
        <f>HYPERLINK("https://klasma.github.io/Logging_2482/klagomål/A 27358-2023 FSC-klagomål.docx", "A 27358-2023")</f>
        <v/>
      </c>
      <c r="W235">
        <f>HYPERLINK("https://klasma.github.io/Logging_2482/klagomålsmail/A 27358-2023 FSC-klagomål mail.docx", "A 27358-2023")</f>
        <v/>
      </c>
      <c r="X235">
        <f>HYPERLINK("https://klasma.github.io/Logging_2482/tillsyn/A 27358-2023 tillsynsbegäran.docx", "A 27358-2023")</f>
        <v/>
      </c>
      <c r="Y235">
        <f>HYPERLINK("https://klasma.github.io/Logging_2482/tillsynsmail/A 27358-2023 tillsynsbegäran mail.docx", "A 27358-2023")</f>
        <v/>
      </c>
    </row>
    <row r="236" ht="15" customHeight="1">
      <c r="A236" t="inlineStr">
        <is>
          <t>A 28448-2023</t>
        </is>
      </c>
      <c r="B236" s="1" t="n">
        <v>45103</v>
      </c>
      <c r="C236" s="1" t="n">
        <v>45832</v>
      </c>
      <c r="D236" t="inlineStr">
        <is>
          <t>VÄSTERBOTTENS LÄN</t>
        </is>
      </c>
      <c r="E236" t="inlineStr">
        <is>
          <t>SKELLEFTEÅ</t>
        </is>
      </c>
      <c r="F236" t="inlineStr">
        <is>
          <t>Kyrkan</t>
        </is>
      </c>
      <c r="G236" t="n">
        <v>9.4</v>
      </c>
      <c r="H236" t="n">
        <v>0</v>
      </c>
      <c r="I236" t="n">
        <v>0</v>
      </c>
      <c r="J236" t="n">
        <v>1</v>
      </c>
      <c r="K236" t="n">
        <v>0</v>
      </c>
      <c r="L236" t="n">
        <v>0</v>
      </c>
      <c r="M236" t="n">
        <v>0</v>
      </c>
      <c r="N236" t="n">
        <v>0</v>
      </c>
      <c r="O236" t="n">
        <v>1</v>
      </c>
      <c r="P236" t="n">
        <v>0</v>
      </c>
      <c r="Q236" t="n">
        <v>1</v>
      </c>
      <c r="R236" s="2" t="inlineStr">
        <is>
          <t>Tallriska</t>
        </is>
      </c>
      <c r="S236">
        <f>HYPERLINK("https://klasma.github.io/Logging_2482/artfynd/A 28448-2023 artfynd.xlsx", "A 28448-2023")</f>
        <v/>
      </c>
      <c r="T236">
        <f>HYPERLINK("https://klasma.github.io/Logging_2482/kartor/A 28448-2023 karta.png", "A 28448-2023")</f>
        <v/>
      </c>
      <c r="V236">
        <f>HYPERLINK("https://klasma.github.io/Logging_2482/klagomål/A 28448-2023 FSC-klagomål.docx", "A 28448-2023")</f>
        <v/>
      </c>
      <c r="W236">
        <f>HYPERLINK("https://klasma.github.io/Logging_2482/klagomålsmail/A 28448-2023 FSC-klagomål mail.docx", "A 28448-2023")</f>
        <v/>
      </c>
      <c r="X236">
        <f>HYPERLINK("https://klasma.github.io/Logging_2482/tillsyn/A 28448-2023 tillsynsbegäran.docx", "A 28448-2023")</f>
        <v/>
      </c>
      <c r="Y236">
        <f>HYPERLINK("https://klasma.github.io/Logging_2482/tillsynsmail/A 28448-2023 tillsynsbegäran mail.docx", "A 28448-2023")</f>
        <v/>
      </c>
    </row>
    <row r="237" ht="15" customHeight="1">
      <c r="A237" t="inlineStr">
        <is>
          <t>A 30703-2023</t>
        </is>
      </c>
      <c r="B237" s="1" t="n">
        <v>45112</v>
      </c>
      <c r="C237" s="1" t="n">
        <v>45832</v>
      </c>
      <c r="D237" t="inlineStr">
        <is>
          <t>VÄSTERBOTTENS LÄN</t>
        </is>
      </c>
      <c r="E237" t="inlineStr">
        <is>
          <t>SKELLEFTEÅ</t>
        </is>
      </c>
      <c r="F237" t="inlineStr">
        <is>
          <t>Sveaskog</t>
        </is>
      </c>
      <c r="G237" t="n">
        <v>10.9</v>
      </c>
      <c r="H237" t="n">
        <v>1</v>
      </c>
      <c r="I237" t="n">
        <v>0</v>
      </c>
      <c r="J237" t="n">
        <v>0</v>
      </c>
      <c r="K237" t="n">
        <v>0</v>
      </c>
      <c r="L237" t="n">
        <v>0</v>
      </c>
      <c r="M237" t="n">
        <v>0</v>
      </c>
      <c r="N237" t="n">
        <v>0</v>
      </c>
      <c r="O237" t="n">
        <v>0</v>
      </c>
      <c r="P237" t="n">
        <v>0</v>
      </c>
      <c r="Q237" t="n">
        <v>1</v>
      </c>
      <c r="R237" s="2" t="inlineStr">
        <is>
          <t>Fläcknycklar</t>
        </is>
      </c>
      <c r="S237">
        <f>HYPERLINK("https://klasma.github.io/Logging_2482/artfynd/A 30703-2023 artfynd.xlsx", "A 30703-2023")</f>
        <v/>
      </c>
      <c r="T237">
        <f>HYPERLINK("https://klasma.github.io/Logging_2482/kartor/A 30703-2023 karta.png", "A 30703-2023")</f>
        <v/>
      </c>
      <c r="V237">
        <f>HYPERLINK("https://klasma.github.io/Logging_2482/klagomål/A 30703-2023 FSC-klagomål.docx", "A 30703-2023")</f>
        <v/>
      </c>
      <c r="W237">
        <f>HYPERLINK("https://klasma.github.io/Logging_2482/klagomålsmail/A 30703-2023 FSC-klagomål mail.docx", "A 30703-2023")</f>
        <v/>
      </c>
      <c r="X237">
        <f>HYPERLINK("https://klasma.github.io/Logging_2482/tillsyn/A 30703-2023 tillsynsbegäran.docx", "A 30703-2023")</f>
        <v/>
      </c>
      <c r="Y237">
        <f>HYPERLINK("https://klasma.github.io/Logging_2482/tillsynsmail/A 30703-2023 tillsynsbegäran mail.docx", "A 30703-2023")</f>
        <v/>
      </c>
    </row>
    <row r="238" ht="15" customHeight="1">
      <c r="A238" t="inlineStr">
        <is>
          <t>A 32566-2023</t>
        </is>
      </c>
      <c r="B238" s="1" t="n">
        <v>45121</v>
      </c>
      <c r="C238" s="1" t="n">
        <v>45832</v>
      </c>
      <c r="D238" t="inlineStr">
        <is>
          <t>VÄSTERBOTTENS LÄN</t>
        </is>
      </c>
      <c r="E238" t="inlineStr">
        <is>
          <t>SKELLEFTEÅ</t>
        </is>
      </c>
      <c r="F238" t="inlineStr">
        <is>
          <t>Holmen skog AB</t>
        </is>
      </c>
      <c r="G238" t="n">
        <v>13</v>
      </c>
      <c r="H238" t="n">
        <v>1</v>
      </c>
      <c r="I238" t="n">
        <v>0</v>
      </c>
      <c r="J238" t="n">
        <v>0</v>
      </c>
      <c r="K238" t="n">
        <v>0</v>
      </c>
      <c r="L238" t="n">
        <v>0</v>
      </c>
      <c r="M238" t="n">
        <v>0</v>
      </c>
      <c r="N238" t="n">
        <v>0</v>
      </c>
      <c r="O238" t="n">
        <v>0</v>
      </c>
      <c r="P238" t="n">
        <v>0</v>
      </c>
      <c r="Q238" t="n">
        <v>1</v>
      </c>
      <c r="R238" s="2" t="inlineStr">
        <is>
          <t>Revlummer</t>
        </is>
      </c>
      <c r="S238">
        <f>HYPERLINK("https://klasma.github.io/Logging_2482/artfynd/A 32566-2023 artfynd.xlsx", "A 32566-2023")</f>
        <v/>
      </c>
      <c r="T238">
        <f>HYPERLINK("https://klasma.github.io/Logging_2482/kartor/A 32566-2023 karta.png", "A 32566-2023")</f>
        <v/>
      </c>
      <c r="V238">
        <f>HYPERLINK("https://klasma.github.io/Logging_2482/klagomål/A 32566-2023 FSC-klagomål.docx", "A 32566-2023")</f>
        <v/>
      </c>
      <c r="W238">
        <f>HYPERLINK("https://klasma.github.io/Logging_2482/klagomålsmail/A 32566-2023 FSC-klagomål mail.docx", "A 32566-2023")</f>
        <v/>
      </c>
      <c r="X238">
        <f>HYPERLINK("https://klasma.github.io/Logging_2482/tillsyn/A 32566-2023 tillsynsbegäran.docx", "A 32566-2023")</f>
        <v/>
      </c>
      <c r="Y238">
        <f>HYPERLINK("https://klasma.github.io/Logging_2482/tillsynsmail/A 32566-2023 tillsynsbegäran mail.docx", "A 32566-2023")</f>
        <v/>
      </c>
    </row>
    <row r="239" ht="15" customHeight="1">
      <c r="A239" t="inlineStr">
        <is>
          <t>A 36628-2023</t>
        </is>
      </c>
      <c r="B239" s="1" t="n">
        <v>45153</v>
      </c>
      <c r="C239" s="1" t="n">
        <v>45832</v>
      </c>
      <c r="D239" t="inlineStr">
        <is>
          <t>VÄSTERBOTTENS LÄN</t>
        </is>
      </c>
      <c r="E239" t="inlineStr">
        <is>
          <t>SKELLEFTEÅ</t>
        </is>
      </c>
      <c r="F239" t="inlineStr">
        <is>
          <t>Holmen skog AB</t>
        </is>
      </c>
      <c r="G239" t="n">
        <v>4.6</v>
      </c>
      <c r="H239" t="n">
        <v>0</v>
      </c>
      <c r="I239" t="n">
        <v>0</v>
      </c>
      <c r="J239" t="n">
        <v>1</v>
      </c>
      <c r="K239" t="n">
        <v>0</v>
      </c>
      <c r="L239" t="n">
        <v>0</v>
      </c>
      <c r="M239" t="n">
        <v>0</v>
      </c>
      <c r="N239" t="n">
        <v>0</v>
      </c>
      <c r="O239" t="n">
        <v>1</v>
      </c>
      <c r="P239" t="n">
        <v>0</v>
      </c>
      <c r="Q239" t="n">
        <v>1</v>
      </c>
      <c r="R239" s="2" t="inlineStr">
        <is>
          <t>Gultoppig fingersvamp</t>
        </is>
      </c>
      <c r="S239">
        <f>HYPERLINK("https://klasma.github.io/Logging_2482/artfynd/A 36628-2023 artfynd.xlsx", "A 36628-2023")</f>
        <v/>
      </c>
      <c r="T239">
        <f>HYPERLINK("https://klasma.github.io/Logging_2482/kartor/A 36628-2023 karta.png", "A 36628-2023")</f>
        <v/>
      </c>
      <c r="V239">
        <f>HYPERLINK("https://klasma.github.io/Logging_2482/klagomål/A 36628-2023 FSC-klagomål.docx", "A 36628-2023")</f>
        <v/>
      </c>
      <c r="W239">
        <f>HYPERLINK("https://klasma.github.io/Logging_2482/klagomålsmail/A 36628-2023 FSC-klagomål mail.docx", "A 36628-2023")</f>
        <v/>
      </c>
      <c r="X239">
        <f>HYPERLINK("https://klasma.github.io/Logging_2482/tillsyn/A 36628-2023 tillsynsbegäran.docx", "A 36628-2023")</f>
        <v/>
      </c>
      <c r="Y239">
        <f>HYPERLINK("https://klasma.github.io/Logging_2482/tillsynsmail/A 36628-2023 tillsynsbegäran mail.docx", "A 36628-2023")</f>
        <v/>
      </c>
    </row>
    <row r="240" ht="15" customHeight="1">
      <c r="A240" t="inlineStr">
        <is>
          <t>A 38455-2023</t>
        </is>
      </c>
      <c r="B240" s="1" t="n">
        <v>45162</v>
      </c>
      <c r="C240" s="1" t="n">
        <v>45832</v>
      </c>
      <c r="D240" t="inlineStr">
        <is>
          <t>VÄSTERBOTTENS LÄN</t>
        </is>
      </c>
      <c r="E240" t="inlineStr">
        <is>
          <t>SKELLEFTEÅ</t>
        </is>
      </c>
      <c r="G240" t="n">
        <v>10.4</v>
      </c>
      <c r="H240" t="n">
        <v>0</v>
      </c>
      <c r="I240" t="n">
        <v>1</v>
      </c>
      <c r="J240" t="n">
        <v>0</v>
      </c>
      <c r="K240" t="n">
        <v>0</v>
      </c>
      <c r="L240" t="n">
        <v>0</v>
      </c>
      <c r="M240" t="n">
        <v>0</v>
      </c>
      <c r="N240" t="n">
        <v>0</v>
      </c>
      <c r="O240" t="n">
        <v>0</v>
      </c>
      <c r="P240" t="n">
        <v>0</v>
      </c>
      <c r="Q240" t="n">
        <v>1</v>
      </c>
      <c r="R240" s="2" t="inlineStr">
        <is>
          <t>Bårdlav</t>
        </is>
      </c>
      <c r="S240">
        <f>HYPERLINK("https://klasma.github.io/Logging_2482/artfynd/A 38455-2023 artfynd.xlsx", "A 38455-2023")</f>
        <v/>
      </c>
      <c r="T240">
        <f>HYPERLINK("https://klasma.github.io/Logging_2482/kartor/A 38455-2023 karta.png", "A 38455-2023")</f>
        <v/>
      </c>
      <c r="V240">
        <f>HYPERLINK("https://klasma.github.io/Logging_2482/klagomål/A 38455-2023 FSC-klagomål.docx", "A 38455-2023")</f>
        <v/>
      </c>
      <c r="W240">
        <f>HYPERLINK("https://klasma.github.io/Logging_2482/klagomålsmail/A 38455-2023 FSC-klagomål mail.docx", "A 38455-2023")</f>
        <v/>
      </c>
      <c r="X240">
        <f>HYPERLINK("https://klasma.github.io/Logging_2482/tillsyn/A 38455-2023 tillsynsbegäran.docx", "A 38455-2023")</f>
        <v/>
      </c>
      <c r="Y240">
        <f>HYPERLINK("https://klasma.github.io/Logging_2482/tillsynsmail/A 38455-2023 tillsynsbegäran mail.docx", "A 38455-2023")</f>
        <v/>
      </c>
    </row>
    <row r="241" ht="15" customHeight="1">
      <c r="A241" t="inlineStr">
        <is>
          <t>A 41087-2023</t>
        </is>
      </c>
      <c r="B241" s="1" t="n">
        <v>45173</v>
      </c>
      <c r="C241" s="1" t="n">
        <v>45832</v>
      </c>
      <c r="D241" t="inlineStr">
        <is>
          <t>VÄSTERBOTTENS LÄN</t>
        </is>
      </c>
      <c r="E241" t="inlineStr">
        <is>
          <t>SKELLEFTEÅ</t>
        </is>
      </c>
      <c r="F241" t="inlineStr">
        <is>
          <t>Holmen skog AB</t>
        </is>
      </c>
      <c r="G241" t="n">
        <v>10</v>
      </c>
      <c r="H241" t="n">
        <v>0</v>
      </c>
      <c r="I241" t="n">
        <v>0</v>
      </c>
      <c r="J241" t="n">
        <v>0</v>
      </c>
      <c r="K241" t="n">
        <v>0</v>
      </c>
      <c r="L241" t="n">
        <v>1</v>
      </c>
      <c r="M241" t="n">
        <v>0</v>
      </c>
      <c r="N241" t="n">
        <v>0</v>
      </c>
      <c r="O241" t="n">
        <v>1</v>
      </c>
      <c r="P241" t="n">
        <v>1</v>
      </c>
      <c r="Q241" t="n">
        <v>1</v>
      </c>
      <c r="R241" s="2" t="inlineStr">
        <is>
          <t>Flodpärlmussla</t>
        </is>
      </c>
      <c r="S241">
        <f>HYPERLINK("https://klasma.github.io/Logging_2482/artfynd/A 41087-2023 artfynd.xlsx", "A 41087-2023")</f>
        <v/>
      </c>
      <c r="T241">
        <f>HYPERLINK("https://klasma.github.io/Logging_2482/kartor/A 41087-2023 karta.png", "A 41087-2023")</f>
        <v/>
      </c>
      <c r="V241">
        <f>HYPERLINK("https://klasma.github.io/Logging_2482/klagomål/A 41087-2023 FSC-klagomål.docx", "A 41087-2023")</f>
        <v/>
      </c>
      <c r="W241">
        <f>HYPERLINK("https://klasma.github.io/Logging_2482/klagomålsmail/A 41087-2023 FSC-klagomål mail.docx", "A 41087-2023")</f>
        <v/>
      </c>
      <c r="X241">
        <f>HYPERLINK("https://klasma.github.io/Logging_2482/tillsyn/A 41087-2023 tillsynsbegäran.docx", "A 41087-2023")</f>
        <v/>
      </c>
      <c r="Y241">
        <f>HYPERLINK("https://klasma.github.io/Logging_2482/tillsynsmail/A 41087-2023 tillsynsbegäran mail.docx", "A 41087-2023")</f>
        <v/>
      </c>
    </row>
    <row r="242" ht="15" customHeight="1">
      <c r="A242" t="inlineStr">
        <is>
          <t>A 41055-2023</t>
        </is>
      </c>
      <c r="B242" s="1" t="n">
        <v>45173</v>
      </c>
      <c r="C242" s="1" t="n">
        <v>45832</v>
      </c>
      <c r="D242" t="inlineStr">
        <is>
          <t>VÄSTERBOTTENS LÄN</t>
        </is>
      </c>
      <c r="E242" t="inlineStr">
        <is>
          <t>SKELLEFTEÅ</t>
        </is>
      </c>
      <c r="F242" t="inlineStr">
        <is>
          <t>Holmen skog AB</t>
        </is>
      </c>
      <c r="G242" t="n">
        <v>4.4</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41055-2023 artfynd.xlsx", "A 41055-2023")</f>
        <v/>
      </c>
      <c r="T242">
        <f>HYPERLINK("https://klasma.github.io/Logging_2482/kartor/A 41055-2023 karta.png", "A 41055-2023")</f>
        <v/>
      </c>
      <c r="V242">
        <f>HYPERLINK("https://klasma.github.io/Logging_2482/klagomål/A 41055-2023 FSC-klagomål.docx", "A 41055-2023")</f>
        <v/>
      </c>
      <c r="W242">
        <f>HYPERLINK("https://klasma.github.io/Logging_2482/klagomålsmail/A 41055-2023 FSC-klagomål mail.docx", "A 41055-2023")</f>
        <v/>
      </c>
      <c r="X242">
        <f>HYPERLINK("https://klasma.github.io/Logging_2482/tillsyn/A 41055-2023 tillsynsbegäran.docx", "A 41055-2023")</f>
        <v/>
      </c>
      <c r="Y242">
        <f>HYPERLINK("https://klasma.github.io/Logging_2482/tillsynsmail/A 41055-2023 tillsynsbegäran mail.docx", "A 41055-2023")</f>
        <v/>
      </c>
    </row>
    <row r="243" ht="15" customHeight="1">
      <c r="A243" t="inlineStr">
        <is>
          <t>A 47056-2023</t>
        </is>
      </c>
      <c r="B243" s="1" t="n">
        <v>45201</v>
      </c>
      <c r="C243" s="1" t="n">
        <v>45832</v>
      </c>
      <c r="D243" t="inlineStr">
        <is>
          <t>VÄSTERBOTTENS LÄN</t>
        </is>
      </c>
      <c r="E243" t="inlineStr">
        <is>
          <t>SKELLEFTEÅ</t>
        </is>
      </c>
      <c r="F243" t="inlineStr">
        <is>
          <t>Sveaskog</t>
        </is>
      </c>
      <c r="G243" t="n">
        <v>10.6</v>
      </c>
      <c r="H243" t="n">
        <v>0</v>
      </c>
      <c r="I243" t="n">
        <v>0</v>
      </c>
      <c r="J243" t="n">
        <v>1</v>
      </c>
      <c r="K243" t="n">
        <v>0</v>
      </c>
      <c r="L243" t="n">
        <v>0</v>
      </c>
      <c r="M243" t="n">
        <v>0</v>
      </c>
      <c r="N243" t="n">
        <v>0</v>
      </c>
      <c r="O243" t="n">
        <v>1</v>
      </c>
      <c r="P243" t="n">
        <v>0</v>
      </c>
      <c r="Q243" t="n">
        <v>1</v>
      </c>
      <c r="R243" s="2" t="inlineStr">
        <is>
          <t>Ullticka</t>
        </is>
      </c>
      <c r="S243">
        <f>HYPERLINK("https://klasma.github.io/Logging_2482/artfynd/A 47056-2023 artfynd.xlsx", "A 47056-2023")</f>
        <v/>
      </c>
      <c r="T243">
        <f>HYPERLINK("https://klasma.github.io/Logging_2482/kartor/A 47056-2023 karta.png", "A 47056-2023")</f>
        <v/>
      </c>
      <c r="V243">
        <f>HYPERLINK("https://klasma.github.io/Logging_2482/klagomål/A 47056-2023 FSC-klagomål.docx", "A 47056-2023")</f>
        <v/>
      </c>
      <c r="W243">
        <f>HYPERLINK("https://klasma.github.io/Logging_2482/klagomålsmail/A 47056-2023 FSC-klagomål mail.docx", "A 47056-2023")</f>
        <v/>
      </c>
      <c r="X243">
        <f>HYPERLINK("https://klasma.github.io/Logging_2482/tillsyn/A 47056-2023 tillsynsbegäran.docx", "A 47056-2023")</f>
        <v/>
      </c>
      <c r="Y243">
        <f>HYPERLINK("https://klasma.github.io/Logging_2482/tillsynsmail/A 47056-2023 tillsynsbegäran mail.docx", "A 47056-2023")</f>
        <v/>
      </c>
    </row>
    <row r="244" ht="15" customHeight="1">
      <c r="A244" t="inlineStr">
        <is>
          <t>A 49322-2023</t>
        </is>
      </c>
      <c r="B244" s="1" t="n">
        <v>45211</v>
      </c>
      <c r="C244" s="1" t="n">
        <v>45832</v>
      </c>
      <c r="D244" t="inlineStr">
        <is>
          <t>VÄSTERBOTTENS LÄN</t>
        </is>
      </c>
      <c r="E244" t="inlineStr">
        <is>
          <t>SKELLEFTEÅ</t>
        </is>
      </c>
      <c r="G244" t="n">
        <v>24.9</v>
      </c>
      <c r="H244" t="n">
        <v>1</v>
      </c>
      <c r="I244" t="n">
        <v>0</v>
      </c>
      <c r="J244" t="n">
        <v>1</v>
      </c>
      <c r="K244" t="n">
        <v>0</v>
      </c>
      <c r="L244" t="n">
        <v>0</v>
      </c>
      <c r="M244" t="n">
        <v>0</v>
      </c>
      <c r="N244" t="n">
        <v>0</v>
      </c>
      <c r="O244" t="n">
        <v>1</v>
      </c>
      <c r="P244" t="n">
        <v>0</v>
      </c>
      <c r="Q244" t="n">
        <v>1</v>
      </c>
      <c r="R244" s="2" t="inlineStr">
        <is>
          <t>Spillkråka</t>
        </is>
      </c>
      <c r="S244">
        <f>HYPERLINK("https://klasma.github.io/Logging_2482/artfynd/A 49322-2023 artfynd.xlsx", "A 49322-2023")</f>
        <v/>
      </c>
      <c r="T244">
        <f>HYPERLINK("https://klasma.github.io/Logging_2482/kartor/A 49322-2023 karta.png", "A 49322-2023")</f>
        <v/>
      </c>
      <c r="U244">
        <f>HYPERLINK("https://klasma.github.io/Logging_2482/knärot/A 49322-2023 karta knärot.png", "A 49322-2023")</f>
        <v/>
      </c>
      <c r="V244">
        <f>HYPERLINK("https://klasma.github.io/Logging_2482/klagomål/A 49322-2023 FSC-klagomål.docx", "A 49322-2023")</f>
        <v/>
      </c>
      <c r="W244">
        <f>HYPERLINK("https://klasma.github.io/Logging_2482/klagomålsmail/A 49322-2023 FSC-klagomål mail.docx", "A 49322-2023")</f>
        <v/>
      </c>
      <c r="X244">
        <f>HYPERLINK("https://klasma.github.io/Logging_2482/tillsyn/A 49322-2023 tillsynsbegäran.docx", "A 49322-2023")</f>
        <v/>
      </c>
      <c r="Y244">
        <f>HYPERLINK("https://klasma.github.io/Logging_2482/tillsynsmail/A 49322-2023 tillsynsbegäran mail.docx", "A 49322-2023")</f>
        <v/>
      </c>
      <c r="Z244">
        <f>HYPERLINK("https://klasma.github.io/Logging_2482/fåglar/A 49322-2023 prioriterade fågelarter.docx", "A 49322-2023")</f>
        <v/>
      </c>
    </row>
    <row r="245" ht="15" customHeight="1">
      <c r="A245" t="inlineStr">
        <is>
          <t>A 54488-2023</t>
        </is>
      </c>
      <c r="B245" s="1" t="n">
        <v>45226</v>
      </c>
      <c r="C245" s="1" t="n">
        <v>45832</v>
      </c>
      <c r="D245" t="inlineStr">
        <is>
          <t>VÄSTERBOTTENS LÄN</t>
        </is>
      </c>
      <c r="E245" t="inlineStr">
        <is>
          <t>SKELLEFTEÅ</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54488-2023 artfynd.xlsx", "A 54488-2023")</f>
        <v/>
      </c>
      <c r="T245">
        <f>HYPERLINK("https://klasma.github.io/Logging_2482/kartor/A 54488-2023 karta.png", "A 54488-2023")</f>
        <v/>
      </c>
      <c r="V245">
        <f>HYPERLINK("https://klasma.github.io/Logging_2482/klagomål/A 54488-2023 FSC-klagomål.docx", "A 54488-2023")</f>
        <v/>
      </c>
      <c r="W245">
        <f>HYPERLINK("https://klasma.github.io/Logging_2482/klagomålsmail/A 54488-2023 FSC-klagomål mail.docx", "A 54488-2023")</f>
        <v/>
      </c>
      <c r="X245">
        <f>HYPERLINK("https://klasma.github.io/Logging_2482/tillsyn/A 54488-2023 tillsynsbegäran.docx", "A 54488-2023")</f>
        <v/>
      </c>
      <c r="Y245">
        <f>HYPERLINK("https://klasma.github.io/Logging_2482/tillsynsmail/A 54488-2023 tillsynsbegäran mail.docx", "A 54488-2023")</f>
        <v/>
      </c>
    </row>
    <row r="246" ht="15" customHeight="1">
      <c r="A246" t="inlineStr">
        <is>
          <t>A 55839-2023</t>
        </is>
      </c>
      <c r="B246" s="1" t="n">
        <v>45239</v>
      </c>
      <c r="C246" s="1" t="n">
        <v>45832</v>
      </c>
      <c r="D246" t="inlineStr">
        <is>
          <t>VÄSTERBOTTENS LÄN</t>
        </is>
      </c>
      <c r="E246" t="inlineStr">
        <is>
          <t>SKELLEFTEÅ</t>
        </is>
      </c>
      <c r="F246" t="inlineStr">
        <is>
          <t>Kommuner</t>
        </is>
      </c>
      <c r="G246" t="n">
        <v>0.8</v>
      </c>
      <c r="H246" t="n">
        <v>1</v>
      </c>
      <c r="I246" t="n">
        <v>1</v>
      </c>
      <c r="J246" t="n">
        <v>0</v>
      </c>
      <c r="K246" t="n">
        <v>0</v>
      </c>
      <c r="L246" t="n">
        <v>0</v>
      </c>
      <c r="M246" t="n">
        <v>0</v>
      </c>
      <c r="N246" t="n">
        <v>0</v>
      </c>
      <c r="O246" t="n">
        <v>0</v>
      </c>
      <c r="P246" t="n">
        <v>0</v>
      </c>
      <c r="Q246" t="n">
        <v>1</v>
      </c>
      <c r="R246" s="2" t="inlineStr">
        <is>
          <t>Plattlummer</t>
        </is>
      </c>
      <c r="S246">
        <f>HYPERLINK("https://klasma.github.io/Logging_2482/artfynd/A 55839-2023 artfynd.xlsx", "A 55839-2023")</f>
        <v/>
      </c>
      <c r="T246">
        <f>HYPERLINK("https://klasma.github.io/Logging_2482/kartor/A 55839-2023 karta.png", "A 55839-2023")</f>
        <v/>
      </c>
      <c r="V246">
        <f>HYPERLINK("https://klasma.github.io/Logging_2482/klagomål/A 55839-2023 FSC-klagomål.docx", "A 55839-2023")</f>
        <v/>
      </c>
      <c r="W246">
        <f>HYPERLINK("https://klasma.github.io/Logging_2482/klagomålsmail/A 55839-2023 FSC-klagomål mail.docx", "A 55839-2023")</f>
        <v/>
      </c>
      <c r="X246">
        <f>HYPERLINK("https://klasma.github.io/Logging_2482/tillsyn/A 55839-2023 tillsynsbegäran.docx", "A 55839-2023")</f>
        <v/>
      </c>
      <c r="Y246">
        <f>HYPERLINK("https://klasma.github.io/Logging_2482/tillsynsmail/A 55839-2023 tillsynsbegäran mail.docx", "A 55839-2023")</f>
        <v/>
      </c>
    </row>
    <row r="247" ht="15" customHeight="1">
      <c r="A247" t="inlineStr">
        <is>
          <t>A 65012-2023</t>
        </is>
      </c>
      <c r="B247" s="1" t="n">
        <v>45287</v>
      </c>
      <c r="C247" s="1" t="n">
        <v>45832</v>
      </c>
      <c r="D247" t="inlineStr">
        <is>
          <t>VÄSTERBOTTENS LÄN</t>
        </is>
      </c>
      <c r="E247" t="inlineStr">
        <is>
          <t>SKELLEFTEÅ</t>
        </is>
      </c>
      <c r="G247" t="n">
        <v>2.2</v>
      </c>
      <c r="H247" t="n">
        <v>1</v>
      </c>
      <c r="I247" t="n">
        <v>0</v>
      </c>
      <c r="J247" t="n">
        <v>1</v>
      </c>
      <c r="K247" t="n">
        <v>0</v>
      </c>
      <c r="L247" t="n">
        <v>0</v>
      </c>
      <c r="M247" t="n">
        <v>0</v>
      </c>
      <c r="N247" t="n">
        <v>0</v>
      </c>
      <c r="O247" t="n">
        <v>1</v>
      </c>
      <c r="P247" t="n">
        <v>0</v>
      </c>
      <c r="Q247" t="n">
        <v>1</v>
      </c>
      <c r="R247" s="2" t="inlineStr">
        <is>
          <t>Tretåig hackspett</t>
        </is>
      </c>
      <c r="S247">
        <f>HYPERLINK("https://klasma.github.io/Logging_2482/artfynd/A 65012-2023 artfynd.xlsx", "A 65012-2023")</f>
        <v/>
      </c>
      <c r="T247">
        <f>HYPERLINK("https://klasma.github.io/Logging_2482/kartor/A 65012-2023 karta.png", "A 65012-2023")</f>
        <v/>
      </c>
      <c r="V247">
        <f>HYPERLINK("https://klasma.github.io/Logging_2482/klagomål/A 65012-2023 FSC-klagomål.docx", "A 65012-2023")</f>
        <v/>
      </c>
      <c r="W247">
        <f>HYPERLINK("https://klasma.github.io/Logging_2482/klagomålsmail/A 65012-2023 FSC-klagomål mail.docx", "A 65012-2023")</f>
        <v/>
      </c>
      <c r="X247">
        <f>HYPERLINK("https://klasma.github.io/Logging_2482/tillsyn/A 65012-2023 tillsynsbegäran.docx", "A 65012-2023")</f>
        <v/>
      </c>
      <c r="Y247">
        <f>HYPERLINK("https://klasma.github.io/Logging_2482/tillsynsmail/A 65012-2023 tillsynsbegäran mail.docx", "A 65012-2023")</f>
        <v/>
      </c>
      <c r="Z247">
        <f>HYPERLINK("https://klasma.github.io/Logging_2482/fåglar/A 65012-2023 prioriterade fågelarter.docx", "A 65012-2023")</f>
        <v/>
      </c>
    </row>
    <row r="248" ht="15" customHeight="1">
      <c r="A248" t="inlineStr">
        <is>
          <t>A 488-2024</t>
        </is>
      </c>
      <c r="B248" s="1" t="n">
        <v>45298</v>
      </c>
      <c r="C248" s="1" t="n">
        <v>45832</v>
      </c>
      <c r="D248" t="inlineStr">
        <is>
          <t>VÄSTERBOTTENS LÄN</t>
        </is>
      </c>
      <c r="E248" t="inlineStr">
        <is>
          <t>SKELLEFTEÅ</t>
        </is>
      </c>
      <c r="G248" t="n">
        <v>3.6</v>
      </c>
      <c r="H248" t="n">
        <v>1</v>
      </c>
      <c r="I248" t="n">
        <v>0</v>
      </c>
      <c r="J248" t="n">
        <v>1</v>
      </c>
      <c r="K248" t="n">
        <v>0</v>
      </c>
      <c r="L248" t="n">
        <v>0</v>
      </c>
      <c r="M248" t="n">
        <v>0</v>
      </c>
      <c r="N248" t="n">
        <v>0</v>
      </c>
      <c r="O248" t="n">
        <v>1</v>
      </c>
      <c r="P248" t="n">
        <v>0</v>
      </c>
      <c r="Q248" t="n">
        <v>1</v>
      </c>
      <c r="R248" s="2" t="inlineStr">
        <is>
          <t>Spillkråka</t>
        </is>
      </c>
      <c r="S248">
        <f>HYPERLINK("https://klasma.github.io/Logging_2482/artfynd/A 488-2024 artfynd.xlsx", "A 488-2024")</f>
        <v/>
      </c>
      <c r="T248">
        <f>HYPERLINK("https://klasma.github.io/Logging_2482/kartor/A 488-2024 karta.png", "A 488-2024")</f>
        <v/>
      </c>
      <c r="V248">
        <f>HYPERLINK("https://klasma.github.io/Logging_2482/klagomål/A 488-2024 FSC-klagomål.docx", "A 488-2024")</f>
        <v/>
      </c>
      <c r="W248">
        <f>HYPERLINK("https://klasma.github.io/Logging_2482/klagomålsmail/A 488-2024 FSC-klagomål mail.docx", "A 488-2024")</f>
        <v/>
      </c>
      <c r="X248">
        <f>HYPERLINK("https://klasma.github.io/Logging_2482/tillsyn/A 488-2024 tillsynsbegäran.docx", "A 488-2024")</f>
        <v/>
      </c>
      <c r="Y248">
        <f>HYPERLINK("https://klasma.github.io/Logging_2482/tillsynsmail/A 488-2024 tillsynsbegäran mail.docx", "A 488-2024")</f>
        <v/>
      </c>
      <c r="Z248">
        <f>HYPERLINK("https://klasma.github.io/Logging_2482/fåglar/A 488-2024 prioriterade fågelarter.docx", "A 488-2024")</f>
        <v/>
      </c>
    </row>
    <row r="249" ht="15" customHeight="1">
      <c r="A249" t="inlineStr">
        <is>
          <t>A 3939-2024</t>
        </is>
      </c>
      <c r="B249" s="1" t="n">
        <v>45322</v>
      </c>
      <c r="C249" s="1" t="n">
        <v>45832</v>
      </c>
      <c r="D249" t="inlineStr">
        <is>
          <t>VÄSTERBOTTENS LÄN</t>
        </is>
      </c>
      <c r="E249" t="inlineStr">
        <is>
          <t>SKELLEFTEÅ</t>
        </is>
      </c>
      <c r="G249" t="n">
        <v>1.9</v>
      </c>
      <c r="H249" t="n">
        <v>0</v>
      </c>
      <c r="I249" t="n">
        <v>1</v>
      </c>
      <c r="J249" t="n">
        <v>0</v>
      </c>
      <c r="K249" t="n">
        <v>0</v>
      </c>
      <c r="L249" t="n">
        <v>0</v>
      </c>
      <c r="M249" t="n">
        <v>0</v>
      </c>
      <c r="N249" t="n">
        <v>0</v>
      </c>
      <c r="O249" t="n">
        <v>0</v>
      </c>
      <c r="P249" t="n">
        <v>0</v>
      </c>
      <c r="Q249" t="n">
        <v>1</v>
      </c>
      <c r="R249" s="2" t="inlineStr">
        <is>
          <t>Ögonpyrola</t>
        </is>
      </c>
      <c r="S249">
        <f>HYPERLINK("https://klasma.github.io/Logging_2482/artfynd/A 3939-2024 artfynd.xlsx", "A 3939-2024")</f>
        <v/>
      </c>
      <c r="T249">
        <f>HYPERLINK("https://klasma.github.io/Logging_2482/kartor/A 3939-2024 karta.png", "A 3939-2024")</f>
        <v/>
      </c>
      <c r="V249">
        <f>HYPERLINK("https://klasma.github.io/Logging_2482/klagomål/A 3939-2024 FSC-klagomål.docx", "A 3939-2024")</f>
        <v/>
      </c>
      <c r="W249">
        <f>HYPERLINK("https://klasma.github.io/Logging_2482/klagomålsmail/A 3939-2024 FSC-klagomål mail.docx", "A 3939-2024")</f>
        <v/>
      </c>
      <c r="X249">
        <f>HYPERLINK("https://klasma.github.io/Logging_2482/tillsyn/A 3939-2024 tillsynsbegäran.docx", "A 3939-2024")</f>
        <v/>
      </c>
      <c r="Y249">
        <f>HYPERLINK("https://klasma.github.io/Logging_2482/tillsynsmail/A 3939-2024 tillsynsbegäran mail.docx", "A 3939-2024")</f>
        <v/>
      </c>
    </row>
    <row r="250" ht="15" customHeight="1">
      <c r="A250" t="inlineStr">
        <is>
          <t>A 8082-2024</t>
        </is>
      </c>
      <c r="B250" s="1" t="n">
        <v>45351</v>
      </c>
      <c r="C250" s="1" t="n">
        <v>45832</v>
      </c>
      <c r="D250" t="inlineStr">
        <is>
          <t>VÄSTERBOTTENS LÄN</t>
        </is>
      </c>
      <c r="E250" t="inlineStr">
        <is>
          <t>SKELLEFTEÅ</t>
        </is>
      </c>
      <c r="G250" t="n">
        <v>18.9</v>
      </c>
      <c r="H250" t="n">
        <v>0</v>
      </c>
      <c r="I250" t="n">
        <v>1</v>
      </c>
      <c r="J250" t="n">
        <v>0</v>
      </c>
      <c r="K250" t="n">
        <v>0</v>
      </c>
      <c r="L250" t="n">
        <v>0</v>
      </c>
      <c r="M250" t="n">
        <v>0</v>
      </c>
      <c r="N250" t="n">
        <v>0</v>
      </c>
      <c r="O250" t="n">
        <v>0</v>
      </c>
      <c r="P250" t="n">
        <v>0</v>
      </c>
      <c r="Q250" t="n">
        <v>1</v>
      </c>
      <c r="R250" s="2" t="inlineStr">
        <is>
          <t>Skarp dropptaggsvamp</t>
        </is>
      </c>
      <c r="S250">
        <f>HYPERLINK("https://klasma.github.io/Logging_2482/artfynd/A 8082-2024 artfynd.xlsx", "A 8082-2024")</f>
        <v/>
      </c>
      <c r="T250">
        <f>HYPERLINK("https://klasma.github.io/Logging_2482/kartor/A 8082-2024 karta.png", "A 8082-2024")</f>
        <v/>
      </c>
      <c r="V250">
        <f>HYPERLINK("https://klasma.github.io/Logging_2482/klagomål/A 8082-2024 FSC-klagomål.docx", "A 8082-2024")</f>
        <v/>
      </c>
      <c r="W250">
        <f>HYPERLINK("https://klasma.github.io/Logging_2482/klagomålsmail/A 8082-2024 FSC-klagomål mail.docx", "A 8082-2024")</f>
        <v/>
      </c>
      <c r="X250">
        <f>HYPERLINK("https://klasma.github.io/Logging_2482/tillsyn/A 8082-2024 tillsynsbegäran.docx", "A 8082-2024")</f>
        <v/>
      </c>
      <c r="Y250">
        <f>HYPERLINK("https://klasma.github.io/Logging_2482/tillsynsmail/A 8082-2024 tillsynsbegäran mail.docx", "A 8082-2024")</f>
        <v/>
      </c>
    </row>
    <row r="251" ht="15" customHeight="1">
      <c r="A251" t="inlineStr">
        <is>
          <t>A 11533-2024</t>
        </is>
      </c>
      <c r="B251" s="1" t="n">
        <v>45372</v>
      </c>
      <c r="C251" s="1" t="n">
        <v>45832</v>
      </c>
      <c r="D251" t="inlineStr">
        <is>
          <t>VÄSTERBOTTENS LÄN</t>
        </is>
      </c>
      <c r="E251" t="inlineStr">
        <is>
          <t>SKELLEFTEÅ</t>
        </is>
      </c>
      <c r="G251" t="n">
        <v>7.6</v>
      </c>
      <c r="H251" t="n">
        <v>0</v>
      </c>
      <c r="I251" t="n">
        <v>0</v>
      </c>
      <c r="J251" t="n">
        <v>1</v>
      </c>
      <c r="K251" t="n">
        <v>0</v>
      </c>
      <c r="L251" t="n">
        <v>0</v>
      </c>
      <c r="M251" t="n">
        <v>0</v>
      </c>
      <c r="N251" t="n">
        <v>0</v>
      </c>
      <c r="O251" t="n">
        <v>1</v>
      </c>
      <c r="P251" t="n">
        <v>0</v>
      </c>
      <c r="Q251" t="n">
        <v>1</v>
      </c>
      <c r="R251" s="2" t="inlineStr">
        <is>
          <t>Garnlav</t>
        </is>
      </c>
      <c r="S251">
        <f>HYPERLINK("https://klasma.github.io/Logging_2482/artfynd/A 11533-2024 artfynd.xlsx", "A 11533-2024")</f>
        <v/>
      </c>
      <c r="T251">
        <f>HYPERLINK("https://klasma.github.io/Logging_2482/kartor/A 11533-2024 karta.png", "A 11533-2024")</f>
        <v/>
      </c>
      <c r="V251">
        <f>HYPERLINK("https://klasma.github.io/Logging_2482/klagomål/A 11533-2024 FSC-klagomål.docx", "A 11533-2024")</f>
        <v/>
      </c>
      <c r="W251">
        <f>HYPERLINK("https://klasma.github.io/Logging_2482/klagomålsmail/A 11533-2024 FSC-klagomål mail.docx", "A 11533-2024")</f>
        <v/>
      </c>
      <c r="X251">
        <f>HYPERLINK("https://klasma.github.io/Logging_2482/tillsyn/A 11533-2024 tillsynsbegäran.docx", "A 11533-2024")</f>
        <v/>
      </c>
      <c r="Y251">
        <f>HYPERLINK("https://klasma.github.io/Logging_2482/tillsynsmail/A 11533-2024 tillsynsbegäran mail.docx", "A 11533-2024")</f>
        <v/>
      </c>
    </row>
    <row r="252" ht="15" customHeight="1">
      <c r="A252" t="inlineStr">
        <is>
          <t>A 14439-2024</t>
        </is>
      </c>
      <c r="B252" s="1" t="n">
        <v>45394</v>
      </c>
      <c r="C252" s="1" t="n">
        <v>45832</v>
      </c>
      <c r="D252" t="inlineStr">
        <is>
          <t>VÄSTERBOTTENS LÄN</t>
        </is>
      </c>
      <c r="E252" t="inlineStr">
        <is>
          <t>SKELLEFTEÅ</t>
        </is>
      </c>
      <c r="G252" t="n">
        <v>9.199999999999999</v>
      </c>
      <c r="H252" t="n">
        <v>0</v>
      </c>
      <c r="I252" t="n">
        <v>0</v>
      </c>
      <c r="J252" t="n">
        <v>1</v>
      </c>
      <c r="K252" t="n">
        <v>0</v>
      </c>
      <c r="L252" t="n">
        <v>0</v>
      </c>
      <c r="M252" t="n">
        <v>0</v>
      </c>
      <c r="N252" t="n">
        <v>0</v>
      </c>
      <c r="O252" t="n">
        <v>1</v>
      </c>
      <c r="P252" t="n">
        <v>0</v>
      </c>
      <c r="Q252" t="n">
        <v>1</v>
      </c>
      <c r="R252" s="2" t="inlineStr">
        <is>
          <t>Garnlav</t>
        </is>
      </c>
      <c r="S252">
        <f>HYPERLINK("https://klasma.github.io/Logging_2482/artfynd/A 14439-2024 artfynd.xlsx", "A 14439-2024")</f>
        <v/>
      </c>
      <c r="T252">
        <f>HYPERLINK("https://klasma.github.io/Logging_2482/kartor/A 14439-2024 karta.png", "A 14439-2024")</f>
        <v/>
      </c>
      <c r="V252">
        <f>HYPERLINK("https://klasma.github.io/Logging_2482/klagomål/A 14439-2024 FSC-klagomål.docx", "A 14439-2024")</f>
        <v/>
      </c>
      <c r="W252">
        <f>HYPERLINK("https://klasma.github.io/Logging_2482/klagomålsmail/A 14439-2024 FSC-klagomål mail.docx", "A 14439-2024")</f>
        <v/>
      </c>
      <c r="X252">
        <f>HYPERLINK("https://klasma.github.io/Logging_2482/tillsyn/A 14439-2024 tillsynsbegäran.docx", "A 14439-2024")</f>
        <v/>
      </c>
      <c r="Y252">
        <f>HYPERLINK("https://klasma.github.io/Logging_2482/tillsynsmail/A 14439-2024 tillsynsbegäran mail.docx", "A 14439-2024")</f>
        <v/>
      </c>
    </row>
    <row r="253" ht="15" customHeight="1">
      <c r="A253" t="inlineStr">
        <is>
          <t>A 15134-2024</t>
        </is>
      </c>
      <c r="B253" s="1" t="n">
        <v>45399</v>
      </c>
      <c r="C253" s="1" t="n">
        <v>45832</v>
      </c>
      <c r="D253" t="inlineStr">
        <is>
          <t>VÄSTERBOTTENS LÄN</t>
        </is>
      </c>
      <c r="E253" t="inlineStr">
        <is>
          <t>SKELLEFTEÅ</t>
        </is>
      </c>
      <c r="G253" t="n">
        <v>11.1</v>
      </c>
      <c r="H253" t="n">
        <v>0</v>
      </c>
      <c r="I253" t="n">
        <v>0</v>
      </c>
      <c r="J253" t="n">
        <v>1</v>
      </c>
      <c r="K253" t="n">
        <v>0</v>
      </c>
      <c r="L253" t="n">
        <v>0</v>
      </c>
      <c r="M253" t="n">
        <v>0</v>
      </c>
      <c r="N253" t="n">
        <v>0</v>
      </c>
      <c r="O253" t="n">
        <v>1</v>
      </c>
      <c r="P253" t="n">
        <v>0</v>
      </c>
      <c r="Q253" t="n">
        <v>1</v>
      </c>
      <c r="R253" s="2" t="inlineStr">
        <is>
          <t>Granticka</t>
        </is>
      </c>
      <c r="S253">
        <f>HYPERLINK("https://klasma.github.io/Logging_2482/artfynd/A 15134-2024 artfynd.xlsx", "A 15134-2024")</f>
        <v/>
      </c>
      <c r="T253">
        <f>HYPERLINK("https://klasma.github.io/Logging_2482/kartor/A 15134-2024 karta.png", "A 15134-2024")</f>
        <v/>
      </c>
      <c r="V253">
        <f>HYPERLINK("https://klasma.github.io/Logging_2482/klagomål/A 15134-2024 FSC-klagomål.docx", "A 15134-2024")</f>
        <v/>
      </c>
      <c r="W253">
        <f>HYPERLINK("https://klasma.github.io/Logging_2482/klagomålsmail/A 15134-2024 FSC-klagomål mail.docx", "A 15134-2024")</f>
        <v/>
      </c>
      <c r="X253">
        <f>HYPERLINK("https://klasma.github.io/Logging_2482/tillsyn/A 15134-2024 tillsynsbegäran.docx", "A 15134-2024")</f>
        <v/>
      </c>
      <c r="Y253">
        <f>HYPERLINK("https://klasma.github.io/Logging_2482/tillsynsmail/A 15134-2024 tillsynsbegäran mail.docx", "A 15134-2024")</f>
        <v/>
      </c>
    </row>
    <row r="254" ht="15" customHeight="1">
      <c r="A254" t="inlineStr">
        <is>
          <t>A 20311-2024</t>
        </is>
      </c>
      <c r="B254" s="1" t="n">
        <v>45435</v>
      </c>
      <c r="C254" s="1" t="n">
        <v>45832</v>
      </c>
      <c r="D254" t="inlineStr">
        <is>
          <t>VÄSTERBOTTENS LÄN</t>
        </is>
      </c>
      <c r="E254" t="inlineStr">
        <is>
          <t>SKELLEFTEÅ</t>
        </is>
      </c>
      <c r="G254" t="n">
        <v>17.3</v>
      </c>
      <c r="H254" t="n">
        <v>0</v>
      </c>
      <c r="I254" t="n">
        <v>1</v>
      </c>
      <c r="J254" t="n">
        <v>0</v>
      </c>
      <c r="K254" t="n">
        <v>0</v>
      </c>
      <c r="L254" t="n">
        <v>0</v>
      </c>
      <c r="M254" t="n">
        <v>0</v>
      </c>
      <c r="N254" t="n">
        <v>0</v>
      </c>
      <c r="O254" t="n">
        <v>0</v>
      </c>
      <c r="P254" t="n">
        <v>0</v>
      </c>
      <c r="Q254" t="n">
        <v>1</v>
      </c>
      <c r="R254" s="2" t="inlineStr">
        <is>
          <t>Sotriska</t>
        </is>
      </c>
      <c r="S254">
        <f>HYPERLINK("https://klasma.github.io/Logging_2482/artfynd/A 20311-2024 artfynd.xlsx", "A 20311-2024")</f>
        <v/>
      </c>
      <c r="T254">
        <f>HYPERLINK("https://klasma.github.io/Logging_2482/kartor/A 20311-2024 karta.png", "A 20311-2024")</f>
        <v/>
      </c>
      <c r="V254">
        <f>HYPERLINK("https://klasma.github.io/Logging_2482/klagomål/A 20311-2024 FSC-klagomål.docx", "A 20311-2024")</f>
        <v/>
      </c>
      <c r="W254">
        <f>HYPERLINK("https://klasma.github.io/Logging_2482/klagomålsmail/A 20311-2024 FSC-klagomål mail.docx", "A 20311-2024")</f>
        <v/>
      </c>
      <c r="X254">
        <f>HYPERLINK("https://klasma.github.io/Logging_2482/tillsyn/A 20311-2024 tillsynsbegäran.docx", "A 20311-2024")</f>
        <v/>
      </c>
      <c r="Y254">
        <f>HYPERLINK("https://klasma.github.io/Logging_2482/tillsynsmail/A 20311-2024 tillsynsbegäran mail.docx", "A 20311-2024")</f>
        <v/>
      </c>
    </row>
    <row r="255" ht="15" customHeight="1">
      <c r="A255" t="inlineStr">
        <is>
          <t>A 23512-2024</t>
        </is>
      </c>
      <c r="B255" s="1" t="n">
        <v>45453</v>
      </c>
      <c r="C255" s="1" t="n">
        <v>45832</v>
      </c>
      <c r="D255" t="inlineStr">
        <is>
          <t>VÄSTERBOTTENS LÄN</t>
        </is>
      </c>
      <c r="E255" t="inlineStr">
        <is>
          <t>SKELLEFTEÅ</t>
        </is>
      </c>
      <c r="F255" t="inlineStr">
        <is>
          <t>Sveaskog</t>
        </is>
      </c>
      <c r="G255" t="n">
        <v>14.9</v>
      </c>
      <c r="H255" t="n">
        <v>1</v>
      </c>
      <c r="I255" t="n">
        <v>0</v>
      </c>
      <c r="J255" t="n">
        <v>0</v>
      </c>
      <c r="K255" t="n">
        <v>0</v>
      </c>
      <c r="L255" t="n">
        <v>0</v>
      </c>
      <c r="M255" t="n">
        <v>0</v>
      </c>
      <c r="N255" t="n">
        <v>0</v>
      </c>
      <c r="O255" t="n">
        <v>0</v>
      </c>
      <c r="P255" t="n">
        <v>0</v>
      </c>
      <c r="Q255" t="n">
        <v>1</v>
      </c>
      <c r="R255" s="2" t="inlineStr">
        <is>
          <t>Fläcknycklar</t>
        </is>
      </c>
      <c r="S255">
        <f>HYPERLINK("https://klasma.github.io/Logging_2482/artfynd/A 23512-2024 artfynd.xlsx", "A 23512-2024")</f>
        <v/>
      </c>
      <c r="T255">
        <f>HYPERLINK("https://klasma.github.io/Logging_2482/kartor/A 23512-2024 karta.png", "A 23512-2024")</f>
        <v/>
      </c>
      <c r="V255">
        <f>HYPERLINK("https://klasma.github.io/Logging_2482/klagomål/A 23512-2024 FSC-klagomål.docx", "A 23512-2024")</f>
        <v/>
      </c>
      <c r="W255">
        <f>HYPERLINK("https://klasma.github.io/Logging_2482/klagomålsmail/A 23512-2024 FSC-klagomål mail.docx", "A 23512-2024")</f>
        <v/>
      </c>
      <c r="X255">
        <f>HYPERLINK("https://klasma.github.io/Logging_2482/tillsyn/A 23512-2024 tillsynsbegäran.docx", "A 23512-2024")</f>
        <v/>
      </c>
      <c r="Y255">
        <f>HYPERLINK("https://klasma.github.io/Logging_2482/tillsynsmail/A 23512-2024 tillsynsbegäran mail.docx", "A 23512-2024")</f>
        <v/>
      </c>
    </row>
    <row r="256" ht="15" customHeight="1">
      <c r="A256" t="inlineStr">
        <is>
          <t>A 23721-2024</t>
        </is>
      </c>
      <c r="B256" s="1" t="n">
        <v>45454</v>
      </c>
      <c r="C256" s="1" t="n">
        <v>45832</v>
      </c>
      <c r="D256" t="inlineStr">
        <is>
          <t>VÄSTERBOTTENS LÄN</t>
        </is>
      </c>
      <c r="E256" t="inlineStr">
        <is>
          <t>SKELLEFTEÅ</t>
        </is>
      </c>
      <c r="G256" t="n">
        <v>14.8</v>
      </c>
      <c r="H256" t="n">
        <v>0</v>
      </c>
      <c r="I256" t="n">
        <v>0</v>
      </c>
      <c r="J256" t="n">
        <v>1</v>
      </c>
      <c r="K256" t="n">
        <v>0</v>
      </c>
      <c r="L256" t="n">
        <v>0</v>
      </c>
      <c r="M256" t="n">
        <v>0</v>
      </c>
      <c r="N256" t="n">
        <v>0</v>
      </c>
      <c r="O256" t="n">
        <v>1</v>
      </c>
      <c r="P256" t="n">
        <v>0</v>
      </c>
      <c r="Q256" t="n">
        <v>1</v>
      </c>
      <c r="R256" s="2" t="inlineStr">
        <is>
          <t>Orange taggsvamp</t>
        </is>
      </c>
      <c r="S256">
        <f>HYPERLINK("https://klasma.github.io/Logging_2482/artfynd/A 23721-2024 artfynd.xlsx", "A 23721-2024")</f>
        <v/>
      </c>
      <c r="T256">
        <f>HYPERLINK("https://klasma.github.io/Logging_2482/kartor/A 23721-2024 karta.png", "A 23721-2024")</f>
        <v/>
      </c>
      <c r="V256">
        <f>HYPERLINK("https://klasma.github.io/Logging_2482/klagomål/A 23721-2024 FSC-klagomål.docx", "A 23721-2024")</f>
        <v/>
      </c>
      <c r="W256">
        <f>HYPERLINK("https://klasma.github.io/Logging_2482/klagomålsmail/A 23721-2024 FSC-klagomål mail.docx", "A 23721-2024")</f>
        <v/>
      </c>
      <c r="X256">
        <f>HYPERLINK("https://klasma.github.io/Logging_2482/tillsyn/A 23721-2024 tillsynsbegäran.docx", "A 23721-2024")</f>
        <v/>
      </c>
      <c r="Y256">
        <f>HYPERLINK("https://klasma.github.io/Logging_2482/tillsynsmail/A 23721-2024 tillsynsbegäran mail.docx", "A 23721-2024")</f>
        <v/>
      </c>
    </row>
    <row r="257" ht="15" customHeight="1">
      <c r="A257" t="inlineStr">
        <is>
          <t>A 30528-2024</t>
        </is>
      </c>
      <c r="B257" s="1" t="n">
        <v>45492</v>
      </c>
      <c r="C257" s="1" t="n">
        <v>45832</v>
      </c>
      <c r="D257" t="inlineStr">
        <is>
          <t>VÄSTERBOTTENS LÄN</t>
        </is>
      </c>
      <c r="E257" t="inlineStr">
        <is>
          <t>SKELLEFTEÅ</t>
        </is>
      </c>
      <c r="F257" t="inlineStr">
        <is>
          <t>Holmen skog AB</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HYPERLINK("https://klasma.github.io/Logging_2482/artfynd/A 30528-2024 artfynd.xlsx", "A 30528-2024")</f>
        <v/>
      </c>
      <c r="T257">
        <f>HYPERLINK("https://klasma.github.io/Logging_2482/kartor/A 30528-2024 karta.png", "A 30528-2024")</f>
        <v/>
      </c>
      <c r="V257">
        <f>HYPERLINK("https://klasma.github.io/Logging_2482/klagomål/A 30528-2024 FSC-klagomål.docx", "A 30528-2024")</f>
        <v/>
      </c>
      <c r="W257">
        <f>HYPERLINK("https://klasma.github.io/Logging_2482/klagomålsmail/A 30528-2024 FSC-klagomål mail.docx", "A 30528-2024")</f>
        <v/>
      </c>
      <c r="X257">
        <f>HYPERLINK("https://klasma.github.io/Logging_2482/tillsyn/A 30528-2024 tillsynsbegäran.docx", "A 30528-2024")</f>
        <v/>
      </c>
      <c r="Y257">
        <f>HYPERLINK("https://klasma.github.io/Logging_2482/tillsynsmail/A 30528-2024 tillsynsbegäran mail.docx", "A 30528-2024")</f>
        <v/>
      </c>
    </row>
    <row r="258" ht="15" customHeight="1">
      <c r="A258" t="inlineStr">
        <is>
          <t>A 31156-2024</t>
        </is>
      </c>
      <c r="B258" s="1" t="n">
        <v>45503</v>
      </c>
      <c r="C258" s="1" t="n">
        <v>45832</v>
      </c>
      <c r="D258" t="inlineStr">
        <is>
          <t>VÄSTERBOTTENS LÄN</t>
        </is>
      </c>
      <c r="E258" t="inlineStr">
        <is>
          <t>SKELLEFTEÅ</t>
        </is>
      </c>
      <c r="F258" t="inlineStr">
        <is>
          <t>Holmen skog AB</t>
        </is>
      </c>
      <c r="G258" t="n">
        <v>7.2</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31156-2024 artfynd.xlsx", "A 31156-2024")</f>
        <v/>
      </c>
      <c r="T258">
        <f>HYPERLINK("https://klasma.github.io/Logging_2482/kartor/A 31156-2024 karta.png", "A 31156-2024")</f>
        <v/>
      </c>
      <c r="V258">
        <f>HYPERLINK("https://klasma.github.io/Logging_2482/klagomål/A 31156-2024 FSC-klagomål.docx", "A 31156-2024")</f>
        <v/>
      </c>
      <c r="W258">
        <f>HYPERLINK("https://klasma.github.io/Logging_2482/klagomålsmail/A 31156-2024 FSC-klagomål mail.docx", "A 31156-2024")</f>
        <v/>
      </c>
      <c r="X258">
        <f>HYPERLINK("https://klasma.github.io/Logging_2482/tillsyn/A 31156-2024 tillsynsbegäran.docx", "A 31156-2024")</f>
        <v/>
      </c>
      <c r="Y258">
        <f>HYPERLINK("https://klasma.github.io/Logging_2482/tillsynsmail/A 31156-2024 tillsynsbegäran mail.docx", "A 31156-2024")</f>
        <v/>
      </c>
    </row>
    <row r="259" ht="15" customHeight="1">
      <c r="A259" t="inlineStr">
        <is>
          <t>A 32724-2024</t>
        </is>
      </c>
      <c r="B259" s="1" t="n">
        <v>45516</v>
      </c>
      <c r="C259" s="1" t="n">
        <v>45832</v>
      </c>
      <c r="D259" t="inlineStr">
        <is>
          <t>VÄSTERBOTTENS LÄN</t>
        </is>
      </c>
      <c r="E259" t="inlineStr">
        <is>
          <t>SKELLEFTEÅ</t>
        </is>
      </c>
      <c r="F259" t="inlineStr">
        <is>
          <t>Holmen skog AB</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32724-2024 artfynd.xlsx", "A 32724-2024")</f>
        <v/>
      </c>
      <c r="T259">
        <f>HYPERLINK("https://klasma.github.io/Logging_2482/kartor/A 32724-2024 karta.png", "A 32724-2024")</f>
        <v/>
      </c>
      <c r="V259">
        <f>HYPERLINK("https://klasma.github.io/Logging_2482/klagomål/A 32724-2024 FSC-klagomål.docx", "A 32724-2024")</f>
        <v/>
      </c>
      <c r="W259">
        <f>HYPERLINK("https://klasma.github.io/Logging_2482/klagomålsmail/A 32724-2024 FSC-klagomål mail.docx", "A 32724-2024")</f>
        <v/>
      </c>
      <c r="X259">
        <f>HYPERLINK("https://klasma.github.io/Logging_2482/tillsyn/A 32724-2024 tillsynsbegäran.docx", "A 32724-2024")</f>
        <v/>
      </c>
      <c r="Y259">
        <f>HYPERLINK("https://klasma.github.io/Logging_2482/tillsynsmail/A 32724-2024 tillsynsbegäran mail.docx", "A 32724-2024")</f>
        <v/>
      </c>
    </row>
    <row r="260" ht="15" customHeight="1">
      <c r="A260" t="inlineStr">
        <is>
          <t>A 33402-2024</t>
        </is>
      </c>
      <c r="B260" s="1" t="n">
        <v>45519</v>
      </c>
      <c r="C260" s="1" t="n">
        <v>45832</v>
      </c>
      <c r="D260" t="inlineStr">
        <is>
          <t>VÄSTERBOTTENS LÄN</t>
        </is>
      </c>
      <c r="E260" t="inlineStr">
        <is>
          <t>SKELLEFTEÅ</t>
        </is>
      </c>
      <c r="G260" t="n">
        <v>6.3</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33402-2024 artfynd.xlsx", "A 33402-2024")</f>
        <v/>
      </c>
      <c r="T260">
        <f>HYPERLINK("https://klasma.github.io/Logging_2482/kartor/A 33402-2024 karta.png", "A 33402-2024")</f>
        <v/>
      </c>
      <c r="V260">
        <f>HYPERLINK("https://klasma.github.io/Logging_2482/klagomål/A 33402-2024 FSC-klagomål.docx", "A 33402-2024")</f>
        <v/>
      </c>
      <c r="W260">
        <f>HYPERLINK("https://klasma.github.io/Logging_2482/klagomålsmail/A 33402-2024 FSC-klagomål mail.docx", "A 33402-2024")</f>
        <v/>
      </c>
      <c r="X260">
        <f>HYPERLINK("https://klasma.github.io/Logging_2482/tillsyn/A 33402-2024 tillsynsbegäran.docx", "A 33402-2024")</f>
        <v/>
      </c>
      <c r="Y260">
        <f>HYPERLINK("https://klasma.github.io/Logging_2482/tillsynsmail/A 33402-2024 tillsynsbegäran mail.docx", "A 33402-2024")</f>
        <v/>
      </c>
    </row>
    <row r="261" ht="15" customHeight="1">
      <c r="A261" t="inlineStr">
        <is>
          <t>A 44980-2024</t>
        </is>
      </c>
      <c r="B261" s="1" t="n">
        <v>45575</v>
      </c>
      <c r="C261" s="1" t="n">
        <v>45832</v>
      </c>
      <c r="D261" t="inlineStr">
        <is>
          <t>VÄSTERBOTTENS LÄN</t>
        </is>
      </c>
      <c r="E261" t="inlineStr">
        <is>
          <t>SKELLEFTEÅ</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HYPERLINK("https://klasma.github.io/Logging_2482/artfynd/A 44980-2024 artfynd.xlsx", "A 44980-2024")</f>
        <v/>
      </c>
      <c r="T261">
        <f>HYPERLINK("https://klasma.github.io/Logging_2482/kartor/A 44980-2024 karta.png", "A 44980-2024")</f>
        <v/>
      </c>
      <c r="U261">
        <f>HYPERLINK("https://klasma.github.io/Logging_2482/knärot/A 44980-2024 karta knärot.png", "A 44980-2024")</f>
        <v/>
      </c>
      <c r="V261">
        <f>HYPERLINK("https://klasma.github.io/Logging_2482/klagomål/A 44980-2024 FSC-klagomål.docx", "A 44980-2024")</f>
        <v/>
      </c>
      <c r="W261">
        <f>HYPERLINK("https://klasma.github.io/Logging_2482/klagomålsmail/A 44980-2024 FSC-klagomål mail.docx", "A 44980-2024")</f>
        <v/>
      </c>
      <c r="X261">
        <f>HYPERLINK("https://klasma.github.io/Logging_2482/tillsyn/A 44980-2024 tillsynsbegäran.docx", "A 44980-2024")</f>
        <v/>
      </c>
      <c r="Y261">
        <f>HYPERLINK("https://klasma.github.io/Logging_2482/tillsynsmail/A 44980-2024 tillsynsbegäran mail.docx", "A 44980-2024")</f>
        <v/>
      </c>
    </row>
    <row r="262" ht="15" customHeight="1">
      <c r="A262" t="inlineStr">
        <is>
          <t>A 45376-2024</t>
        </is>
      </c>
      <c r="B262" s="1" t="n">
        <v>45576</v>
      </c>
      <c r="C262" s="1" t="n">
        <v>45832</v>
      </c>
      <c r="D262" t="inlineStr">
        <is>
          <t>VÄSTERBOTTENS LÄN</t>
        </is>
      </c>
      <c r="E262" t="inlineStr">
        <is>
          <t>SKELLEFTEÅ</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HYPERLINK("https://klasma.github.io/Logging_2482/artfynd/A 45376-2024 artfynd.xlsx", "A 45376-2024")</f>
        <v/>
      </c>
      <c r="T262">
        <f>HYPERLINK("https://klasma.github.io/Logging_2482/kartor/A 45376-2024 karta.png", "A 45376-2024")</f>
        <v/>
      </c>
      <c r="V262">
        <f>HYPERLINK("https://klasma.github.io/Logging_2482/klagomål/A 45376-2024 FSC-klagomål.docx", "A 45376-2024")</f>
        <v/>
      </c>
      <c r="W262">
        <f>HYPERLINK("https://klasma.github.io/Logging_2482/klagomålsmail/A 45376-2024 FSC-klagomål mail.docx", "A 45376-2024")</f>
        <v/>
      </c>
      <c r="X262">
        <f>HYPERLINK("https://klasma.github.io/Logging_2482/tillsyn/A 45376-2024 tillsynsbegäran.docx", "A 45376-2024")</f>
        <v/>
      </c>
      <c r="Y262">
        <f>HYPERLINK("https://klasma.github.io/Logging_2482/tillsynsmail/A 45376-2024 tillsynsbegäran mail.docx", "A 45376-2024")</f>
        <v/>
      </c>
    </row>
    <row r="263" ht="15" customHeight="1">
      <c r="A263" t="inlineStr">
        <is>
          <t>A 47379-2024</t>
        </is>
      </c>
      <c r="B263" s="1" t="n">
        <v>45587</v>
      </c>
      <c r="C263" s="1" t="n">
        <v>45832</v>
      </c>
      <c r="D263" t="inlineStr">
        <is>
          <t>VÄSTERBOTTENS LÄN</t>
        </is>
      </c>
      <c r="E263" t="inlineStr">
        <is>
          <t>SKELLEFTEÅ</t>
        </is>
      </c>
      <c r="G263" t="n">
        <v>6.8</v>
      </c>
      <c r="H263" t="n">
        <v>1</v>
      </c>
      <c r="I263" t="n">
        <v>0</v>
      </c>
      <c r="J263" t="n">
        <v>0</v>
      </c>
      <c r="K263" t="n">
        <v>0</v>
      </c>
      <c r="L263" t="n">
        <v>0</v>
      </c>
      <c r="M263" t="n">
        <v>0</v>
      </c>
      <c r="N263" t="n">
        <v>0</v>
      </c>
      <c r="O263" t="n">
        <v>0</v>
      </c>
      <c r="P263" t="n">
        <v>0</v>
      </c>
      <c r="Q263" t="n">
        <v>1</v>
      </c>
      <c r="R263" s="2" t="inlineStr">
        <is>
          <t>Fläcknycklar</t>
        </is>
      </c>
      <c r="S263">
        <f>HYPERLINK("https://klasma.github.io/Logging_2482/artfynd/A 47379-2024 artfynd.xlsx", "A 47379-2024")</f>
        <v/>
      </c>
      <c r="T263">
        <f>HYPERLINK("https://klasma.github.io/Logging_2482/kartor/A 47379-2024 karta.png", "A 47379-2024")</f>
        <v/>
      </c>
      <c r="V263">
        <f>HYPERLINK("https://klasma.github.io/Logging_2482/klagomål/A 47379-2024 FSC-klagomål.docx", "A 47379-2024")</f>
        <v/>
      </c>
      <c r="W263">
        <f>HYPERLINK("https://klasma.github.io/Logging_2482/klagomålsmail/A 47379-2024 FSC-klagomål mail.docx", "A 47379-2024")</f>
        <v/>
      </c>
      <c r="X263">
        <f>HYPERLINK("https://klasma.github.io/Logging_2482/tillsyn/A 47379-2024 tillsynsbegäran.docx", "A 47379-2024")</f>
        <v/>
      </c>
      <c r="Y263">
        <f>HYPERLINK("https://klasma.github.io/Logging_2482/tillsynsmail/A 47379-2024 tillsynsbegäran mail.docx", "A 47379-2024")</f>
        <v/>
      </c>
    </row>
    <row r="264" ht="15" customHeight="1">
      <c r="A264" t="inlineStr">
        <is>
          <t>A 50662-2024</t>
        </is>
      </c>
      <c r="B264" s="1" t="n">
        <v>45601</v>
      </c>
      <c r="C264" s="1" t="n">
        <v>45832</v>
      </c>
      <c r="D264" t="inlineStr">
        <is>
          <t>VÄSTERBOTTENS LÄN</t>
        </is>
      </c>
      <c r="E264" t="inlineStr">
        <is>
          <t>SKELLEFTEÅ</t>
        </is>
      </c>
      <c r="F264" t="inlineStr">
        <is>
          <t>Sveaskog</t>
        </is>
      </c>
      <c r="G264" t="n">
        <v>8.300000000000001</v>
      </c>
      <c r="H264" t="n">
        <v>1</v>
      </c>
      <c r="I264" t="n">
        <v>0</v>
      </c>
      <c r="J264" t="n">
        <v>1</v>
      </c>
      <c r="K264" t="n">
        <v>0</v>
      </c>
      <c r="L264" t="n">
        <v>0</v>
      </c>
      <c r="M264" t="n">
        <v>0</v>
      </c>
      <c r="N264" t="n">
        <v>0</v>
      </c>
      <c r="O264" t="n">
        <v>1</v>
      </c>
      <c r="P264" t="n">
        <v>0</v>
      </c>
      <c r="Q264" t="n">
        <v>1</v>
      </c>
      <c r="R264" s="2" t="inlineStr">
        <is>
          <t>Nordfladdermus</t>
        </is>
      </c>
      <c r="S264">
        <f>HYPERLINK("https://klasma.github.io/Logging_2482/artfynd/A 50662-2024 artfynd.xlsx", "A 50662-2024")</f>
        <v/>
      </c>
      <c r="T264">
        <f>HYPERLINK("https://klasma.github.io/Logging_2482/kartor/A 50662-2024 karta.png", "A 50662-2024")</f>
        <v/>
      </c>
      <c r="V264">
        <f>HYPERLINK("https://klasma.github.io/Logging_2482/klagomål/A 50662-2024 FSC-klagomål.docx", "A 50662-2024")</f>
        <v/>
      </c>
      <c r="W264">
        <f>HYPERLINK("https://klasma.github.io/Logging_2482/klagomålsmail/A 50662-2024 FSC-klagomål mail.docx", "A 50662-2024")</f>
        <v/>
      </c>
      <c r="X264">
        <f>HYPERLINK("https://klasma.github.io/Logging_2482/tillsyn/A 50662-2024 tillsynsbegäran.docx", "A 50662-2024")</f>
        <v/>
      </c>
      <c r="Y264">
        <f>HYPERLINK("https://klasma.github.io/Logging_2482/tillsynsmail/A 50662-2024 tillsynsbegäran mail.docx", "A 50662-2024")</f>
        <v/>
      </c>
    </row>
    <row r="265" ht="15" customHeight="1">
      <c r="A265" t="inlineStr">
        <is>
          <t>A 50658-2024</t>
        </is>
      </c>
      <c r="B265" s="1" t="n">
        <v>45601</v>
      </c>
      <c r="C265" s="1" t="n">
        <v>45832</v>
      </c>
      <c r="D265" t="inlineStr">
        <is>
          <t>VÄSTERBOTTENS LÄN</t>
        </is>
      </c>
      <c r="E265" t="inlineStr">
        <is>
          <t>SKELLEFTEÅ</t>
        </is>
      </c>
      <c r="G265" t="n">
        <v>9.699999999999999</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50658-2024 artfynd.xlsx", "A 50658-2024")</f>
        <v/>
      </c>
      <c r="T265">
        <f>HYPERLINK("https://klasma.github.io/Logging_2482/kartor/A 50658-2024 karta.png", "A 50658-2024")</f>
        <v/>
      </c>
      <c r="V265">
        <f>HYPERLINK("https://klasma.github.io/Logging_2482/klagomål/A 50658-2024 FSC-klagomål.docx", "A 50658-2024")</f>
        <v/>
      </c>
      <c r="W265">
        <f>HYPERLINK("https://klasma.github.io/Logging_2482/klagomålsmail/A 50658-2024 FSC-klagomål mail.docx", "A 50658-2024")</f>
        <v/>
      </c>
      <c r="X265">
        <f>HYPERLINK("https://klasma.github.io/Logging_2482/tillsyn/A 50658-2024 tillsynsbegäran.docx", "A 50658-2024")</f>
        <v/>
      </c>
      <c r="Y265">
        <f>HYPERLINK("https://klasma.github.io/Logging_2482/tillsynsmail/A 50658-2024 tillsynsbegäran mail.docx", "A 50658-2024")</f>
        <v/>
      </c>
      <c r="Z265">
        <f>HYPERLINK("https://klasma.github.io/Logging_2482/fåglar/A 50658-2024 prioriterade fågelarter.docx", "A 50658-2024")</f>
        <v/>
      </c>
    </row>
    <row r="266" ht="15" customHeight="1">
      <c r="A266" t="inlineStr">
        <is>
          <t>A 57520-2024</t>
        </is>
      </c>
      <c r="B266" s="1" t="n">
        <v>45630</v>
      </c>
      <c r="C266" s="1" t="n">
        <v>45832</v>
      </c>
      <c r="D266" t="inlineStr">
        <is>
          <t>VÄSTERBOTTENS LÄN</t>
        </is>
      </c>
      <c r="E266" t="inlineStr">
        <is>
          <t>SKELLEFTEÅ</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HYPERLINK("https://klasma.github.io/Logging_2482/artfynd/A 57520-2024 artfynd.xlsx", "A 57520-2024")</f>
        <v/>
      </c>
      <c r="T266">
        <f>HYPERLINK("https://klasma.github.io/Logging_2482/kartor/A 57520-2024 karta.png", "A 57520-2024")</f>
        <v/>
      </c>
      <c r="V266">
        <f>HYPERLINK("https://klasma.github.io/Logging_2482/klagomål/A 57520-2024 FSC-klagomål.docx", "A 57520-2024")</f>
        <v/>
      </c>
      <c r="W266">
        <f>HYPERLINK("https://klasma.github.io/Logging_2482/klagomålsmail/A 57520-2024 FSC-klagomål mail.docx", "A 57520-2024")</f>
        <v/>
      </c>
      <c r="X266">
        <f>HYPERLINK("https://klasma.github.io/Logging_2482/tillsyn/A 57520-2024 tillsynsbegäran.docx", "A 57520-2024")</f>
        <v/>
      </c>
      <c r="Y266">
        <f>HYPERLINK("https://klasma.github.io/Logging_2482/tillsynsmail/A 57520-2024 tillsynsbegäran mail.docx", "A 57520-2024")</f>
        <v/>
      </c>
    </row>
    <row r="267" ht="15" customHeight="1">
      <c r="A267" t="inlineStr">
        <is>
          <t>A 57568-2024</t>
        </is>
      </c>
      <c r="B267" s="1" t="n">
        <v>45630</v>
      </c>
      <c r="C267" s="1" t="n">
        <v>45832</v>
      </c>
      <c r="D267" t="inlineStr">
        <is>
          <t>VÄSTERBOTTENS LÄN</t>
        </is>
      </c>
      <c r="E267" t="inlineStr">
        <is>
          <t>SKELLEFTEÅ</t>
        </is>
      </c>
      <c r="F267" t="inlineStr">
        <is>
          <t>Sveaskog</t>
        </is>
      </c>
      <c r="G267" t="n">
        <v>7.3</v>
      </c>
      <c r="H267" t="n">
        <v>0</v>
      </c>
      <c r="I267" t="n">
        <v>0</v>
      </c>
      <c r="J267" t="n">
        <v>1</v>
      </c>
      <c r="K267" t="n">
        <v>0</v>
      </c>
      <c r="L267" t="n">
        <v>0</v>
      </c>
      <c r="M267" t="n">
        <v>0</v>
      </c>
      <c r="N267" t="n">
        <v>0</v>
      </c>
      <c r="O267" t="n">
        <v>1</v>
      </c>
      <c r="P267" t="n">
        <v>0</v>
      </c>
      <c r="Q267" t="n">
        <v>1</v>
      </c>
      <c r="R267" s="2" t="inlineStr">
        <is>
          <t>Stjärntagging</t>
        </is>
      </c>
      <c r="S267">
        <f>HYPERLINK("https://klasma.github.io/Logging_2482/artfynd/A 57568-2024 artfynd.xlsx", "A 57568-2024")</f>
        <v/>
      </c>
      <c r="T267">
        <f>HYPERLINK("https://klasma.github.io/Logging_2482/kartor/A 57568-2024 karta.png", "A 57568-2024")</f>
        <v/>
      </c>
      <c r="V267">
        <f>HYPERLINK("https://klasma.github.io/Logging_2482/klagomål/A 57568-2024 FSC-klagomål.docx", "A 57568-2024")</f>
        <v/>
      </c>
      <c r="W267">
        <f>HYPERLINK("https://klasma.github.io/Logging_2482/klagomålsmail/A 57568-2024 FSC-klagomål mail.docx", "A 57568-2024")</f>
        <v/>
      </c>
      <c r="X267">
        <f>HYPERLINK("https://klasma.github.io/Logging_2482/tillsyn/A 57568-2024 tillsynsbegäran.docx", "A 57568-2024")</f>
        <v/>
      </c>
      <c r="Y267">
        <f>HYPERLINK("https://klasma.github.io/Logging_2482/tillsynsmail/A 57568-2024 tillsynsbegäran mail.docx", "A 57568-2024")</f>
        <v/>
      </c>
    </row>
    <row r="268" ht="15" customHeight="1">
      <c r="A268" t="inlineStr">
        <is>
          <t>A 59709-2024</t>
        </is>
      </c>
      <c r="B268" s="1" t="n">
        <v>45639</v>
      </c>
      <c r="C268" s="1" t="n">
        <v>45832</v>
      </c>
      <c r="D268" t="inlineStr">
        <is>
          <t>VÄSTERBOTTENS LÄN</t>
        </is>
      </c>
      <c r="E268" t="inlineStr">
        <is>
          <t>SKELLEFTEÅ</t>
        </is>
      </c>
      <c r="G268" t="n">
        <v>2.7</v>
      </c>
      <c r="H268" t="n">
        <v>1</v>
      </c>
      <c r="I268" t="n">
        <v>0</v>
      </c>
      <c r="J268" t="n">
        <v>1</v>
      </c>
      <c r="K268" t="n">
        <v>0</v>
      </c>
      <c r="L268" t="n">
        <v>0</v>
      </c>
      <c r="M268" t="n">
        <v>0</v>
      </c>
      <c r="N268" t="n">
        <v>0</v>
      </c>
      <c r="O268" t="n">
        <v>1</v>
      </c>
      <c r="P268" t="n">
        <v>0</v>
      </c>
      <c r="Q268" t="n">
        <v>1</v>
      </c>
      <c r="R268" s="2" t="inlineStr">
        <is>
          <t>Spillkråka</t>
        </is>
      </c>
      <c r="S268">
        <f>HYPERLINK("https://klasma.github.io/Logging_2482/artfynd/A 59709-2024 artfynd.xlsx", "A 59709-2024")</f>
        <v/>
      </c>
      <c r="T268">
        <f>HYPERLINK("https://klasma.github.io/Logging_2482/kartor/A 59709-2024 karta.png", "A 59709-2024")</f>
        <v/>
      </c>
      <c r="V268">
        <f>HYPERLINK("https://klasma.github.io/Logging_2482/klagomål/A 59709-2024 FSC-klagomål.docx", "A 59709-2024")</f>
        <v/>
      </c>
      <c r="W268">
        <f>HYPERLINK("https://klasma.github.io/Logging_2482/klagomålsmail/A 59709-2024 FSC-klagomål mail.docx", "A 59709-2024")</f>
        <v/>
      </c>
      <c r="X268">
        <f>HYPERLINK("https://klasma.github.io/Logging_2482/tillsyn/A 59709-2024 tillsynsbegäran.docx", "A 59709-2024")</f>
        <v/>
      </c>
      <c r="Y268">
        <f>HYPERLINK("https://klasma.github.io/Logging_2482/tillsynsmail/A 59709-2024 tillsynsbegäran mail.docx", "A 59709-2024")</f>
        <v/>
      </c>
      <c r="Z268">
        <f>HYPERLINK("https://klasma.github.io/Logging_2482/fåglar/A 59709-2024 prioriterade fågelarter.docx", "A 59709-2024")</f>
        <v/>
      </c>
    </row>
    <row r="269" ht="15" customHeight="1">
      <c r="A269" t="inlineStr">
        <is>
          <t>A 61375-2024</t>
        </is>
      </c>
      <c r="B269" s="1" t="n">
        <v>45645</v>
      </c>
      <c r="C269" s="1" t="n">
        <v>45832</v>
      </c>
      <c r="D269" t="inlineStr">
        <is>
          <t>VÄSTERBOTTENS LÄN</t>
        </is>
      </c>
      <c r="E269" t="inlineStr">
        <is>
          <t>SKELLEFTEÅ</t>
        </is>
      </c>
      <c r="G269" t="n">
        <v>7.1</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61375-2024 artfynd.xlsx", "A 61375-2024")</f>
        <v/>
      </c>
      <c r="T269">
        <f>HYPERLINK("https://klasma.github.io/Logging_2482/kartor/A 61375-2024 karta.png", "A 61375-2024")</f>
        <v/>
      </c>
      <c r="V269">
        <f>HYPERLINK("https://klasma.github.io/Logging_2482/klagomål/A 61375-2024 FSC-klagomål.docx", "A 61375-2024")</f>
        <v/>
      </c>
      <c r="W269">
        <f>HYPERLINK("https://klasma.github.io/Logging_2482/klagomålsmail/A 61375-2024 FSC-klagomål mail.docx", "A 61375-2024")</f>
        <v/>
      </c>
      <c r="X269">
        <f>HYPERLINK("https://klasma.github.io/Logging_2482/tillsyn/A 61375-2024 tillsynsbegäran.docx", "A 61375-2024")</f>
        <v/>
      </c>
      <c r="Y269">
        <f>HYPERLINK("https://klasma.github.io/Logging_2482/tillsynsmail/A 61375-2024 tillsynsbegäran mail.docx", "A 61375-2024")</f>
        <v/>
      </c>
    </row>
    <row r="270" ht="15" customHeight="1">
      <c r="A270" t="inlineStr">
        <is>
          <t>A 1016-2025</t>
        </is>
      </c>
      <c r="B270" s="1" t="n">
        <v>45665</v>
      </c>
      <c r="C270" s="1" t="n">
        <v>45832</v>
      </c>
      <c r="D270" t="inlineStr">
        <is>
          <t>VÄSTERBOTTENS LÄN</t>
        </is>
      </c>
      <c r="E270" t="inlineStr">
        <is>
          <t>SKELLEFTEÅ</t>
        </is>
      </c>
      <c r="G270" t="n">
        <v>15.6</v>
      </c>
      <c r="H270" t="n">
        <v>1</v>
      </c>
      <c r="I270" t="n">
        <v>0</v>
      </c>
      <c r="J270" t="n">
        <v>0</v>
      </c>
      <c r="K270" t="n">
        <v>1</v>
      </c>
      <c r="L270" t="n">
        <v>0</v>
      </c>
      <c r="M270" t="n">
        <v>0</v>
      </c>
      <c r="N270" t="n">
        <v>0</v>
      </c>
      <c r="O270" t="n">
        <v>1</v>
      </c>
      <c r="P270" t="n">
        <v>1</v>
      </c>
      <c r="Q270" t="n">
        <v>1</v>
      </c>
      <c r="R270" s="2" t="inlineStr">
        <is>
          <t>Knärot</t>
        </is>
      </c>
      <c r="S270">
        <f>HYPERLINK("https://klasma.github.io/Logging_2482/artfynd/A 1016-2025 artfynd.xlsx", "A 1016-2025")</f>
        <v/>
      </c>
      <c r="T270">
        <f>HYPERLINK("https://klasma.github.io/Logging_2482/kartor/A 1016-2025 karta.png", "A 1016-2025")</f>
        <v/>
      </c>
      <c r="U270">
        <f>HYPERLINK("https://klasma.github.io/Logging_2482/knärot/A 1016-2025 karta knärot.png", "A 1016-2025")</f>
        <v/>
      </c>
      <c r="V270">
        <f>HYPERLINK("https://klasma.github.io/Logging_2482/klagomål/A 1016-2025 FSC-klagomål.docx", "A 1016-2025")</f>
        <v/>
      </c>
      <c r="W270">
        <f>HYPERLINK("https://klasma.github.io/Logging_2482/klagomålsmail/A 1016-2025 FSC-klagomål mail.docx", "A 1016-2025")</f>
        <v/>
      </c>
      <c r="X270">
        <f>HYPERLINK("https://klasma.github.io/Logging_2482/tillsyn/A 1016-2025 tillsynsbegäran.docx", "A 1016-2025")</f>
        <v/>
      </c>
      <c r="Y270">
        <f>HYPERLINK("https://klasma.github.io/Logging_2482/tillsynsmail/A 1016-2025 tillsynsbegäran mail.docx", "A 1016-2025")</f>
        <v/>
      </c>
    </row>
    <row r="271" ht="15" customHeight="1">
      <c r="A271" t="inlineStr">
        <is>
          <t>A 737-2025</t>
        </is>
      </c>
      <c r="B271" s="1" t="n">
        <v>45665</v>
      </c>
      <c r="C271" s="1" t="n">
        <v>45832</v>
      </c>
      <c r="D271" t="inlineStr">
        <is>
          <t>VÄSTERBOTTENS LÄN</t>
        </is>
      </c>
      <c r="E271" t="inlineStr">
        <is>
          <t>SKELLEFTEÅ</t>
        </is>
      </c>
      <c r="G271" t="n">
        <v>14.8</v>
      </c>
      <c r="H271" t="n">
        <v>0</v>
      </c>
      <c r="I271" t="n">
        <v>0</v>
      </c>
      <c r="J271" t="n">
        <v>0</v>
      </c>
      <c r="K271" t="n">
        <v>1</v>
      </c>
      <c r="L271" t="n">
        <v>0</v>
      </c>
      <c r="M271" t="n">
        <v>0</v>
      </c>
      <c r="N271" t="n">
        <v>0</v>
      </c>
      <c r="O271" t="n">
        <v>1</v>
      </c>
      <c r="P271" t="n">
        <v>1</v>
      </c>
      <c r="Q271" t="n">
        <v>1</v>
      </c>
      <c r="R271" s="2" t="inlineStr">
        <is>
          <t>Goliatmusseron</t>
        </is>
      </c>
      <c r="S271">
        <f>HYPERLINK("https://klasma.github.io/Logging_2482/artfynd/A 737-2025 artfynd.xlsx", "A 737-2025")</f>
        <v/>
      </c>
      <c r="T271">
        <f>HYPERLINK("https://klasma.github.io/Logging_2482/kartor/A 737-2025 karta.png", "A 737-2025")</f>
        <v/>
      </c>
      <c r="V271">
        <f>HYPERLINK("https://klasma.github.io/Logging_2482/klagomål/A 737-2025 FSC-klagomål.docx", "A 737-2025")</f>
        <v/>
      </c>
      <c r="W271">
        <f>HYPERLINK("https://klasma.github.io/Logging_2482/klagomålsmail/A 737-2025 FSC-klagomål mail.docx", "A 737-2025")</f>
        <v/>
      </c>
      <c r="X271">
        <f>HYPERLINK("https://klasma.github.io/Logging_2482/tillsyn/A 737-2025 tillsynsbegäran.docx", "A 737-2025")</f>
        <v/>
      </c>
      <c r="Y271">
        <f>HYPERLINK("https://klasma.github.io/Logging_2482/tillsynsmail/A 737-2025 tillsynsbegäran mail.docx", "A 737-2025")</f>
        <v/>
      </c>
    </row>
    <row r="272" ht="15" customHeight="1">
      <c r="A272" t="inlineStr">
        <is>
          <t>A 1694-2025</t>
        </is>
      </c>
      <c r="B272" s="1" t="n">
        <v>45670</v>
      </c>
      <c r="C272" s="1" t="n">
        <v>45832</v>
      </c>
      <c r="D272" t="inlineStr">
        <is>
          <t>VÄSTERBOTTENS LÄN</t>
        </is>
      </c>
      <c r="E272" t="inlineStr">
        <is>
          <t>SKELLEFTEÅ</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HYPERLINK("https://klasma.github.io/Logging_2482/artfynd/A 1694-2025 artfynd.xlsx", "A 1694-2025")</f>
        <v/>
      </c>
      <c r="T272">
        <f>HYPERLINK("https://klasma.github.io/Logging_2482/kartor/A 1694-2025 karta.png", "A 1694-2025")</f>
        <v/>
      </c>
      <c r="V272">
        <f>HYPERLINK("https://klasma.github.io/Logging_2482/klagomål/A 1694-2025 FSC-klagomål.docx", "A 1694-2025")</f>
        <v/>
      </c>
      <c r="W272">
        <f>HYPERLINK("https://klasma.github.io/Logging_2482/klagomålsmail/A 1694-2025 FSC-klagomål mail.docx", "A 1694-2025")</f>
        <v/>
      </c>
      <c r="X272">
        <f>HYPERLINK("https://klasma.github.io/Logging_2482/tillsyn/A 1694-2025 tillsynsbegäran.docx", "A 1694-2025")</f>
        <v/>
      </c>
      <c r="Y272">
        <f>HYPERLINK("https://klasma.github.io/Logging_2482/tillsynsmail/A 1694-2025 tillsynsbegäran mail.docx", "A 1694-2025")</f>
        <v/>
      </c>
      <c r="Z272">
        <f>HYPERLINK("https://klasma.github.io/Logging_2482/fåglar/A 1694-2025 prioriterade fågelarter.docx", "A 1694-2025")</f>
        <v/>
      </c>
    </row>
    <row r="273" ht="15" customHeight="1">
      <c r="A273" t="inlineStr">
        <is>
          <t>A 2436-2025</t>
        </is>
      </c>
      <c r="B273" s="1" t="n">
        <v>45673</v>
      </c>
      <c r="C273" s="1" t="n">
        <v>45832</v>
      </c>
      <c r="D273" t="inlineStr">
        <is>
          <t>VÄSTERBOTTENS LÄN</t>
        </is>
      </c>
      <c r="E273" t="inlineStr">
        <is>
          <t>SKELLEFTEÅ</t>
        </is>
      </c>
      <c r="G273" t="n">
        <v>5</v>
      </c>
      <c r="H273" t="n">
        <v>1</v>
      </c>
      <c r="I273" t="n">
        <v>0</v>
      </c>
      <c r="J273" t="n">
        <v>1</v>
      </c>
      <c r="K273" t="n">
        <v>0</v>
      </c>
      <c r="L273" t="n">
        <v>0</v>
      </c>
      <c r="M273" t="n">
        <v>0</v>
      </c>
      <c r="N273" t="n">
        <v>0</v>
      </c>
      <c r="O273" t="n">
        <v>1</v>
      </c>
      <c r="P273" t="n">
        <v>0</v>
      </c>
      <c r="Q273" t="n">
        <v>1</v>
      </c>
      <c r="R273" s="2" t="inlineStr">
        <is>
          <t>Tretåig hackspett</t>
        </is>
      </c>
      <c r="S273">
        <f>HYPERLINK("https://klasma.github.io/Logging_2482/artfynd/A 2436-2025 artfynd.xlsx", "A 2436-2025")</f>
        <v/>
      </c>
      <c r="T273">
        <f>HYPERLINK("https://klasma.github.io/Logging_2482/kartor/A 2436-2025 karta.png", "A 2436-2025")</f>
        <v/>
      </c>
      <c r="V273">
        <f>HYPERLINK("https://klasma.github.io/Logging_2482/klagomål/A 2436-2025 FSC-klagomål.docx", "A 2436-2025")</f>
        <v/>
      </c>
      <c r="W273">
        <f>HYPERLINK("https://klasma.github.io/Logging_2482/klagomålsmail/A 2436-2025 FSC-klagomål mail.docx", "A 2436-2025")</f>
        <v/>
      </c>
      <c r="X273">
        <f>HYPERLINK("https://klasma.github.io/Logging_2482/tillsyn/A 2436-2025 tillsynsbegäran.docx", "A 2436-2025")</f>
        <v/>
      </c>
      <c r="Y273">
        <f>HYPERLINK("https://klasma.github.io/Logging_2482/tillsynsmail/A 2436-2025 tillsynsbegäran mail.docx", "A 2436-2025")</f>
        <v/>
      </c>
      <c r="Z273">
        <f>HYPERLINK("https://klasma.github.io/Logging_2482/fåglar/A 2436-2025 prioriterade fågelarter.docx", "A 2436-2025")</f>
        <v/>
      </c>
    </row>
    <row r="274" ht="15" customHeight="1">
      <c r="A274" t="inlineStr">
        <is>
          <t>A 6156-2025</t>
        </is>
      </c>
      <c r="B274" s="1" t="n">
        <v>45695</v>
      </c>
      <c r="C274" s="1" t="n">
        <v>45832</v>
      </c>
      <c r="D274" t="inlineStr">
        <is>
          <t>VÄSTERBOTTENS LÄN</t>
        </is>
      </c>
      <c r="E274" t="inlineStr">
        <is>
          <t>SKELLEFTEÅ</t>
        </is>
      </c>
      <c r="G274" t="n">
        <v>5.1</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6156-2025 artfynd.xlsx", "A 6156-2025")</f>
        <v/>
      </c>
      <c r="T274">
        <f>HYPERLINK("https://klasma.github.io/Logging_2482/kartor/A 6156-2025 karta.png", "A 6156-2025")</f>
        <v/>
      </c>
      <c r="V274">
        <f>HYPERLINK("https://klasma.github.io/Logging_2482/klagomål/A 6156-2025 FSC-klagomål.docx", "A 6156-2025")</f>
        <v/>
      </c>
      <c r="W274">
        <f>HYPERLINK("https://klasma.github.io/Logging_2482/klagomålsmail/A 6156-2025 FSC-klagomål mail.docx", "A 6156-2025")</f>
        <v/>
      </c>
      <c r="X274">
        <f>HYPERLINK("https://klasma.github.io/Logging_2482/tillsyn/A 6156-2025 tillsynsbegäran.docx", "A 6156-2025")</f>
        <v/>
      </c>
      <c r="Y274">
        <f>HYPERLINK("https://klasma.github.io/Logging_2482/tillsynsmail/A 6156-2025 tillsynsbegäran mail.docx", "A 6156-2025")</f>
        <v/>
      </c>
    </row>
    <row r="275" ht="15" customHeight="1">
      <c r="A275" t="inlineStr">
        <is>
          <t>A 8302-2025</t>
        </is>
      </c>
      <c r="B275" s="1" t="n">
        <v>45708</v>
      </c>
      <c r="C275" s="1" t="n">
        <v>45832</v>
      </c>
      <c r="D275" t="inlineStr">
        <is>
          <t>VÄSTERBOTTENS LÄN</t>
        </is>
      </c>
      <c r="E275" t="inlineStr">
        <is>
          <t>SKELLEFTEÅ</t>
        </is>
      </c>
      <c r="G275" t="n">
        <v>9.800000000000001</v>
      </c>
      <c r="H275" t="n">
        <v>1</v>
      </c>
      <c r="I275" t="n">
        <v>0</v>
      </c>
      <c r="J275" t="n">
        <v>0</v>
      </c>
      <c r="K275" t="n">
        <v>0</v>
      </c>
      <c r="L275" t="n">
        <v>0</v>
      </c>
      <c r="M275" t="n">
        <v>0</v>
      </c>
      <c r="N275" t="n">
        <v>0</v>
      </c>
      <c r="O275" t="n">
        <v>0</v>
      </c>
      <c r="P275" t="n">
        <v>0</v>
      </c>
      <c r="Q275" t="n">
        <v>1</v>
      </c>
      <c r="R275" s="2" t="inlineStr">
        <is>
          <t>Mattlummer</t>
        </is>
      </c>
      <c r="S275">
        <f>HYPERLINK("https://klasma.github.io/Logging_2482/artfynd/A 8302-2025 artfynd.xlsx", "A 8302-2025")</f>
        <v/>
      </c>
      <c r="T275">
        <f>HYPERLINK("https://klasma.github.io/Logging_2482/kartor/A 8302-2025 karta.png", "A 8302-2025")</f>
        <v/>
      </c>
      <c r="V275">
        <f>HYPERLINK("https://klasma.github.io/Logging_2482/klagomål/A 8302-2025 FSC-klagomål.docx", "A 8302-2025")</f>
        <v/>
      </c>
      <c r="W275">
        <f>HYPERLINK("https://klasma.github.io/Logging_2482/klagomålsmail/A 8302-2025 FSC-klagomål mail.docx", "A 8302-2025")</f>
        <v/>
      </c>
      <c r="X275">
        <f>HYPERLINK("https://klasma.github.io/Logging_2482/tillsyn/A 8302-2025 tillsynsbegäran.docx", "A 8302-2025")</f>
        <v/>
      </c>
      <c r="Y275">
        <f>HYPERLINK("https://klasma.github.io/Logging_2482/tillsynsmail/A 8302-2025 tillsynsbegäran mail.docx", "A 8302-2025")</f>
        <v/>
      </c>
    </row>
    <row r="276" ht="15" customHeight="1">
      <c r="A276" t="inlineStr">
        <is>
          <t>A 8729-2025</t>
        </is>
      </c>
      <c r="B276" s="1" t="n">
        <v>45712</v>
      </c>
      <c r="C276" s="1" t="n">
        <v>45832</v>
      </c>
      <c r="D276" t="inlineStr">
        <is>
          <t>VÄSTERBOTTENS LÄN</t>
        </is>
      </c>
      <c r="E276" t="inlineStr">
        <is>
          <t>SKELLEFTEÅ</t>
        </is>
      </c>
      <c r="G276" t="n">
        <v>12.2</v>
      </c>
      <c r="H276" t="n">
        <v>0</v>
      </c>
      <c r="I276" t="n">
        <v>0</v>
      </c>
      <c r="J276" t="n">
        <v>1</v>
      </c>
      <c r="K276" t="n">
        <v>0</v>
      </c>
      <c r="L276" t="n">
        <v>0</v>
      </c>
      <c r="M276" t="n">
        <v>0</v>
      </c>
      <c r="N276" t="n">
        <v>0</v>
      </c>
      <c r="O276" t="n">
        <v>1</v>
      </c>
      <c r="P276" t="n">
        <v>0</v>
      </c>
      <c r="Q276" t="n">
        <v>1</v>
      </c>
      <c r="R276" s="2" t="inlineStr">
        <is>
          <t>Granticka</t>
        </is>
      </c>
      <c r="S276">
        <f>HYPERLINK("https://klasma.github.io/Logging_2482/artfynd/A 8729-2025 artfynd.xlsx", "A 8729-2025")</f>
        <v/>
      </c>
      <c r="T276">
        <f>HYPERLINK("https://klasma.github.io/Logging_2482/kartor/A 8729-2025 karta.png", "A 8729-2025")</f>
        <v/>
      </c>
      <c r="V276">
        <f>HYPERLINK("https://klasma.github.io/Logging_2482/klagomål/A 8729-2025 FSC-klagomål.docx", "A 8729-2025")</f>
        <v/>
      </c>
      <c r="W276">
        <f>HYPERLINK("https://klasma.github.io/Logging_2482/klagomålsmail/A 8729-2025 FSC-klagomål mail.docx", "A 8729-2025")</f>
        <v/>
      </c>
      <c r="X276">
        <f>HYPERLINK("https://klasma.github.io/Logging_2482/tillsyn/A 8729-2025 tillsynsbegäran.docx", "A 8729-2025")</f>
        <v/>
      </c>
      <c r="Y276">
        <f>HYPERLINK("https://klasma.github.io/Logging_2482/tillsynsmail/A 8729-2025 tillsynsbegäran mail.docx", "A 8729-2025")</f>
        <v/>
      </c>
    </row>
    <row r="277" ht="15" customHeight="1">
      <c r="A277" t="inlineStr">
        <is>
          <t>A 8820-2025</t>
        </is>
      </c>
      <c r="B277" s="1" t="n">
        <v>45712</v>
      </c>
      <c r="C277" s="1" t="n">
        <v>45832</v>
      </c>
      <c r="D277" t="inlineStr">
        <is>
          <t>VÄSTERBOTTENS LÄN</t>
        </is>
      </c>
      <c r="E277" t="inlineStr">
        <is>
          <t>SKELLEFTEÅ</t>
        </is>
      </c>
      <c r="G277" t="n">
        <v>2.5</v>
      </c>
      <c r="H277" t="n">
        <v>1</v>
      </c>
      <c r="I277" t="n">
        <v>0</v>
      </c>
      <c r="J277" t="n">
        <v>0</v>
      </c>
      <c r="K277" t="n">
        <v>1</v>
      </c>
      <c r="L277" t="n">
        <v>0</v>
      </c>
      <c r="M277" t="n">
        <v>0</v>
      </c>
      <c r="N277" t="n">
        <v>0</v>
      </c>
      <c r="O277" t="n">
        <v>1</v>
      </c>
      <c r="P277" t="n">
        <v>1</v>
      </c>
      <c r="Q277" t="n">
        <v>1</v>
      </c>
      <c r="R277" s="2" t="inlineStr">
        <is>
          <t>Knärot</t>
        </is>
      </c>
      <c r="S277">
        <f>HYPERLINK("https://klasma.github.io/Logging_2482/artfynd/A 8820-2025 artfynd.xlsx", "A 8820-2025")</f>
        <v/>
      </c>
      <c r="T277">
        <f>HYPERLINK("https://klasma.github.io/Logging_2482/kartor/A 8820-2025 karta.png", "A 8820-2025")</f>
        <v/>
      </c>
      <c r="U277">
        <f>HYPERLINK("https://klasma.github.io/Logging_2482/knärot/A 8820-2025 karta knärot.png", "A 8820-2025")</f>
        <v/>
      </c>
      <c r="V277">
        <f>HYPERLINK("https://klasma.github.io/Logging_2482/klagomål/A 8820-2025 FSC-klagomål.docx", "A 8820-2025")</f>
        <v/>
      </c>
      <c r="W277">
        <f>HYPERLINK("https://klasma.github.io/Logging_2482/klagomålsmail/A 8820-2025 FSC-klagomål mail.docx", "A 8820-2025")</f>
        <v/>
      </c>
      <c r="X277">
        <f>HYPERLINK("https://klasma.github.io/Logging_2482/tillsyn/A 8820-2025 tillsynsbegäran.docx", "A 8820-2025")</f>
        <v/>
      </c>
      <c r="Y277">
        <f>HYPERLINK("https://klasma.github.io/Logging_2482/tillsynsmail/A 8820-2025 tillsynsbegäran mail.docx", "A 8820-2025")</f>
        <v/>
      </c>
    </row>
    <row r="278" ht="15" customHeight="1">
      <c r="A278" t="inlineStr">
        <is>
          <t>A 9446-2025</t>
        </is>
      </c>
      <c r="B278" s="1" t="n">
        <v>45715</v>
      </c>
      <c r="C278" s="1" t="n">
        <v>45832</v>
      </c>
      <c r="D278" t="inlineStr">
        <is>
          <t>VÄSTERBOTTENS LÄN</t>
        </is>
      </c>
      <c r="E278" t="inlineStr">
        <is>
          <t>SKELLEFTEÅ</t>
        </is>
      </c>
      <c r="G278" t="n">
        <v>1.8</v>
      </c>
      <c r="H278" t="n">
        <v>0</v>
      </c>
      <c r="I278" t="n">
        <v>1</v>
      </c>
      <c r="J278" t="n">
        <v>0</v>
      </c>
      <c r="K278" t="n">
        <v>0</v>
      </c>
      <c r="L278" t="n">
        <v>0</v>
      </c>
      <c r="M278" t="n">
        <v>0</v>
      </c>
      <c r="N278" t="n">
        <v>0</v>
      </c>
      <c r="O278" t="n">
        <v>0</v>
      </c>
      <c r="P278" t="n">
        <v>0</v>
      </c>
      <c r="Q278" t="n">
        <v>1</v>
      </c>
      <c r="R278" s="2" t="inlineStr">
        <is>
          <t>Vedticka</t>
        </is>
      </c>
      <c r="S278">
        <f>HYPERLINK("https://klasma.github.io/Logging_242482/artfynd/A 9446-2025 artfynd.xlsx", "A 9446-2025")</f>
        <v/>
      </c>
      <c r="T278">
        <f>HYPERLINK("https://klasma.github.io/Logging_242482/kartor/A 9446-2025 karta.png", "A 9446-2025")</f>
        <v/>
      </c>
      <c r="V278">
        <f>HYPERLINK("https://klasma.github.io/Logging_242482/klagomål/A 9446-2025 FSC-klagomål.docx", "A 9446-2025")</f>
        <v/>
      </c>
      <c r="W278">
        <f>HYPERLINK("https://klasma.github.io/Logging_242482/klagomålsmail/A 9446-2025 FSC-klagomål mail.docx", "A 9446-2025")</f>
        <v/>
      </c>
      <c r="X278">
        <f>HYPERLINK("https://klasma.github.io/Logging_242482/tillsyn/A 9446-2025 tillsynsbegäran.docx", "A 9446-2025")</f>
        <v/>
      </c>
      <c r="Y278">
        <f>HYPERLINK("https://klasma.github.io/Logging_242482/tillsynsmail/A 9446-2025 tillsynsbegäran mail.docx", "A 9446-2025")</f>
        <v/>
      </c>
    </row>
    <row r="279" ht="15" customHeight="1">
      <c r="A279" t="inlineStr">
        <is>
          <t>A 17958-2025</t>
        </is>
      </c>
      <c r="B279" s="1" t="n">
        <v>45761</v>
      </c>
      <c r="C279" s="1" t="n">
        <v>45832</v>
      </c>
      <c r="D279" t="inlineStr">
        <is>
          <t>VÄSTERBOTTENS LÄN</t>
        </is>
      </c>
      <c r="E279" t="inlineStr">
        <is>
          <t>SKELLEFTEÅ</t>
        </is>
      </c>
      <c r="G279" t="n">
        <v>2.5</v>
      </c>
      <c r="H279" t="n">
        <v>0</v>
      </c>
      <c r="I279" t="n">
        <v>0</v>
      </c>
      <c r="J279" t="n">
        <v>1</v>
      </c>
      <c r="K279" t="n">
        <v>0</v>
      </c>
      <c r="L279" t="n">
        <v>0</v>
      </c>
      <c r="M279" t="n">
        <v>0</v>
      </c>
      <c r="N279" t="n">
        <v>0</v>
      </c>
      <c r="O279" t="n">
        <v>1</v>
      </c>
      <c r="P279" t="n">
        <v>0</v>
      </c>
      <c r="Q279" t="n">
        <v>1</v>
      </c>
      <c r="R279" s="2" t="inlineStr">
        <is>
          <t>Harticka</t>
        </is>
      </c>
      <c r="S279">
        <f>HYPERLINK("https://klasma.github.io/Logging_242482/artfynd/A 17958-2025 artfynd.xlsx", "A 17958-2025")</f>
        <v/>
      </c>
      <c r="T279">
        <f>HYPERLINK("https://klasma.github.io/Logging_242482/kartor/A 17958-2025 karta.png", "A 17958-2025")</f>
        <v/>
      </c>
      <c r="V279">
        <f>HYPERLINK("https://klasma.github.io/Logging_242482/klagomål/A 17958-2025 FSC-klagomål.docx", "A 17958-2025")</f>
        <v/>
      </c>
      <c r="W279">
        <f>HYPERLINK("https://klasma.github.io/Logging_242482/klagomålsmail/A 17958-2025 FSC-klagomål mail.docx", "A 17958-2025")</f>
        <v/>
      </c>
      <c r="X279">
        <f>HYPERLINK("https://klasma.github.io/Logging_242482/tillsyn/A 17958-2025 tillsynsbegäran.docx", "A 17958-2025")</f>
        <v/>
      </c>
      <c r="Y279">
        <f>HYPERLINK("https://klasma.github.io/Logging_242482/tillsynsmail/A 17958-2025 tillsynsbegäran mail.docx", "A 17958-2025")</f>
        <v/>
      </c>
    </row>
    <row r="280" ht="15" customHeight="1">
      <c r="A280" t="inlineStr">
        <is>
          <t>A 19924-2025</t>
        </is>
      </c>
      <c r="B280" s="1" t="n">
        <v>45771</v>
      </c>
      <c r="C280" s="1" t="n">
        <v>45832</v>
      </c>
      <c r="D280" t="inlineStr">
        <is>
          <t>VÄSTERBOTTENS LÄN</t>
        </is>
      </c>
      <c r="E280" t="inlineStr">
        <is>
          <t>SKELLEFTEÅ</t>
        </is>
      </c>
      <c r="F280" t="inlineStr">
        <is>
          <t>Holmen skog AB</t>
        </is>
      </c>
      <c r="G280" t="n">
        <v>2.1</v>
      </c>
      <c r="H280" t="n">
        <v>0</v>
      </c>
      <c r="I280" t="n">
        <v>1</v>
      </c>
      <c r="J280" t="n">
        <v>0</v>
      </c>
      <c r="K280" t="n">
        <v>0</v>
      </c>
      <c r="L280" t="n">
        <v>0</v>
      </c>
      <c r="M280" t="n">
        <v>0</v>
      </c>
      <c r="N280" t="n">
        <v>0</v>
      </c>
      <c r="O280" t="n">
        <v>0</v>
      </c>
      <c r="P280" t="n">
        <v>0</v>
      </c>
      <c r="Q280" t="n">
        <v>1</v>
      </c>
      <c r="R280" s="2" t="inlineStr">
        <is>
          <t>Tibast</t>
        </is>
      </c>
      <c r="S280">
        <f>HYPERLINK("https://klasma.github.io/Logging_242482/artfynd/A 19924-2025 artfynd.xlsx", "A 19924-2025")</f>
        <v/>
      </c>
      <c r="T280">
        <f>HYPERLINK("https://klasma.github.io/Logging_242482/kartor/A 19924-2025 karta.png", "A 19924-2025")</f>
        <v/>
      </c>
      <c r="V280">
        <f>HYPERLINK("https://klasma.github.io/Logging_242482/klagomål/A 19924-2025 FSC-klagomål.docx", "A 19924-2025")</f>
        <v/>
      </c>
      <c r="W280">
        <f>HYPERLINK("https://klasma.github.io/Logging_242482/klagomålsmail/A 19924-2025 FSC-klagomål mail.docx", "A 19924-2025")</f>
        <v/>
      </c>
      <c r="X280">
        <f>HYPERLINK("https://klasma.github.io/Logging_242482/tillsyn/A 19924-2025 tillsynsbegäran.docx", "A 19924-2025")</f>
        <v/>
      </c>
      <c r="Y280">
        <f>HYPERLINK("https://klasma.github.io/Logging_242482/tillsynsmail/A 19924-2025 tillsynsbegäran mail.docx", "A 19924-2025")</f>
        <v/>
      </c>
    </row>
    <row r="281" ht="15" customHeight="1">
      <c r="A281" t="inlineStr">
        <is>
          <t>A 22441-2025</t>
        </is>
      </c>
      <c r="B281" s="1" t="n">
        <v>45786</v>
      </c>
      <c r="C281" s="1" t="n">
        <v>45832</v>
      </c>
      <c r="D281" t="inlineStr">
        <is>
          <t>VÄSTERBOTTENS LÄN</t>
        </is>
      </c>
      <c r="E281" t="inlineStr">
        <is>
          <t>SKELLEFTEÅ</t>
        </is>
      </c>
      <c r="G281" t="n">
        <v>3.6</v>
      </c>
      <c r="H281" t="n">
        <v>0</v>
      </c>
      <c r="I281" t="n">
        <v>0</v>
      </c>
      <c r="J281" t="n">
        <v>1</v>
      </c>
      <c r="K281" t="n">
        <v>0</v>
      </c>
      <c r="L281" t="n">
        <v>0</v>
      </c>
      <c r="M281" t="n">
        <v>0</v>
      </c>
      <c r="N281" t="n">
        <v>0</v>
      </c>
      <c r="O281" t="n">
        <v>1</v>
      </c>
      <c r="P281" t="n">
        <v>0</v>
      </c>
      <c r="Q281" t="n">
        <v>1</v>
      </c>
      <c r="R281" s="2" t="inlineStr">
        <is>
          <t>Gammelgransskål</t>
        </is>
      </c>
      <c r="S281">
        <f>HYPERLINK("https://klasma.github.io/Logging_242482/artfynd/A 22441-2025 artfynd.xlsx", "A 22441-2025")</f>
        <v/>
      </c>
      <c r="T281">
        <f>HYPERLINK("https://klasma.github.io/Logging_242482/kartor/A 22441-2025 karta.png", "A 22441-2025")</f>
        <v/>
      </c>
      <c r="V281">
        <f>HYPERLINK("https://klasma.github.io/Logging_242482/klagomål/A 22441-2025 FSC-klagomål.docx", "A 22441-2025")</f>
        <v/>
      </c>
      <c r="W281">
        <f>HYPERLINK("https://klasma.github.io/Logging_242482/klagomålsmail/A 22441-2025 FSC-klagomål mail.docx", "A 22441-2025")</f>
        <v/>
      </c>
      <c r="X281">
        <f>HYPERLINK("https://klasma.github.io/Logging_242482/tillsyn/A 22441-2025 tillsynsbegäran.docx", "A 22441-2025")</f>
        <v/>
      </c>
      <c r="Y281">
        <f>HYPERLINK("https://klasma.github.io/Logging_242482/tillsynsmail/A 22441-2025 tillsynsbegäran mail.docx", "A 22441-2025")</f>
        <v/>
      </c>
    </row>
    <row r="282" ht="15" customHeight="1">
      <c r="A282" t="inlineStr">
        <is>
          <t>A 28860-2025</t>
        </is>
      </c>
      <c r="B282" s="1" t="n">
        <v>45820</v>
      </c>
      <c r="C282" s="1" t="n">
        <v>45832</v>
      </c>
      <c r="D282" t="inlineStr">
        <is>
          <t>VÄSTERBOTTENS LÄN</t>
        </is>
      </c>
      <c r="E282" t="inlineStr">
        <is>
          <t>SKELLEFTEÅ</t>
        </is>
      </c>
      <c r="F282" t="inlineStr">
        <is>
          <t>Holmen skog AB</t>
        </is>
      </c>
      <c r="G282" t="n">
        <v>3.2</v>
      </c>
      <c r="H282" t="n">
        <v>0</v>
      </c>
      <c r="I282" t="n">
        <v>0</v>
      </c>
      <c r="J282" t="n">
        <v>1</v>
      </c>
      <c r="K282" t="n">
        <v>0</v>
      </c>
      <c r="L282" t="n">
        <v>0</v>
      </c>
      <c r="M282" t="n">
        <v>0</v>
      </c>
      <c r="N282" t="n">
        <v>0</v>
      </c>
      <c r="O282" t="n">
        <v>1</v>
      </c>
      <c r="P282" t="n">
        <v>0</v>
      </c>
      <c r="Q282" t="n">
        <v>1</v>
      </c>
      <c r="R282" s="2" t="inlineStr">
        <is>
          <t>Vedskivlav</t>
        </is>
      </c>
      <c r="S282">
        <f>HYPERLINK("https://klasma.github.io/Logging_242482/artfynd/A 28860-2025 artfynd.xlsx", "A 28860-2025")</f>
        <v/>
      </c>
      <c r="T282">
        <f>HYPERLINK("https://klasma.github.io/Logging_242482/kartor/A 28860-2025 karta.png", "A 28860-2025")</f>
        <v/>
      </c>
      <c r="V282">
        <f>HYPERLINK("https://klasma.github.io/Logging_242482/klagomål/A 28860-2025 FSC-klagomål.docx", "A 28860-2025")</f>
        <v/>
      </c>
      <c r="W282">
        <f>HYPERLINK("https://klasma.github.io/Logging_242482/klagomålsmail/A 28860-2025 FSC-klagomål mail.docx", "A 28860-2025")</f>
        <v/>
      </c>
      <c r="X282">
        <f>HYPERLINK("https://klasma.github.io/Logging_242482/tillsyn/A 28860-2025 tillsynsbegäran.docx", "A 28860-2025")</f>
        <v/>
      </c>
      <c r="Y282">
        <f>HYPERLINK("https://klasma.github.io/Logging_242482/tillsynsmail/A 28860-2025 tillsynsbegäran mail.docx", "A 28860-2025")</f>
        <v/>
      </c>
    </row>
    <row r="283" ht="15" customHeight="1">
      <c r="A283" t="inlineStr">
        <is>
          <t>A 18072-2019</t>
        </is>
      </c>
      <c r="B283" s="1" t="n">
        <v>43557</v>
      </c>
      <c r="C283" s="1" t="n">
        <v>45832</v>
      </c>
      <c r="D283" t="inlineStr">
        <is>
          <t>VÄSTERBOTTENS LÄN</t>
        </is>
      </c>
      <c r="E283" t="inlineStr">
        <is>
          <t>SKELLEFTEÅ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18271-2019</t>
        </is>
      </c>
      <c r="B284" s="1" t="n">
        <v>43557</v>
      </c>
      <c r="C284" s="1" t="n">
        <v>45832</v>
      </c>
      <c r="D284" t="inlineStr">
        <is>
          <t>VÄSTERBOTTENS LÄN</t>
        </is>
      </c>
      <c r="E284" t="inlineStr">
        <is>
          <t>SKELLEFTEÅ</t>
        </is>
      </c>
      <c r="G284" t="n">
        <v>0.4</v>
      </c>
      <c r="H284" t="n">
        <v>0</v>
      </c>
      <c r="I284" t="n">
        <v>0</v>
      </c>
      <c r="J284" t="n">
        <v>0</v>
      </c>
      <c r="K284" t="n">
        <v>0</v>
      </c>
      <c r="L284" t="n">
        <v>0</v>
      </c>
      <c r="M284" t="n">
        <v>0</v>
      </c>
      <c r="N284" t="n">
        <v>0</v>
      </c>
      <c r="O284" t="n">
        <v>0</v>
      </c>
      <c r="P284" t="n">
        <v>0</v>
      </c>
      <c r="Q284" t="n">
        <v>0</v>
      </c>
      <c r="R284" s="2" t="inlineStr"/>
    </row>
    <row r="285" ht="15" customHeight="1">
      <c r="A285" t="inlineStr">
        <is>
          <t>A 18073-2019</t>
        </is>
      </c>
      <c r="B285" s="1" t="n">
        <v>43557</v>
      </c>
      <c r="C285" s="1" t="n">
        <v>45832</v>
      </c>
      <c r="D285" t="inlineStr">
        <is>
          <t>VÄSTERBOTTENS LÄN</t>
        </is>
      </c>
      <c r="E285" t="inlineStr">
        <is>
          <t>SKELLEFTEÅ</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18201-2019</t>
        </is>
      </c>
      <c r="B286" s="1" t="n">
        <v>43558</v>
      </c>
      <c r="C286" s="1" t="n">
        <v>45832</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18202-2019</t>
        </is>
      </c>
      <c r="B287" s="1" t="n">
        <v>43558</v>
      </c>
      <c r="C287" s="1" t="n">
        <v>45832</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18137-2019</t>
        </is>
      </c>
      <c r="B288" s="1" t="n">
        <v>43558</v>
      </c>
      <c r="C288" s="1" t="n">
        <v>45832</v>
      </c>
      <c r="D288" t="inlineStr">
        <is>
          <t>VÄSTERBOTTENS LÄN</t>
        </is>
      </c>
      <c r="E288" t="inlineStr">
        <is>
          <t>SKELLEFTEÅ</t>
        </is>
      </c>
      <c r="G288" t="n">
        <v>10</v>
      </c>
      <c r="H288" t="n">
        <v>0</v>
      </c>
      <c r="I288" t="n">
        <v>0</v>
      </c>
      <c r="J288" t="n">
        <v>0</v>
      </c>
      <c r="K288" t="n">
        <v>0</v>
      </c>
      <c r="L288" t="n">
        <v>0</v>
      </c>
      <c r="M288" t="n">
        <v>0</v>
      </c>
      <c r="N288" t="n">
        <v>0</v>
      </c>
      <c r="O288" t="n">
        <v>0</v>
      </c>
      <c r="P288" t="n">
        <v>0</v>
      </c>
      <c r="Q288" t="n">
        <v>0</v>
      </c>
      <c r="R288" s="2" t="inlineStr"/>
    </row>
    <row r="289" ht="15" customHeight="1">
      <c r="A289" t="inlineStr">
        <is>
          <t>A 18714-2019</t>
        </is>
      </c>
      <c r="B289" s="1" t="n">
        <v>43560</v>
      </c>
      <c r="C289" s="1" t="n">
        <v>45832</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18712-2019</t>
        </is>
      </c>
      <c r="B290" s="1" t="n">
        <v>43560</v>
      </c>
      <c r="C290" s="1" t="n">
        <v>45832</v>
      </c>
      <c r="D290" t="inlineStr">
        <is>
          <t>VÄSTERBOTTENS LÄN</t>
        </is>
      </c>
      <c r="E290" t="inlineStr">
        <is>
          <t>SKELLEFTEÅ</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19101-2019</t>
        </is>
      </c>
      <c r="B291" s="1" t="n">
        <v>43563</v>
      </c>
      <c r="C291" s="1" t="n">
        <v>45832</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19059-2019</t>
        </is>
      </c>
      <c r="B292" s="1" t="n">
        <v>43563</v>
      </c>
      <c r="C292" s="1" t="n">
        <v>45832</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19382-2019</t>
        </is>
      </c>
      <c r="B293" s="1" t="n">
        <v>43565</v>
      </c>
      <c r="C293" s="1" t="n">
        <v>45832</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19530-2019</t>
        </is>
      </c>
      <c r="B294" s="1" t="n">
        <v>43565</v>
      </c>
      <c r="C294" s="1" t="n">
        <v>45832</v>
      </c>
      <c r="D294" t="inlineStr">
        <is>
          <t>VÄSTERBOTTENS LÄN</t>
        </is>
      </c>
      <c r="E294" t="inlineStr">
        <is>
          <t>SKELLEFTEÅ</t>
        </is>
      </c>
      <c r="G294" t="n">
        <v>8</v>
      </c>
      <c r="H294" t="n">
        <v>0</v>
      </c>
      <c r="I294" t="n">
        <v>0</v>
      </c>
      <c r="J294" t="n">
        <v>0</v>
      </c>
      <c r="K294" t="n">
        <v>0</v>
      </c>
      <c r="L294" t="n">
        <v>0</v>
      </c>
      <c r="M294" t="n">
        <v>0</v>
      </c>
      <c r="N294" t="n">
        <v>0</v>
      </c>
      <c r="O294" t="n">
        <v>0</v>
      </c>
      <c r="P294" t="n">
        <v>0</v>
      </c>
      <c r="Q294" t="n">
        <v>0</v>
      </c>
      <c r="R294" s="2" t="inlineStr"/>
    </row>
    <row r="295" ht="15" customHeight="1">
      <c r="A295" t="inlineStr">
        <is>
          <t>A 20163-2019</t>
        </is>
      </c>
      <c r="B295" s="1" t="n">
        <v>43567</v>
      </c>
      <c r="C295" s="1" t="n">
        <v>45832</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20428-2019</t>
        </is>
      </c>
      <c r="B296" s="1" t="n">
        <v>43571</v>
      </c>
      <c r="C296" s="1" t="n">
        <v>45832</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20584-2019</t>
        </is>
      </c>
      <c r="B297" s="1" t="n">
        <v>43572</v>
      </c>
      <c r="C297" s="1" t="n">
        <v>45832</v>
      </c>
      <c r="D297" t="inlineStr">
        <is>
          <t>VÄSTERBOTTENS LÄN</t>
        </is>
      </c>
      <c r="E297" t="inlineStr">
        <is>
          <t>SKELLEFTEÅ</t>
        </is>
      </c>
      <c r="F297" t="inlineStr">
        <is>
          <t>Kommuner</t>
        </is>
      </c>
      <c r="G297" t="n">
        <v>6.3</v>
      </c>
      <c r="H297" t="n">
        <v>0</v>
      </c>
      <c r="I297" t="n">
        <v>0</v>
      </c>
      <c r="J297" t="n">
        <v>0</v>
      </c>
      <c r="K297" t="n">
        <v>0</v>
      </c>
      <c r="L297" t="n">
        <v>0</v>
      </c>
      <c r="M297" t="n">
        <v>0</v>
      </c>
      <c r="N297" t="n">
        <v>0</v>
      </c>
      <c r="O297" t="n">
        <v>0</v>
      </c>
      <c r="P297" t="n">
        <v>0</v>
      </c>
      <c r="Q297" t="n">
        <v>0</v>
      </c>
      <c r="R297" s="2" t="inlineStr"/>
    </row>
    <row r="298" ht="15" customHeight="1">
      <c r="A298" t="inlineStr">
        <is>
          <t>A 20668-2019</t>
        </is>
      </c>
      <c r="B298" s="1" t="n">
        <v>43572</v>
      </c>
      <c r="C298" s="1" t="n">
        <v>45832</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21553-2019</t>
        </is>
      </c>
      <c r="B299" s="1" t="n">
        <v>43580</v>
      </c>
      <c r="C299" s="1" t="n">
        <v>45832</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21583-2019</t>
        </is>
      </c>
      <c r="B300" s="1" t="n">
        <v>43580</v>
      </c>
      <c r="C300" s="1" t="n">
        <v>45832</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22580-2019</t>
        </is>
      </c>
      <c r="B301" s="1" t="n">
        <v>43587</v>
      </c>
      <c r="C301" s="1" t="n">
        <v>45832</v>
      </c>
      <c r="D301" t="inlineStr">
        <is>
          <t>VÄSTERBOTTENS LÄN</t>
        </is>
      </c>
      <c r="E301" t="inlineStr">
        <is>
          <t>SKELLEFTEÅ</t>
        </is>
      </c>
      <c r="G301" t="n">
        <v>3</v>
      </c>
      <c r="H301" t="n">
        <v>0</v>
      </c>
      <c r="I301" t="n">
        <v>0</v>
      </c>
      <c r="J301" t="n">
        <v>0</v>
      </c>
      <c r="K301" t="n">
        <v>0</v>
      </c>
      <c r="L301" t="n">
        <v>0</v>
      </c>
      <c r="M301" t="n">
        <v>0</v>
      </c>
      <c r="N301" t="n">
        <v>0</v>
      </c>
      <c r="O301" t="n">
        <v>0</v>
      </c>
      <c r="P301" t="n">
        <v>0</v>
      </c>
      <c r="Q301" t="n">
        <v>0</v>
      </c>
      <c r="R301" s="2" t="inlineStr"/>
    </row>
    <row r="302" ht="15" customHeight="1">
      <c r="A302" t="inlineStr">
        <is>
          <t>A 23436-2019</t>
        </is>
      </c>
      <c r="B302" s="1" t="n">
        <v>43592</v>
      </c>
      <c r="C302" s="1" t="n">
        <v>45832</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23396-2019</t>
        </is>
      </c>
      <c r="B303" s="1" t="n">
        <v>43592</v>
      </c>
      <c r="C303" s="1" t="n">
        <v>45832</v>
      </c>
      <c r="D303" t="inlineStr">
        <is>
          <t>VÄSTERBOTTENS LÄN</t>
        </is>
      </c>
      <c r="E303" t="inlineStr">
        <is>
          <t>SKELLEFTEÅ</t>
        </is>
      </c>
      <c r="G303" t="n">
        <v>5.1</v>
      </c>
      <c r="H303" t="n">
        <v>0</v>
      </c>
      <c r="I303" t="n">
        <v>0</v>
      </c>
      <c r="J303" t="n">
        <v>0</v>
      </c>
      <c r="K303" t="n">
        <v>0</v>
      </c>
      <c r="L303" t="n">
        <v>0</v>
      </c>
      <c r="M303" t="n">
        <v>0</v>
      </c>
      <c r="N303" t="n">
        <v>0</v>
      </c>
      <c r="O303" t="n">
        <v>0</v>
      </c>
      <c r="P303" t="n">
        <v>0</v>
      </c>
      <c r="Q303" t="n">
        <v>0</v>
      </c>
      <c r="R303" s="2" t="inlineStr"/>
    </row>
    <row r="304" ht="15" customHeight="1">
      <c r="A304" t="inlineStr">
        <is>
          <t>A 24063-2019</t>
        </is>
      </c>
      <c r="B304" s="1" t="n">
        <v>43598</v>
      </c>
      <c r="C304" s="1" t="n">
        <v>45832</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24164-2019</t>
        </is>
      </c>
      <c r="B305" s="1" t="n">
        <v>43598</v>
      </c>
      <c r="C305" s="1" t="n">
        <v>45832</v>
      </c>
      <c r="D305" t="inlineStr">
        <is>
          <t>VÄSTERBOTTENS LÄN</t>
        </is>
      </c>
      <c r="E305" t="inlineStr">
        <is>
          <t>SKELLEFTEÅ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24210-2019</t>
        </is>
      </c>
      <c r="B306" s="1" t="n">
        <v>43599</v>
      </c>
      <c r="C306" s="1" t="n">
        <v>45832</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26115-2019</t>
        </is>
      </c>
      <c r="B307" s="1" t="n">
        <v>43605</v>
      </c>
      <c r="C307" s="1" t="n">
        <v>45832</v>
      </c>
      <c r="D307" t="inlineStr">
        <is>
          <t>VÄSTERBOTTENS LÄN</t>
        </is>
      </c>
      <c r="E307" t="inlineStr">
        <is>
          <t>SKELLEFTEÅ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26174-2019</t>
        </is>
      </c>
      <c r="B308" s="1" t="n">
        <v>43605</v>
      </c>
      <c r="C308" s="1" t="n">
        <v>45832</v>
      </c>
      <c r="D308" t="inlineStr">
        <is>
          <t>VÄSTERBOTTENS LÄN</t>
        </is>
      </c>
      <c r="E308" t="inlineStr">
        <is>
          <t>SKELLEFTEÅ</t>
        </is>
      </c>
      <c r="G308" t="n">
        <v>4.3</v>
      </c>
      <c r="H308" t="n">
        <v>0</v>
      </c>
      <c r="I308" t="n">
        <v>0</v>
      </c>
      <c r="J308" t="n">
        <v>0</v>
      </c>
      <c r="K308" t="n">
        <v>0</v>
      </c>
      <c r="L308" t="n">
        <v>0</v>
      </c>
      <c r="M308" t="n">
        <v>0</v>
      </c>
      <c r="N308" t="n">
        <v>0</v>
      </c>
      <c r="O308" t="n">
        <v>0</v>
      </c>
      <c r="P308" t="n">
        <v>0</v>
      </c>
      <c r="Q308" t="n">
        <v>0</v>
      </c>
      <c r="R308" s="2" t="inlineStr"/>
    </row>
    <row r="309" ht="15" customHeight="1">
      <c r="A309" t="inlineStr">
        <is>
          <t>A 26039-2019</t>
        </is>
      </c>
      <c r="B309" s="1" t="n">
        <v>43609</v>
      </c>
      <c r="C309" s="1" t="n">
        <v>45832</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26148-2019</t>
        </is>
      </c>
      <c r="B310" s="1" t="n">
        <v>43609</v>
      </c>
      <c r="C310" s="1" t="n">
        <v>45832</v>
      </c>
      <c r="D310" t="inlineStr">
        <is>
          <t>VÄSTERBOTTENS LÄN</t>
        </is>
      </c>
      <c r="E310" t="inlineStr">
        <is>
          <t>SKELLEFTEÅ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26180-2019</t>
        </is>
      </c>
      <c r="B311" s="1" t="n">
        <v>43609</v>
      </c>
      <c r="C311" s="1" t="n">
        <v>45832</v>
      </c>
      <c r="D311" t="inlineStr">
        <is>
          <t>VÄSTERBOTTENS LÄN</t>
        </is>
      </c>
      <c r="E311" t="inlineStr">
        <is>
          <t>SKELLEFTEÅ</t>
        </is>
      </c>
      <c r="G311" t="n">
        <v>6</v>
      </c>
      <c r="H311" t="n">
        <v>0</v>
      </c>
      <c r="I311" t="n">
        <v>0</v>
      </c>
      <c r="J311" t="n">
        <v>0</v>
      </c>
      <c r="K311" t="n">
        <v>0</v>
      </c>
      <c r="L311" t="n">
        <v>0</v>
      </c>
      <c r="M311" t="n">
        <v>0</v>
      </c>
      <c r="N311" t="n">
        <v>0</v>
      </c>
      <c r="O311" t="n">
        <v>0</v>
      </c>
      <c r="P311" t="n">
        <v>0</v>
      </c>
      <c r="Q311" t="n">
        <v>0</v>
      </c>
      <c r="R311" s="2" t="inlineStr"/>
    </row>
    <row r="312" ht="15" customHeight="1">
      <c r="A312" t="inlineStr">
        <is>
          <t>A 26075-2019</t>
        </is>
      </c>
      <c r="B312" s="1" t="n">
        <v>43609</v>
      </c>
      <c r="C312" s="1" t="n">
        <v>45832</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26859-2019</t>
        </is>
      </c>
      <c r="B313" s="1" t="n">
        <v>43613</v>
      </c>
      <c r="C313" s="1" t="n">
        <v>45832</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28114-2019</t>
        </is>
      </c>
      <c r="B314" s="1" t="n">
        <v>43613</v>
      </c>
      <c r="C314" s="1" t="n">
        <v>45832</v>
      </c>
      <c r="D314" t="inlineStr">
        <is>
          <t>VÄSTERBOTTENS LÄN</t>
        </is>
      </c>
      <c r="E314" t="inlineStr">
        <is>
          <t>SKELLEFTEÅ</t>
        </is>
      </c>
      <c r="G314" t="n">
        <v>4.4</v>
      </c>
      <c r="H314" t="n">
        <v>0</v>
      </c>
      <c r="I314" t="n">
        <v>0</v>
      </c>
      <c r="J314" t="n">
        <v>0</v>
      </c>
      <c r="K314" t="n">
        <v>0</v>
      </c>
      <c r="L314" t="n">
        <v>0</v>
      </c>
      <c r="M314" t="n">
        <v>0</v>
      </c>
      <c r="N314" t="n">
        <v>0</v>
      </c>
      <c r="O314" t="n">
        <v>0</v>
      </c>
      <c r="P314" t="n">
        <v>0</v>
      </c>
      <c r="Q314" t="n">
        <v>0</v>
      </c>
      <c r="R314" s="2" t="inlineStr"/>
    </row>
    <row r="315" ht="15" customHeight="1">
      <c r="A315" t="inlineStr">
        <is>
          <t>A 26907-2019</t>
        </is>
      </c>
      <c r="B315" s="1" t="n">
        <v>43613</v>
      </c>
      <c r="C315" s="1" t="n">
        <v>45832</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28920-2019</t>
        </is>
      </c>
      <c r="B316" s="1" t="n">
        <v>43619</v>
      </c>
      <c r="C316" s="1" t="n">
        <v>45832</v>
      </c>
      <c r="D316" t="inlineStr">
        <is>
          <t>VÄSTERBOTTENS LÄN</t>
        </is>
      </c>
      <c r="E316" t="inlineStr">
        <is>
          <t>SKELLEFTEÅ</t>
        </is>
      </c>
      <c r="G316" t="n">
        <v>8.1</v>
      </c>
      <c r="H316" t="n">
        <v>0</v>
      </c>
      <c r="I316" t="n">
        <v>0</v>
      </c>
      <c r="J316" t="n">
        <v>0</v>
      </c>
      <c r="K316" t="n">
        <v>0</v>
      </c>
      <c r="L316" t="n">
        <v>0</v>
      </c>
      <c r="M316" t="n">
        <v>0</v>
      </c>
      <c r="N316" t="n">
        <v>0</v>
      </c>
      <c r="O316" t="n">
        <v>0</v>
      </c>
      <c r="P316" t="n">
        <v>0</v>
      </c>
      <c r="Q316" t="n">
        <v>0</v>
      </c>
      <c r="R316" s="2" t="inlineStr"/>
    </row>
    <row r="317" ht="15" customHeight="1">
      <c r="A317" t="inlineStr">
        <is>
          <t>A 28983-2019</t>
        </is>
      </c>
      <c r="B317" s="1" t="n">
        <v>43620</v>
      </c>
      <c r="C317" s="1" t="n">
        <v>45832</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29034-2019</t>
        </is>
      </c>
      <c r="B318" s="1" t="n">
        <v>43620</v>
      </c>
      <c r="C318" s="1" t="n">
        <v>45832</v>
      </c>
      <c r="D318" t="inlineStr">
        <is>
          <t>VÄSTERBOTTENS LÄN</t>
        </is>
      </c>
      <c r="E318" t="inlineStr">
        <is>
          <t>SKELLEFTEÅ</t>
        </is>
      </c>
      <c r="G318" t="n">
        <v>5.9</v>
      </c>
      <c r="H318" t="n">
        <v>0</v>
      </c>
      <c r="I318" t="n">
        <v>0</v>
      </c>
      <c r="J318" t="n">
        <v>0</v>
      </c>
      <c r="K318" t="n">
        <v>0</v>
      </c>
      <c r="L318" t="n">
        <v>0</v>
      </c>
      <c r="M318" t="n">
        <v>0</v>
      </c>
      <c r="N318" t="n">
        <v>0</v>
      </c>
      <c r="O318" t="n">
        <v>0</v>
      </c>
      <c r="P318" t="n">
        <v>0</v>
      </c>
      <c r="Q318" t="n">
        <v>0</v>
      </c>
      <c r="R318" s="2" t="inlineStr"/>
    </row>
    <row r="319" ht="15" customHeight="1">
      <c r="A319" t="inlineStr">
        <is>
          <t>A 28979-2019</t>
        </is>
      </c>
      <c r="B319" s="1" t="n">
        <v>43620</v>
      </c>
      <c r="C319" s="1" t="n">
        <v>45832</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28211-2019</t>
        </is>
      </c>
      <c r="B320" s="1" t="n">
        <v>43621</v>
      </c>
      <c r="C320" s="1" t="n">
        <v>45832</v>
      </c>
      <c r="D320" t="inlineStr">
        <is>
          <t>VÄSTERBOTTENS LÄN</t>
        </is>
      </c>
      <c r="E320" t="inlineStr">
        <is>
          <t>SKELLEFTEÅ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28612-2019</t>
        </is>
      </c>
      <c r="B321" s="1" t="n">
        <v>43626</v>
      </c>
      <c r="C321" s="1" t="n">
        <v>45832</v>
      </c>
      <c r="D321" t="inlineStr">
        <is>
          <t>VÄSTERBOTTENS LÄN</t>
        </is>
      </c>
      <c r="E321" t="inlineStr">
        <is>
          <t>SKELLEFTEÅ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28777-2019</t>
        </is>
      </c>
      <c r="B322" s="1" t="n">
        <v>43627</v>
      </c>
      <c r="C322" s="1" t="n">
        <v>45832</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29053-2019</t>
        </is>
      </c>
      <c r="B323" s="1" t="n">
        <v>43628</v>
      </c>
      <c r="C323" s="1" t="n">
        <v>45832</v>
      </c>
      <c r="D323" t="inlineStr">
        <is>
          <t>VÄSTERBOTTENS LÄN</t>
        </is>
      </c>
      <c r="E323" t="inlineStr">
        <is>
          <t>SKELLEFTEÅ</t>
        </is>
      </c>
      <c r="G323" t="n">
        <v>8.6</v>
      </c>
      <c r="H323" t="n">
        <v>0</v>
      </c>
      <c r="I323" t="n">
        <v>0</v>
      </c>
      <c r="J323" t="n">
        <v>0</v>
      </c>
      <c r="K323" t="n">
        <v>0</v>
      </c>
      <c r="L323" t="n">
        <v>0</v>
      </c>
      <c r="M323" t="n">
        <v>0</v>
      </c>
      <c r="N323" t="n">
        <v>0</v>
      </c>
      <c r="O323" t="n">
        <v>0</v>
      </c>
      <c r="P323" t="n">
        <v>0</v>
      </c>
      <c r="Q323" t="n">
        <v>0</v>
      </c>
      <c r="R323" s="2" t="inlineStr"/>
    </row>
    <row r="324" ht="15" customHeight="1">
      <c r="A324" t="inlineStr">
        <is>
          <t>A 29321-2019</t>
        </is>
      </c>
      <c r="B324" s="1" t="n">
        <v>43629</v>
      </c>
      <c r="C324" s="1" t="n">
        <v>45832</v>
      </c>
      <c r="D324" t="inlineStr">
        <is>
          <t>VÄSTERBOTTENS LÄN</t>
        </is>
      </c>
      <c r="E324" t="inlineStr">
        <is>
          <t>SKELLEFTEÅ</t>
        </is>
      </c>
      <c r="F324" t="inlineStr">
        <is>
          <t>Holmen skog AB</t>
        </is>
      </c>
      <c r="G324" t="n">
        <v>12.6</v>
      </c>
      <c r="H324" t="n">
        <v>0</v>
      </c>
      <c r="I324" t="n">
        <v>0</v>
      </c>
      <c r="J324" t="n">
        <v>0</v>
      </c>
      <c r="K324" t="n">
        <v>0</v>
      </c>
      <c r="L324" t="n">
        <v>0</v>
      </c>
      <c r="M324" t="n">
        <v>0</v>
      </c>
      <c r="N324" t="n">
        <v>0</v>
      </c>
      <c r="O324" t="n">
        <v>0</v>
      </c>
      <c r="P324" t="n">
        <v>0</v>
      </c>
      <c r="Q324" t="n">
        <v>0</v>
      </c>
      <c r="R324" s="2" t="inlineStr"/>
    </row>
    <row r="325" ht="15" customHeight="1">
      <c r="A325" t="inlineStr">
        <is>
          <t>A 29383-2019</t>
        </is>
      </c>
      <c r="B325" s="1" t="n">
        <v>43629</v>
      </c>
      <c r="C325" s="1" t="n">
        <v>45832</v>
      </c>
      <c r="D325" t="inlineStr">
        <is>
          <t>VÄSTERBOTTENS LÄN</t>
        </is>
      </c>
      <c r="E325" t="inlineStr">
        <is>
          <t>SKELLEFTEÅ</t>
        </is>
      </c>
      <c r="F325" t="inlineStr">
        <is>
          <t>Holmen skog AB</t>
        </is>
      </c>
      <c r="G325" t="n">
        <v>6.5</v>
      </c>
      <c r="H325" t="n">
        <v>0</v>
      </c>
      <c r="I325" t="n">
        <v>0</v>
      </c>
      <c r="J325" t="n">
        <v>0</v>
      </c>
      <c r="K325" t="n">
        <v>0</v>
      </c>
      <c r="L325" t="n">
        <v>0</v>
      </c>
      <c r="M325" t="n">
        <v>0</v>
      </c>
      <c r="N325" t="n">
        <v>0</v>
      </c>
      <c r="O325" t="n">
        <v>0</v>
      </c>
      <c r="P325" t="n">
        <v>0</v>
      </c>
      <c r="Q325" t="n">
        <v>0</v>
      </c>
      <c r="R325" s="2" t="inlineStr"/>
    </row>
    <row r="326" ht="15" customHeight="1">
      <c r="A326" t="inlineStr">
        <is>
          <t>A 30559-2019</t>
        </is>
      </c>
      <c r="B326" s="1" t="n">
        <v>43634</v>
      </c>
      <c r="C326" s="1" t="n">
        <v>45832</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30452-2019</t>
        </is>
      </c>
      <c r="B327" s="1" t="n">
        <v>43635</v>
      </c>
      <c r="C327" s="1" t="n">
        <v>45832</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30754-2019</t>
        </is>
      </c>
      <c r="B328" s="1" t="n">
        <v>43636</v>
      </c>
      <c r="C328" s="1" t="n">
        <v>45832</v>
      </c>
      <c r="D328" t="inlineStr">
        <is>
          <t>VÄSTERBOTTENS LÄN</t>
        </is>
      </c>
      <c r="E328" t="inlineStr">
        <is>
          <t>SKELLEFTEÅ</t>
        </is>
      </c>
      <c r="F328" t="inlineStr">
        <is>
          <t>Holmen skog AB</t>
        </is>
      </c>
      <c r="G328" t="n">
        <v>9.4</v>
      </c>
      <c r="H328" t="n">
        <v>0</v>
      </c>
      <c r="I328" t="n">
        <v>0</v>
      </c>
      <c r="J328" t="n">
        <v>0</v>
      </c>
      <c r="K328" t="n">
        <v>0</v>
      </c>
      <c r="L328" t="n">
        <v>0</v>
      </c>
      <c r="M328" t="n">
        <v>0</v>
      </c>
      <c r="N328" t="n">
        <v>0</v>
      </c>
      <c r="O328" t="n">
        <v>0</v>
      </c>
      <c r="P328" t="n">
        <v>0</v>
      </c>
      <c r="Q328" t="n">
        <v>0</v>
      </c>
      <c r="R328" s="2" t="inlineStr"/>
    </row>
    <row r="329" ht="15" customHeight="1">
      <c r="A329" t="inlineStr">
        <is>
          <t>A 30804-2019</t>
        </is>
      </c>
      <c r="B329" s="1" t="n">
        <v>43636</v>
      </c>
      <c r="C329" s="1" t="n">
        <v>45832</v>
      </c>
      <c r="D329" t="inlineStr">
        <is>
          <t>VÄSTERBOTTENS LÄN</t>
        </is>
      </c>
      <c r="E329" t="inlineStr">
        <is>
          <t>SKELLEFTEÅ</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31012-2019</t>
        </is>
      </c>
      <c r="B330" s="1" t="n">
        <v>43640</v>
      </c>
      <c r="C330" s="1" t="n">
        <v>45832</v>
      </c>
      <c r="D330" t="inlineStr">
        <is>
          <t>VÄSTERBOTTENS LÄN</t>
        </is>
      </c>
      <c r="E330" t="inlineStr">
        <is>
          <t>SKELLEFTEÅ</t>
        </is>
      </c>
      <c r="F330" t="inlineStr">
        <is>
          <t>Holmen skog AB</t>
        </is>
      </c>
      <c r="G330" t="n">
        <v>6.3</v>
      </c>
      <c r="H330" t="n">
        <v>0</v>
      </c>
      <c r="I330" t="n">
        <v>0</v>
      </c>
      <c r="J330" t="n">
        <v>0</v>
      </c>
      <c r="K330" t="n">
        <v>0</v>
      </c>
      <c r="L330" t="n">
        <v>0</v>
      </c>
      <c r="M330" t="n">
        <v>0</v>
      </c>
      <c r="N330" t="n">
        <v>0</v>
      </c>
      <c r="O330" t="n">
        <v>0</v>
      </c>
      <c r="P330" t="n">
        <v>0</v>
      </c>
      <c r="Q330" t="n">
        <v>0</v>
      </c>
      <c r="R330" s="2" t="inlineStr"/>
      <c r="U330">
        <f>HYPERLINK("https://klasma.github.io/Logging_2482/knärot/A 31012-2019 karta knärot.png", "A 31012-2019")</f>
        <v/>
      </c>
      <c r="V330">
        <f>HYPERLINK("https://klasma.github.io/Logging_2482/klagomål/A 31012-2019 FSC-klagomål.docx", "A 31012-2019")</f>
        <v/>
      </c>
      <c r="W330">
        <f>HYPERLINK("https://klasma.github.io/Logging_2482/klagomålsmail/A 31012-2019 FSC-klagomål mail.docx", "A 31012-2019")</f>
        <v/>
      </c>
      <c r="X330">
        <f>HYPERLINK("https://klasma.github.io/Logging_2482/tillsyn/A 31012-2019 tillsynsbegäran.docx", "A 31012-2019")</f>
        <v/>
      </c>
      <c r="Y330">
        <f>HYPERLINK("https://klasma.github.io/Logging_2482/tillsynsmail/A 31012-2019 tillsynsbegäran mail.docx", "A 31012-2019")</f>
        <v/>
      </c>
    </row>
    <row r="331" ht="15" customHeight="1">
      <c r="A331" t="inlineStr">
        <is>
          <t>A 31500-2019</t>
        </is>
      </c>
      <c r="B331" s="1" t="n">
        <v>43641</v>
      </c>
      <c r="C331" s="1" t="n">
        <v>45832</v>
      </c>
      <c r="D331" t="inlineStr">
        <is>
          <t>VÄSTERBOTTENS LÄN</t>
        </is>
      </c>
      <c r="E331" t="inlineStr">
        <is>
          <t>SKELLEFTEÅ</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31322-2019</t>
        </is>
      </c>
      <c r="B332" s="1" t="n">
        <v>43641</v>
      </c>
      <c r="C332" s="1" t="n">
        <v>45832</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31629-2019</t>
        </is>
      </c>
      <c r="B333" s="1" t="n">
        <v>43642</v>
      </c>
      <c r="C333" s="1" t="n">
        <v>45832</v>
      </c>
      <c r="D333" t="inlineStr">
        <is>
          <t>VÄSTERBOTTENS LÄN</t>
        </is>
      </c>
      <c r="E333" t="inlineStr">
        <is>
          <t>SKELLEFTEÅ</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32239-2019</t>
        </is>
      </c>
      <c r="B334" s="1" t="n">
        <v>43644</v>
      </c>
      <c r="C334" s="1" t="n">
        <v>45832</v>
      </c>
      <c r="D334" t="inlineStr">
        <is>
          <t>VÄSTERBOTTENS LÄN</t>
        </is>
      </c>
      <c r="E334" t="inlineStr">
        <is>
          <t>SKELLEFTEÅ</t>
        </is>
      </c>
      <c r="F334" t="inlineStr">
        <is>
          <t>Kyrkan</t>
        </is>
      </c>
      <c r="G334" t="n">
        <v>5.2</v>
      </c>
      <c r="H334" t="n">
        <v>0</v>
      </c>
      <c r="I334" t="n">
        <v>0</v>
      </c>
      <c r="J334" t="n">
        <v>0</v>
      </c>
      <c r="K334" t="n">
        <v>0</v>
      </c>
      <c r="L334" t="n">
        <v>0</v>
      </c>
      <c r="M334" t="n">
        <v>0</v>
      </c>
      <c r="N334" t="n">
        <v>0</v>
      </c>
      <c r="O334" t="n">
        <v>0</v>
      </c>
      <c r="P334" t="n">
        <v>0</v>
      </c>
      <c r="Q334" t="n">
        <v>0</v>
      </c>
      <c r="R334" s="2" t="inlineStr"/>
    </row>
    <row r="335" ht="15" customHeight="1">
      <c r="A335" t="inlineStr">
        <is>
          <t>A 32343-2019</t>
        </is>
      </c>
      <c r="B335" s="1" t="n">
        <v>43644</v>
      </c>
      <c r="C335" s="1" t="n">
        <v>45832</v>
      </c>
      <c r="D335" t="inlineStr">
        <is>
          <t>VÄSTERBOTTENS LÄN</t>
        </is>
      </c>
      <c r="E335" t="inlineStr">
        <is>
          <t>SKELLEFTEÅ</t>
        </is>
      </c>
      <c r="F335" t="inlineStr">
        <is>
          <t>Holmen skog AB</t>
        </is>
      </c>
      <c r="G335" t="n">
        <v>12.8</v>
      </c>
      <c r="H335" t="n">
        <v>0</v>
      </c>
      <c r="I335" t="n">
        <v>0</v>
      </c>
      <c r="J335" t="n">
        <v>0</v>
      </c>
      <c r="K335" t="n">
        <v>0</v>
      </c>
      <c r="L335" t="n">
        <v>0</v>
      </c>
      <c r="M335" t="n">
        <v>0</v>
      </c>
      <c r="N335" t="n">
        <v>0</v>
      </c>
      <c r="O335" t="n">
        <v>0</v>
      </c>
      <c r="P335" t="n">
        <v>0</v>
      </c>
      <c r="Q335" t="n">
        <v>0</v>
      </c>
      <c r="R335" s="2" t="inlineStr"/>
    </row>
    <row r="336" ht="15" customHeight="1">
      <c r="A336" t="inlineStr">
        <is>
          <t>A 32606-2019</t>
        </is>
      </c>
      <c r="B336" s="1" t="n">
        <v>43647</v>
      </c>
      <c r="C336" s="1" t="n">
        <v>45832</v>
      </c>
      <c r="D336" t="inlineStr">
        <is>
          <t>VÄSTERBOTTENS LÄN</t>
        </is>
      </c>
      <c r="E336" t="inlineStr">
        <is>
          <t>SKELLEFTEÅ</t>
        </is>
      </c>
      <c r="F336" t="inlineStr">
        <is>
          <t>Holmen skog AB</t>
        </is>
      </c>
      <c r="G336" t="n">
        <v>7.3</v>
      </c>
      <c r="H336" t="n">
        <v>0</v>
      </c>
      <c r="I336" t="n">
        <v>0</v>
      </c>
      <c r="J336" t="n">
        <v>0</v>
      </c>
      <c r="K336" t="n">
        <v>0</v>
      </c>
      <c r="L336" t="n">
        <v>0</v>
      </c>
      <c r="M336" t="n">
        <v>0</v>
      </c>
      <c r="N336" t="n">
        <v>0</v>
      </c>
      <c r="O336" t="n">
        <v>0</v>
      </c>
      <c r="P336" t="n">
        <v>0</v>
      </c>
      <c r="Q336" t="n">
        <v>0</v>
      </c>
      <c r="R336" s="2" t="inlineStr"/>
    </row>
    <row r="337" ht="15" customHeight="1">
      <c r="A337" t="inlineStr">
        <is>
          <t>A 34575-2019</t>
        </is>
      </c>
      <c r="B337" s="1" t="n">
        <v>43647</v>
      </c>
      <c r="C337" s="1" t="n">
        <v>45832</v>
      </c>
      <c r="D337" t="inlineStr">
        <is>
          <t>VÄSTERBOTTENS LÄN</t>
        </is>
      </c>
      <c r="E337" t="inlineStr">
        <is>
          <t>SKELLEFTEÅ</t>
        </is>
      </c>
      <c r="G337" t="n">
        <v>1.8</v>
      </c>
      <c r="H337" t="n">
        <v>0</v>
      </c>
      <c r="I337" t="n">
        <v>0</v>
      </c>
      <c r="J337" t="n">
        <v>0</v>
      </c>
      <c r="K337" t="n">
        <v>0</v>
      </c>
      <c r="L337" t="n">
        <v>0</v>
      </c>
      <c r="M337" t="n">
        <v>0</v>
      </c>
      <c r="N337" t="n">
        <v>0</v>
      </c>
      <c r="O337" t="n">
        <v>0</v>
      </c>
      <c r="P337" t="n">
        <v>0</v>
      </c>
      <c r="Q337" t="n">
        <v>0</v>
      </c>
      <c r="R337" s="2" t="inlineStr"/>
    </row>
    <row r="338" ht="15" customHeight="1">
      <c r="A338" t="inlineStr">
        <is>
          <t>A 34645-2019</t>
        </is>
      </c>
      <c r="B338" s="1" t="n">
        <v>43647</v>
      </c>
      <c r="C338" s="1" t="n">
        <v>45832</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32679-2019</t>
        </is>
      </c>
      <c r="B339" s="1" t="n">
        <v>43647</v>
      </c>
      <c r="C339" s="1" t="n">
        <v>45832</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34627-2019</t>
        </is>
      </c>
      <c r="B340" s="1" t="n">
        <v>43647</v>
      </c>
      <c r="C340" s="1" t="n">
        <v>45832</v>
      </c>
      <c r="D340" t="inlineStr">
        <is>
          <t>VÄSTERBOTTENS LÄN</t>
        </is>
      </c>
      <c r="E340" t="inlineStr">
        <is>
          <t>SKELLEFTEÅ</t>
        </is>
      </c>
      <c r="G340" t="n">
        <v>11.6</v>
      </c>
      <c r="H340" t="n">
        <v>0</v>
      </c>
      <c r="I340" t="n">
        <v>0</v>
      </c>
      <c r="J340" t="n">
        <v>0</v>
      </c>
      <c r="K340" t="n">
        <v>0</v>
      </c>
      <c r="L340" t="n">
        <v>0</v>
      </c>
      <c r="M340" t="n">
        <v>0</v>
      </c>
      <c r="N340" t="n">
        <v>0</v>
      </c>
      <c r="O340" t="n">
        <v>0</v>
      </c>
      <c r="P340" t="n">
        <v>0</v>
      </c>
      <c r="Q340" t="n">
        <v>0</v>
      </c>
      <c r="R340" s="2" t="inlineStr"/>
    </row>
    <row r="341" ht="15" customHeight="1">
      <c r="A341" t="inlineStr">
        <is>
          <t>A 32772-2019</t>
        </is>
      </c>
      <c r="B341" s="1" t="n">
        <v>43648</v>
      </c>
      <c r="C341" s="1" t="n">
        <v>45832</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32866-2019</t>
        </is>
      </c>
      <c r="B342" s="1" t="n">
        <v>43648</v>
      </c>
      <c r="C342" s="1" t="n">
        <v>45832</v>
      </c>
      <c r="D342" t="inlineStr">
        <is>
          <t>VÄSTERBOTTENS LÄN</t>
        </is>
      </c>
      <c r="E342" t="inlineStr">
        <is>
          <t>SKELLEFTEÅ</t>
        </is>
      </c>
      <c r="G342" t="n">
        <v>5.7</v>
      </c>
      <c r="H342" t="n">
        <v>0</v>
      </c>
      <c r="I342" t="n">
        <v>0</v>
      </c>
      <c r="J342" t="n">
        <v>0</v>
      </c>
      <c r="K342" t="n">
        <v>0</v>
      </c>
      <c r="L342" t="n">
        <v>0</v>
      </c>
      <c r="M342" t="n">
        <v>0</v>
      </c>
      <c r="N342" t="n">
        <v>0</v>
      </c>
      <c r="O342" t="n">
        <v>0</v>
      </c>
      <c r="P342" t="n">
        <v>0</v>
      </c>
      <c r="Q342" t="n">
        <v>0</v>
      </c>
      <c r="R342" s="2" t="inlineStr"/>
    </row>
    <row r="343" ht="15" customHeight="1">
      <c r="A343" t="inlineStr">
        <is>
          <t>A 34685-2019</t>
        </is>
      </c>
      <c r="B343" s="1" t="n">
        <v>43648</v>
      </c>
      <c r="C343" s="1" t="n">
        <v>45832</v>
      </c>
      <c r="D343" t="inlineStr">
        <is>
          <t>VÄSTERBOTTENS LÄN</t>
        </is>
      </c>
      <c r="E343" t="inlineStr">
        <is>
          <t>SKELLEFTEÅ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33063-2019</t>
        </is>
      </c>
      <c r="B344" s="1" t="n">
        <v>43649</v>
      </c>
      <c r="C344" s="1" t="n">
        <v>45832</v>
      </c>
      <c r="D344" t="inlineStr">
        <is>
          <t>VÄSTERBOTTENS LÄN</t>
        </is>
      </c>
      <c r="E344" t="inlineStr">
        <is>
          <t>SKELLEFTEÅ</t>
        </is>
      </c>
      <c r="G344" t="n">
        <v>2.3</v>
      </c>
      <c r="H344" t="n">
        <v>0</v>
      </c>
      <c r="I344" t="n">
        <v>0</v>
      </c>
      <c r="J344" t="n">
        <v>0</v>
      </c>
      <c r="K344" t="n">
        <v>0</v>
      </c>
      <c r="L344" t="n">
        <v>0</v>
      </c>
      <c r="M344" t="n">
        <v>0</v>
      </c>
      <c r="N344" t="n">
        <v>0</v>
      </c>
      <c r="O344" t="n">
        <v>0</v>
      </c>
      <c r="P344" t="n">
        <v>0</v>
      </c>
      <c r="Q344" t="n">
        <v>0</v>
      </c>
      <c r="R344" s="2" t="inlineStr"/>
    </row>
    <row r="345" ht="15" customHeight="1">
      <c r="A345" t="inlineStr">
        <is>
          <t>A 33058-2019</t>
        </is>
      </c>
      <c r="B345" s="1" t="n">
        <v>43649</v>
      </c>
      <c r="C345" s="1" t="n">
        <v>45832</v>
      </c>
      <c r="D345" t="inlineStr">
        <is>
          <t>VÄSTERBOTTENS LÄN</t>
        </is>
      </c>
      <c r="E345" t="inlineStr">
        <is>
          <t>SKELLEFTEÅ</t>
        </is>
      </c>
      <c r="G345" t="n">
        <v>2.7</v>
      </c>
      <c r="H345" t="n">
        <v>0</v>
      </c>
      <c r="I345" t="n">
        <v>0</v>
      </c>
      <c r="J345" t="n">
        <v>0</v>
      </c>
      <c r="K345" t="n">
        <v>0</v>
      </c>
      <c r="L345" t="n">
        <v>0</v>
      </c>
      <c r="M345" t="n">
        <v>0</v>
      </c>
      <c r="N345" t="n">
        <v>0</v>
      </c>
      <c r="O345" t="n">
        <v>0</v>
      </c>
      <c r="P345" t="n">
        <v>0</v>
      </c>
      <c r="Q345" t="n">
        <v>0</v>
      </c>
      <c r="R345" s="2" t="inlineStr"/>
    </row>
    <row r="346" ht="15" customHeight="1">
      <c r="A346" t="inlineStr">
        <is>
          <t>A 34894-2019</t>
        </is>
      </c>
      <c r="B346" s="1" t="n">
        <v>43649</v>
      </c>
      <c r="C346" s="1" t="n">
        <v>45832</v>
      </c>
      <c r="D346" t="inlineStr">
        <is>
          <t>VÄSTERBOTTENS LÄN</t>
        </is>
      </c>
      <c r="E346" t="inlineStr">
        <is>
          <t>SKELLEFTEÅ</t>
        </is>
      </c>
      <c r="G346" t="n">
        <v>20.4</v>
      </c>
      <c r="H346" t="n">
        <v>0</v>
      </c>
      <c r="I346" t="n">
        <v>0</v>
      </c>
      <c r="J346" t="n">
        <v>0</v>
      </c>
      <c r="K346" t="n">
        <v>0</v>
      </c>
      <c r="L346" t="n">
        <v>0</v>
      </c>
      <c r="M346" t="n">
        <v>0</v>
      </c>
      <c r="N346" t="n">
        <v>0</v>
      </c>
      <c r="O346" t="n">
        <v>0</v>
      </c>
      <c r="P346" t="n">
        <v>0</v>
      </c>
      <c r="Q346" t="n">
        <v>0</v>
      </c>
      <c r="R346" s="2" t="inlineStr"/>
    </row>
    <row r="347" ht="15" customHeight="1">
      <c r="A347" t="inlineStr">
        <is>
          <t>A 33193-2019</t>
        </is>
      </c>
      <c r="B347" s="1" t="n">
        <v>43649</v>
      </c>
      <c r="C347" s="1" t="n">
        <v>45832</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34906-2019</t>
        </is>
      </c>
      <c r="B348" s="1" t="n">
        <v>43649</v>
      </c>
      <c r="C348" s="1" t="n">
        <v>45832</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35229-2019</t>
        </is>
      </c>
      <c r="B349" s="1" t="n">
        <v>43650</v>
      </c>
      <c r="C349" s="1" t="n">
        <v>45832</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35445-2019</t>
        </is>
      </c>
      <c r="B350" s="1" t="n">
        <v>43651</v>
      </c>
      <c r="C350" s="1" t="n">
        <v>45832</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35452-2019</t>
        </is>
      </c>
      <c r="B351" s="1" t="n">
        <v>43651</v>
      </c>
      <c r="C351" s="1" t="n">
        <v>45832</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33888-2019</t>
        </is>
      </c>
      <c r="B352" s="1" t="n">
        <v>43653</v>
      </c>
      <c r="C352" s="1" t="n">
        <v>45832</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34089-2019</t>
        </is>
      </c>
      <c r="B353" s="1" t="n">
        <v>43654</v>
      </c>
      <c r="C353" s="1" t="n">
        <v>45832</v>
      </c>
      <c r="D353" t="inlineStr">
        <is>
          <t>VÄSTERBOTTENS LÄN</t>
        </is>
      </c>
      <c r="E353" t="inlineStr">
        <is>
          <t>SKELLEFTEÅ</t>
        </is>
      </c>
      <c r="F353" t="inlineStr">
        <is>
          <t>Holmen skog AB</t>
        </is>
      </c>
      <c r="G353" t="n">
        <v>20.9</v>
      </c>
      <c r="H353" t="n">
        <v>0</v>
      </c>
      <c r="I353" t="n">
        <v>0</v>
      </c>
      <c r="J353" t="n">
        <v>0</v>
      </c>
      <c r="K353" t="n">
        <v>0</v>
      </c>
      <c r="L353" t="n">
        <v>0</v>
      </c>
      <c r="M353" t="n">
        <v>0</v>
      </c>
      <c r="N353" t="n">
        <v>0</v>
      </c>
      <c r="O353" t="n">
        <v>0</v>
      </c>
      <c r="P353" t="n">
        <v>0</v>
      </c>
      <c r="Q353" t="n">
        <v>0</v>
      </c>
      <c r="R353" s="2" t="inlineStr"/>
    </row>
    <row r="354" ht="15" customHeight="1">
      <c r="A354" t="inlineStr">
        <is>
          <t>A 34253-2019</t>
        </is>
      </c>
      <c r="B354" s="1" t="n">
        <v>43655</v>
      </c>
      <c r="C354" s="1" t="n">
        <v>45832</v>
      </c>
      <c r="D354" t="inlineStr">
        <is>
          <t>VÄSTERBOTTENS LÄN</t>
        </is>
      </c>
      <c r="E354" t="inlineStr">
        <is>
          <t>SKELLEFTEÅ</t>
        </is>
      </c>
      <c r="F354" t="inlineStr">
        <is>
          <t>Holmen skog AB</t>
        </is>
      </c>
      <c r="G354" t="n">
        <v>18.9</v>
      </c>
      <c r="H354" t="n">
        <v>0</v>
      </c>
      <c r="I354" t="n">
        <v>0</v>
      </c>
      <c r="J354" t="n">
        <v>0</v>
      </c>
      <c r="K354" t="n">
        <v>0</v>
      </c>
      <c r="L354" t="n">
        <v>0</v>
      </c>
      <c r="M354" t="n">
        <v>0</v>
      </c>
      <c r="N354" t="n">
        <v>0</v>
      </c>
      <c r="O354" t="n">
        <v>0</v>
      </c>
      <c r="P354" t="n">
        <v>0</v>
      </c>
      <c r="Q354" t="n">
        <v>0</v>
      </c>
      <c r="R354" s="2" t="inlineStr"/>
    </row>
    <row r="355" ht="15" customHeight="1">
      <c r="A355" t="inlineStr">
        <is>
          <t>A 34939-2019</t>
        </is>
      </c>
      <c r="B355" s="1" t="n">
        <v>43658</v>
      </c>
      <c r="C355" s="1" t="n">
        <v>45832</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34997-2019</t>
        </is>
      </c>
      <c r="B356" s="1" t="n">
        <v>43660</v>
      </c>
      <c r="C356" s="1" t="n">
        <v>45832</v>
      </c>
      <c r="D356" t="inlineStr">
        <is>
          <t>VÄSTERBOTTENS LÄN</t>
        </is>
      </c>
      <c r="E356" t="inlineStr">
        <is>
          <t>SKELLEFTEÅ</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35084-2019</t>
        </is>
      </c>
      <c r="B357" s="1" t="n">
        <v>43661</v>
      </c>
      <c r="C357" s="1" t="n">
        <v>45832</v>
      </c>
      <c r="D357" t="inlineStr">
        <is>
          <t>VÄSTERBOTTENS LÄN</t>
        </is>
      </c>
      <c r="E357" t="inlineStr">
        <is>
          <t>SKELLEFTEÅ</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35075-2019</t>
        </is>
      </c>
      <c r="B358" s="1" t="n">
        <v>43661</v>
      </c>
      <c r="C358" s="1" t="n">
        <v>45832</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35104-2019</t>
        </is>
      </c>
      <c r="B359" s="1" t="n">
        <v>43661</v>
      </c>
      <c r="C359" s="1" t="n">
        <v>45832</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35120-2019</t>
        </is>
      </c>
      <c r="B360" s="1" t="n">
        <v>43661</v>
      </c>
      <c r="C360" s="1" t="n">
        <v>45832</v>
      </c>
      <c r="D360" t="inlineStr">
        <is>
          <t>VÄSTERBOTTENS LÄN</t>
        </is>
      </c>
      <c r="E360" t="inlineStr">
        <is>
          <t>SKELLEFTEÅ</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35073-2019</t>
        </is>
      </c>
      <c r="B361" s="1" t="n">
        <v>43661</v>
      </c>
      <c r="C361" s="1" t="n">
        <v>45832</v>
      </c>
      <c r="D361" t="inlineStr">
        <is>
          <t>VÄSTERBOTTENS LÄN</t>
        </is>
      </c>
      <c r="E361" t="inlineStr">
        <is>
          <t>SKELLEFTEÅ</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35080-2019</t>
        </is>
      </c>
      <c r="B362" s="1" t="n">
        <v>43661</v>
      </c>
      <c r="C362" s="1" t="n">
        <v>45832</v>
      </c>
      <c r="D362" t="inlineStr">
        <is>
          <t>VÄSTERBOTTENS LÄN</t>
        </is>
      </c>
      <c r="E362" t="inlineStr">
        <is>
          <t>SKELLEFTEÅ</t>
        </is>
      </c>
      <c r="G362" t="n">
        <v>2.5</v>
      </c>
      <c r="H362" t="n">
        <v>0</v>
      </c>
      <c r="I362" t="n">
        <v>0</v>
      </c>
      <c r="J362" t="n">
        <v>0</v>
      </c>
      <c r="K362" t="n">
        <v>0</v>
      </c>
      <c r="L362" t="n">
        <v>0</v>
      </c>
      <c r="M362" t="n">
        <v>0</v>
      </c>
      <c r="N362" t="n">
        <v>0</v>
      </c>
      <c r="O362" t="n">
        <v>0</v>
      </c>
      <c r="P362" t="n">
        <v>0</v>
      </c>
      <c r="Q362" t="n">
        <v>0</v>
      </c>
      <c r="R362" s="2" t="inlineStr"/>
    </row>
    <row r="363" ht="15" customHeight="1">
      <c r="A363" t="inlineStr">
        <is>
          <t>A 35121-2019</t>
        </is>
      </c>
      <c r="B363" s="1" t="n">
        <v>43661</v>
      </c>
      <c r="C363" s="1" t="n">
        <v>45832</v>
      </c>
      <c r="D363" t="inlineStr">
        <is>
          <t>VÄSTERBOTTENS LÄN</t>
        </is>
      </c>
      <c r="E363" t="inlineStr">
        <is>
          <t>SKELLEFTEÅ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35024-2019</t>
        </is>
      </c>
      <c r="B364" s="1" t="n">
        <v>43661</v>
      </c>
      <c r="C364" s="1" t="n">
        <v>45832</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35363-2019</t>
        </is>
      </c>
      <c r="B365" s="1" t="n">
        <v>43663</v>
      </c>
      <c r="C365" s="1" t="n">
        <v>45832</v>
      </c>
      <c r="D365" t="inlineStr">
        <is>
          <t>VÄSTERBOTTENS LÄN</t>
        </is>
      </c>
      <c r="E365" t="inlineStr">
        <is>
          <t>SKELLEFTEÅ</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35786-2019</t>
        </is>
      </c>
      <c r="B366" s="1" t="n">
        <v>43665</v>
      </c>
      <c r="C366" s="1" t="n">
        <v>45832</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36996-2019</t>
        </is>
      </c>
      <c r="B367" s="1" t="n">
        <v>43676</v>
      </c>
      <c r="C367" s="1" t="n">
        <v>45832</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38674-2019</t>
        </is>
      </c>
      <c r="B368" s="1" t="n">
        <v>43684</v>
      </c>
      <c r="C368" s="1" t="n">
        <v>45832</v>
      </c>
      <c r="D368" t="inlineStr">
        <is>
          <t>VÄSTERBOTTENS LÄN</t>
        </is>
      </c>
      <c r="E368" t="inlineStr">
        <is>
          <t>SKELLEFTEÅ</t>
        </is>
      </c>
      <c r="G368" t="n">
        <v>1.5</v>
      </c>
      <c r="H368" t="n">
        <v>0</v>
      </c>
      <c r="I368" t="n">
        <v>0</v>
      </c>
      <c r="J368" t="n">
        <v>0</v>
      </c>
      <c r="K368" t="n">
        <v>0</v>
      </c>
      <c r="L368" t="n">
        <v>0</v>
      </c>
      <c r="M368" t="n">
        <v>0</v>
      </c>
      <c r="N368" t="n">
        <v>0</v>
      </c>
      <c r="O368" t="n">
        <v>0</v>
      </c>
      <c r="P368" t="n">
        <v>0</v>
      </c>
      <c r="Q368" t="n">
        <v>0</v>
      </c>
      <c r="R368" s="2" t="inlineStr"/>
    </row>
    <row r="369" ht="15" customHeight="1">
      <c r="A369" t="inlineStr">
        <is>
          <t>A 38797-2019</t>
        </is>
      </c>
      <c r="B369" s="1" t="n">
        <v>43688</v>
      </c>
      <c r="C369" s="1" t="n">
        <v>45832</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39106-2019</t>
        </is>
      </c>
      <c r="B370" s="1" t="n">
        <v>43689</v>
      </c>
      <c r="C370" s="1" t="n">
        <v>45832</v>
      </c>
      <c r="D370" t="inlineStr">
        <is>
          <t>VÄSTERBOTTENS LÄN</t>
        </is>
      </c>
      <c r="E370" t="inlineStr">
        <is>
          <t>SKELLEFTEÅ</t>
        </is>
      </c>
      <c r="F370" t="inlineStr">
        <is>
          <t>Holmen skog AB</t>
        </is>
      </c>
      <c r="G370" t="n">
        <v>5.6</v>
      </c>
      <c r="H370" t="n">
        <v>0</v>
      </c>
      <c r="I370" t="n">
        <v>0</v>
      </c>
      <c r="J370" t="n">
        <v>0</v>
      </c>
      <c r="K370" t="n">
        <v>0</v>
      </c>
      <c r="L370" t="n">
        <v>0</v>
      </c>
      <c r="M370" t="n">
        <v>0</v>
      </c>
      <c r="N370" t="n">
        <v>0</v>
      </c>
      <c r="O370" t="n">
        <v>0</v>
      </c>
      <c r="P370" t="n">
        <v>0</v>
      </c>
      <c r="Q370" t="n">
        <v>0</v>
      </c>
      <c r="R370" s="2" t="inlineStr"/>
    </row>
    <row r="371" ht="15" customHeight="1">
      <c r="A371" t="inlineStr">
        <is>
          <t>A 38973-2019</t>
        </is>
      </c>
      <c r="B371" s="1" t="n">
        <v>43689</v>
      </c>
      <c r="C371" s="1" t="n">
        <v>45832</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40562-2019</t>
        </is>
      </c>
      <c r="B372" s="1" t="n">
        <v>43696</v>
      </c>
      <c r="C372" s="1" t="n">
        <v>45832</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41585-2019</t>
        </is>
      </c>
      <c r="B373" s="1" t="n">
        <v>43696</v>
      </c>
      <c r="C373" s="1" t="n">
        <v>45832</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41648-2019</t>
        </is>
      </c>
      <c r="B374" s="1" t="n">
        <v>43696</v>
      </c>
      <c r="C374" s="1" t="n">
        <v>45832</v>
      </c>
      <c r="D374" t="inlineStr">
        <is>
          <t>VÄSTERBOTTENS LÄN</t>
        </is>
      </c>
      <c r="E374" t="inlineStr">
        <is>
          <t>SKELLEFTEÅ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41557-2019</t>
        </is>
      </c>
      <c r="B375" s="1" t="n">
        <v>43696</v>
      </c>
      <c r="C375" s="1" t="n">
        <v>45832</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40744-2019</t>
        </is>
      </c>
      <c r="B376" s="1" t="n">
        <v>43697</v>
      </c>
      <c r="C376" s="1" t="n">
        <v>45832</v>
      </c>
      <c r="D376" t="inlineStr">
        <is>
          <t>VÄSTERBOTTENS LÄN</t>
        </is>
      </c>
      <c r="E376" t="inlineStr">
        <is>
          <t>SKELLEFTEÅ</t>
        </is>
      </c>
      <c r="G376" t="n">
        <v>36.9</v>
      </c>
      <c r="H376" t="n">
        <v>0</v>
      </c>
      <c r="I376" t="n">
        <v>0</v>
      </c>
      <c r="J376" t="n">
        <v>0</v>
      </c>
      <c r="K376" t="n">
        <v>0</v>
      </c>
      <c r="L376" t="n">
        <v>0</v>
      </c>
      <c r="M376" t="n">
        <v>0</v>
      </c>
      <c r="N376" t="n">
        <v>0</v>
      </c>
      <c r="O376" t="n">
        <v>0</v>
      </c>
      <c r="P376" t="n">
        <v>0</v>
      </c>
      <c r="Q376" t="n">
        <v>0</v>
      </c>
      <c r="R376" s="2" t="inlineStr"/>
    </row>
    <row r="377" ht="15" customHeight="1">
      <c r="A377" t="inlineStr">
        <is>
          <t>A 40727-2019</t>
        </is>
      </c>
      <c r="B377" s="1" t="n">
        <v>43697</v>
      </c>
      <c r="C377" s="1" t="n">
        <v>45832</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41980-2019</t>
        </is>
      </c>
      <c r="B378" s="1" t="n">
        <v>43700</v>
      </c>
      <c r="C378" s="1" t="n">
        <v>45832</v>
      </c>
      <c r="D378" t="inlineStr">
        <is>
          <t>VÄSTERBOTTENS LÄN</t>
        </is>
      </c>
      <c r="E378" t="inlineStr">
        <is>
          <t>SKELLEFTEÅ</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41826-2019</t>
        </is>
      </c>
      <c r="B379" s="1" t="n">
        <v>43700</v>
      </c>
      <c r="C379" s="1" t="n">
        <v>45832</v>
      </c>
      <c r="D379" t="inlineStr">
        <is>
          <t>VÄSTERBOTTENS LÄN</t>
        </is>
      </c>
      <c r="E379" t="inlineStr">
        <is>
          <t>SKELLEFTEÅ</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42319-2019</t>
        </is>
      </c>
      <c r="B380" s="1" t="n">
        <v>43703</v>
      </c>
      <c r="C380" s="1" t="n">
        <v>45832</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42435-2019</t>
        </is>
      </c>
      <c r="B381" s="1" t="n">
        <v>43704</v>
      </c>
      <c r="C381" s="1" t="n">
        <v>45832</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42651-2019</t>
        </is>
      </c>
      <c r="B382" s="1" t="n">
        <v>43704</v>
      </c>
      <c r="C382" s="1" t="n">
        <v>45832</v>
      </c>
      <c r="D382" t="inlineStr">
        <is>
          <t>VÄSTERBOTTENS LÄN</t>
        </is>
      </c>
      <c r="E382" t="inlineStr">
        <is>
          <t>SKELLEFTEÅ</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44461-2019</t>
        </is>
      </c>
      <c r="B383" s="1" t="n">
        <v>43705</v>
      </c>
      <c r="C383" s="1" t="n">
        <v>45832</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44486-2019</t>
        </is>
      </c>
      <c r="B384" s="1" t="n">
        <v>43706</v>
      </c>
      <c r="C384" s="1" t="n">
        <v>45832</v>
      </c>
      <c r="D384" t="inlineStr">
        <is>
          <t>VÄSTERBOTTENS LÄN</t>
        </is>
      </c>
      <c r="E384" t="inlineStr">
        <is>
          <t>SKELLEFTEÅ</t>
        </is>
      </c>
      <c r="G384" t="n">
        <v>2.6</v>
      </c>
      <c r="H384" t="n">
        <v>0</v>
      </c>
      <c r="I384" t="n">
        <v>0</v>
      </c>
      <c r="J384" t="n">
        <v>0</v>
      </c>
      <c r="K384" t="n">
        <v>0</v>
      </c>
      <c r="L384" t="n">
        <v>0</v>
      </c>
      <c r="M384" t="n">
        <v>0</v>
      </c>
      <c r="N384" t="n">
        <v>0</v>
      </c>
      <c r="O384" t="n">
        <v>0</v>
      </c>
      <c r="P384" t="n">
        <v>0</v>
      </c>
      <c r="Q384" t="n">
        <v>0</v>
      </c>
      <c r="R384" s="2" t="inlineStr"/>
    </row>
    <row r="385" ht="15" customHeight="1">
      <c r="A385" t="inlineStr">
        <is>
          <t>A 43638-2019</t>
        </is>
      </c>
      <c r="B385" s="1" t="n">
        <v>43707</v>
      </c>
      <c r="C385" s="1" t="n">
        <v>45832</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43842-2019</t>
        </is>
      </c>
      <c r="B386" s="1" t="n">
        <v>43707</v>
      </c>
      <c r="C386" s="1" t="n">
        <v>45832</v>
      </c>
      <c r="D386" t="inlineStr">
        <is>
          <t>VÄSTERBOTTENS LÄN</t>
        </is>
      </c>
      <c r="E386" t="inlineStr">
        <is>
          <t>SKELLEFTEÅ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43648-2019</t>
        </is>
      </c>
      <c r="B387" s="1" t="n">
        <v>43707</v>
      </c>
      <c r="C387" s="1" t="n">
        <v>45832</v>
      </c>
      <c r="D387" t="inlineStr">
        <is>
          <t>VÄSTERBOTTENS LÄN</t>
        </is>
      </c>
      <c r="E387" t="inlineStr">
        <is>
          <t>SKELLEFTEÅ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43845-2019</t>
        </is>
      </c>
      <c r="B388" s="1" t="n">
        <v>43707</v>
      </c>
      <c r="C388" s="1" t="n">
        <v>45832</v>
      </c>
      <c r="D388" t="inlineStr">
        <is>
          <t>VÄSTERBOTTENS LÄN</t>
        </is>
      </c>
      <c r="E388" t="inlineStr">
        <is>
          <t>SKELLEFTEÅ</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45296-2019</t>
        </is>
      </c>
      <c r="B389" s="1" t="n">
        <v>43707</v>
      </c>
      <c r="C389" s="1" t="n">
        <v>45832</v>
      </c>
      <c r="D389" t="inlineStr">
        <is>
          <t>VÄSTERBOTTENS LÄN</t>
        </is>
      </c>
      <c r="E389" t="inlineStr">
        <is>
          <t>SKELLEFTEÅ</t>
        </is>
      </c>
      <c r="G389" t="n">
        <v>5</v>
      </c>
      <c r="H389" t="n">
        <v>0</v>
      </c>
      <c r="I389" t="n">
        <v>0</v>
      </c>
      <c r="J389" t="n">
        <v>0</v>
      </c>
      <c r="K389" t="n">
        <v>0</v>
      </c>
      <c r="L389" t="n">
        <v>0</v>
      </c>
      <c r="M389" t="n">
        <v>0</v>
      </c>
      <c r="N389" t="n">
        <v>0</v>
      </c>
      <c r="O389" t="n">
        <v>0</v>
      </c>
      <c r="P389" t="n">
        <v>0</v>
      </c>
      <c r="Q389" t="n">
        <v>0</v>
      </c>
      <c r="R389" s="2" t="inlineStr"/>
    </row>
    <row r="390" ht="15" customHeight="1">
      <c r="A390" t="inlineStr">
        <is>
          <t>A 44007-2019</t>
        </is>
      </c>
      <c r="B390" s="1" t="n">
        <v>43709</v>
      </c>
      <c r="C390" s="1" t="n">
        <v>45832</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44204-2019</t>
        </is>
      </c>
      <c r="B391" s="1" t="n">
        <v>43710</v>
      </c>
      <c r="C391" s="1" t="n">
        <v>45832</v>
      </c>
      <c r="D391" t="inlineStr">
        <is>
          <t>VÄSTERBOTTENS LÄN</t>
        </is>
      </c>
      <c r="E391" t="inlineStr">
        <is>
          <t>SKELLEFTEÅ</t>
        </is>
      </c>
      <c r="G391" t="n">
        <v>5.2</v>
      </c>
      <c r="H391" t="n">
        <v>0</v>
      </c>
      <c r="I391" t="n">
        <v>0</v>
      </c>
      <c r="J391" t="n">
        <v>0</v>
      </c>
      <c r="K391" t="n">
        <v>0</v>
      </c>
      <c r="L391" t="n">
        <v>0</v>
      </c>
      <c r="M391" t="n">
        <v>0</v>
      </c>
      <c r="N391" t="n">
        <v>0</v>
      </c>
      <c r="O391" t="n">
        <v>0</v>
      </c>
      <c r="P391" t="n">
        <v>0</v>
      </c>
      <c r="Q391" t="n">
        <v>0</v>
      </c>
      <c r="R391" s="2" t="inlineStr"/>
    </row>
    <row r="392" ht="15" customHeight="1">
      <c r="A392" t="inlineStr">
        <is>
          <t>A 44348-2019</t>
        </is>
      </c>
      <c r="B392" s="1" t="n">
        <v>43711</v>
      </c>
      <c r="C392" s="1" t="n">
        <v>45832</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46412-2019</t>
        </is>
      </c>
      <c r="B393" s="1" t="n">
        <v>43714</v>
      </c>
      <c r="C393" s="1" t="n">
        <v>45832</v>
      </c>
      <c r="D393" t="inlineStr">
        <is>
          <t>VÄSTERBOTTENS LÄN</t>
        </is>
      </c>
      <c r="E393" t="inlineStr">
        <is>
          <t>SKELLEFTEÅ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46227-2019</t>
        </is>
      </c>
      <c r="B394" s="1" t="n">
        <v>43714</v>
      </c>
      <c r="C394" s="1" t="n">
        <v>45832</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46367-2019</t>
        </is>
      </c>
      <c r="B395" s="1" t="n">
        <v>43718</v>
      </c>
      <c r="C395" s="1" t="n">
        <v>45832</v>
      </c>
      <c r="D395" t="inlineStr">
        <is>
          <t>VÄSTERBOTTENS LÄN</t>
        </is>
      </c>
      <c r="E395" t="inlineStr">
        <is>
          <t>SKELLEFTEÅ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46355-2019</t>
        </is>
      </c>
      <c r="B396" s="1" t="n">
        <v>43718</v>
      </c>
      <c r="C396" s="1" t="n">
        <v>45832</v>
      </c>
      <c r="D396" t="inlineStr">
        <is>
          <t>VÄSTERBOTTENS LÄN</t>
        </is>
      </c>
      <c r="E396" t="inlineStr">
        <is>
          <t>SKELLEFTEÅ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46368-2019</t>
        </is>
      </c>
      <c r="B397" s="1" t="n">
        <v>43718</v>
      </c>
      <c r="C397" s="1" t="n">
        <v>45832</v>
      </c>
      <c r="D397" t="inlineStr">
        <is>
          <t>VÄSTERBOTTENS LÄN</t>
        </is>
      </c>
      <c r="E397" t="inlineStr">
        <is>
          <t>SKELLEFTEÅ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46952-2019</t>
        </is>
      </c>
      <c r="B398" s="1" t="n">
        <v>43720</v>
      </c>
      <c r="C398" s="1" t="n">
        <v>45832</v>
      </c>
      <c r="D398" t="inlineStr">
        <is>
          <t>VÄSTERBOTTENS LÄN</t>
        </is>
      </c>
      <c r="E398" t="inlineStr">
        <is>
          <t>SKELLEFTEÅ</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46968-2019</t>
        </is>
      </c>
      <c r="B399" s="1" t="n">
        <v>43720</v>
      </c>
      <c r="C399" s="1" t="n">
        <v>45832</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46946-2019</t>
        </is>
      </c>
      <c r="B400" s="1" t="n">
        <v>43720</v>
      </c>
      <c r="C400" s="1" t="n">
        <v>45832</v>
      </c>
      <c r="D400" t="inlineStr">
        <is>
          <t>VÄSTERBOTTENS LÄN</t>
        </is>
      </c>
      <c r="E400" t="inlineStr">
        <is>
          <t>SKELLEFTEÅ</t>
        </is>
      </c>
      <c r="F400" t="inlineStr">
        <is>
          <t>Holmen skog AB</t>
        </is>
      </c>
      <c r="G400" t="n">
        <v>13.2</v>
      </c>
      <c r="H400" t="n">
        <v>0</v>
      </c>
      <c r="I400" t="n">
        <v>0</v>
      </c>
      <c r="J400" t="n">
        <v>0</v>
      </c>
      <c r="K400" t="n">
        <v>0</v>
      </c>
      <c r="L400" t="n">
        <v>0</v>
      </c>
      <c r="M400" t="n">
        <v>0</v>
      </c>
      <c r="N400" t="n">
        <v>0</v>
      </c>
      <c r="O400" t="n">
        <v>0</v>
      </c>
      <c r="P400" t="n">
        <v>0</v>
      </c>
      <c r="Q400" t="n">
        <v>0</v>
      </c>
      <c r="R400" s="2" t="inlineStr"/>
    </row>
    <row r="401" ht="15" customHeight="1">
      <c r="A401" t="inlineStr">
        <is>
          <t>A 47224-2019</t>
        </is>
      </c>
      <c r="B401" s="1" t="n">
        <v>43720</v>
      </c>
      <c r="C401" s="1" t="n">
        <v>45832</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47091-2019</t>
        </is>
      </c>
      <c r="B402" s="1" t="n">
        <v>43720</v>
      </c>
      <c r="C402" s="1" t="n">
        <v>45832</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47452-2019</t>
        </is>
      </c>
      <c r="B403" s="1" t="n">
        <v>43721</v>
      </c>
      <c r="C403" s="1" t="n">
        <v>45832</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47460-2019</t>
        </is>
      </c>
      <c r="B404" s="1" t="n">
        <v>43721</v>
      </c>
      <c r="C404" s="1" t="n">
        <v>45832</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47535-2019</t>
        </is>
      </c>
      <c r="B405" s="1" t="n">
        <v>43721</v>
      </c>
      <c r="C405" s="1" t="n">
        <v>45832</v>
      </c>
      <c r="D405" t="inlineStr">
        <is>
          <t>VÄSTERBOTTENS LÄN</t>
        </is>
      </c>
      <c r="E405" t="inlineStr">
        <is>
          <t>SKELLEFTEÅ</t>
        </is>
      </c>
      <c r="G405" t="n">
        <v>1.9</v>
      </c>
      <c r="H405" t="n">
        <v>0</v>
      </c>
      <c r="I405" t="n">
        <v>0</v>
      </c>
      <c r="J405" t="n">
        <v>0</v>
      </c>
      <c r="K405" t="n">
        <v>0</v>
      </c>
      <c r="L405" t="n">
        <v>0</v>
      </c>
      <c r="M405" t="n">
        <v>0</v>
      </c>
      <c r="N405" t="n">
        <v>0</v>
      </c>
      <c r="O405" t="n">
        <v>0</v>
      </c>
      <c r="P405" t="n">
        <v>0</v>
      </c>
      <c r="Q405" t="n">
        <v>0</v>
      </c>
      <c r="R405" s="2" t="inlineStr"/>
    </row>
    <row r="406" ht="15" customHeight="1">
      <c r="A406" t="inlineStr">
        <is>
          <t>A 47572-2019</t>
        </is>
      </c>
      <c r="B406" s="1" t="n">
        <v>43724</v>
      </c>
      <c r="C406" s="1" t="n">
        <v>45832</v>
      </c>
      <c r="D406" t="inlineStr">
        <is>
          <t>VÄSTERBOTTENS LÄN</t>
        </is>
      </c>
      <c r="E406" t="inlineStr">
        <is>
          <t>SKELLEFTEÅ</t>
        </is>
      </c>
      <c r="G406" t="n">
        <v>3.6</v>
      </c>
      <c r="H406" t="n">
        <v>0</v>
      </c>
      <c r="I406" t="n">
        <v>0</v>
      </c>
      <c r="J406" t="n">
        <v>0</v>
      </c>
      <c r="K406" t="n">
        <v>0</v>
      </c>
      <c r="L406" t="n">
        <v>0</v>
      </c>
      <c r="M406" t="n">
        <v>0</v>
      </c>
      <c r="N406" t="n">
        <v>0</v>
      </c>
      <c r="O406" t="n">
        <v>0</v>
      </c>
      <c r="P406" t="n">
        <v>0</v>
      </c>
      <c r="Q406" t="n">
        <v>0</v>
      </c>
      <c r="R406" s="2" t="inlineStr"/>
    </row>
    <row r="407" ht="15" customHeight="1">
      <c r="A407" t="inlineStr">
        <is>
          <t>A 47643-2019</t>
        </is>
      </c>
      <c r="B407" s="1" t="n">
        <v>43724</v>
      </c>
      <c r="C407" s="1" t="n">
        <v>45832</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48592-2019</t>
        </is>
      </c>
      <c r="B408" s="1" t="n">
        <v>43727</v>
      </c>
      <c r="C408" s="1" t="n">
        <v>45832</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48786-2019</t>
        </is>
      </c>
      <c r="B409" s="1" t="n">
        <v>43727</v>
      </c>
      <c r="C409" s="1" t="n">
        <v>45832</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48957-2019</t>
        </is>
      </c>
      <c r="B410" s="1" t="n">
        <v>43728</v>
      </c>
      <c r="C410" s="1" t="n">
        <v>45832</v>
      </c>
      <c r="D410" t="inlineStr">
        <is>
          <t>VÄSTERBOTTENS LÄN</t>
        </is>
      </c>
      <c r="E410" t="inlineStr">
        <is>
          <t>SKELLEFTEÅ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49617-2019</t>
        </is>
      </c>
      <c r="B411" s="1" t="n">
        <v>43728</v>
      </c>
      <c r="C411" s="1" t="n">
        <v>45832</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49464-2019</t>
        </is>
      </c>
      <c r="B412" s="1" t="n">
        <v>43728</v>
      </c>
      <c r="C412" s="1" t="n">
        <v>45832</v>
      </c>
      <c r="D412" t="inlineStr">
        <is>
          <t>VÄSTERBOTTENS LÄN</t>
        </is>
      </c>
      <c r="E412" t="inlineStr">
        <is>
          <t>SKELLEFTEÅ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49712-2019</t>
        </is>
      </c>
      <c r="B413" s="1" t="n">
        <v>43728</v>
      </c>
      <c r="C413" s="1" t="n">
        <v>45832</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49005-2019</t>
        </is>
      </c>
      <c r="B414" s="1" t="n">
        <v>43730</v>
      </c>
      <c r="C414" s="1" t="n">
        <v>45832</v>
      </c>
      <c r="D414" t="inlineStr">
        <is>
          <t>VÄSTERBOTTENS LÄN</t>
        </is>
      </c>
      <c r="E414" t="inlineStr">
        <is>
          <t>SKELLEFTEÅ</t>
        </is>
      </c>
      <c r="F414" t="inlineStr">
        <is>
          <t>Holmen skog AB</t>
        </is>
      </c>
      <c r="G414" t="n">
        <v>5.5</v>
      </c>
      <c r="H414" t="n">
        <v>0</v>
      </c>
      <c r="I414" t="n">
        <v>0</v>
      </c>
      <c r="J414" t="n">
        <v>0</v>
      </c>
      <c r="K414" t="n">
        <v>0</v>
      </c>
      <c r="L414" t="n">
        <v>0</v>
      </c>
      <c r="M414" t="n">
        <v>0</v>
      </c>
      <c r="N414" t="n">
        <v>0</v>
      </c>
      <c r="O414" t="n">
        <v>0</v>
      </c>
      <c r="P414" t="n">
        <v>0</v>
      </c>
      <c r="Q414" t="n">
        <v>0</v>
      </c>
      <c r="R414" s="2" t="inlineStr"/>
    </row>
    <row r="415" ht="15" customHeight="1">
      <c r="A415" t="inlineStr">
        <is>
          <t>A 49327-2019</t>
        </is>
      </c>
      <c r="B415" s="1" t="n">
        <v>43731</v>
      </c>
      <c r="C415" s="1" t="n">
        <v>45832</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49282-2019</t>
        </is>
      </c>
      <c r="B416" s="1" t="n">
        <v>43731</v>
      </c>
      <c r="C416" s="1" t="n">
        <v>45832</v>
      </c>
      <c r="D416" t="inlineStr">
        <is>
          <t>VÄSTERBOTTENS LÄN</t>
        </is>
      </c>
      <c r="E416" t="inlineStr">
        <is>
          <t>SKELLEFTEÅ</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49312-2019</t>
        </is>
      </c>
      <c r="B417" s="1" t="n">
        <v>43731</v>
      </c>
      <c r="C417" s="1" t="n">
        <v>45832</v>
      </c>
      <c r="D417" t="inlineStr">
        <is>
          <t>VÄSTERBOTTENS LÄN</t>
        </is>
      </c>
      <c r="E417" t="inlineStr">
        <is>
          <t>SKELLEFTEÅ</t>
        </is>
      </c>
      <c r="G417" t="n">
        <v>1.8</v>
      </c>
      <c r="H417" t="n">
        <v>0</v>
      </c>
      <c r="I417" t="n">
        <v>0</v>
      </c>
      <c r="J417" t="n">
        <v>0</v>
      </c>
      <c r="K417" t="n">
        <v>0</v>
      </c>
      <c r="L417" t="n">
        <v>0</v>
      </c>
      <c r="M417" t="n">
        <v>0</v>
      </c>
      <c r="N417" t="n">
        <v>0</v>
      </c>
      <c r="O417" t="n">
        <v>0</v>
      </c>
      <c r="P417" t="n">
        <v>0</v>
      </c>
      <c r="Q417" t="n">
        <v>0</v>
      </c>
      <c r="R417" s="2" t="inlineStr"/>
    </row>
    <row r="418" ht="15" customHeight="1">
      <c r="A418" t="inlineStr">
        <is>
          <t>A 49792-2019</t>
        </is>
      </c>
      <c r="B418" s="1" t="n">
        <v>43733</v>
      </c>
      <c r="C418" s="1" t="n">
        <v>45832</v>
      </c>
      <c r="D418" t="inlineStr">
        <is>
          <t>VÄSTERBOTTENS LÄN</t>
        </is>
      </c>
      <c r="E418" t="inlineStr">
        <is>
          <t>SKELLEFTEÅ</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49793-2019</t>
        </is>
      </c>
      <c r="B419" s="1" t="n">
        <v>43733</v>
      </c>
      <c r="C419" s="1" t="n">
        <v>45832</v>
      </c>
      <c r="D419" t="inlineStr">
        <is>
          <t>VÄSTERBOTTENS LÄN</t>
        </is>
      </c>
      <c r="E419" t="inlineStr">
        <is>
          <t>SKELLEFTEÅ</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50518-2019</t>
        </is>
      </c>
      <c r="B420" s="1" t="n">
        <v>43733</v>
      </c>
      <c r="C420" s="1" t="n">
        <v>45832</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50515-2019</t>
        </is>
      </c>
      <c r="B421" s="1" t="n">
        <v>43733</v>
      </c>
      <c r="C421" s="1" t="n">
        <v>45832</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50572-2019</t>
        </is>
      </c>
      <c r="B422" s="1" t="n">
        <v>43735</v>
      </c>
      <c r="C422" s="1" t="n">
        <v>45832</v>
      </c>
      <c r="D422" t="inlineStr">
        <is>
          <t>VÄSTERBOTTENS LÄN</t>
        </is>
      </c>
      <c r="E422" t="inlineStr">
        <is>
          <t>SKELLEFTEÅ</t>
        </is>
      </c>
      <c r="F422" t="inlineStr">
        <is>
          <t>Sveaskog</t>
        </is>
      </c>
      <c r="G422" t="n">
        <v>12.1</v>
      </c>
      <c r="H422" t="n">
        <v>0</v>
      </c>
      <c r="I422" t="n">
        <v>0</v>
      </c>
      <c r="J422" t="n">
        <v>0</v>
      </c>
      <c r="K422" t="n">
        <v>0</v>
      </c>
      <c r="L422" t="n">
        <v>0</v>
      </c>
      <c r="M422" t="n">
        <v>0</v>
      </c>
      <c r="N422" t="n">
        <v>0</v>
      </c>
      <c r="O422" t="n">
        <v>0</v>
      </c>
      <c r="P422" t="n">
        <v>0</v>
      </c>
      <c r="Q422" t="n">
        <v>0</v>
      </c>
      <c r="R422" s="2" t="inlineStr"/>
    </row>
    <row r="423" ht="15" customHeight="1">
      <c r="A423" t="inlineStr">
        <is>
          <t>A 50568-2019</t>
        </is>
      </c>
      <c r="B423" s="1" t="n">
        <v>43735</v>
      </c>
      <c r="C423" s="1" t="n">
        <v>45832</v>
      </c>
      <c r="D423" t="inlineStr">
        <is>
          <t>VÄSTERBOTTENS LÄN</t>
        </is>
      </c>
      <c r="E423" t="inlineStr">
        <is>
          <t>SKELLEFTEÅ</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50574-2019</t>
        </is>
      </c>
      <c r="B424" s="1" t="n">
        <v>43735</v>
      </c>
      <c r="C424" s="1" t="n">
        <v>45832</v>
      </c>
      <c r="D424" t="inlineStr">
        <is>
          <t>VÄSTERBOTTENS LÄN</t>
        </is>
      </c>
      <c r="E424" t="inlineStr">
        <is>
          <t>SKELLEFTEÅ</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50576-2019</t>
        </is>
      </c>
      <c r="B425" s="1" t="n">
        <v>43735</v>
      </c>
      <c r="C425" s="1" t="n">
        <v>45832</v>
      </c>
      <c r="D425" t="inlineStr">
        <is>
          <t>VÄSTERBOTTENS LÄN</t>
        </is>
      </c>
      <c r="E425" t="inlineStr">
        <is>
          <t>SKELLEFTEÅ</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53194-2019</t>
        </is>
      </c>
      <c r="B426" s="1" t="n">
        <v>43735</v>
      </c>
      <c r="C426" s="1" t="n">
        <v>45832</v>
      </c>
      <c r="D426" t="inlineStr">
        <is>
          <t>VÄSTERBOTTENS LÄN</t>
        </is>
      </c>
      <c r="E426" t="inlineStr">
        <is>
          <t>SKELLEFTEÅ</t>
        </is>
      </c>
      <c r="G426" t="n">
        <v>5.2</v>
      </c>
      <c r="H426" t="n">
        <v>0</v>
      </c>
      <c r="I426" t="n">
        <v>0</v>
      </c>
      <c r="J426" t="n">
        <v>0</v>
      </c>
      <c r="K426" t="n">
        <v>0</v>
      </c>
      <c r="L426" t="n">
        <v>0</v>
      </c>
      <c r="M426" t="n">
        <v>0</v>
      </c>
      <c r="N426" t="n">
        <v>0</v>
      </c>
      <c r="O426" t="n">
        <v>0</v>
      </c>
      <c r="P426" t="n">
        <v>0</v>
      </c>
      <c r="Q426" t="n">
        <v>0</v>
      </c>
      <c r="R426" s="2" t="inlineStr"/>
    </row>
    <row r="427" ht="15" customHeight="1">
      <c r="A427" t="inlineStr">
        <is>
          <t>A 50872-2019</t>
        </is>
      </c>
      <c r="B427" s="1" t="n">
        <v>43738</v>
      </c>
      <c r="C427" s="1" t="n">
        <v>45832</v>
      </c>
      <c r="D427" t="inlineStr">
        <is>
          <t>VÄSTERBOTTENS LÄN</t>
        </is>
      </c>
      <c r="E427" t="inlineStr">
        <is>
          <t>SKELLEFTEÅ</t>
        </is>
      </c>
      <c r="F427" t="inlineStr">
        <is>
          <t>Holmen skog AB</t>
        </is>
      </c>
      <c r="G427" t="n">
        <v>11.5</v>
      </c>
      <c r="H427" t="n">
        <v>0</v>
      </c>
      <c r="I427" t="n">
        <v>0</v>
      </c>
      <c r="J427" t="n">
        <v>0</v>
      </c>
      <c r="K427" t="n">
        <v>0</v>
      </c>
      <c r="L427" t="n">
        <v>0</v>
      </c>
      <c r="M427" t="n">
        <v>0</v>
      </c>
      <c r="N427" t="n">
        <v>0</v>
      </c>
      <c r="O427" t="n">
        <v>0</v>
      </c>
      <c r="P427" t="n">
        <v>0</v>
      </c>
      <c r="Q427" t="n">
        <v>0</v>
      </c>
      <c r="R427" s="2" t="inlineStr"/>
    </row>
    <row r="428" ht="15" customHeight="1">
      <c r="A428" t="inlineStr">
        <is>
          <t>A 53311-2019</t>
        </is>
      </c>
      <c r="B428" s="1" t="n">
        <v>43740</v>
      </c>
      <c r="C428" s="1" t="n">
        <v>45832</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53557-2019</t>
        </is>
      </c>
      <c r="B429" s="1" t="n">
        <v>43740</v>
      </c>
      <c r="C429" s="1" t="n">
        <v>45832</v>
      </c>
      <c r="D429" t="inlineStr">
        <is>
          <t>VÄSTERBOTTENS LÄN</t>
        </is>
      </c>
      <c r="E429" t="inlineStr">
        <is>
          <t>SKELLEFTEÅ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54004-2019</t>
        </is>
      </c>
      <c r="B430" s="1" t="n">
        <v>43742</v>
      </c>
      <c r="C430" s="1" t="n">
        <v>45832</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52019-2019</t>
        </is>
      </c>
      <c r="B431" s="1" t="n">
        <v>43742</v>
      </c>
      <c r="C431" s="1" t="n">
        <v>45832</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53980-2019</t>
        </is>
      </c>
      <c r="B432" s="1" t="n">
        <v>43742</v>
      </c>
      <c r="C432" s="1" t="n">
        <v>45832</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52469-2019</t>
        </is>
      </c>
      <c r="B433" s="1" t="n">
        <v>43745</v>
      </c>
      <c r="C433" s="1" t="n">
        <v>45832</v>
      </c>
      <c r="D433" t="inlineStr">
        <is>
          <t>VÄSTERBOTTENS LÄN</t>
        </is>
      </c>
      <c r="E433" t="inlineStr">
        <is>
          <t>SKELLEFTEÅ</t>
        </is>
      </c>
      <c r="G433" t="n">
        <v>7.3</v>
      </c>
      <c r="H433" t="n">
        <v>0</v>
      </c>
      <c r="I433" t="n">
        <v>0</v>
      </c>
      <c r="J433" t="n">
        <v>0</v>
      </c>
      <c r="K433" t="n">
        <v>0</v>
      </c>
      <c r="L433" t="n">
        <v>0</v>
      </c>
      <c r="M433" t="n">
        <v>0</v>
      </c>
      <c r="N433" t="n">
        <v>0</v>
      </c>
      <c r="O433" t="n">
        <v>0</v>
      </c>
      <c r="P433" t="n">
        <v>0</v>
      </c>
      <c r="Q433" t="n">
        <v>0</v>
      </c>
      <c r="R433" s="2" t="inlineStr"/>
    </row>
    <row r="434" ht="15" customHeight="1">
      <c r="A434" t="inlineStr">
        <is>
          <t>A 52506-2019</t>
        </is>
      </c>
      <c r="B434" s="1" t="n">
        <v>43745</v>
      </c>
      <c r="C434" s="1" t="n">
        <v>45832</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52471-2019</t>
        </is>
      </c>
      <c r="B435" s="1" t="n">
        <v>43745</v>
      </c>
      <c r="C435" s="1" t="n">
        <v>45832</v>
      </c>
      <c r="D435" t="inlineStr">
        <is>
          <t>VÄSTERBOTTENS LÄN</t>
        </is>
      </c>
      <c r="E435" t="inlineStr">
        <is>
          <t>SKELLEFTEÅ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52484-2019</t>
        </is>
      </c>
      <c r="B436" s="1" t="n">
        <v>43745</v>
      </c>
      <c r="C436" s="1" t="n">
        <v>45832</v>
      </c>
      <c r="D436" t="inlineStr">
        <is>
          <t>VÄSTERBOTTENS LÄN</t>
        </is>
      </c>
      <c r="E436" t="inlineStr">
        <is>
          <t>SKELLEFTEÅ</t>
        </is>
      </c>
      <c r="G436" t="n">
        <v>9</v>
      </c>
      <c r="H436" t="n">
        <v>0</v>
      </c>
      <c r="I436" t="n">
        <v>0</v>
      </c>
      <c r="J436" t="n">
        <v>0</v>
      </c>
      <c r="K436" t="n">
        <v>0</v>
      </c>
      <c r="L436" t="n">
        <v>0</v>
      </c>
      <c r="M436" t="n">
        <v>0</v>
      </c>
      <c r="N436" t="n">
        <v>0</v>
      </c>
      <c r="O436" t="n">
        <v>0</v>
      </c>
      <c r="P436" t="n">
        <v>0</v>
      </c>
      <c r="Q436" t="n">
        <v>0</v>
      </c>
      <c r="R436" s="2" t="inlineStr"/>
    </row>
    <row r="437" ht="15" customHeight="1">
      <c r="A437" t="inlineStr">
        <is>
          <t>A 52546-2019</t>
        </is>
      </c>
      <c r="B437" s="1" t="n">
        <v>43745</v>
      </c>
      <c r="C437" s="1" t="n">
        <v>45832</v>
      </c>
      <c r="D437" t="inlineStr">
        <is>
          <t>VÄSTERBOTTENS LÄN</t>
        </is>
      </c>
      <c r="E437" t="inlineStr">
        <is>
          <t>SKELLEFTEÅ</t>
        </is>
      </c>
      <c r="G437" t="n">
        <v>4</v>
      </c>
      <c r="H437" t="n">
        <v>0</v>
      </c>
      <c r="I437" t="n">
        <v>0</v>
      </c>
      <c r="J437" t="n">
        <v>0</v>
      </c>
      <c r="K437" t="n">
        <v>0</v>
      </c>
      <c r="L437" t="n">
        <v>0</v>
      </c>
      <c r="M437" t="n">
        <v>0</v>
      </c>
      <c r="N437" t="n">
        <v>0</v>
      </c>
      <c r="O437" t="n">
        <v>0</v>
      </c>
      <c r="P437" t="n">
        <v>0</v>
      </c>
      <c r="Q437" t="n">
        <v>0</v>
      </c>
      <c r="R437" s="2" t="inlineStr"/>
    </row>
    <row r="438" ht="15" customHeight="1">
      <c r="A438" t="inlineStr">
        <is>
          <t>A 52953-2019</t>
        </is>
      </c>
      <c r="B438" s="1" t="n">
        <v>43747</v>
      </c>
      <c r="C438" s="1" t="n">
        <v>45832</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54742-2019</t>
        </is>
      </c>
      <c r="B439" s="1" t="n">
        <v>43748</v>
      </c>
      <c r="C439" s="1" t="n">
        <v>45832</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53584-2019</t>
        </is>
      </c>
      <c r="B440" s="1" t="n">
        <v>43749</v>
      </c>
      <c r="C440" s="1" t="n">
        <v>45832</v>
      </c>
      <c r="D440" t="inlineStr">
        <is>
          <t>VÄSTERBOTTENS LÄN</t>
        </is>
      </c>
      <c r="E440" t="inlineStr">
        <is>
          <t>SKELLEFTEÅ</t>
        </is>
      </c>
      <c r="G440" t="n">
        <v>11.4</v>
      </c>
      <c r="H440" t="n">
        <v>0</v>
      </c>
      <c r="I440" t="n">
        <v>0</v>
      </c>
      <c r="J440" t="n">
        <v>0</v>
      </c>
      <c r="K440" t="n">
        <v>0</v>
      </c>
      <c r="L440" t="n">
        <v>0</v>
      </c>
      <c r="M440" t="n">
        <v>0</v>
      </c>
      <c r="N440" t="n">
        <v>0</v>
      </c>
      <c r="O440" t="n">
        <v>0</v>
      </c>
      <c r="P440" t="n">
        <v>0</v>
      </c>
      <c r="Q440" t="n">
        <v>0</v>
      </c>
      <c r="R440" s="2" t="inlineStr"/>
    </row>
    <row r="441" ht="15" customHeight="1">
      <c r="A441" t="inlineStr">
        <is>
          <t>A 54935-2019</t>
        </is>
      </c>
      <c r="B441" s="1" t="n">
        <v>43749</v>
      </c>
      <c r="C441" s="1" t="n">
        <v>45832</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54920-2019</t>
        </is>
      </c>
      <c r="B442" s="1" t="n">
        <v>43749</v>
      </c>
      <c r="C442" s="1" t="n">
        <v>45832</v>
      </c>
      <c r="D442" t="inlineStr">
        <is>
          <t>VÄSTERBOTTENS LÄN</t>
        </is>
      </c>
      <c r="E442" t="inlineStr">
        <is>
          <t>SKELLEFTEÅ</t>
        </is>
      </c>
      <c r="G442" t="n">
        <v>24.3</v>
      </c>
      <c r="H442" t="n">
        <v>0</v>
      </c>
      <c r="I442" t="n">
        <v>0</v>
      </c>
      <c r="J442" t="n">
        <v>0</v>
      </c>
      <c r="K442" t="n">
        <v>0</v>
      </c>
      <c r="L442" t="n">
        <v>0</v>
      </c>
      <c r="M442" t="n">
        <v>0</v>
      </c>
      <c r="N442" t="n">
        <v>0</v>
      </c>
      <c r="O442" t="n">
        <v>0</v>
      </c>
      <c r="P442" t="n">
        <v>0</v>
      </c>
      <c r="Q442" t="n">
        <v>0</v>
      </c>
      <c r="R442" s="2" t="inlineStr"/>
    </row>
    <row r="443" ht="15" customHeight="1">
      <c r="A443" t="inlineStr">
        <is>
          <t>A 54939-2019</t>
        </is>
      </c>
      <c r="B443" s="1" t="n">
        <v>43749</v>
      </c>
      <c r="C443" s="1" t="n">
        <v>45832</v>
      </c>
      <c r="D443" t="inlineStr">
        <is>
          <t>VÄSTERBOTTENS LÄN</t>
        </is>
      </c>
      <c r="E443" t="inlineStr">
        <is>
          <t>SKELLEFTEÅ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53925-2019</t>
        </is>
      </c>
      <c r="B444" s="1" t="n">
        <v>43752</v>
      </c>
      <c r="C444" s="1" t="n">
        <v>45832</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54146-2019</t>
        </is>
      </c>
      <c r="B445" s="1" t="n">
        <v>43753</v>
      </c>
      <c r="C445" s="1" t="n">
        <v>45832</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54666-2019</t>
        </is>
      </c>
      <c r="B446" s="1" t="n">
        <v>43754</v>
      </c>
      <c r="C446" s="1" t="n">
        <v>45832</v>
      </c>
      <c r="D446" t="inlineStr">
        <is>
          <t>VÄSTERBOTTENS LÄN</t>
        </is>
      </c>
      <c r="E446" t="inlineStr">
        <is>
          <t>SKELLEFTEÅ</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54667-2019</t>
        </is>
      </c>
      <c r="B447" s="1" t="n">
        <v>43754</v>
      </c>
      <c r="C447" s="1" t="n">
        <v>45832</v>
      </c>
      <c r="D447" t="inlineStr">
        <is>
          <t>VÄSTERBOTTENS LÄN</t>
        </is>
      </c>
      <c r="E447" t="inlineStr">
        <is>
          <t>SKELLEFTEÅ</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55363-2019</t>
        </is>
      </c>
      <c r="B448" s="1" t="n">
        <v>43756</v>
      </c>
      <c r="C448" s="1" t="n">
        <v>45832</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55459-2019</t>
        </is>
      </c>
      <c r="B449" s="1" t="n">
        <v>43759</v>
      </c>
      <c r="C449" s="1" t="n">
        <v>45832</v>
      </c>
      <c r="D449" t="inlineStr">
        <is>
          <t>VÄSTERBOTTENS LÄN</t>
        </is>
      </c>
      <c r="E449" t="inlineStr">
        <is>
          <t>SKELLEFTEÅ</t>
        </is>
      </c>
      <c r="G449" t="n">
        <v>14.5</v>
      </c>
      <c r="H449" t="n">
        <v>0</v>
      </c>
      <c r="I449" t="n">
        <v>0</v>
      </c>
      <c r="J449" t="n">
        <v>0</v>
      </c>
      <c r="K449" t="n">
        <v>0</v>
      </c>
      <c r="L449" t="n">
        <v>0</v>
      </c>
      <c r="M449" t="n">
        <v>0</v>
      </c>
      <c r="N449" t="n">
        <v>0</v>
      </c>
      <c r="O449" t="n">
        <v>0</v>
      </c>
      <c r="P449" t="n">
        <v>0</v>
      </c>
      <c r="Q449" t="n">
        <v>0</v>
      </c>
      <c r="R449" s="2" t="inlineStr"/>
    </row>
    <row r="450" ht="15" customHeight="1">
      <c r="A450" t="inlineStr">
        <is>
          <t>A 55489-2019</t>
        </is>
      </c>
      <c r="B450" s="1" t="n">
        <v>43759</v>
      </c>
      <c r="C450" s="1" t="n">
        <v>45832</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56284-2019</t>
        </is>
      </c>
      <c r="B451" s="1" t="n">
        <v>43762</v>
      </c>
      <c r="C451" s="1" t="n">
        <v>45832</v>
      </c>
      <c r="D451" t="inlineStr">
        <is>
          <t>VÄSTERBOTTENS LÄN</t>
        </is>
      </c>
      <c r="E451" t="inlineStr">
        <is>
          <t>SKELLEFTEÅ</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56786-2019</t>
        </is>
      </c>
      <c r="B452" s="1" t="n">
        <v>43763</v>
      </c>
      <c r="C452" s="1" t="n">
        <v>45832</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56581-2019</t>
        </is>
      </c>
      <c r="B453" s="1" t="n">
        <v>43763</v>
      </c>
      <c r="C453" s="1" t="n">
        <v>45832</v>
      </c>
      <c r="D453" t="inlineStr">
        <is>
          <t>VÄSTERBOTTENS LÄN</t>
        </is>
      </c>
      <c r="E453" t="inlineStr">
        <is>
          <t>SKELLEFTEÅ</t>
        </is>
      </c>
      <c r="F453" t="inlineStr">
        <is>
          <t>Sveaskog</t>
        </is>
      </c>
      <c r="G453" t="n">
        <v>21.4</v>
      </c>
      <c r="H453" t="n">
        <v>0</v>
      </c>
      <c r="I453" t="n">
        <v>0</v>
      </c>
      <c r="J453" t="n">
        <v>0</v>
      </c>
      <c r="K453" t="n">
        <v>0</v>
      </c>
      <c r="L453" t="n">
        <v>0</v>
      </c>
      <c r="M453" t="n">
        <v>0</v>
      </c>
      <c r="N453" t="n">
        <v>0</v>
      </c>
      <c r="O453" t="n">
        <v>0</v>
      </c>
      <c r="P453" t="n">
        <v>0</v>
      </c>
      <c r="Q453" t="n">
        <v>0</v>
      </c>
      <c r="R453" s="2" t="inlineStr"/>
    </row>
    <row r="454" ht="15" customHeight="1">
      <c r="A454" t="inlineStr">
        <is>
          <t>A 57569-2019</t>
        </is>
      </c>
      <c r="B454" s="1" t="n">
        <v>43768</v>
      </c>
      <c r="C454" s="1" t="n">
        <v>45832</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57803-2019</t>
        </is>
      </c>
      <c r="B455" s="1" t="n">
        <v>43768</v>
      </c>
      <c r="C455" s="1" t="n">
        <v>45832</v>
      </c>
      <c r="D455" t="inlineStr">
        <is>
          <t>VÄSTERBOTTENS LÄN</t>
        </is>
      </c>
      <c r="E455" t="inlineStr">
        <is>
          <t>SKELLEFTEÅ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58546-2019</t>
        </is>
      </c>
      <c r="B456" s="1" t="n">
        <v>43773</v>
      </c>
      <c r="C456" s="1" t="n">
        <v>45832</v>
      </c>
      <c r="D456" t="inlineStr">
        <is>
          <t>VÄSTERBOTTENS LÄN</t>
        </is>
      </c>
      <c r="E456" t="inlineStr">
        <is>
          <t>SKELLEFTEÅ</t>
        </is>
      </c>
      <c r="F456" t="inlineStr">
        <is>
          <t>Sveaskog</t>
        </is>
      </c>
      <c r="G456" t="n">
        <v>27.6</v>
      </c>
      <c r="H456" t="n">
        <v>0</v>
      </c>
      <c r="I456" t="n">
        <v>0</v>
      </c>
      <c r="J456" t="n">
        <v>0</v>
      </c>
      <c r="K456" t="n">
        <v>0</v>
      </c>
      <c r="L456" t="n">
        <v>0</v>
      </c>
      <c r="M456" t="n">
        <v>0</v>
      </c>
      <c r="N456" t="n">
        <v>0</v>
      </c>
      <c r="O456" t="n">
        <v>0</v>
      </c>
      <c r="P456" t="n">
        <v>0</v>
      </c>
      <c r="Q456" t="n">
        <v>0</v>
      </c>
      <c r="R456" s="2" t="inlineStr"/>
    </row>
    <row r="457" ht="15" customHeight="1">
      <c r="A457" t="inlineStr">
        <is>
          <t>A 59255-2019</t>
        </is>
      </c>
      <c r="B457" s="1" t="n">
        <v>43773</v>
      </c>
      <c r="C457" s="1" t="n">
        <v>45832</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58905-2019</t>
        </is>
      </c>
      <c r="B458" s="1" t="n">
        <v>43774</v>
      </c>
      <c r="C458" s="1" t="n">
        <v>45832</v>
      </c>
      <c r="D458" t="inlineStr">
        <is>
          <t>VÄSTERBOTTENS LÄN</t>
        </is>
      </c>
      <c r="E458" t="inlineStr">
        <is>
          <t>SKELLEFTEÅ</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58817-2019</t>
        </is>
      </c>
      <c r="B459" s="1" t="n">
        <v>43774</v>
      </c>
      <c r="C459" s="1" t="n">
        <v>45832</v>
      </c>
      <c r="D459" t="inlineStr">
        <is>
          <t>VÄSTERBOTTENS LÄN</t>
        </is>
      </c>
      <c r="E459" t="inlineStr">
        <is>
          <t>SKELLEFTEÅ</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59611-2019</t>
        </is>
      </c>
      <c r="B460" s="1" t="n">
        <v>43774</v>
      </c>
      <c r="C460" s="1" t="n">
        <v>45832</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59344-2019</t>
        </is>
      </c>
      <c r="B461" s="1" t="n">
        <v>43775</v>
      </c>
      <c r="C461" s="1" t="n">
        <v>45832</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60378-2019</t>
        </is>
      </c>
      <c r="B462" s="1" t="n">
        <v>43776</v>
      </c>
      <c r="C462" s="1" t="n">
        <v>45832</v>
      </c>
      <c r="D462" t="inlineStr">
        <is>
          <t>VÄSTERBOTTENS LÄN</t>
        </is>
      </c>
      <c r="E462" t="inlineStr">
        <is>
          <t>SKELLEFTEÅ</t>
        </is>
      </c>
      <c r="G462" t="n">
        <v>4.3</v>
      </c>
      <c r="H462" t="n">
        <v>0</v>
      </c>
      <c r="I462" t="n">
        <v>0</v>
      </c>
      <c r="J462" t="n">
        <v>0</v>
      </c>
      <c r="K462" t="n">
        <v>0</v>
      </c>
      <c r="L462" t="n">
        <v>0</v>
      </c>
      <c r="M462" t="n">
        <v>0</v>
      </c>
      <c r="N462" t="n">
        <v>0</v>
      </c>
      <c r="O462" t="n">
        <v>0</v>
      </c>
      <c r="P462" t="n">
        <v>0</v>
      </c>
      <c r="Q462" t="n">
        <v>0</v>
      </c>
      <c r="R462" s="2" t="inlineStr"/>
    </row>
    <row r="463" ht="15" customHeight="1">
      <c r="A463" t="inlineStr">
        <is>
          <t>A 60289-2019</t>
        </is>
      </c>
      <c r="B463" s="1" t="n">
        <v>43776</v>
      </c>
      <c r="C463" s="1" t="n">
        <v>45832</v>
      </c>
      <c r="D463" t="inlineStr">
        <is>
          <t>VÄSTERBOTTENS LÄN</t>
        </is>
      </c>
      <c r="E463" t="inlineStr">
        <is>
          <t>SKELLEFTEÅ</t>
        </is>
      </c>
      <c r="G463" t="n">
        <v>3.3</v>
      </c>
      <c r="H463" t="n">
        <v>0</v>
      </c>
      <c r="I463" t="n">
        <v>0</v>
      </c>
      <c r="J463" t="n">
        <v>0</v>
      </c>
      <c r="K463" t="n">
        <v>0</v>
      </c>
      <c r="L463" t="n">
        <v>0</v>
      </c>
      <c r="M463" t="n">
        <v>0</v>
      </c>
      <c r="N463" t="n">
        <v>0</v>
      </c>
      <c r="O463" t="n">
        <v>0</v>
      </c>
      <c r="P463" t="n">
        <v>0</v>
      </c>
      <c r="Q463" t="n">
        <v>0</v>
      </c>
      <c r="R463" s="2" t="inlineStr"/>
    </row>
    <row r="464" ht="15" customHeight="1">
      <c r="A464" t="inlineStr">
        <is>
          <t>A 60189-2019</t>
        </is>
      </c>
      <c r="B464" s="1" t="n">
        <v>43780</v>
      </c>
      <c r="C464" s="1" t="n">
        <v>45832</v>
      </c>
      <c r="D464" t="inlineStr">
        <is>
          <t>VÄSTERBOTTENS LÄN</t>
        </is>
      </c>
      <c r="E464" t="inlineStr">
        <is>
          <t>SKELLEFTEÅ</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60416-2019</t>
        </is>
      </c>
      <c r="B465" s="1" t="n">
        <v>43780</v>
      </c>
      <c r="C465" s="1" t="n">
        <v>45832</v>
      </c>
      <c r="D465" t="inlineStr">
        <is>
          <t>VÄSTERBOTTENS LÄN</t>
        </is>
      </c>
      <c r="E465" t="inlineStr">
        <is>
          <t>SKELLEFTEÅ</t>
        </is>
      </c>
      <c r="G465" t="n">
        <v>5.8</v>
      </c>
      <c r="H465" t="n">
        <v>0</v>
      </c>
      <c r="I465" t="n">
        <v>0</v>
      </c>
      <c r="J465" t="n">
        <v>0</v>
      </c>
      <c r="K465" t="n">
        <v>0</v>
      </c>
      <c r="L465" t="n">
        <v>0</v>
      </c>
      <c r="M465" t="n">
        <v>0</v>
      </c>
      <c r="N465" t="n">
        <v>0</v>
      </c>
      <c r="O465" t="n">
        <v>0</v>
      </c>
      <c r="P465" t="n">
        <v>0</v>
      </c>
      <c r="Q465" t="n">
        <v>0</v>
      </c>
      <c r="R465" s="2" t="inlineStr"/>
    </row>
    <row r="466" ht="15" customHeight="1">
      <c r="A466" t="inlineStr">
        <is>
          <t>A 61929-2019</t>
        </is>
      </c>
      <c r="B466" s="1" t="n">
        <v>43781</v>
      </c>
      <c r="C466" s="1" t="n">
        <v>45832</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60985-2019</t>
        </is>
      </c>
      <c r="B467" s="1" t="n">
        <v>43782</v>
      </c>
      <c r="C467" s="1" t="n">
        <v>45832</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61295-2019</t>
        </is>
      </c>
      <c r="B468" s="1" t="n">
        <v>43783</v>
      </c>
      <c r="C468" s="1" t="n">
        <v>45832</v>
      </c>
      <c r="D468" t="inlineStr">
        <is>
          <t>VÄSTERBOTTENS LÄN</t>
        </is>
      </c>
      <c r="E468" t="inlineStr">
        <is>
          <t>SKELLEFTEÅ</t>
        </is>
      </c>
      <c r="F468" t="inlineStr">
        <is>
          <t>Holmen skog AB</t>
        </is>
      </c>
      <c r="G468" t="n">
        <v>11.2</v>
      </c>
      <c r="H468" t="n">
        <v>0</v>
      </c>
      <c r="I468" t="n">
        <v>0</v>
      </c>
      <c r="J468" t="n">
        <v>0</v>
      </c>
      <c r="K468" t="n">
        <v>0</v>
      </c>
      <c r="L468" t="n">
        <v>0</v>
      </c>
      <c r="M468" t="n">
        <v>0</v>
      </c>
      <c r="N468" t="n">
        <v>0</v>
      </c>
      <c r="O468" t="n">
        <v>0</v>
      </c>
      <c r="P468" t="n">
        <v>0</v>
      </c>
      <c r="Q468" t="n">
        <v>0</v>
      </c>
      <c r="R468" s="2" t="inlineStr"/>
    </row>
    <row r="469" ht="15" customHeight="1">
      <c r="A469" t="inlineStr">
        <is>
          <t>A 61468-2019</t>
        </is>
      </c>
      <c r="B469" s="1" t="n">
        <v>43783</v>
      </c>
      <c r="C469" s="1" t="n">
        <v>45832</v>
      </c>
      <c r="D469" t="inlineStr">
        <is>
          <t>VÄSTERBOTTENS LÄN</t>
        </is>
      </c>
      <c r="E469" t="inlineStr">
        <is>
          <t>SKELLEFTEÅ</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62584-2019</t>
        </is>
      </c>
      <c r="B470" s="1" t="n">
        <v>43784</v>
      </c>
      <c r="C470" s="1" t="n">
        <v>45832</v>
      </c>
      <c r="D470" t="inlineStr">
        <is>
          <t>VÄSTERBOTTENS LÄN</t>
        </is>
      </c>
      <c r="E470" t="inlineStr">
        <is>
          <t>SKELLEFTEÅ</t>
        </is>
      </c>
      <c r="G470" t="n">
        <v>6.1</v>
      </c>
      <c r="H470" t="n">
        <v>0</v>
      </c>
      <c r="I470" t="n">
        <v>0</v>
      </c>
      <c r="J470" t="n">
        <v>0</v>
      </c>
      <c r="K470" t="n">
        <v>0</v>
      </c>
      <c r="L470" t="n">
        <v>0</v>
      </c>
      <c r="M470" t="n">
        <v>0</v>
      </c>
      <c r="N470" t="n">
        <v>0</v>
      </c>
      <c r="O470" t="n">
        <v>0</v>
      </c>
      <c r="P470" t="n">
        <v>0</v>
      </c>
      <c r="Q470" t="n">
        <v>0</v>
      </c>
      <c r="R470" s="2" t="inlineStr"/>
    </row>
    <row r="471" ht="15" customHeight="1">
      <c r="A471" t="inlineStr">
        <is>
          <t>A 62201-2019</t>
        </is>
      </c>
      <c r="B471" s="1" t="n">
        <v>43788</v>
      </c>
      <c r="C471" s="1" t="n">
        <v>45832</v>
      </c>
      <c r="D471" t="inlineStr">
        <is>
          <t>VÄSTERBOTTENS LÄN</t>
        </is>
      </c>
      <c r="E471" t="inlineStr">
        <is>
          <t>SKELLEFTEÅ</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62678-2019</t>
        </is>
      </c>
      <c r="B472" s="1" t="n">
        <v>43789</v>
      </c>
      <c r="C472" s="1" t="n">
        <v>45832</v>
      </c>
      <c r="D472" t="inlineStr">
        <is>
          <t>VÄSTERBOTTENS LÄN</t>
        </is>
      </c>
      <c r="E472" t="inlineStr">
        <is>
          <t>SKELLEFTEÅ</t>
        </is>
      </c>
      <c r="G472" t="n">
        <v>4.9</v>
      </c>
      <c r="H472" t="n">
        <v>0</v>
      </c>
      <c r="I472" t="n">
        <v>0</v>
      </c>
      <c r="J472" t="n">
        <v>0</v>
      </c>
      <c r="K472" t="n">
        <v>0</v>
      </c>
      <c r="L472" t="n">
        <v>0</v>
      </c>
      <c r="M472" t="n">
        <v>0</v>
      </c>
      <c r="N472" t="n">
        <v>0</v>
      </c>
      <c r="O472" t="n">
        <v>0</v>
      </c>
      <c r="P472" t="n">
        <v>0</v>
      </c>
      <c r="Q472" t="n">
        <v>0</v>
      </c>
      <c r="R472" s="2" t="inlineStr"/>
    </row>
    <row r="473" ht="15" customHeight="1">
      <c r="A473" t="inlineStr">
        <is>
          <t>A 62873-2019</t>
        </is>
      </c>
      <c r="B473" s="1" t="n">
        <v>43790</v>
      </c>
      <c r="C473" s="1" t="n">
        <v>45832</v>
      </c>
      <c r="D473" t="inlineStr">
        <is>
          <t>VÄSTERBOTTENS LÄN</t>
        </is>
      </c>
      <c r="E473" t="inlineStr">
        <is>
          <t>SKELLEFTEÅ</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62823-2019</t>
        </is>
      </c>
      <c r="B474" s="1" t="n">
        <v>43790</v>
      </c>
      <c r="C474" s="1" t="n">
        <v>45832</v>
      </c>
      <c r="D474" t="inlineStr">
        <is>
          <t>VÄSTERBOTTENS LÄN</t>
        </is>
      </c>
      <c r="E474" t="inlineStr">
        <is>
          <t>SKELLEFTEÅ</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63554-2019</t>
        </is>
      </c>
      <c r="B475" s="1" t="n">
        <v>43794</v>
      </c>
      <c r="C475" s="1" t="n">
        <v>45832</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63846-2019</t>
        </is>
      </c>
      <c r="B476" s="1" t="n">
        <v>43796</v>
      </c>
      <c r="C476" s="1" t="n">
        <v>45832</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63845-2019</t>
        </is>
      </c>
      <c r="B477" s="1" t="n">
        <v>43796</v>
      </c>
      <c r="C477" s="1" t="n">
        <v>45832</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64039-2019</t>
        </is>
      </c>
      <c r="B478" s="1" t="n">
        <v>43796</v>
      </c>
      <c r="C478" s="1" t="n">
        <v>45832</v>
      </c>
      <c r="D478" t="inlineStr">
        <is>
          <t>VÄSTERBOTTENS LÄN</t>
        </is>
      </c>
      <c r="E478" t="inlineStr">
        <is>
          <t>SKELLEFTEÅ</t>
        </is>
      </c>
      <c r="F478" t="inlineStr">
        <is>
          <t>Sveaskog</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64117-2019</t>
        </is>
      </c>
      <c r="B479" s="1" t="n">
        <v>43796</v>
      </c>
      <c r="C479" s="1" t="n">
        <v>45832</v>
      </c>
      <c r="D479" t="inlineStr">
        <is>
          <t>VÄSTERBOTTENS LÄN</t>
        </is>
      </c>
      <c r="E479" t="inlineStr">
        <is>
          <t>SKELLEFTEÅ</t>
        </is>
      </c>
      <c r="F479" t="inlineStr">
        <is>
          <t>Sveaskog</t>
        </is>
      </c>
      <c r="G479" t="n">
        <v>16.2</v>
      </c>
      <c r="H479" t="n">
        <v>0</v>
      </c>
      <c r="I479" t="n">
        <v>0</v>
      </c>
      <c r="J479" t="n">
        <v>0</v>
      </c>
      <c r="K479" t="n">
        <v>0</v>
      </c>
      <c r="L479" t="n">
        <v>0</v>
      </c>
      <c r="M479" t="n">
        <v>0</v>
      </c>
      <c r="N479" t="n">
        <v>0</v>
      </c>
      <c r="O479" t="n">
        <v>0</v>
      </c>
      <c r="P479" t="n">
        <v>0</v>
      </c>
      <c r="Q479" t="n">
        <v>0</v>
      </c>
      <c r="R479" s="2" t="inlineStr"/>
    </row>
    <row r="480" ht="15" customHeight="1">
      <c r="A480" t="inlineStr">
        <is>
          <t>A 64139-2019</t>
        </is>
      </c>
      <c r="B480" s="1" t="n">
        <v>43796</v>
      </c>
      <c r="C480" s="1" t="n">
        <v>45832</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64569-2019</t>
        </is>
      </c>
      <c r="B481" s="1" t="n">
        <v>43798</v>
      </c>
      <c r="C481" s="1" t="n">
        <v>45832</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64754-2019</t>
        </is>
      </c>
      <c r="B482" s="1" t="n">
        <v>43801</v>
      </c>
      <c r="C482" s="1" t="n">
        <v>45832</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65070-2019</t>
        </is>
      </c>
      <c r="B483" s="1" t="n">
        <v>43802</v>
      </c>
      <c r="C483" s="1" t="n">
        <v>45832</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65565-2019</t>
        </is>
      </c>
      <c r="B484" s="1" t="n">
        <v>43803</v>
      </c>
      <c r="C484" s="1" t="n">
        <v>45832</v>
      </c>
      <c r="D484" t="inlineStr">
        <is>
          <t>VÄSTERBOTTENS LÄN</t>
        </is>
      </c>
      <c r="E484" t="inlineStr">
        <is>
          <t>SKELLEFTEÅ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65721-2019</t>
        </is>
      </c>
      <c r="B485" s="1" t="n">
        <v>43804</v>
      </c>
      <c r="C485" s="1" t="n">
        <v>45832</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65726-2019</t>
        </is>
      </c>
      <c r="B486" s="1" t="n">
        <v>43804</v>
      </c>
      <c r="C486" s="1" t="n">
        <v>45832</v>
      </c>
      <c r="D486" t="inlineStr">
        <is>
          <t>VÄSTERBOTTENS LÄN</t>
        </is>
      </c>
      <c r="E486" t="inlineStr">
        <is>
          <t>SKELLEFTEÅ</t>
        </is>
      </c>
      <c r="G486" t="n">
        <v>0.9</v>
      </c>
      <c r="H486" t="n">
        <v>0</v>
      </c>
      <c r="I486" t="n">
        <v>0</v>
      </c>
      <c r="J486" t="n">
        <v>0</v>
      </c>
      <c r="K486" t="n">
        <v>0</v>
      </c>
      <c r="L486" t="n">
        <v>0</v>
      </c>
      <c r="M486" t="n">
        <v>0</v>
      </c>
      <c r="N486" t="n">
        <v>0</v>
      </c>
      <c r="O486" t="n">
        <v>0</v>
      </c>
      <c r="P486" t="n">
        <v>0</v>
      </c>
      <c r="Q486" t="n">
        <v>0</v>
      </c>
      <c r="R486" s="2" t="inlineStr"/>
    </row>
    <row r="487" ht="15" customHeight="1">
      <c r="A487" t="inlineStr">
        <is>
          <t>A 65992-2019</t>
        </is>
      </c>
      <c r="B487" s="1" t="n">
        <v>43805</v>
      </c>
      <c r="C487" s="1" t="n">
        <v>45832</v>
      </c>
      <c r="D487" t="inlineStr">
        <is>
          <t>VÄSTERBOTTENS LÄN</t>
        </is>
      </c>
      <c r="E487" t="inlineStr">
        <is>
          <t>SKELLEFTEÅ</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67581-2019</t>
        </is>
      </c>
      <c r="B488" s="1" t="n">
        <v>43808</v>
      </c>
      <c r="C488" s="1" t="n">
        <v>45832</v>
      </c>
      <c r="D488" t="inlineStr">
        <is>
          <t>VÄSTERBOTTENS LÄN</t>
        </is>
      </c>
      <c r="E488" t="inlineStr">
        <is>
          <t>SKELLEFTEÅ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66505-2019</t>
        </is>
      </c>
      <c r="B489" s="1" t="n">
        <v>43809</v>
      </c>
      <c r="C489" s="1" t="n">
        <v>45832</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66478-2019</t>
        </is>
      </c>
      <c r="B490" s="1" t="n">
        <v>43809</v>
      </c>
      <c r="C490" s="1" t="n">
        <v>45832</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68008-2019</t>
        </is>
      </c>
      <c r="B491" s="1" t="n">
        <v>43811</v>
      </c>
      <c r="C491" s="1" t="n">
        <v>45832</v>
      </c>
      <c r="D491" t="inlineStr">
        <is>
          <t>VÄSTERBOTTENS LÄN</t>
        </is>
      </c>
      <c r="E491" t="inlineStr">
        <is>
          <t>SKELLEFTEÅ</t>
        </is>
      </c>
      <c r="G491" t="n">
        <v>4.3</v>
      </c>
      <c r="H491" t="n">
        <v>0</v>
      </c>
      <c r="I491" t="n">
        <v>0</v>
      </c>
      <c r="J491" t="n">
        <v>0</v>
      </c>
      <c r="K491" t="n">
        <v>0</v>
      </c>
      <c r="L491" t="n">
        <v>0</v>
      </c>
      <c r="M491" t="n">
        <v>0</v>
      </c>
      <c r="N491" t="n">
        <v>0</v>
      </c>
      <c r="O491" t="n">
        <v>0</v>
      </c>
      <c r="P491" t="n">
        <v>0</v>
      </c>
      <c r="Q491" t="n">
        <v>0</v>
      </c>
      <c r="R491" s="2" t="inlineStr"/>
    </row>
    <row r="492" ht="15" customHeight="1">
      <c r="A492" t="inlineStr">
        <is>
          <t>A 69136-2019</t>
        </is>
      </c>
      <c r="B492" s="1" t="n">
        <v>43815</v>
      </c>
      <c r="C492" s="1" t="n">
        <v>45832</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69135-2019</t>
        </is>
      </c>
      <c r="B493" s="1" t="n">
        <v>43815</v>
      </c>
      <c r="C493" s="1" t="n">
        <v>45832</v>
      </c>
      <c r="D493" t="inlineStr">
        <is>
          <t>VÄSTERBOTTENS LÄN</t>
        </is>
      </c>
      <c r="E493" t="inlineStr">
        <is>
          <t>SKELLEFTEÅ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69140-2019</t>
        </is>
      </c>
      <c r="B494" s="1" t="n">
        <v>43815</v>
      </c>
      <c r="C494" s="1" t="n">
        <v>45832</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69131-2019</t>
        </is>
      </c>
      <c r="B495" s="1" t="n">
        <v>43815</v>
      </c>
      <c r="C495" s="1" t="n">
        <v>45832</v>
      </c>
      <c r="D495" t="inlineStr">
        <is>
          <t>VÄSTERBOTTENS LÄN</t>
        </is>
      </c>
      <c r="E495" t="inlineStr">
        <is>
          <t>SKELLEFTEÅ</t>
        </is>
      </c>
      <c r="G495" t="n">
        <v>5.1</v>
      </c>
      <c r="H495" t="n">
        <v>0</v>
      </c>
      <c r="I495" t="n">
        <v>0</v>
      </c>
      <c r="J495" t="n">
        <v>0</v>
      </c>
      <c r="K495" t="n">
        <v>0</v>
      </c>
      <c r="L495" t="n">
        <v>0</v>
      </c>
      <c r="M495" t="n">
        <v>0</v>
      </c>
      <c r="N495" t="n">
        <v>0</v>
      </c>
      <c r="O495" t="n">
        <v>0</v>
      </c>
      <c r="P495" t="n">
        <v>0</v>
      </c>
      <c r="Q495" t="n">
        <v>0</v>
      </c>
      <c r="R495" s="2" t="inlineStr"/>
    </row>
    <row r="496" ht="15" customHeight="1">
      <c r="A496" t="inlineStr">
        <is>
          <t>A 277-2020</t>
        </is>
      </c>
      <c r="B496" s="1" t="n">
        <v>43816</v>
      </c>
      <c r="C496" s="1" t="n">
        <v>45832</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67837-2019</t>
        </is>
      </c>
      <c r="B497" s="1" t="n">
        <v>43816</v>
      </c>
      <c r="C497" s="1" t="n">
        <v>45832</v>
      </c>
      <c r="D497" t="inlineStr">
        <is>
          <t>VÄSTERBOTTENS LÄN</t>
        </is>
      </c>
      <c r="E497" t="inlineStr">
        <is>
          <t>SKELLEFTEÅ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398-2020</t>
        </is>
      </c>
      <c r="B498" s="1" t="n">
        <v>43816</v>
      </c>
      <c r="C498" s="1" t="n">
        <v>45832</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434-2020</t>
        </is>
      </c>
      <c r="B499" s="1" t="n">
        <v>43816</v>
      </c>
      <c r="C499" s="1" t="n">
        <v>45832</v>
      </c>
      <c r="D499" t="inlineStr">
        <is>
          <t>VÄSTERBOTTENS LÄN</t>
        </is>
      </c>
      <c r="E499" t="inlineStr">
        <is>
          <t>SKELLEFTEÅ</t>
        </is>
      </c>
      <c r="G499" t="n">
        <v>12.9</v>
      </c>
      <c r="H499" t="n">
        <v>0</v>
      </c>
      <c r="I499" t="n">
        <v>0</v>
      </c>
      <c r="J499" t="n">
        <v>0</v>
      </c>
      <c r="K499" t="n">
        <v>0</v>
      </c>
      <c r="L499" t="n">
        <v>0</v>
      </c>
      <c r="M499" t="n">
        <v>0</v>
      </c>
      <c r="N499" t="n">
        <v>0</v>
      </c>
      <c r="O499" t="n">
        <v>0</v>
      </c>
      <c r="P499" t="n">
        <v>0</v>
      </c>
      <c r="Q499" t="n">
        <v>0</v>
      </c>
      <c r="R499" s="2" t="inlineStr"/>
    </row>
    <row r="500" ht="15" customHeight="1">
      <c r="A500" t="inlineStr">
        <is>
          <t>A 820-2020</t>
        </is>
      </c>
      <c r="B500" s="1" t="n">
        <v>43818</v>
      </c>
      <c r="C500" s="1" t="n">
        <v>45832</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1102-2020</t>
        </is>
      </c>
      <c r="B501" s="1" t="n">
        <v>43819</v>
      </c>
      <c r="C501" s="1" t="n">
        <v>45832</v>
      </c>
      <c r="D501" t="inlineStr">
        <is>
          <t>VÄSTERBOTTENS LÄN</t>
        </is>
      </c>
      <c r="E501" t="inlineStr">
        <is>
          <t>SKELLEFTEÅ</t>
        </is>
      </c>
      <c r="G501" t="n">
        <v>3.3</v>
      </c>
      <c r="H501" t="n">
        <v>0</v>
      </c>
      <c r="I501" t="n">
        <v>0</v>
      </c>
      <c r="J501" t="n">
        <v>0</v>
      </c>
      <c r="K501" t="n">
        <v>0</v>
      </c>
      <c r="L501" t="n">
        <v>0</v>
      </c>
      <c r="M501" t="n">
        <v>0</v>
      </c>
      <c r="N501" t="n">
        <v>0</v>
      </c>
      <c r="O501" t="n">
        <v>0</v>
      </c>
      <c r="P501" t="n">
        <v>0</v>
      </c>
      <c r="Q501" t="n">
        <v>0</v>
      </c>
      <c r="R501" s="2" t="inlineStr"/>
    </row>
    <row r="502" ht="15" customHeight="1">
      <c r="A502" t="inlineStr">
        <is>
          <t>A 1452-2020</t>
        </is>
      </c>
      <c r="B502" s="1" t="n">
        <v>43822</v>
      </c>
      <c r="C502" s="1" t="n">
        <v>45832</v>
      </c>
      <c r="D502" t="inlineStr">
        <is>
          <t>VÄSTERBOTTENS LÄN</t>
        </is>
      </c>
      <c r="E502" t="inlineStr">
        <is>
          <t>SKELLEFTEÅ</t>
        </is>
      </c>
      <c r="G502" t="n">
        <v>0.4</v>
      </c>
      <c r="H502" t="n">
        <v>0</v>
      </c>
      <c r="I502" t="n">
        <v>0</v>
      </c>
      <c r="J502" t="n">
        <v>0</v>
      </c>
      <c r="K502" t="n">
        <v>0</v>
      </c>
      <c r="L502" t="n">
        <v>0</v>
      </c>
      <c r="M502" t="n">
        <v>0</v>
      </c>
      <c r="N502" t="n">
        <v>0</v>
      </c>
      <c r="O502" t="n">
        <v>0</v>
      </c>
      <c r="P502" t="n">
        <v>0</v>
      </c>
      <c r="Q502" t="n">
        <v>0</v>
      </c>
      <c r="R502" s="2" t="inlineStr"/>
    </row>
    <row r="503" ht="15" customHeight="1">
      <c r="A503" t="inlineStr">
        <is>
          <t>A 789-2020</t>
        </is>
      </c>
      <c r="B503" s="1" t="n">
        <v>43838</v>
      </c>
      <c r="C503" s="1" t="n">
        <v>45832</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896-2020</t>
        </is>
      </c>
      <c r="B504" s="1" t="n">
        <v>43839</v>
      </c>
      <c r="C504" s="1" t="n">
        <v>45832</v>
      </c>
      <c r="D504" t="inlineStr">
        <is>
          <t>VÄSTERBOTTENS LÄN</t>
        </is>
      </c>
      <c r="E504" t="inlineStr">
        <is>
          <t>SKELLEFTEÅ</t>
        </is>
      </c>
      <c r="F504" t="inlineStr">
        <is>
          <t>Kyrkan</t>
        </is>
      </c>
      <c r="G504" t="n">
        <v>14.9</v>
      </c>
      <c r="H504" t="n">
        <v>0</v>
      </c>
      <c r="I504" t="n">
        <v>0</v>
      </c>
      <c r="J504" t="n">
        <v>0</v>
      </c>
      <c r="K504" t="n">
        <v>0</v>
      </c>
      <c r="L504" t="n">
        <v>0</v>
      </c>
      <c r="M504" t="n">
        <v>0</v>
      </c>
      <c r="N504" t="n">
        <v>0</v>
      </c>
      <c r="O504" t="n">
        <v>0</v>
      </c>
      <c r="P504" t="n">
        <v>0</v>
      </c>
      <c r="Q504" t="n">
        <v>0</v>
      </c>
      <c r="R504" s="2" t="inlineStr"/>
    </row>
    <row r="505" ht="15" customHeight="1">
      <c r="A505" t="inlineStr">
        <is>
          <t>A 2127-2020</t>
        </is>
      </c>
      <c r="B505" s="1" t="n">
        <v>43839</v>
      </c>
      <c r="C505" s="1" t="n">
        <v>45832</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1550-2020</t>
        </is>
      </c>
      <c r="B506" s="1" t="n">
        <v>43843</v>
      </c>
      <c r="C506" s="1" t="n">
        <v>45832</v>
      </c>
      <c r="D506" t="inlineStr">
        <is>
          <t>VÄSTERBOTTENS LÄN</t>
        </is>
      </c>
      <c r="E506" t="inlineStr">
        <is>
          <t>SKELLEFTEÅ</t>
        </is>
      </c>
      <c r="G506" t="n">
        <v>3.8</v>
      </c>
      <c r="H506" t="n">
        <v>0</v>
      </c>
      <c r="I506" t="n">
        <v>0</v>
      </c>
      <c r="J506" t="n">
        <v>0</v>
      </c>
      <c r="K506" t="n">
        <v>0</v>
      </c>
      <c r="L506" t="n">
        <v>0</v>
      </c>
      <c r="M506" t="n">
        <v>0</v>
      </c>
      <c r="N506" t="n">
        <v>0</v>
      </c>
      <c r="O506" t="n">
        <v>0</v>
      </c>
      <c r="P506" t="n">
        <v>0</v>
      </c>
      <c r="Q506" t="n">
        <v>0</v>
      </c>
      <c r="R506" s="2" t="inlineStr"/>
    </row>
    <row r="507" ht="15" customHeight="1">
      <c r="A507" t="inlineStr">
        <is>
          <t>A 1612-2020</t>
        </is>
      </c>
      <c r="B507" s="1" t="n">
        <v>43844</v>
      </c>
      <c r="C507" s="1" t="n">
        <v>45832</v>
      </c>
      <c r="D507" t="inlineStr">
        <is>
          <t>VÄSTERBOTTENS LÄN</t>
        </is>
      </c>
      <c r="E507" t="inlineStr">
        <is>
          <t>SKELLEFTEÅ</t>
        </is>
      </c>
      <c r="G507" t="n">
        <v>5.4</v>
      </c>
      <c r="H507" t="n">
        <v>0</v>
      </c>
      <c r="I507" t="n">
        <v>0</v>
      </c>
      <c r="J507" t="n">
        <v>0</v>
      </c>
      <c r="K507" t="n">
        <v>0</v>
      </c>
      <c r="L507" t="n">
        <v>0</v>
      </c>
      <c r="M507" t="n">
        <v>0</v>
      </c>
      <c r="N507" t="n">
        <v>0</v>
      </c>
      <c r="O507" t="n">
        <v>0</v>
      </c>
      <c r="P507" t="n">
        <v>0</v>
      </c>
      <c r="Q507" t="n">
        <v>0</v>
      </c>
      <c r="R507" s="2" t="inlineStr"/>
    </row>
    <row r="508" ht="15" customHeight="1">
      <c r="A508" t="inlineStr">
        <is>
          <t>A 1695-2020</t>
        </is>
      </c>
      <c r="B508" s="1" t="n">
        <v>43844</v>
      </c>
      <c r="C508" s="1" t="n">
        <v>45832</v>
      </c>
      <c r="D508" t="inlineStr">
        <is>
          <t>VÄSTERBOTTENS LÄN</t>
        </is>
      </c>
      <c r="E508" t="inlineStr">
        <is>
          <t>SKELLEFTEÅ</t>
        </is>
      </c>
      <c r="F508" t="inlineStr">
        <is>
          <t>Holmen skog AB</t>
        </is>
      </c>
      <c r="G508" t="n">
        <v>13.6</v>
      </c>
      <c r="H508" t="n">
        <v>0</v>
      </c>
      <c r="I508" t="n">
        <v>0</v>
      </c>
      <c r="J508" t="n">
        <v>0</v>
      </c>
      <c r="K508" t="n">
        <v>0</v>
      </c>
      <c r="L508" t="n">
        <v>0</v>
      </c>
      <c r="M508" t="n">
        <v>0</v>
      </c>
      <c r="N508" t="n">
        <v>0</v>
      </c>
      <c r="O508" t="n">
        <v>0</v>
      </c>
      <c r="P508" t="n">
        <v>0</v>
      </c>
      <c r="Q508" t="n">
        <v>0</v>
      </c>
      <c r="R508" s="2" t="inlineStr"/>
    </row>
    <row r="509" ht="15" customHeight="1">
      <c r="A509" t="inlineStr">
        <is>
          <t>A 3123-2020</t>
        </is>
      </c>
      <c r="B509" s="1" t="n">
        <v>43844</v>
      </c>
      <c r="C509" s="1" t="n">
        <v>45832</v>
      </c>
      <c r="D509" t="inlineStr">
        <is>
          <t>VÄSTERBOTTENS LÄN</t>
        </is>
      </c>
      <c r="E509" t="inlineStr">
        <is>
          <t>SKELLEFTEÅ</t>
        </is>
      </c>
      <c r="G509" t="n">
        <v>12.5</v>
      </c>
      <c r="H509" t="n">
        <v>0</v>
      </c>
      <c r="I509" t="n">
        <v>0</v>
      </c>
      <c r="J509" t="n">
        <v>0</v>
      </c>
      <c r="K509" t="n">
        <v>0</v>
      </c>
      <c r="L509" t="n">
        <v>0</v>
      </c>
      <c r="M509" t="n">
        <v>0</v>
      </c>
      <c r="N509" t="n">
        <v>0</v>
      </c>
      <c r="O509" t="n">
        <v>0</v>
      </c>
      <c r="P509" t="n">
        <v>0</v>
      </c>
      <c r="Q509" t="n">
        <v>0</v>
      </c>
      <c r="R509" s="2" t="inlineStr"/>
    </row>
    <row r="510" ht="15" customHeight="1">
      <c r="A510" t="inlineStr">
        <is>
          <t>A 4286-2020</t>
        </is>
      </c>
      <c r="B510" s="1" t="n">
        <v>43847</v>
      </c>
      <c r="C510" s="1" t="n">
        <v>45832</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4381-2020</t>
        </is>
      </c>
      <c r="B511" s="1" t="n">
        <v>43847</v>
      </c>
      <c r="C511" s="1" t="n">
        <v>45832</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4765-2020</t>
        </is>
      </c>
      <c r="B512" s="1" t="n">
        <v>43850</v>
      </c>
      <c r="C512" s="1" t="n">
        <v>45832</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4985-2020</t>
        </is>
      </c>
      <c r="B513" s="1" t="n">
        <v>43853</v>
      </c>
      <c r="C513" s="1" t="n">
        <v>45832</v>
      </c>
      <c r="D513" t="inlineStr">
        <is>
          <t>VÄSTERBOTTENS LÄN</t>
        </is>
      </c>
      <c r="E513" t="inlineStr">
        <is>
          <t>SKELLEFTEÅ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3968-2020</t>
        </is>
      </c>
      <c r="B514" s="1" t="n">
        <v>43854</v>
      </c>
      <c r="C514" s="1" t="n">
        <v>45832</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4006-2020</t>
        </is>
      </c>
      <c r="B515" s="1" t="n">
        <v>43857</v>
      </c>
      <c r="C515" s="1" t="n">
        <v>45832</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5261-2020</t>
        </is>
      </c>
      <c r="B516" s="1" t="n">
        <v>43857</v>
      </c>
      <c r="C516" s="1" t="n">
        <v>45832</v>
      </c>
      <c r="D516" t="inlineStr">
        <is>
          <t>VÄSTERBOTTENS LÄN</t>
        </is>
      </c>
      <c r="E516" t="inlineStr">
        <is>
          <t>SKELLEFTEÅ</t>
        </is>
      </c>
      <c r="G516" t="n">
        <v>3.5</v>
      </c>
      <c r="H516" t="n">
        <v>0</v>
      </c>
      <c r="I516" t="n">
        <v>0</v>
      </c>
      <c r="J516" t="n">
        <v>0</v>
      </c>
      <c r="K516" t="n">
        <v>0</v>
      </c>
      <c r="L516" t="n">
        <v>0</v>
      </c>
      <c r="M516" t="n">
        <v>0</v>
      </c>
      <c r="N516" t="n">
        <v>0</v>
      </c>
      <c r="O516" t="n">
        <v>0</v>
      </c>
      <c r="P516" t="n">
        <v>0</v>
      </c>
      <c r="Q516" t="n">
        <v>0</v>
      </c>
      <c r="R516" s="2" t="inlineStr"/>
    </row>
    <row r="517" ht="15" customHeight="1">
      <c r="A517" t="inlineStr">
        <is>
          <t>A 4731-2020</t>
        </is>
      </c>
      <c r="B517" s="1" t="n">
        <v>43859</v>
      </c>
      <c r="C517" s="1" t="n">
        <v>45832</v>
      </c>
      <c r="D517" t="inlineStr">
        <is>
          <t>VÄSTERBOTTENS LÄN</t>
        </is>
      </c>
      <c r="E517" t="inlineStr">
        <is>
          <t>SKELLEFTEÅ</t>
        </is>
      </c>
      <c r="G517" t="n">
        <v>3</v>
      </c>
      <c r="H517" t="n">
        <v>0</v>
      </c>
      <c r="I517" t="n">
        <v>0</v>
      </c>
      <c r="J517" t="n">
        <v>0</v>
      </c>
      <c r="K517" t="n">
        <v>0</v>
      </c>
      <c r="L517" t="n">
        <v>0</v>
      </c>
      <c r="M517" t="n">
        <v>0</v>
      </c>
      <c r="N517" t="n">
        <v>0</v>
      </c>
      <c r="O517" t="n">
        <v>0</v>
      </c>
      <c r="P517" t="n">
        <v>0</v>
      </c>
      <c r="Q517" t="n">
        <v>0</v>
      </c>
      <c r="R517" s="2" t="inlineStr"/>
    </row>
    <row r="518" ht="15" customHeight="1">
      <c r="A518" t="inlineStr">
        <is>
          <t>A 6511-2020</t>
        </is>
      </c>
      <c r="B518" s="1" t="n">
        <v>43865</v>
      </c>
      <c r="C518" s="1" t="n">
        <v>45832</v>
      </c>
      <c r="D518" t="inlineStr">
        <is>
          <t>VÄSTERBOTTENS LÄN</t>
        </is>
      </c>
      <c r="E518" t="inlineStr">
        <is>
          <t>SKELLEFTEÅ</t>
        </is>
      </c>
      <c r="G518" t="n">
        <v>9.9</v>
      </c>
      <c r="H518" t="n">
        <v>0</v>
      </c>
      <c r="I518" t="n">
        <v>0</v>
      </c>
      <c r="J518" t="n">
        <v>0</v>
      </c>
      <c r="K518" t="n">
        <v>0</v>
      </c>
      <c r="L518" t="n">
        <v>0</v>
      </c>
      <c r="M518" t="n">
        <v>0</v>
      </c>
      <c r="N518" t="n">
        <v>0</v>
      </c>
      <c r="O518" t="n">
        <v>0</v>
      </c>
      <c r="P518" t="n">
        <v>0</v>
      </c>
      <c r="Q518" t="n">
        <v>0</v>
      </c>
      <c r="R518" s="2" t="inlineStr"/>
    </row>
    <row r="519" ht="15" customHeight="1">
      <c r="A519" t="inlineStr">
        <is>
          <t>A 7334-2020</t>
        </is>
      </c>
      <c r="B519" s="1" t="n">
        <v>43868</v>
      </c>
      <c r="C519" s="1" t="n">
        <v>45832</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7689-2020</t>
        </is>
      </c>
      <c r="B520" s="1" t="n">
        <v>43872</v>
      </c>
      <c r="C520" s="1" t="n">
        <v>45832</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8060-2020</t>
        </is>
      </c>
      <c r="B521" s="1" t="n">
        <v>43874</v>
      </c>
      <c r="C521" s="1" t="n">
        <v>45832</v>
      </c>
      <c r="D521" t="inlineStr">
        <is>
          <t>VÄSTERBOTTENS LÄN</t>
        </is>
      </c>
      <c r="E521" t="inlineStr">
        <is>
          <t>SKELLEFTEÅ</t>
        </is>
      </c>
      <c r="G521" t="n">
        <v>18.7</v>
      </c>
      <c r="H521" t="n">
        <v>0</v>
      </c>
      <c r="I521" t="n">
        <v>0</v>
      </c>
      <c r="J521" t="n">
        <v>0</v>
      </c>
      <c r="K521" t="n">
        <v>0</v>
      </c>
      <c r="L521" t="n">
        <v>0</v>
      </c>
      <c r="M521" t="n">
        <v>0</v>
      </c>
      <c r="N521" t="n">
        <v>0</v>
      </c>
      <c r="O521" t="n">
        <v>0</v>
      </c>
      <c r="P521" t="n">
        <v>0</v>
      </c>
      <c r="Q521" t="n">
        <v>0</v>
      </c>
      <c r="R521" s="2" t="inlineStr"/>
    </row>
    <row r="522" ht="15" customHeight="1">
      <c r="A522" t="inlineStr">
        <is>
          <t>A 8562-2020</t>
        </is>
      </c>
      <c r="B522" s="1" t="n">
        <v>43877</v>
      </c>
      <c r="C522" s="1" t="n">
        <v>45832</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9180-2020</t>
        </is>
      </c>
      <c r="B523" s="1" t="n">
        <v>43879</v>
      </c>
      <c r="C523" s="1" t="n">
        <v>45832</v>
      </c>
      <c r="D523" t="inlineStr">
        <is>
          <t>VÄSTERBOTTENS LÄN</t>
        </is>
      </c>
      <c r="E523" t="inlineStr">
        <is>
          <t>SKELLEFTEÅ</t>
        </is>
      </c>
      <c r="G523" t="n">
        <v>11.4</v>
      </c>
      <c r="H523" t="n">
        <v>0</v>
      </c>
      <c r="I523" t="n">
        <v>0</v>
      </c>
      <c r="J523" t="n">
        <v>0</v>
      </c>
      <c r="K523" t="n">
        <v>0</v>
      </c>
      <c r="L523" t="n">
        <v>0</v>
      </c>
      <c r="M523" t="n">
        <v>0</v>
      </c>
      <c r="N523" t="n">
        <v>0</v>
      </c>
      <c r="O523" t="n">
        <v>0</v>
      </c>
      <c r="P523" t="n">
        <v>0</v>
      </c>
      <c r="Q523" t="n">
        <v>0</v>
      </c>
      <c r="R523" s="2" t="inlineStr"/>
    </row>
    <row r="524" ht="15" customHeight="1">
      <c r="A524" t="inlineStr">
        <is>
          <t>A 9568-2020</t>
        </is>
      </c>
      <c r="B524" s="1" t="n">
        <v>43881</v>
      </c>
      <c r="C524" s="1" t="n">
        <v>45832</v>
      </c>
      <c r="D524" t="inlineStr">
        <is>
          <t>VÄSTERBOTTENS LÄN</t>
        </is>
      </c>
      <c r="E524" t="inlineStr">
        <is>
          <t>SKELLEFTEÅ</t>
        </is>
      </c>
      <c r="G524" t="n">
        <v>2.4</v>
      </c>
      <c r="H524" t="n">
        <v>0</v>
      </c>
      <c r="I524" t="n">
        <v>0</v>
      </c>
      <c r="J524" t="n">
        <v>0</v>
      </c>
      <c r="K524" t="n">
        <v>0</v>
      </c>
      <c r="L524" t="n">
        <v>0</v>
      </c>
      <c r="M524" t="n">
        <v>0</v>
      </c>
      <c r="N524" t="n">
        <v>0</v>
      </c>
      <c r="O524" t="n">
        <v>0</v>
      </c>
      <c r="P524" t="n">
        <v>0</v>
      </c>
      <c r="Q524" t="n">
        <v>0</v>
      </c>
      <c r="R524" s="2" t="inlineStr"/>
    </row>
    <row r="525" ht="15" customHeight="1">
      <c r="A525" t="inlineStr">
        <is>
          <t>A 10030-2020</t>
        </is>
      </c>
      <c r="B525" s="1" t="n">
        <v>43882</v>
      </c>
      <c r="C525" s="1" t="n">
        <v>45832</v>
      </c>
      <c r="D525" t="inlineStr">
        <is>
          <t>VÄSTERBOTTENS LÄN</t>
        </is>
      </c>
      <c r="E525" t="inlineStr">
        <is>
          <t>SKELLEFTEÅ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10041-2020</t>
        </is>
      </c>
      <c r="B526" s="1" t="n">
        <v>43882</v>
      </c>
      <c r="C526" s="1" t="n">
        <v>45832</v>
      </c>
      <c r="D526" t="inlineStr">
        <is>
          <t>VÄSTERBOTTENS LÄN</t>
        </is>
      </c>
      <c r="E526" t="inlineStr">
        <is>
          <t>SKELLEFTEÅ</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10273-2020</t>
        </is>
      </c>
      <c r="B527" s="1" t="n">
        <v>43885</v>
      </c>
      <c r="C527" s="1" t="n">
        <v>45832</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c r="U527">
        <f>HYPERLINK("https://klasma.github.io/Logging_2482/knärot/A 10273-2020 karta knärot.png", "A 10273-2020")</f>
        <v/>
      </c>
      <c r="V527">
        <f>HYPERLINK("https://klasma.github.io/Logging_2482/klagomål/A 10273-2020 FSC-klagomål.docx", "A 10273-2020")</f>
        <v/>
      </c>
      <c r="W527">
        <f>HYPERLINK("https://klasma.github.io/Logging_2482/klagomålsmail/A 10273-2020 FSC-klagomål mail.docx", "A 10273-2020")</f>
        <v/>
      </c>
      <c r="X527">
        <f>HYPERLINK("https://klasma.github.io/Logging_2482/tillsyn/A 10273-2020 tillsynsbegäran.docx", "A 10273-2020")</f>
        <v/>
      </c>
      <c r="Y527">
        <f>HYPERLINK("https://klasma.github.io/Logging_2482/tillsynsmail/A 10273-2020 tillsynsbegäran mail.docx", "A 10273-2020")</f>
        <v/>
      </c>
    </row>
    <row r="528" ht="15" customHeight="1">
      <c r="A528" t="inlineStr">
        <is>
          <t>A 10279-2020</t>
        </is>
      </c>
      <c r="B528" s="1" t="n">
        <v>43885</v>
      </c>
      <c r="C528" s="1" t="n">
        <v>45832</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11083-2020</t>
        </is>
      </c>
      <c r="B529" s="1" t="n">
        <v>43885</v>
      </c>
      <c r="C529" s="1" t="n">
        <v>45832</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11037-2020</t>
        </is>
      </c>
      <c r="B530" s="1" t="n">
        <v>43886</v>
      </c>
      <c r="C530" s="1" t="n">
        <v>45832</v>
      </c>
      <c r="D530" t="inlineStr">
        <is>
          <t>VÄSTERBOTTENS LÄN</t>
        </is>
      </c>
      <c r="E530" t="inlineStr">
        <is>
          <t>SKELLEFTEÅ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11048-2020</t>
        </is>
      </c>
      <c r="B531" s="1" t="n">
        <v>43886</v>
      </c>
      <c r="C531" s="1" t="n">
        <v>45832</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10181-2020</t>
        </is>
      </c>
      <c r="B532" s="1" t="n">
        <v>43887</v>
      </c>
      <c r="C532" s="1" t="n">
        <v>45832</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10114-2020</t>
        </is>
      </c>
      <c r="B533" s="1" t="n">
        <v>43887</v>
      </c>
      <c r="C533" s="1" t="n">
        <v>45832</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12775-2020</t>
        </is>
      </c>
      <c r="B534" s="1" t="n">
        <v>43893</v>
      </c>
      <c r="C534" s="1" t="n">
        <v>45832</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12533-2020</t>
        </is>
      </c>
      <c r="B535" s="1" t="n">
        <v>43896</v>
      </c>
      <c r="C535" s="1" t="n">
        <v>45832</v>
      </c>
      <c r="D535" t="inlineStr">
        <is>
          <t>VÄSTERBOTTENS LÄN</t>
        </is>
      </c>
      <c r="E535" t="inlineStr">
        <is>
          <t>SKELLEFTEÅ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12534-2020</t>
        </is>
      </c>
      <c r="B536" s="1" t="n">
        <v>43896</v>
      </c>
      <c r="C536" s="1" t="n">
        <v>45832</v>
      </c>
      <c r="D536" t="inlineStr">
        <is>
          <t>VÄSTERBOTTENS LÄN</t>
        </is>
      </c>
      <c r="E536" t="inlineStr">
        <is>
          <t>SKELLEFTEÅ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13415-2020</t>
        </is>
      </c>
      <c r="B537" s="1" t="n">
        <v>43899</v>
      </c>
      <c r="C537" s="1" t="n">
        <v>45832</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14147-2020</t>
        </is>
      </c>
      <c r="B538" s="1" t="n">
        <v>43900</v>
      </c>
      <c r="C538" s="1" t="n">
        <v>45832</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12945-2020</t>
        </is>
      </c>
      <c r="B539" s="1" t="n">
        <v>43900</v>
      </c>
      <c r="C539" s="1" t="n">
        <v>45832</v>
      </c>
      <c r="D539" t="inlineStr">
        <is>
          <t>VÄSTERBOTTENS LÄN</t>
        </is>
      </c>
      <c r="E539" t="inlineStr">
        <is>
          <t>SKELLEFTEÅ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12939-2020</t>
        </is>
      </c>
      <c r="B540" s="1" t="n">
        <v>43900</v>
      </c>
      <c r="C540" s="1" t="n">
        <v>45832</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14186-2020</t>
        </is>
      </c>
      <c r="B541" s="1" t="n">
        <v>43901</v>
      </c>
      <c r="C541" s="1" t="n">
        <v>45832</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13566-2020</t>
        </is>
      </c>
      <c r="B542" s="1" t="n">
        <v>43902</v>
      </c>
      <c r="C542" s="1" t="n">
        <v>45832</v>
      </c>
      <c r="D542" t="inlineStr">
        <is>
          <t>VÄSTERBOTTENS LÄN</t>
        </is>
      </c>
      <c r="E542" t="inlineStr">
        <is>
          <t>SKELLEFTEÅ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13568-2020</t>
        </is>
      </c>
      <c r="B543" s="1" t="n">
        <v>43902</v>
      </c>
      <c r="C543" s="1" t="n">
        <v>45832</v>
      </c>
      <c r="D543" t="inlineStr">
        <is>
          <t>VÄSTERBOTTENS LÄN</t>
        </is>
      </c>
      <c r="E543" t="inlineStr">
        <is>
          <t>SKELLEFTEÅ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13851-2020</t>
        </is>
      </c>
      <c r="B544" s="1" t="n">
        <v>43906</v>
      </c>
      <c r="C544" s="1" t="n">
        <v>45832</v>
      </c>
      <c r="D544" t="inlineStr">
        <is>
          <t>VÄSTERBOTTENS LÄN</t>
        </is>
      </c>
      <c r="E544" t="inlineStr">
        <is>
          <t>SKELLEFTEÅ</t>
        </is>
      </c>
      <c r="G544" t="n">
        <v>0.1</v>
      </c>
      <c r="H544" t="n">
        <v>0</v>
      </c>
      <c r="I544" t="n">
        <v>0</v>
      </c>
      <c r="J544" t="n">
        <v>0</v>
      </c>
      <c r="K544" t="n">
        <v>0</v>
      </c>
      <c r="L544" t="n">
        <v>0</v>
      </c>
      <c r="M544" t="n">
        <v>0</v>
      </c>
      <c r="N544" t="n">
        <v>0</v>
      </c>
      <c r="O544" t="n">
        <v>0</v>
      </c>
      <c r="P544" t="n">
        <v>0</v>
      </c>
      <c r="Q544" t="n">
        <v>0</v>
      </c>
      <c r="R544" s="2" t="inlineStr"/>
    </row>
    <row r="545" ht="15" customHeight="1">
      <c r="A545" t="inlineStr">
        <is>
          <t>A 13933-2020</t>
        </is>
      </c>
      <c r="B545" s="1" t="n">
        <v>43906</v>
      </c>
      <c r="C545" s="1" t="n">
        <v>45832</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13883-2020</t>
        </is>
      </c>
      <c r="B546" s="1" t="n">
        <v>43906</v>
      </c>
      <c r="C546" s="1" t="n">
        <v>45832</v>
      </c>
      <c r="D546" t="inlineStr">
        <is>
          <t>VÄSTERBOTTENS LÄN</t>
        </is>
      </c>
      <c r="E546" t="inlineStr">
        <is>
          <t>SKELLEFTEÅ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16728-2020</t>
        </is>
      </c>
      <c r="B547" s="1" t="n">
        <v>43910</v>
      </c>
      <c r="C547" s="1" t="n">
        <v>45832</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15320-2020</t>
        </is>
      </c>
      <c r="B548" s="1" t="n">
        <v>43913</v>
      </c>
      <c r="C548" s="1" t="n">
        <v>45832</v>
      </c>
      <c r="D548" t="inlineStr">
        <is>
          <t>VÄSTERBOTTENS LÄN</t>
        </is>
      </c>
      <c r="E548" t="inlineStr">
        <is>
          <t>SKELLEFTEÅ</t>
        </is>
      </c>
      <c r="G548" t="n">
        <v>5.8</v>
      </c>
      <c r="H548" t="n">
        <v>0</v>
      </c>
      <c r="I548" t="n">
        <v>0</v>
      </c>
      <c r="J548" t="n">
        <v>0</v>
      </c>
      <c r="K548" t="n">
        <v>0</v>
      </c>
      <c r="L548" t="n">
        <v>0</v>
      </c>
      <c r="M548" t="n">
        <v>0</v>
      </c>
      <c r="N548" t="n">
        <v>0</v>
      </c>
      <c r="O548" t="n">
        <v>0</v>
      </c>
      <c r="P548" t="n">
        <v>0</v>
      </c>
      <c r="Q548" t="n">
        <v>0</v>
      </c>
      <c r="R548" s="2" t="inlineStr"/>
    </row>
    <row r="549" ht="15" customHeight="1">
      <c r="A549" t="inlineStr">
        <is>
          <t>A 17124-2020</t>
        </is>
      </c>
      <c r="B549" s="1" t="n">
        <v>43914</v>
      </c>
      <c r="C549" s="1" t="n">
        <v>45832</v>
      </c>
      <c r="D549" t="inlineStr">
        <is>
          <t>VÄSTERBOTTENS LÄN</t>
        </is>
      </c>
      <c r="E549" t="inlineStr">
        <is>
          <t>SKELLEFTEÅ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15870-2020</t>
        </is>
      </c>
      <c r="B550" s="1" t="n">
        <v>43915</v>
      </c>
      <c r="C550" s="1" t="n">
        <v>45832</v>
      </c>
      <c r="D550" t="inlineStr">
        <is>
          <t>VÄSTERBOTTENS LÄN</t>
        </is>
      </c>
      <c r="E550" t="inlineStr">
        <is>
          <t>SKELLEFTEÅ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15869-2020</t>
        </is>
      </c>
      <c r="B551" s="1" t="n">
        <v>43915</v>
      </c>
      <c r="C551" s="1" t="n">
        <v>45832</v>
      </c>
      <c r="D551" t="inlineStr">
        <is>
          <t>VÄSTERBOTTENS LÄN</t>
        </is>
      </c>
      <c r="E551" t="inlineStr">
        <is>
          <t>SKELLEFTEÅ</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17434-2020</t>
        </is>
      </c>
      <c r="B552" s="1" t="n">
        <v>43917</v>
      </c>
      <c r="C552" s="1" t="n">
        <v>45832</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17894-2020</t>
        </is>
      </c>
      <c r="B553" s="1" t="n">
        <v>43923</v>
      </c>
      <c r="C553" s="1" t="n">
        <v>45832</v>
      </c>
      <c r="D553" t="inlineStr">
        <is>
          <t>VÄSTERBOTTENS LÄN</t>
        </is>
      </c>
      <c r="E553" t="inlineStr">
        <is>
          <t>SKELLEFTEÅ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18619-2020</t>
        </is>
      </c>
      <c r="B554" s="1" t="n">
        <v>43928</v>
      </c>
      <c r="C554" s="1" t="n">
        <v>45832</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18442-2020</t>
        </is>
      </c>
      <c r="B555" s="1" t="n">
        <v>43929</v>
      </c>
      <c r="C555" s="1" t="n">
        <v>45832</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18820-2020</t>
        </is>
      </c>
      <c r="B556" s="1" t="n">
        <v>43935</v>
      </c>
      <c r="C556" s="1" t="n">
        <v>45832</v>
      </c>
      <c r="D556" t="inlineStr">
        <is>
          <t>VÄSTERBOTTENS LÄN</t>
        </is>
      </c>
      <c r="E556" t="inlineStr">
        <is>
          <t>SKELLEFTEÅ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19006-2020</t>
        </is>
      </c>
      <c r="B557" s="1" t="n">
        <v>43936</v>
      </c>
      <c r="C557" s="1" t="n">
        <v>45832</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19961-2020</t>
        </is>
      </c>
      <c r="B558" s="1" t="n">
        <v>43943</v>
      </c>
      <c r="C558" s="1" t="n">
        <v>45832</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20243-2020</t>
        </is>
      </c>
      <c r="B559" s="1" t="n">
        <v>43945</v>
      </c>
      <c r="C559" s="1" t="n">
        <v>45832</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20283-2020</t>
        </is>
      </c>
      <c r="B560" s="1" t="n">
        <v>43945</v>
      </c>
      <c r="C560" s="1" t="n">
        <v>45832</v>
      </c>
      <c r="D560" t="inlineStr">
        <is>
          <t>VÄSTERBOTTENS LÄN</t>
        </is>
      </c>
      <c r="E560" t="inlineStr">
        <is>
          <t>SKELLEFTEÅ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20351-2020</t>
        </is>
      </c>
      <c r="B561" s="1" t="n">
        <v>43945</v>
      </c>
      <c r="C561" s="1" t="n">
        <v>45832</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20444-2020</t>
        </is>
      </c>
      <c r="B562" s="1" t="n">
        <v>43948</v>
      </c>
      <c r="C562" s="1" t="n">
        <v>45832</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20466-2020</t>
        </is>
      </c>
      <c r="B563" s="1" t="n">
        <v>43948</v>
      </c>
      <c r="C563" s="1" t="n">
        <v>45832</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22451-2020</t>
        </is>
      </c>
      <c r="B564" s="1" t="n">
        <v>43963</v>
      </c>
      <c r="C564" s="1" t="n">
        <v>45832</v>
      </c>
      <c r="D564" t="inlineStr">
        <is>
          <t>VÄSTERBOTTENS LÄN</t>
        </is>
      </c>
      <c r="E564" t="inlineStr">
        <is>
          <t>SKELLEFTEÅ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22752-2020</t>
        </is>
      </c>
      <c r="B565" s="1" t="n">
        <v>43963</v>
      </c>
      <c r="C565" s="1" t="n">
        <v>45832</v>
      </c>
      <c r="D565" t="inlineStr">
        <is>
          <t>VÄSTERBOTTENS LÄN</t>
        </is>
      </c>
      <c r="E565" t="inlineStr">
        <is>
          <t>SKELLEFTEÅ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23006-2020</t>
        </is>
      </c>
      <c r="B566" s="1" t="n">
        <v>43965</v>
      </c>
      <c r="C566" s="1" t="n">
        <v>45832</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23181-2020</t>
        </is>
      </c>
      <c r="B567" s="1" t="n">
        <v>43965</v>
      </c>
      <c r="C567" s="1" t="n">
        <v>45832</v>
      </c>
      <c r="D567" t="inlineStr">
        <is>
          <t>VÄSTERBOTTENS LÄN</t>
        </is>
      </c>
      <c r="E567" t="inlineStr">
        <is>
          <t>SKELLEFTEÅ</t>
        </is>
      </c>
      <c r="G567" t="n">
        <v>8.1</v>
      </c>
      <c r="H567" t="n">
        <v>0</v>
      </c>
      <c r="I567" t="n">
        <v>0</v>
      </c>
      <c r="J567" t="n">
        <v>0</v>
      </c>
      <c r="K567" t="n">
        <v>0</v>
      </c>
      <c r="L567" t="n">
        <v>0</v>
      </c>
      <c r="M567" t="n">
        <v>0</v>
      </c>
      <c r="N567" t="n">
        <v>0</v>
      </c>
      <c r="O567" t="n">
        <v>0</v>
      </c>
      <c r="P567" t="n">
        <v>0</v>
      </c>
      <c r="Q567" t="n">
        <v>0</v>
      </c>
      <c r="R567" s="2" t="inlineStr"/>
    </row>
    <row r="568" ht="15" customHeight="1">
      <c r="A568" t="inlineStr">
        <is>
          <t>A 23522-2020</t>
        </is>
      </c>
      <c r="B568" s="1" t="n">
        <v>43969</v>
      </c>
      <c r="C568" s="1" t="n">
        <v>45832</v>
      </c>
      <c r="D568" t="inlineStr">
        <is>
          <t>VÄSTERBOTTENS LÄN</t>
        </is>
      </c>
      <c r="E568" t="inlineStr">
        <is>
          <t>SKELLEFTEÅ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23672-2020</t>
        </is>
      </c>
      <c r="B569" s="1" t="n">
        <v>43970</v>
      </c>
      <c r="C569" s="1" t="n">
        <v>45832</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24280-2020</t>
        </is>
      </c>
      <c r="B570" s="1" t="n">
        <v>43970</v>
      </c>
      <c r="C570" s="1" t="n">
        <v>45832</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24276-2020</t>
        </is>
      </c>
      <c r="B571" s="1" t="n">
        <v>43970</v>
      </c>
      <c r="C571" s="1" t="n">
        <v>45832</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24274-2020</t>
        </is>
      </c>
      <c r="B572" s="1" t="n">
        <v>43970</v>
      </c>
      <c r="C572" s="1" t="n">
        <v>45832</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23908-2020</t>
        </is>
      </c>
      <c r="B573" s="1" t="n">
        <v>43970</v>
      </c>
      <c r="C573" s="1" t="n">
        <v>45832</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23907-2020</t>
        </is>
      </c>
      <c r="B574" s="1" t="n">
        <v>43970</v>
      </c>
      <c r="C574" s="1" t="n">
        <v>45832</v>
      </c>
      <c r="D574" t="inlineStr">
        <is>
          <t>VÄSTERBOTTENS LÄN</t>
        </is>
      </c>
      <c r="E574" t="inlineStr">
        <is>
          <t>SKELLEFTEÅ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24264-2020</t>
        </is>
      </c>
      <c r="B575" s="1" t="n">
        <v>43970</v>
      </c>
      <c r="C575" s="1" t="n">
        <v>45832</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24543-2020</t>
        </is>
      </c>
      <c r="B576" s="1" t="n">
        <v>43977</v>
      </c>
      <c r="C576" s="1" t="n">
        <v>45832</v>
      </c>
      <c r="D576" t="inlineStr">
        <is>
          <t>VÄSTERBOTTENS LÄN</t>
        </is>
      </c>
      <c r="E576" t="inlineStr">
        <is>
          <t>SKELLEFTEÅ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25142-2020</t>
        </is>
      </c>
      <c r="B577" s="1" t="n">
        <v>43978</v>
      </c>
      <c r="C577" s="1" t="n">
        <v>45832</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25161-2020</t>
        </is>
      </c>
      <c r="B578" s="1" t="n">
        <v>43978</v>
      </c>
      <c r="C578" s="1" t="n">
        <v>45832</v>
      </c>
      <c r="D578" t="inlineStr">
        <is>
          <t>VÄSTERBOTTENS LÄN</t>
        </is>
      </c>
      <c r="E578" t="inlineStr">
        <is>
          <t>SKELLEFTEÅ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25051-2020</t>
        </is>
      </c>
      <c r="B579" s="1" t="n">
        <v>43979</v>
      </c>
      <c r="C579" s="1" t="n">
        <v>45832</v>
      </c>
      <c r="D579" t="inlineStr">
        <is>
          <t>VÄSTERBOTTENS LÄN</t>
        </is>
      </c>
      <c r="E579" t="inlineStr">
        <is>
          <t>SKELLEFTEÅ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25202-2020</t>
        </is>
      </c>
      <c r="B580" s="1" t="n">
        <v>43980</v>
      </c>
      <c r="C580" s="1" t="n">
        <v>45832</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25473-2020</t>
        </is>
      </c>
      <c r="B581" s="1" t="n">
        <v>43983</v>
      </c>
      <c r="C581" s="1" t="n">
        <v>45832</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25682-2020</t>
        </is>
      </c>
      <c r="B582" s="1" t="n">
        <v>43983</v>
      </c>
      <c r="C582" s="1" t="n">
        <v>45832</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25858-2020</t>
        </is>
      </c>
      <c r="B583" s="1" t="n">
        <v>43984</v>
      </c>
      <c r="C583" s="1" t="n">
        <v>45832</v>
      </c>
      <c r="D583" t="inlineStr">
        <is>
          <t>VÄSTERBOTTENS LÄN</t>
        </is>
      </c>
      <c r="E583" t="inlineStr">
        <is>
          <t>SKELLEFTEÅ</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26089-2020</t>
        </is>
      </c>
      <c r="B584" s="1" t="n">
        <v>43984</v>
      </c>
      <c r="C584" s="1" t="n">
        <v>45832</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25695-2020</t>
        </is>
      </c>
      <c r="B585" s="1" t="n">
        <v>43984</v>
      </c>
      <c r="C585" s="1" t="n">
        <v>45832</v>
      </c>
      <c r="D585" t="inlineStr">
        <is>
          <t>VÄSTERBOTTENS LÄN</t>
        </is>
      </c>
      <c r="E585" t="inlineStr">
        <is>
          <t>SKELLEFTEÅ</t>
        </is>
      </c>
      <c r="G585" t="n">
        <v>15.3</v>
      </c>
      <c r="H585" t="n">
        <v>0</v>
      </c>
      <c r="I585" t="n">
        <v>0</v>
      </c>
      <c r="J585" t="n">
        <v>0</v>
      </c>
      <c r="K585" t="n">
        <v>0</v>
      </c>
      <c r="L585" t="n">
        <v>0</v>
      </c>
      <c r="M585" t="n">
        <v>0</v>
      </c>
      <c r="N585" t="n">
        <v>0</v>
      </c>
      <c r="O585" t="n">
        <v>0</v>
      </c>
      <c r="P585" t="n">
        <v>0</v>
      </c>
      <c r="Q585" t="n">
        <v>0</v>
      </c>
      <c r="R585" s="2" t="inlineStr"/>
    </row>
    <row r="586" ht="15" customHeight="1">
      <c r="A586" t="inlineStr">
        <is>
          <t>A 25968-2020</t>
        </is>
      </c>
      <c r="B586" s="1" t="n">
        <v>43985</v>
      </c>
      <c r="C586" s="1" t="n">
        <v>45832</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26422-2020</t>
        </is>
      </c>
      <c r="B587" s="1" t="n">
        <v>43986</v>
      </c>
      <c r="C587" s="1" t="n">
        <v>45832</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26413-2020</t>
        </is>
      </c>
      <c r="B588" s="1" t="n">
        <v>43987</v>
      </c>
      <c r="C588" s="1" t="n">
        <v>45832</v>
      </c>
      <c r="D588" t="inlineStr">
        <is>
          <t>VÄSTERBOTTENS LÄN</t>
        </is>
      </c>
      <c r="E588" t="inlineStr">
        <is>
          <t>SKELLEFTEÅ</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26396-2020</t>
        </is>
      </c>
      <c r="B589" s="1" t="n">
        <v>43987</v>
      </c>
      <c r="C589" s="1" t="n">
        <v>45832</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27218-2020</t>
        </is>
      </c>
      <c r="B590" s="1" t="n">
        <v>43992</v>
      </c>
      <c r="C590" s="1" t="n">
        <v>45832</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27684-2020</t>
        </is>
      </c>
      <c r="B591" s="1" t="n">
        <v>43994</v>
      </c>
      <c r="C591" s="1" t="n">
        <v>45832</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28449-2020</t>
        </is>
      </c>
      <c r="B592" s="1" t="n">
        <v>43998</v>
      </c>
      <c r="C592" s="1" t="n">
        <v>45832</v>
      </c>
      <c r="D592" t="inlineStr">
        <is>
          <t>VÄSTERBOTTENS LÄN</t>
        </is>
      </c>
      <c r="E592" t="inlineStr">
        <is>
          <t>SKELLEFTEÅ</t>
        </is>
      </c>
      <c r="F592" t="inlineStr">
        <is>
          <t>Sveaskog</t>
        </is>
      </c>
      <c r="G592" t="n">
        <v>20.9</v>
      </c>
      <c r="H592" t="n">
        <v>0</v>
      </c>
      <c r="I592" t="n">
        <v>0</v>
      </c>
      <c r="J592" t="n">
        <v>0</v>
      </c>
      <c r="K592" t="n">
        <v>0</v>
      </c>
      <c r="L592" t="n">
        <v>0</v>
      </c>
      <c r="M592" t="n">
        <v>0</v>
      </c>
      <c r="N592" t="n">
        <v>0</v>
      </c>
      <c r="O592" t="n">
        <v>0</v>
      </c>
      <c r="P592" t="n">
        <v>0</v>
      </c>
      <c r="Q592" t="n">
        <v>0</v>
      </c>
      <c r="R592" s="2" t="inlineStr"/>
    </row>
    <row r="593" ht="15" customHeight="1">
      <c r="A593" t="inlineStr">
        <is>
          <t>A 28503-2020</t>
        </is>
      </c>
      <c r="B593" s="1" t="n">
        <v>43999</v>
      </c>
      <c r="C593" s="1" t="n">
        <v>45832</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28501-2020</t>
        </is>
      </c>
      <c r="B594" s="1" t="n">
        <v>43999</v>
      </c>
      <c r="C594" s="1" t="n">
        <v>45832</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28505-2020</t>
        </is>
      </c>
      <c r="B595" s="1" t="n">
        <v>43999</v>
      </c>
      <c r="C595" s="1" t="n">
        <v>45832</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28574-2020</t>
        </is>
      </c>
      <c r="B596" s="1" t="n">
        <v>43999</v>
      </c>
      <c r="C596" s="1" t="n">
        <v>45832</v>
      </c>
      <c r="D596" t="inlineStr">
        <is>
          <t>VÄSTERBOTTENS LÄN</t>
        </is>
      </c>
      <c r="E596" t="inlineStr">
        <is>
          <t>SKELLEFTEÅ</t>
        </is>
      </c>
      <c r="F596" t="inlineStr">
        <is>
          <t>Holmen skog AB</t>
        </is>
      </c>
      <c r="G596" t="n">
        <v>19.4</v>
      </c>
      <c r="H596" t="n">
        <v>0</v>
      </c>
      <c r="I596" t="n">
        <v>0</v>
      </c>
      <c r="J596" t="n">
        <v>0</v>
      </c>
      <c r="K596" t="n">
        <v>0</v>
      </c>
      <c r="L596" t="n">
        <v>0</v>
      </c>
      <c r="M596" t="n">
        <v>0</v>
      </c>
      <c r="N596" t="n">
        <v>0</v>
      </c>
      <c r="O596" t="n">
        <v>0</v>
      </c>
      <c r="P596" t="n">
        <v>0</v>
      </c>
      <c r="Q596" t="n">
        <v>0</v>
      </c>
      <c r="R596" s="2" t="inlineStr"/>
    </row>
    <row r="597" ht="15" customHeight="1">
      <c r="A597" t="inlineStr">
        <is>
          <t>A 28986-2020</t>
        </is>
      </c>
      <c r="B597" s="1" t="n">
        <v>44000</v>
      </c>
      <c r="C597" s="1" t="n">
        <v>45832</v>
      </c>
      <c r="D597" t="inlineStr">
        <is>
          <t>VÄSTERBOTTENS LÄN</t>
        </is>
      </c>
      <c r="E597" t="inlineStr">
        <is>
          <t>SKELLEFTEÅ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28985-2020</t>
        </is>
      </c>
      <c r="B598" s="1" t="n">
        <v>44000</v>
      </c>
      <c r="C598" s="1" t="n">
        <v>45832</v>
      </c>
      <c r="D598" t="inlineStr">
        <is>
          <t>VÄSTERBOTTENS LÄN</t>
        </is>
      </c>
      <c r="E598" t="inlineStr">
        <is>
          <t>SKELLEFTEÅ</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29134-2020</t>
        </is>
      </c>
      <c r="B599" s="1" t="n">
        <v>44004</v>
      </c>
      <c r="C599" s="1" t="n">
        <v>45832</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29595-2020</t>
        </is>
      </c>
      <c r="B600" s="1" t="n">
        <v>44004</v>
      </c>
      <c r="C600" s="1" t="n">
        <v>45832</v>
      </c>
      <c r="D600" t="inlineStr">
        <is>
          <t>VÄSTERBOTTENS LÄN</t>
        </is>
      </c>
      <c r="E600" t="inlineStr">
        <is>
          <t>SKELLEFTEÅ</t>
        </is>
      </c>
      <c r="G600" t="n">
        <v>4.3</v>
      </c>
      <c r="H600" t="n">
        <v>0</v>
      </c>
      <c r="I600" t="n">
        <v>0</v>
      </c>
      <c r="J600" t="n">
        <v>0</v>
      </c>
      <c r="K600" t="n">
        <v>0</v>
      </c>
      <c r="L600" t="n">
        <v>0</v>
      </c>
      <c r="M600" t="n">
        <v>0</v>
      </c>
      <c r="N600" t="n">
        <v>0</v>
      </c>
      <c r="O600" t="n">
        <v>0</v>
      </c>
      <c r="P600" t="n">
        <v>0</v>
      </c>
      <c r="Q600" t="n">
        <v>0</v>
      </c>
      <c r="R600" s="2" t="inlineStr"/>
    </row>
    <row r="601" ht="15" customHeight="1">
      <c r="A601" t="inlineStr">
        <is>
          <t>A 29542-2020</t>
        </is>
      </c>
      <c r="B601" s="1" t="n">
        <v>44005</v>
      </c>
      <c r="C601" s="1" t="n">
        <v>45832</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29832-2020</t>
        </is>
      </c>
      <c r="B602" s="1" t="n">
        <v>44005</v>
      </c>
      <c r="C602" s="1" t="n">
        <v>45832</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29850-2020</t>
        </is>
      </c>
      <c r="B603" s="1" t="n">
        <v>44005</v>
      </c>
      <c r="C603" s="1" t="n">
        <v>45832</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29842-2020</t>
        </is>
      </c>
      <c r="B604" s="1" t="n">
        <v>44005</v>
      </c>
      <c r="C604" s="1" t="n">
        <v>45832</v>
      </c>
      <c r="D604" t="inlineStr">
        <is>
          <t>VÄSTERBOTTENS LÄN</t>
        </is>
      </c>
      <c r="E604" t="inlineStr">
        <is>
          <t>SKELLEFTEÅ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29982-2020</t>
        </is>
      </c>
      <c r="B605" s="1" t="n">
        <v>44006</v>
      </c>
      <c r="C605" s="1" t="n">
        <v>45832</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30075-2020</t>
        </is>
      </c>
      <c r="B606" s="1" t="n">
        <v>44006</v>
      </c>
      <c r="C606" s="1" t="n">
        <v>45832</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30074-2020</t>
        </is>
      </c>
      <c r="B607" s="1" t="n">
        <v>44006</v>
      </c>
      <c r="C607" s="1" t="n">
        <v>45832</v>
      </c>
      <c r="D607" t="inlineStr">
        <is>
          <t>VÄSTERBOTTENS LÄN</t>
        </is>
      </c>
      <c r="E607" t="inlineStr">
        <is>
          <t>SKELLEFTEÅ</t>
        </is>
      </c>
      <c r="F607" t="inlineStr">
        <is>
          <t>Holmen skog AB</t>
        </is>
      </c>
      <c r="G607" t="n">
        <v>5.5</v>
      </c>
      <c r="H607" t="n">
        <v>0</v>
      </c>
      <c r="I607" t="n">
        <v>0</v>
      </c>
      <c r="J607" t="n">
        <v>0</v>
      </c>
      <c r="K607" t="n">
        <v>0</v>
      </c>
      <c r="L607" t="n">
        <v>0</v>
      </c>
      <c r="M607" t="n">
        <v>0</v>
      </c>
      <c r="N607" t="n">
        <v>0</v>
      </c>
      <c r="O607" t="n">
        <v>0</v>
      </c>
      <c r="P607" t="n">
        <v>0</v>
      </c>
      <c r="Q607" t="n">
        <v>0</v>
      </c>
      <c r="R607" s="2" t="inlineStr"/>
    </row>
    <row r="608" ht="15" customHeight="1">
      <c r="A608" t="inlineStr">
        <is>
          <t>A 30408-2020</t>
        </is>
      </c>
      <c r="B608" s="1" t="n">
        <v>44007</v>
      </c>
      <c r="C608" s="1" t="n">
        <v>45832</v>
      </c>
      <c r="D608" t="inlineStr">
        <is>
          <t>VÄSTERBOTTENS LÄN</t>
        </is>
      </c>
      <c r="E608" t="inlineStr">
        <is>
          <t>SKELLEFTEÅ</t>
        </is>
      </c>
      <c r="G608" t="n">
        <v>24.3</v>
      </c>
      <c r="H608" t="n">
        <v>0</v>
      </c>
      <c r="I608" t="n">
        <v>0</v>
      </c>
      <c r="J608" t="n">
        <v>0</v>
      </c>
      <c r="K608" t="n">
        <v>0</v>
      </c>
      <c r="L608" t="n">
        <v>0</v>
      </c>
      <c r="M608" t="n">
        <v>0</v>
      </c>
      <c r="N608" t="n">
        <v>0</v>
      </c>
      <c r="O608" t="n">
        <v>0</v>
      </c>
      <c r="P608" t="n">
        <v>0</v>
      </c>
      <c r="Q608" t="n">
        <v>0</v>
      </c>
      <c r="R608" s="2" t="inlineStr"/>
    </row>
    <row r="609" ht="15" customHeight="1">
      <c r="A609" t="inlineStr">
        <is>
          <t>A 30712-2020</t>
        </is>
      </c>
      <c r="B609" s="1" t="n">
        <v>44008</v>
      </c>
      <c r="C609" s="1" t="n">
        <v>45832</v>
      </c>
      <c r="D609" t="inlineStr">
        <is>
          <t>VÄSTERBOTTENS LÄN</t>
        </is>
      </c>
      <c r="E609" t="inlineStr">
        <is>
          <t>SKELLEFTEÅ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30653-2020</t>
        </is>
      </c>
      <c r="B610" s="1" t="n">
        <v>44008</v>
      </c>
      <c r="C610" s="1" t="n">
        <v>45832</v>
      </c>
      <c r="D610" t="inlineStr">
        <is>
          <t>VÄSTERBOTTENS LÄN</t>
        </is>
      </c>
      <c r="E610" t="inlineStr">
        <is>
          <t>SKELLEFTEÅ</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30709-2020</t>
        </is>
      </c>
      <c r="B611" s="1" t="n">
        <v>44008</v>
      </c>
      <c r="C611" s="1" t="n">
        <v>45832</v>
      </c>
      <c r="D611" t="inlineStr">
        <is>
          <t>VÄSTERBOTTENS LÄN</t>
        </is>
      </c>
      <c r="E611" t="inlineStr">
        <is>
          <t>SKELLEFTEÅ</t>
        </is>
      </c>
      <c r="F611" t="inlineStr">
        <is>
          <t>Holmen skog AB</t>
        </is>
      </c>
      <c r="G611" t="n">
        <v>7.5</v>
      </c>
      <c r="H611" t="n">
        <v>0</v>
      </c>
      <c r="I611" t="n">
        <v>0</v>
      </c>
      <c r="J611" t="n">
        <v>0</v>
      </c>
      <c r="K611" t="n">
        <v>0</v>
      </c>
      <c r="L611" t="n">
        <v>0</v>
      </c>
      <c r="M611" t="n">
        <v>0</v>
      </c>
      <c r="N611" t="n">
        <v>0</v>
      </c>
      <c r="O611" t="n">
        <v>0</v>
      </c>
      <c r="P611" t="n">
        <v>0</v>
      </c>
      <c r="Q611" t="n">
        <v>0</v>
      </c>
      <c r="R611" s="2" t="inlineStr"/>
    </row>
    <row r="612" ht="15" customHeight="1">
      <c r="A612" t="inlineStr">
        <is>
          <t>A 30728-2020</t>
        </is>
      </c>
      <c r="B612" s="1" t="n">
        <v>44008</v>
      </c>
      <c r="C612" s="1" t="n">
        <v>45832</v>
      </c>
      <c r="D612" t="inlineStr">
        <is>
          <t>VÄSTERBOTTENS LÄN</t>
        </is>
      </c>
      <c r="E612" t="inlineStr">
        <is>
          <t>SKELLEFTEÅ</t>
        </is>
      </c>
      <c r="F612" t="inlineStr">
        <is>
          <t>Holmen skog AB</t>
        </is>
      </c>
      <c r="G612" t="n">
        <v>10.7</v>
      </c>
      <c r="H612" t="n">
        <v>0</v>
      </c>
      <c r="I612" t="n">
        <v>0</v>
      </c>
      <c r="J612" t="n">
        <v>0</v>
      </c>
      <c r="K612" t="n">
        <v>0</v>
      </c>
      <c r="L612" t="n">
        <v>0</v>
      </c>
      <c r="M612" t="n">
        <v>0</v>
      </c>
      <c r="N612" t="n">
        <v>0</v>
      </c>
      <c r="O612" t="n">
        <v>0</v>
      </c>
      <c r="P612" t="n">
        <v>0</v>
      </c>
      <c r="Q612" t="n">
        <v>0</v>
      </c>
      <c r="R612" s="2" t="inlineStr"/>
    </row>
    <row r="613" ht="15" customHeight="1">
      <c r="A613" t="inlineStr">
        <is>
          <t>A 30841-2020</t>
        </is>
      </c>
      <c r="B613" s="1" t="n">
        <v>44008</v>
      </c>
      <c r="C613" s="1" t="n">
        <v>45832</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30877-2020</t>
        </is>
      </c>
      <c r="B614" s="1" t="n">
        <v>44011</v>
      </c>
      <c r="C614" s="1" t="n">
        <v>45832</v>
      </c>
      <c r="D614" t="inlineStr">
        <is>
          <t>VÄSTERBOTTENS LÄN</t>
        </is>
      </c>
      <c r="E614" t="inlineStr">
        <is>
          <t>SKELLEFTEÅ</t>
        </is>
      </c>
      <c r="F614" t="inlineStr">
        <is>
          <t>Kyrkan</t>
        </is>
      </c>
      <c r="G614" t="n">
        <v>13.7</v>
      </c>
      <c r="H614" t="n">
        <v>0</v>
      </c>
      <c r="I614" t="n">
        <v>0</v>
      </c>
      <c r="J614" t="n">
        <v>0</v>
      </c>
      <c r="K614" t="n">
        <v>0</v>
      </c>
      <c r="L614" t="n">
        <v>0</v>
      </c>
      <c r="M614" t="n">
        <v>0</v>
      </c>
      <c r="N614" t="n">
        <v>0</v>
      </c>
      <c r="O614" t="n">
        <v>0</v>
      </c>
      <c r="P614" t="n">
        <v>0</v>
      </c>
      <c r="Q614" t="n">
        <v>0</v>
      </c>
      <c r="R614" s="2" t="inlineStr"/>
    </row>
    <row r="615" ht="15" customHeight="1">
      <c r="A615" t="inlineStr">
        <is>
          <t>A 30949-2020</t>
        </is>
      </c>
      <c r="B615" s="1" t="n">
        <v>44011</v>
      </c>
      <c r="C615" s="1" t="n">
        <v>45832</v>
      </c>
      <c r="D615" t="inlineStr">
        <is>
          <t>VÄSTERBOTTENS LÄN</t>
        </is>
      </c>
      <c r="E615" t="inlineStr">
        <is>
          <t>SKELLEFTEÅ</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31060-2020</t>
        </is>
      </c>
      <c r="B616" s="1" t="n">
        <v>44012</v>
      </c>
      <c r="C616" s="1" t="n">
        <v>45832</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31434-2020</t>
        </is>
      </c>
      <c r="B617" s="1" t="n">
        <v>44012</v>
      </c>
      <c r="C617" s="1" t="n">
        <v>45832</v>
      </c>
      <c r="D617" t="inlineStr">
        <is>
          <t>VÄSTERBOTTENS LÄN</t>
        </is>
      </c>
      <c r="E617" t="inlineStr">
        <is>
          <t>SKELLEFTEÅ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31331-2020</t>
        </is>
      </c>
      <c r="B618" s="1" t="n">
        <v>44012</v>
      </c>
      <c r="C618" s="1" t="n">
        <v>45832</v>
      </c>
      <c r="D618" t="inlineStr">
        <is>
          <t>VÄSTERBOTTENS LÄN</t>
        </is>
      </c>
      <c r="E618" t="inlineStr">
        <is>
          <t>SKELLEFTEÅ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31490-2020</t>
        </is>
      </c>
      <c r="B619" s="1" t="n">
        <v>44013</v>
      </c>
      <c r="C619" s="1" t="n">
        <v>45832</v>
      </c>
      <c r="D619" t="inlineStr">
        <is>
          <t>VÄSTERBOTTENS LÄN</t>
        </is>
      </c>
      <c r="E619" t="inlineStr">
        <is>
          <t>SKELLEFTEÅ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31515-2020</t>
        </is>
      </c>
      <c r="B620" s="1" t="n">
        <v>44013</v>
      </c>
      <c r="C620" s="1" t="n">
        <v>45832</v>
      </c>
      <c r="D620" t="inlineStr">
        <is>
          <t>VÄSTERBOTTENS LÄN</t>
        </is>
      </c>
      <c r="E620" t="inlineStr">
        <is>
          <t>SKELLEFTEÅ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31519-2020</t>
        </is>
      </c>
      <c r="B621" s="1" t="n">
        <v>44013</v>
      </c>
      <c r="C621" s="1" t="n">
        <v>45832</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31501-2020</t>
        </is>
      </c>
      <c r="B622" s="1" t="n">
        <v>44013</v>
      </c>
      <c r="C622" s="1" t="n">
        <v>45832</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31736-2020</t>
        </is>
      </c>
      <c r="B623" s="1" t="n">
        <v>44013</v>
      </c>
      <c r="C623" s="1" t="n">
        <v>45832</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31734-2020</t>
        </is>
      </c>
      <c r="B624" s="1" t="n">
        <v>44013</v>
      </c>
      <c r="C624" s="1" t="n">
        <v>45832</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32173-2020</t>
        </is>
      </c>
      <c r="B625" s="1" t="n">
        <v>44015</v>
      </c>
      <c r="C625" s="1" t="n">
        <v>45832</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32511-2020</t>
        </is>
      </c>
      <c r="B626" s="1" t="n">
        <v>44017</v>
      </c>
      <c r="C626" s="1" t="n">
        <v>45832</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32549-2020</t>
        </is>
      </c>
      <c r="B627" s="1" t="n">
        <v>44017</v>
      </c>
      <c r="C627" s="1" t="n">
        <v>45832</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32526-2020</t>
        </is>
      </c>
      <c r="B628" s="1" t="n">
        <v>44017</v>
      </c>
      <c r="C628" s="1" t="n">
        <v>45832</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32530-2020</t>
        </is>
      </c>
      <c r="B629" s="1" t="n">
        <v>44017</v>
      </c>
      <c r="C629" s="1" t="n">
        <v>45832</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32885-2020</t>
        </is>
      </c>
      <c r="B630" s="1" t="n">
        <v>44020</v>
      </c>
      <c r="C630" s="1" t="n">
        <v>45832</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32864-2020</t>
        </is>
      </c>
      <c r="B631" s="1" t="n">
        <v>44020</v>
      </c>
      <c r="C631" s="1" t="n">
        <v>45832</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33086-2020</t>
        </is>
      </c>
      <c r="B632" s="1" t="n">
        <v>44021</v>
      </c>
      <c r="C632" s="1" t="n">
        <v>45832</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33327-2020</t>
        </is>
      </c>
      <c r="B633" s="1" t="n">
        <v>44022</v>
      </c>
      <c r="C633" s="1" t="n">
        <v>45832</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33322-2020</t>
        </is>
      </c>
      <c r="B634" s="1" t="n">
        <v>44022</v>
      </c>
      <c r="C634" s="1" t="n">
        <v>45832</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33424-2020</t>
        </is>
      </c>
      <c r="B635" s="1" t="n">
        <v>44022</v>
      </c>
      <c r="C635" s="1" t="n">
        <v>45832</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33791-2020</t>
        </is>
      </c>
      <c r="B636" s="1" t="n">
        <v>44026</v>
      </c>
      <c r="C636" s="1" t="n">
        <v>45832</v>
      </c>
      <c r="D636" t="inlineStr">
        <is>
          <t>VÄSTERBOTTENS LÄN</t>
        </is>
      </c>
      <c r="E636" t="inlineStr">
        <is>
          <t>SKELLEFTEÅ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34235-2020</t>
        </is>
      </c>
      <c r="B637" s="1" t="n">
        <v>44027</v>
      </c>
      <c r="C637" s="1" t="n">
        <v>45832</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34173-2020</t>
        </is>
      </c>
      <c r="B638" s="1" t="n">
        <v>44029</v>
      </c>
      <c r="C638" s="1" t="n">
        <v>45832</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34155-2020</t>
        </is>
      </c>
      <c r="B639" s="1" t="n">
        <v>44029</v>
      </c>
      <c r="C639" s="1" t="n">
        <v>45832</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34169-2020</t>
        </is>
      </c>
      <c r="B640" s="1" t="n">
        <v>44029</v>
      </c>
      <c r="C640" s="1" t="n">
        <v>45832</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34177-2020</t>
        </is>
      </c>
      <c r="B641" s="1" t="n">
        <v>44029</v>
      </c>
      <c r="C641" s="1" t="n">
        <v>45832</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34142-2020</t>
        </is>
      </c>
      <c r="B642" s="1" t="n">
        <v>44029</v>
      </c>
      <c r="C642" s="1" t="n">
        <v>45832</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34351-2020</t>
        </is>
      </c>
      <c r="B643" s="1" t="n">
        <v>44032</v>
      </c>
      <c r="C643" s="1" t="n">
        <v>45832</v>
      </c>
      <c r="D643" t="inlineStr">
        <is>
          <t>VÄSTERBOTTENS LÄN</t>
        </is>
      </c>
      <c r="E643" t="inlineStr">
        <is>
          <t>SKELLEFTEÅ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34517-2020</t>
        </is>
      </c>
      <c r="B644" s="1" t="n">
        <v>44033</v>
      </c>
      <c r="C644" s="1" t="n">
        <v>45832</v>
      </c>
      <c r="D644" t="inlineStr">
        <is>
          <t>VÄSTERBOTTENS LÄN</t>
        </is>
      </c>
      <c r="E644" t="inlineStr">
        <is>
          <t>SKELLEFTEÅ</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35173-2020</t>
        </is>
      </c>
      <c r="B645" s="1" t="n">
        <v>44040</v>
      </c>
      <c r="C645" s="1" t="n">
        <v>45832</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35285-2020</t>
        </is>
      </c>
      <c r="B646" s="1" t="n">
        <v>44041</v>
      </c>
      <c r="C646" s="1" t="n">
        <v>45832</v>
      </c>
      <c r="D646" t="inlineStr">
        <is>
          <t>VÄSTERBOTTENS LÄN</t>
        </is>
      </c>
      <c r="E646" t="inlineStr">
        <is>
          <t>SKELLEFTEÅ</t>
        </is>
      </c>
      <c r="F646" t="inlineStr">
        <is>
          <t>Holmen skog AB</t>
        </is>
      </c>
      <c r="G646" t="n">
        <v>4.2</v>
      </c>
      <c r="H646" t="n">
        <v>0</v>
      </c>
      <c r="I646" t="n">
        <v>0</v>
      </c>
      <c r="J646" t="n">
        <v>0</v>
      </c>
      <c r="K646" t="n">
        <v>0</v>
      </c>
      <c r="L646" t="n">
        <v>0</v>
      </c>
      <c r="M646" t="n">
        <v>0</v>
      </c>
      <c r="N646" t="n">
        <v>0</v>
      </c>
      <c r="O646" t="n">
        <v>0</v>
      </c>
      <c r="P646" t="n">
        <v>0</v>
      </c>
      <c r="Q646" t="n">
        <v>0</v>
      </c>
      <c r="R646" s="2" t="inlineStr"/>
    </row>
    <row r="647" ht="15" customHeight="1">
      <c r="A647" t="inlineStr">
        <is>
          <t>A 35806-2020</t>
        </is>
      </c>
      <c r="B647" s="1" t="n">
        <v>44046</v>
      </c>
      <c r="C647" s="1" t="n">
        <v>45832</v>
      </c>
      <c r="D647" t="inlineStr">
        <is>
          <t>VÄSTERBOTTENS LÄN</t>
        </is>
      </c>
      <c r="E647" t="inlineStr">
        <is>
          <t>SKELLEFTEÅ</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35807-2020</t>
        </is>
      </c>
      <c r="B648" s="1" t="n">
        <v>44046</v>
      </c>
      <c r="C648" s="1" t="n">
        <v>45832</v>
      </c>
      <c r="D648" t="inlineStr">
        <is>
          <t>VÄSTERBOTTENS LÄN</t>
        </is>
      </c>
      <c r="E648" t="inlineStr">
        <is>
          <t>SKELLEFTEÅ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36401-2020</t>
        </is>
      </c>
      <c r="B649" s="1" t="n">
        <v>44049</v>
      </c>
      <c r="C649" s="1" t="n">
        <v>45832</v>
      </c>
      <c r="D649" t="inlineStr">
        <is>
          <t>VÄSTERBOTTENS LÄN</t>
        </is>
      </c>
      <c r="E649" t="inlineStr">
        <is>
          <t>SKELLEFTEÅ</t>
        </is>
      </c>
      <c r="F649" t="inlineStr">
        <is>
          <t>Holmen skog AB</t>
        </is>
      </c>
      <c r="G649" t="n">
        <v>11.1</v>
      </c>
      <c r="H649" t="n">
        <v>0</v>
      </c>
      <c r="I649" t="n">
        <v>0</v>
      </c>
      <c r="J649" t="n">
        <v>0</v>
      </c>
      <c r="K649" t="n">
        <v>0</v>
      </c>
      <c r="L649" t="n">
        <v>0</v>
      </c>
      <c r="M649" t="n">
        <v>0</v>
      </c>
      <c r="N649" t="n">
        <v>0</v>
      </c>
      <c r="O649" t="n">
        <v>0</v>
      </c>
      <c r="P649" t="n">
        <v>0</v>
      </c>
      <c r="Q649" t="n">
        <v>0</v>
      </c>
      <c r="R649" s="2" t="inlineStr"/>
    </row>
    <row r="650" ht="15" customHeight="1">
      <c r="A650" t="inlineStr">
        <is>
          <t>A 38217-2020</t>
        </is>
      </c>
      <c r="B650" s="1" t="n">
        <v>44050</v>
      </c>
      <c r="C650" s="1" t="n">
        <v>45832</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37384-2020</t>
        </is>
      </c>
      <c r="B651" s="1" t="n">
        <v>44055</v>
      </c>
      <c r="C651" s="1" t="n">
        <v>45832</v>
      </c>
      <c r="D651" t="inlineStr">
        <is>
          <t>VÄSTERBOTTENS LÄN</t>
        </is>
      </c>
      <c r="E651" t="inlineStr">
        <is>
          <t>SKELLEFTEÅ</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37393-2020</t>
        </is>
      </c>
      <c r="B652" s="1" t="n">
        <v>44055</v>
      </c>
      <c r="C652" s="1" t="n">
        <v>45832</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37268-2020</t>
        </is>
      </c>
      <c r="B653" s="1" t="n">
        <v>44055</v>
      </c>
      <c r="C653" s="1" t="n">
        <v>45832</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37860-2020</t>
        </is>
      </c>
      <c r="B654" s="1" t="n">
        <v>44057</v>
      </c>
      <c r="C654" s="1" t="n">
        <v>45832</v>
      </c>
      <c r="D654" t="inlineStr">
        <is>
          <t>VÄSTERBOTTENS LÄN</t>
        </is>
      </c>
      <c r="E654" t="inlineStr">
        <is>
          <t>SKELLEFTEÅ</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37858-2020</t>
        </is>
      </c>
      <c r="B655" s="1" t="n">
        <v>44057</v>
      </c>
      <c r="C655" s="1" t="n">
        <v>45832</v>
      </c>
      <c r="D655" t="inlineStr">
        <is>
          <t>VÄSTERBOTTENS LÄN</t>
        </is>
      </c>
      <c r="E655" t="inlineStr">
        <is>
          <t>SKELLEFTEÅ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37869-2020</t>
        </is>
      </c>
      <c r="B656" s="1" t="n">
        <v>44057</v>
      </c>
      <c r="C656" s="1" t="n">
        <v>45832</v>
      </c>
      <c r="D656" t="inlineStr">
        <is>
          <t>VÄSTERBOTTENS LÄN</t>
        </is>
      </c>
      <c r="E656" t="inlineStr">
        <is>
          <t>SKELLEFTEÅ</t>
        </is>
      </c>
      <c r="G656" t="n">
        <v>11.5</v>
      </c>
      <c r="H656" t="n">
        <v>0</v>
      </c>
      <c r="I656" t="n">
        <v>0</v>
      </c>
      <c r="J656" t="n">
        <v>0</v>
      </c>
      <c r="K656" t="n">
        <v>0</v>
      </c>
      <c r="L656" t="n">
        <v>0</v>
      </c>
      <c r="M656" t="n">
        <v>0</v>
      </c>
      <c r="N656" t="n">
        <v>0</v>
      </c>
      <c r="O656" t="n">
        <v>0</v>
      </c>
      <c r="P656" t="n">
        <v>0</v>
      </c>
      <c r="Q656" t="n">
        <v>0</v>
      </c>
      <c r="R656" s="2" t="inlineStr"/>
    </row>
    <row r="657" ht="15" customHeight="1">
      <c r="A657" t="inlineStr">
        <is>
          <t>A 37862-2020</t>
        </is>
      </c>
      <c r="B657" s="1" t="n">
        <v>44057</v>
      </c>
      <c r="C657" s="1" t="n">
        <v>45832</v>
      </c>
      <c r="D657" t="inlineStr">
        <is>
          <t>VÄSTERBOTTENS LÄN</t>
        </is>
      </c>
      <c r="E657" t="inlineStr">
        <is>
          <t>SKELLEFTEÅ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38174-2020</t>
        </is>
      </c>
      <c r="B658" s="1" t="n">
        <v>44057</v>
      </c>
      <c r="C658" s="1" t="n">
        <v>45832</v>
      </c>
      <c r="D658" t="inlineStr">
        <is>
          <t>VÄSTERBOTTENS LÄN</t>
        </is>
      </c>
      <c r="E658" t="inlineStr">
        <is>
          <t>SKELLEFTEÅ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38181-2020</t>
        </is>
      </c>
      <c r="B659" s="1" t="n">
        <v>44057</v>
      </c>
      <c r="C659" s="1" t="n">
        <v>45832</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38120-2020</t>
        </is>
      </c>
      <c r="B660" s="1" t="n">
        <v>44059</v>
      </c>
      <c r="C660" s="1" t="n">
        <v>45832</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38132-2020</t>
        </is>
      </c>
      <c r="B661" s="1" t="n">
        <v>44059</v>
      </c>
      <c r="C661" s="1" t="n">
        <v>45832</v>
      </c>
      <c r="D661" t="inlineStr">
        <is>
          <t>VÄSTERBOTTENS LÄN</t>
        </is>
      </c>
      <c r="E661" t="inlineStr">
        <is>
          <t>SKELLEFTEÅ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38119-2020</t>
        </is>
      </c>
      <c r="B662" s="1" t="n">
        <v>44059</v>
      </c>
      <c r="C662" s="1" t="n">
        <v>45832</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38187-2020</t>
        </is>
      </c>
      <c r="B663" s="1" t="n">
        <v>44060</v>
      </c>
      <c r="C663" s="1" t="n">
        <v>45832</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38192-2020</t>
        </is>
      </c>
      <c r="B664" s="1" t="n">
        <v>44060</v>
      </c>
      <c r="C664" s="1" t="n">
        <v>45832</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39268-2020</t>
        </is>
      </c>
      <c r="B665" s="1" t="n">
        <v>44063</v>
      </c>
      <c r="C665" s="1" t="n">
        <v>45832</v>
      </c>
      <c r="D665" t="inlineStr">
        <is>
          <t>VÄSTERBOTTENS LÄN</t>
        </is>
      </c>
      <c r="E665" t="inlineStr">
        <is>
          <t>SKELLEFTEÅ</t>
        </is>
      </c>
      <c r="F665" t="inlineStr">
        <is>
          <t>Holmen skog AB</t>
        </is>
      </c>
      <c r="G665" t="n">
        <v>10.2</v>
      </c>
      <c r="H665" t="n">
        <v>0</v>
      </c>
      <c r="I665" t="n">
        <v>0</v>
      </c>
      <c r="J665" t="n">
        <v>0</v>
      </c>
      <c r="K665" t="n">
        <v>0</v>
      </c>
      <c r="L665" t="n">
        <v>0</v>
      </c>
      <c r="M665" t="n">
        <v>0</v>
      </c>
      <c r="N665" t="n">
        <v>0</v>
      </c>
      <c r="O665" t="n">
        <v>0</v>
      </c>
      <c r="P665" t="n">
        <v>0</v>
      </c>
      <c r="Q665" t="n">
        <v>0</v>
      </c>
      <c r="R665" s="2" t="inlineStr"/>
    </row>
    <row r="666" ht="15" customHeight="1">
      <c r="A666" t="inlineStr">
        <is>
          <t>A 39992-2020</t>
        </is>
      </c>
      <c r="B666" s="1" t="n">
        <v>44067</v>
      </c>
      <c r="C666" s="1" t="n">
        <v>45832</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40196-2020</t>
        </is>
      </c>
      <c r="B667" s="1" t="n">
        <v>44068</v>
      </c>
      <c r="C667" s="1" t="n">
        <v>45832</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40277-2020</t>
        </is>
      </c>
      <c r="B668" s="1" t="n">
        <v>44068</v>
      </c>
      <c r="C668" s="1" t="n">
        <v>45832</v>
      </c>
      <c r="D668" t="inlineStr">
        <is>
          <t>VÄSTERBOTTENS LÄN</t>
        </is>
      </c>
      <c r="E668" t="inlineStr">
        <is>
          <t>SKELLEFTEÅ</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40860-2020</t>
        </is>
      </c>
      <c r="B669" s="1" t="n">
        <v>44068</v>
      </c>
      <c r="C669" s="1" t="n">
        <v>45832</v>
      </c>
      <c r="D669" t="inlineStr">
        <is>
          <t>VÄSTERBOTTENS LÄN</t>
        </is>
      </c>
      <c r="E669" t="inlineStr">
        <is>
          <t>SKELLEFTEÅ</t>
        </is>
      </c>
      <c r="G669" t="n">
        <v>8.9</v>
      </c>
      <c r="H669" t="n">
        <v>0</v>
      </c>
      <c r="I669" t="n">
        <v>0</v>
      </c>
      <c r="J669" t="n">
        <v>0</v>
      </c>
      <c r="K669" t="n">
        <v>0</v>
      </c>
      <c r="L669" t="n">
        <v>0</v>
      </c>
      <c r="M669" t="n">
        <v>0</v>
      </c>
      <c r="N669" t="n">
        <v>0</v>
      </c>
      <c r="O669" t="n">
        <v>0</v>
      </c>
      <c r="P669" t="n">
        <v>0</v>
      </c>
      <c r="Q669" t="n">
        <v>0</v>
      </c>
      <c r="R669" s="2" t="inlineStr"/>
    </row>
    <row r="670" ht="15" customHeight="1">
      <c r="A670" t="inlineStr">
        <is>
          <t>A 41005-2020</t>
        </is>
      </c>
      <c r="B670" s="1" t="n">
        <v>44068</v>
      </c>
      <c r="C670" s="1" t="n">
        <v>45832</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40469-2020</t>
        </is>
      </c>
      <c r="B671" s="1" t="n">
        <v>44069</v>
      </c>
      <c r="C671" s="1" t="n">
        <v>45832</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40566-2020</t>
        </is>
      </c>
      <c r="B672" s="1" t="n">
        <v>44069</v>
      </c>
      <c r="C672" s="1" t="n">
        <v>45832</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40756-2020</t>
        </is>
      </c>
      <c r="B673" s="1" t="n">
        <v>44069</v>
      </c>
      <c r="C673" s="1" t="n">
        <v>45832</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40828-2020</t>
        </is>
      </c>
      <c r="B674" s="1" t="n">
        <v>44070</v>
      </c>
      <c r="C674" s="1" t="n">
        <v>45832</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41372-2020</t>
        </is>
      </c>
      <c r="B675" s="1" t="n">
        <v>44071</v>
      </c>
      <c r="C675" s="1" t="n">
        <v>45832</v>
      </c>
      <c r="D675" t="inlineStr">
        <is>
          <t>VÄSTERBOTTENS LÄN</t>
        </is>
      </c>
      <c r="E675" t="inlineStr">
        <is>
          <t>SKELLEFTEÅ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42123-2020</t>
        </is>
      </c>
      <c r="B676" s="1" t="n">
        <v>44071</v>
      </c>
      <c r="C676" s="1" t="n">
        <v>45832</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41428-2020</t>
        </is>
      </c>
      <c r="B677" s="1" t="n">
        <v>44073</v>
      </c>
      <c r="C677" s="1" t="n">
        <v>45832</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41841-2020</t>
        </is>
      </c>
      <c r="B678" s="1" t="n">
        <v>44074</v>
      </c>
      <c r="C678" s="1" t="n">
        <v>45832</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42049-2020</t>
        </is>
      </c>
      <c r="B679" s="1" t="n">
        <v>44074</v>
      </c>
      <c r="C679" s="1" t="n">
        <v>45832</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41989-2020</t>
        </is>
      </c>
      <c r="B680" s="1" t="n">
        <v>44075</v>
      </c>
      <c r="C680" s="1" t="n">
        <v>45832</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42685-2020</t>
        </is>
      </c>
      <c r="B681" s="1" t="n">
        <v>44075</v>
      </c>
      <c r="C681" s="1" t="n">
        <v>45832</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42679-2020</t>
        </is>
      </c>
      <c r="B682" s="1" t="n">
        <v>44075</v>
      </c>
      <c r="C682" s="1" t="n">
        <v>45832</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43331-2020</t>
        </is>
      </c>
      <c r="B683" s="1" t="n">
        <v>44076</v>
      </c>
      <c r="C683" s="1" t="n">
        <v>45832</v>
      </c>
      <c r="D683" t="inlineStr">
        <is>
          <t>VÄSTERBOTTENS LÄN</t>
        </is>
      </c>
      <c r="E683" t="inlineStr">
        <is>
          <t>SKELLEFTEÅ</t>
        </is>
      </c>
      <c r="G683" t="n">
        <v>3.8</v>
      </c>
      <c r="H683" t="n">
        <v>0</v>
      </c>
      <c r="I683" t="n">
        <v>0</v>
      </c>
      <c r="J683" t="n">
        <v>0</v>
      </c>
      <c r="K683" t="n">
        <v>0</v>
      </c>
      <c r="L683" t="n">
        <v>0</v>
      </c>
      <c r="M683" t="n">
        <v>0</v>
      </c>
      <c r="N683" t="n">
        <v>0</v>
      </c>
      <c r="O683" t="n">
        <v>0</v>
      </c>
      <c r="P683" t="n">
        <v>0</v>
      </c>
      <c r="Q683" t="n">
        <v>0</v>
      </c>
      <c r="R683" s="2" t="inlineStr"/>
    </row>
    <row r="684" ht="15" customHeight="1">
      <c r="A684" t="inlineStr">
        <is>
          <t>A 42648-2020</t>
        </is>
      </c>
      <c r="B684" s="1" t="n">
        <v>44077</v>
      </c>
      <c r="C684" s="1" t="n">
        <v>45832</v>
      </c>
      <c r="D684" t="inlineStr">
        <is>
          <t>VÄSTERBOTTENS LÄN</t>
        </is>
      </c>
      <c r="E684" t="inlineStr">
        <is>
          <t>SKELLEFTEÅ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42808-2020</t>
        </is>
      </c>
      <c r="B685" s="1" t="n">
        <v>44078</v>
      </c>
      <c r="C685" s="1" t="n">
        <v>45832</v>
      </c>
      <c r="D685" t="inlineStr">
        <is>
          <t>VÄSTERBOTTENS LÄN</t>
        </is>
      </c>
      <c r="E685" t="inlineStr">
        <is>
          <t>SKELLEFTEÅ</t>
        </is>
      </c>
      <c r="F685" t="inlineStr">
        <is>
          <t>Kommuner</t>
        </is>
      </c>
      <c r="G685" t="n">
        <v>6.5</v>
      </c>
      <c r="H685" t="n">
        <v>0</v>
      </c>
      <c r="I685" t="n">
        <v>0</v>
      </c>
      <c r="J685" t="n">
        <v>0</v>
      </c>
      <c r="K685" t="n">
        <v>0</v>
      </c>
      <c r="L685" t="n">
        <v>0</v>
      </c>
      <c r="M685" t="n">
        <v>0</v>
      </c>
      <c r="N685" t="n">
        <v>0</v>
      </c>
      <c r="O685" t="n">
        <v>0</v>
      </c>
      <c r="P685" t="n">
        <v>0</v>
      </c>
      <c r="Q685" t="n">
        <v>0</v>
      </c>
      <c r="R685" s="2" t="inlineStr"/>
    </row>
    <row r="686" ht="15" customHeight="1">
      <c r="A686" t="inlineStr">
        <is>
          <t>A 43054-2020</t>
        </is>
      </c>
      <c r="B686" s="1" t="n">
        <v>44078</v>
      </c>
      <c r="C686" s="1" t="n">
        <v>45832</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43222-2020</t>
        </is>
      </c>
      <c r="B687" s="1" t="n">
        <v>44081</v>
      </c>
      <c r="C687" s="1" t="n">
        <v>45832</v>
      </c>
      <c r="D687" t="inlineStr">
        <is>
          <t>VÄSTERBOTTENS LÄN</t>
        </is>
      </c>
      <c r="E687" t="inlineStr">
        <is>
          <t>SKELLEFTEÅ</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43292-2020</t>
        </is>
      </c>
      <c r="B688" s="1" t="n">
        <v>44081</v>
      </c>
      <c r="C688" s="1" t="n">
        <v>45832</v>
      </c>
      <c r="D688" t="inlineStr">
        <is>
          <t>VÄSTERBOTTENS LÄN</t>
        </is>
      </c>
      <c r="E688" t="inlineStr">
        <is>
          <t>SKELLEFTEÅ</t>
        </is>
      </c>
      <c r="F688" t="inlineStr">
        <is>
          <t>Sveaskog</t>
        </is>
      </c>
      <c r="G688" t="n">
        <v>10.1</v>
      </c>
      <c r="H688" t="n">
        <v>0</v>
      </c>
      <c r="I688" t="n">
        <v>0</v>
      </c>
      <c r="J688" t="n">
        <v>0</v>
      </c>
      <c r="K688" t="n">
        <v>0</v>
      </c>
      <c r="L688" t="n">
        <v>0</v>
      </c>
      <c r="M688" t="n">
        <v>0</v>
      </c>
      <c r="N688" t="n">
        <v>0</v>
      </c>
      <c r="O688" t="n">
        <v>0</v>
      </c>
      <c r="P688" t="n">
        <v>0</v>
      </c>
      <c r="Q688" t="n">
        <v>0</v>
      </c>
      <c r="R688" s="2" t="inlineStr"/>
    </row>
    <row r="689" ht="15" customHeight="1">
      <c r="A689" t="inlineStr">
        <is>
          <t>A 43344-2020</t>
        </is>
      </c>
      <c r="B689" s="1" t="n">
        <v>44081</v>
      </c>
      <c r="C689" s="1" t="n">
        <v>45832</v>
      </c>
      <c r="D689" t="inlineStr">
        <is>
          <t>VÄSTERBOTTENS LÄN</t>
        </is>
      </c>
      <c r="E689" t="inlineStr">
        <is>
          <t>SKELLEFTEÅ</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43327-2020</t>
        </is>
      </c>
      <c r="B690" s="1" t="n">
        <v>44081</v>
      </c>
      <c r="C690" s="1" t="n">
        <v>45832</v>
      </c>
      <c r="D690" t="inlineStr">
        <is>
          <t>VÄSTERBOTTENS LÄN</t>
        </is>
      </c>
      <c r="E690" t="inlineStr">
        <is>
          <t>SKELLEFTEÅ</t>
        </is>
      </c>
      <c r="F690" t="inlineStr">
        <is>
          <t>Sveaskog</t>
        </is>
      </c>
      <c r="G690" t="n">
        <v>23.3</v>
      </c>
      <c r="H690" t="n">
        <v>0</v>
      </c>
      <c r="I690" t="n">
        <v>0</v>
      </c>
      <c r="J690" t="n">
        <v>0</v>
      </c>
      <c r="K690" t="n">
        <v>0</v>
      </c>
      <c r="L690" t="n">
        <v>0</v>
      </c>
      <c r="M690" t="n">
        <v>0</v>
      </c>
      <c r="N690" t="n">
        <v>0</v>
      </c>
      <c r="O690" t="n">
        <v>0</v>
      </c>
      <c r="P690" t="n">
        <v>0</v>
      </c>
      <c r="Q690" t="n">
        <v>0</v>
      </c>
      <c r="R690" s="2" t="inlineStr"/>
    </row>
    <row r="691" ht="15" customHeight="1">
      <c r="A691" t="inlineStr">
        <is>
          <t>A 43505-2020</t>
        </is>
      </c>
      <c r="B691" s="1" t="n">
        <v>44082</v>
      </c>
      <c r="C691" s="1" t="n">
        <v>45832</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44564-2020</t>
        </is>
      </c>
      <c r="B692" s="1" t="n">
        <v>44082</v>
      </c>
      <c r="C692" s="1" t="n">
        <v>45832</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44721-2020</t>
        </is>
      </c>
      <c r="B693" s="1" t="n">
        <v>44082</v>
      </c>
      <c r="C693" s="1" t="n">
        <v>45832</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43928-2020</t>
        </is>
      </c>
      <c r="B694" s="1" t="n">
        <v>44083</v>
      </c>
      <c r="C694" s="1" t="n">
        <v>45832</v>
      </c>
      <c r="D694" t="inlineStr">
        <is>
          <t>VÄSTERBOTTENS LÄN</t>
        </is>
      </c>
      <c r="E694" t="inlineStr">
        <is>
          <t>SKELLEFTEÅ</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43923-2020</t>
        </is>
      </c>
      <c r="B695" s="1" t="n">
        <v>44083</v>
      </c>
      <c r="C695" s="1" t="n">
        <v>45832</v>
      </c>
      <c r="D695" t="inlineStr">
        <is>
          <t>VÄSTERBOTTENS LÄN</t>
        </is>
      </c>
      <c r="E695" t="inlineStr">
        <is>
          <t>SKELLEFTEÅ</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43933-2020</t>
        </is>
      </c>
      <c r="B696" s="1" t="n">
        <v>44083</v>
      </c>
      <c r="C696" s="1" t="n">
        <v>45832</v>
      </c>
      <c r="D696" t="inlineStr">
        <is>
          <t>VÄSTERBOTTENS LÄN</t>
        </is>
      </c>
      <c r="E696" t="inlineStr">
        <is>
          <t>SKELLEFTEÅ</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44068-2020</t>
        </is>
      </c>
      <c r="B697" s="1" t="n">
        <v>44083</v>
      </c>
      <c r="C697" s="1" t="n">
        <v>45832</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43930-2020</t>
        </is>
      </c>
      <c r="B698" s="1" t="n">
        <v>44083</v>
      </c>
      <c r="C698" s="1" t="n">
        <v>45832</v>
      </c>
      <c r="D698" t="inlineStr">
        <is>
          <t>VÄSTERBOTTENS LÄN</t>
        </is>
      </c>
      <c r="E698" t="inlineStr">
        <is>
          <t>SKELLEFTEÅ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43993-2020</t>
        </is>
      </c>
      <c r="B699" s="1" t="n">
        <v>44083</v>
      </c>
      <c r="C699" s="1" t="n">
        <v>45832</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18255-2021</t>
        </is>
      </c>
      <c r="B700" s="1" t="n">
        <v>44083</v>
      </c>
      <c r="C700" s="1" t="n">
        <v>45832</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18263-2021</t>
        </is>
      </c>
      <c r="B701" s="1" t="n">
        <v>44083</v>
      </c>
      <c r="C701" s="1" t="n">
        <v>45832</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44436-2020</t>
        </is>
      </c>
      <c r="B702" s="1" t="n">
        <v>44084</v>
      </c>
      <c r="C702" s="1" t="n">
        <v>45832</v>
      </c>
      <c r="D702" t="inlineStr">
        <is>
          <t>VÄSTERBOTTENS LÄN</t>
        </is>
      </c>
      <c r="E702" t="inlineStr">
        <is>
          <t>SKELLEFTEÅ</t>
        </is>
      </c>
      <c r="G702" t="n">
        <v>1.8</v>
      </c>
      <c r="H702" t="n">
        <v>0</v>
      </c>
      <c r="I702" t="n">
        <v>0</v>
      </c>
      <c r="J702" t="n">
        <v>0</v>
      </c>
      <c r="K702" t="n">
        <v>0</v>
      </c>
      <c r="L702" t="n">
        <v>0</v>
      </c>
      <c r="M702" t="n">
        <v>0</v>
      </c>
      <c r="N702" t="n">
        <v>0</v>
      </c>
      <c r="O702" t="n">
        <v>0</v>
      </c>
      <c r="P702" t="n">
        <v>0</v>
      </c>
      <c r="Q702" t="n">
        <v>0</v>
      </c>
      <c r="R702" s="2" t="inlineStr"/>
    </row>
    <row r="703" ht="15" customHeight="1">
      <c r="A703" t="inlineStr">
        <is>
          <t>A 44587-2020</t>
        </is>
      </c>
      <c r="B703" s="1" t="n">
        <v>44085</v>
      </c>
      <c r="C703" s="1" t="n">
        <v>45832</v>
      </c>
      <c r="D703" t="inlineStr">
        <is>
          <t>VÄSTERBOTTENS LÄN</t>
        </is>
      </c>
      <c r="E703" t="inlineStr">
        <is>
          <t>SKELLEFTEÅ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44572-2020</t>
        </is>
      </c>
      <c r="B704" s="1" t="n">
        <v>44085</v>
      </c>
      <c r="C704" s="1" t="n">
        <v>45832</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44592-2020</t>
        </is>
      </c>
      <c r="B705" s="1" t="n">
        <v>44085</v>
      </c>
      <c r="C705" s="1" t="n">
        <v>45832</v>
      </c>
      <c r="D705" t="inlineStr">
        <is>
          <t>VÄSTERBOTTENS LÄN</t>
        </is>
      </c>
      <c r="E705" t="inlineStr">
        <is>
          <t>SKELLEFTEÅ</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44667-2020</t>
        </is>
      </c>
      <c r="B706" s="1" t="n">
        <v>44085</v>
      </c>
      <c r="C706" s="1" t="n">
        <v>45832</v>
      </c>
      <c r="D706" t="inlineStr">
        <is>
          <t>VÄSTERBOTTENS LÄN</t>
        </is>
      </c>
      <c r="E706" t="inlineStr">
        <is>
          <t>SKELLEFTEÅ</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45181-2020</t>
        </is>
      </c>
      <c r="B707" s="1" t="n">
        <v>44088</v>
      </c>
      <c r="C707" s="1" t="n">
        <v>45832</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45514-2020</t>
        </is>
      </c>
      <c r="B708" s="1" t="n">
        <v>44089</v>
      </c>
      <c r="C708" s="1" t="n">
        <v>45832</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46686-2020</t>
        </is>
      </c>
      <c r="B709" s="1" t="n">
        <v>44089</v>
      </c>
      <c r="C709" s="1" t="n">
        <v>45832</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45690-2020</t>
        </is>
      </c>
      <c r="B710" s="1" t="n">
        <v>44090</v>
      </c>
      <c r="C710" s="1" t="n">
        <v>45832</v>
      </c>
      <c r="D710" t="inlineStr">
        <is>
          <t>VÄSTERBOTTENS LÄN</t>
        </is>
      </c>
      <c r="E710" t="inlineStr">
        <is>
          <t>SKELLEFTEÅ</t>
        </is>
      </c>
      <c r="G710" t="n">
        <v>9.6</v>
      </c>
      <c r="H710" t="n">
        <v>0</v>
      </c>
      <c r="I710" t="n">
        <v>0</v>
      </c>
      <c r="J710" t="n">
        <v>0</v>
      </c>
      <c r="K710" t="n">
        <v>0</v>
      </c>
      <c r="L710" t="n">
        <v>0</v>
      </c>
      <c r="M710" t="n">
        <v>0</v>
      </c>
      <c r="N710" t="n">
        <v>0</v>
      </c>
      <c r="O710" t="n">
        <v>0</v>
      </c>
      <c r="P710" t="n">
        <v>0</v>
      </c>
      <c r="Q710" t="n">
        <v>0</v>
      </c>
      <c r="R710" s="2" t="inlineStr"/>
    </row>
    <row r="711" ht="15" customHeight="1">
      <c r="A711" t="inlineStr">
        <is>
          <t>A 46821-2020</t>
        </is>
      </c>
      <c r="B711" s="1" t="n">
        <v>44090</v>
      </c>
      <c r="C711" s="1" t="n">
        <v>45832</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46205-2020</t>
        </is>
      </c>
      <c r="B712" s="1" t="n">
        <v>44092</v>
      </c>
      <c r="C712" s="1" t="n">
        <v>45832</v>
      </c>
      <c r="D712" t="inlineStr">
        <is>
          <t>VÄSTERBOTTENS LÄN</t>
        </is>
      </c>
      <c r="E712" t="inlineStr">
        <is>
          <t>SKELLEFTEÅ</t>
        </is>
      </c>
      <c r="F712" t="inlineStr">
        <is>
          <t>Holmen skog AB</t>
        </is>
      </c>
      <c r="G712" t="n">
        <v>5.1</v>
      </c>
      <c r="H712" t="n">
        <v>0</v>
      </c>
      <c r="I712" t="n">
        <v>0</v>
      </c>
      <c r="J712" t="n">
        <v>0</v>
      </c>
      <c r="K712" t="n">
        <v>0</v>
      </c>
      <c r="L712" t="n">
        <v>0</v>
      </c>
      <c r="M712" t="n">
        <v>0</v>
      </c>
      <c r="N712" t="n">
        <v>0</v>
      </c>
      <c r="O712" t="n">
        <v>0</v>
      </c>
      <c r="P712" t="n">
        <v>0</v>
      </c>
      <c r="Q712" t="n">
        <v>0</v>
      </c>
      <c r="R712" s="2" t="inlineStr"/>
    </row>
    <row r="713" ht="15" customHeight="1">
      <c r="A713" t="inlineStr">
        <is>
          <t>A 46638-2020</t>
        </is>
      </c>
      <c r="B713" s="1" t="n">
        <v>44095</v>
      </c>
      <c r="C713" s="1" t="n">
        <v>45832</v>
      </c>
      <c r="D713" t="inlineStr">
        <is>
          <t>VÄSTERBOTTENS LÄN</t>
        </is>
      </c>
      <c r="E713" t="inlineStr">
        <is>
          <t>SKELLEFTEÅ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47405-2020</t>
        </is>
      </c>
      <c r="B714" s="1" t="n">
        <v>44095</v>
      </c>
      <c r="C714" s="1" t="n">
        <v>45832</v>
      </c>
      <c r="D714" t="inlineStr">
        <is>
          <t>VÄSTERBOTTENS LÄN</t>
        </is>
      </c>
      <c r="E714" t="inlineStr">
        <is>
          <t>SKELLEFTEÅ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46819-2020</t>
        </is>
      </c>
      <c r="B715" s="1" t="n">
        <v>44096</v>
      </c>
      <c r="C715" s="1" t="n">
        <v>45832</v>
      </c>
      <c r="D715" t="inlineStr">
        <is>
          <t>VÄSTERBOTTENS LÄN</t>
        </is>
      </c>
      <c r="E715" t="inlineStr">
        <is>
          <t>SKELLEFTEÅ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46842-2020</t>
        </is>
      </c>
      <c r="B716" s="1" t="n">
        <v>44096</v>
      </c>
      <c r="C716" s="1" t="n">
        <v>45832</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46857-2020</t>
        </is>
      </c>
      <c r="B717" s="1" t="n">
        <v>44096</v>
      </c>
      <c r="C717" s="1" t="n">
        <v>45832</v>
      </c>
      <c r="D717" t="inlineStr">
        <is>
          <t>VÄSTERBOTTENS LÄN</t>
        </is>
      </c>
      <c r="E717" t="inlineStr">
        <is>
          <t>SKELLEFTEÅ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48584-2020</t>
        </is>
      </c>
      <c r="B718" s="1" t="n">
        <v>44098</v>
      </c>
      <c r="C718" s="1" t="n">
        <v>45832</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49241-2020</t>
        </is>
      </c>
      <c r="B719" s="1" t="n">
        <v>44102</v>
      </c>
      <c r="C719" s="1" t="n">
        <v>45832</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48575-2020</t>
        </is>
      </c>
      <c r="B720" s="1" t="n">
        <v>44103</v>
      </c>
      <c r="C720" s="1" t="n">
        <v>45832</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48609-2020</t>
        </is>
      </c>
      <c r="B721" s="1" t="n">
        <v>44103</v>
      </c>
      <c r="C721" s="1" t="n">
        <v>45832</v>
      </c>
      <c r="D721" t="inlineStr">
        <is>
          <t>VÄSTERBOTTENS LÄN</t>
        </is>
      </c>
      <c r="E721" t="inlineStr">
        <is>
          <t>SKELLEFTEÅ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48893-2020</t>
        </is>
      </c>
      <c r="B722" s="1" t="n">
        <v>44104</v>
      </c>
      <c r="C722" s="1" t="n">
        <v>45832</v>
      </c>
      <c r="D722" t="inlineStr">
        <is>
          <t>VÄSTERBOTTENS LÄN</t>
        </is>
      </c>
      <c r="E722" t="inlineStr">
        <is>
          <t>SKELLEFTEÅ</t>
        </is>
      </c>
      <c r="F722" t="inlineStr">
        <is>
          <t>Sveaskog</t>
        </is>
      </c>
      <c r="G722" t="n">
        <v>42.8</v>
      </c>
      <c r="H722" t="n">
        <v>0</v>
      </c>
      <c r="I722" t="n">
        <v>0</v>
      </c>
      <c r="J722" t="n">
        <v>0</v>
      </c>
      <c r="K722" t="n">
        <v>0</v>
      </c>
      <c r="L722" t="n">
        <v>0</v>
      </c>
      <c r="M722" t="n">
        <v>0</v>
      </c>
      <c r="N722" t="n">
        <v>0</v>
      </c>
      <c r="O722" t="n">
        <v>0</v>
      </c>
      <c r="P722" t="n">
        <v>0</v>
      </c>
      <c r="Q722" t="n">
        <v>0</v>
      </c>
      <c r="R722" s="2" t="inlineStr"/>
    </row>
    <row r="723" ht="15" customHeight="1">
      <c r="A723" t="inlineStr">
        <is>
          <t>A 48939-2020</t>
        </is>
      </c>
      <c r="B723" s="1" t="n">
        <v>44104</v>
      </c>
      <c r="C723" s="1" t="n">
        <v>45832</v>
      </c>
      <c r="D723" t="inlineStr">
        <is>
          <t>VÄSTERBOTTENS LÄN</t>
        </is>
      </c>
      <c r="E723" t="inlineStr">
        <is>
          <t>SKELLEFTEÅ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49986-2020</t>
        </is>
      </c>
      <c r="B724" s="1" t="n">
        <v>44104</v>
      </c>
      <c r="C724" s="1" t="n">
        <v>45832</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49236-2020</t>
        </is>
      </c>
      <c r="B725" s="1" t="n">
        <v>44105</v>
      </c>
      <c r="C725" s="1" t="n">
        <v>45832</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49183-2020</t>
        </is>
      </c>
      <c r="B726" s="1" t="n">
        <v>44105</v>
      </c>
      <c r="C726" s="1" t="n">
        <v>45832</v>
      </c>
      <c r="D726" t="inlineStr">
        <is>
          <t>VÄSTERBOTTENS LÄN</t>
        </is>
      </c>
      <c r="E726" t="inlineStr">
        <is>
          <t>SKELLEFTEÅ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51654-2020</t>
        </is>
      </c>
      <c r="B727" s="1" t="n">
        <v>44109</v>
      </c>
      <c r="C727" s="1" t="n">
        <v>45832</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50275-2020</t>
        </is>
      </c>
      <c r="B728" s="1" t="n">
        <v>44109</v>
      </c>
      <c r="C728" s="1" t="n">
        <v>45832</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49952-2020</t>
        </is>
      </c>
      <c r="B729" s="1" t="n">
        <v>44109</v>
      </c>
      <c r="C729" s="1" t="n">
        <v>45832</v>
      </c>
      <c r="D729" t="inlineStr">
        <is>
          <t>VÄSTERBOTTENS LÄN</t>
        </is>
      </c>
      <c r="E729" t="inlineStr">
        <is>
          <t>SKELLEFTEÅ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49974-2020</t>
        </is>
      </c>
      <c r="B730" s="1" t="n">
        <v>44109</v>
      </c>
      <c r="C730" s="1" t="n">
        <v>45832</v>
      </c>
      <c r="D730" t="inlineStr">
        <is>
          <t>VÄSTERBOTTENS LÄN</t>
        </is>
      </c>
      <c r="E730" t="inlineStr">
        <is>
          <t>SKELLEFTEÅ</t>
        </is>
      </c>
      <c r="F730" t="inlineStr">
        <is>
          <t>Holmen skog AB</t>
        </is>
      </c>
      <c r="G730" t="n">
        <v>15.8</v>
      </c>
      <c r="H730" t="n">
        <v>0</v>
      </c>
      <c r="I730" t="n">
        <v>0</v>
      </c>
      <c r="J730" t="n">
        <v>0</v>
      </c>
      <c r="K730" t="n">
        <v>0</v>
      </c>
      <c r="L730" t="n">
        <v>0</v>
      </c>
      <c r="M730" t="n">
        <v>0</v>
      </c>
      <c r="N730" t="n">
        <v>0</v>
      </c>
      <c r="O730" t="n">
        <v>0</v>
      </c>
      <c r="P730" t="n">
        <v>0</v>
      </c>
      <c r="Q730" t="n">
        <v>0</v>
      </c>
      <c r="R730" s="2" t="inlineStr"/>
    </row>
    <row r="731" ht="15" customHeight="1">
      <c r="A731" t="inlineStr">
        <is>
          <t>A 52119-2020</t>
        </is>
      </c>
      <c r="B731" s="1" t="n">
        <v>44110</v>
      </c>
      <c r="C731" s="1" t="n">
        <v>45832</v>
      </c>
      <c r="D731" t="inlineStr">
        <is>
          <t>VÄSTERBOTTENS LÄN</t>
        </is>
      </c>
      <c r="E731" t="inlineStr">
        <is>
          <t>SKELLEFTEÅ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50431-2020</t>
        </is>
      </c>
      <c r="B732" s="1" t="n">
        <v>44110</v>
      </c>
      <c r="C732" s="1" t="n">
        <v>45832</v>
      </c>
      <c r="D732" t="inlineStr">
        <is>
          <t>VÄSTERBOTTENS LÄN</t>
        </is>
      </c>
      <c r="E732" t="inlineStr">
        <is>
          <t>SKELLEFTEÅ</t>
        </is>
      </c>
      <c r="F732" t="inlineStr">
        <is>
          <t>Holmen skog AB</t>
        </is>
      </c>
      <c r="G732" t="n">
        <v>9.4</v>
      </c>
      <c r="H732" t="n">
        <v>0</v>
      </c>
      <c r="I732" t="n">
        <v>0</v>
      </c>
      <c r="J732" t="n">
        <v>0</v>
      </c>
      <c r="K732" t="n">
        <v>0</v>
      </c>
      <c r="L732" t="n">
        <v>0</v>
      </c>
      <c r="M732" t="n">
        <v>0</v>
      </c>
      <c r="N732" t="n">
        <v>0</v>
      </c>
      <c r="O732" t="n">
        <v>0</v>
      </c>
      <c r="P732" t="n">
        <v>0</v>
      </c>
      <c r="Q732" t="n">
        <v>0</v>
      </c>
      <c r="R732" s="2" t="inlineStr"/>
    </row>
    <row r="733" ht="15" customHeight="1">
      <c r="A733" t="inlineStr">
        <is>
          <t>A 50701-2020</t>
        </is>
      </c>
      <c r="B733" s="1" t="n">
        <v>44111</v>
      </c>
      <c r="C733" s="1" t="n">
        <v>45832</v>
      </c>
      <c r="D733" t="inlineStr">
        <is>
          <t>VÄSTERBOTTENS LÄN</t>
        </is>
      </c>
      <c r="E733" t="inlineStr">
        <is>
          <t>SKELLEFTEÅ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51283-2020</t>
        </is>
      </c>
      <c r="B734" s="1" t="n">
        <v>44112</v>
      </c>
      <c r="C734" s="1" t="n">
        <v>45832</v>
      </c>
      <c r="D734" t="inlineStr">
        <is>
          <t>VÄSTERBOTTENS LÄN</t>
        </is>
      </c>
      <c r="E734" t="inlineStr">
        <is>
          <t>SKELLEFTEÅ</t>
        </is>
      </c>
      <c r="F734" t="inlineStr">
        <is>
          <t>Sveaskog</t>
        </is>
      </c>
      <c r="G734" t="n">
        <v>14.1</v>
      </c>
      <c r="H734" t="n">
        <v>0</v>
      </c>
      <c r="I734" t="n">
        <v>0</v>
      </c>
      <c r="J734" t="n">
        <v>0</v>
      </c>
      <c r="K734" t="n">
        <v>0</v>
      </c>
      <c r="L734" t="n">
        <v>0</v>
      </c>
      <c r="M734" t="n">
        <v>0</v>
      </c>
      <c r="N734" t="n">
        <v>0</v>
      </c>
      <c r="O734" t="n">
        <v>0</v>
      </c>
      <c r="P734" t="n">
        <v>0</v>
      </c>
      <c r="Q734" t="n">
        <v>0</v>
      </c>
      <c r="R734" s="2" t="inlineStr"/>
    </row>
    <row r="735" ht="15" customHeight="1">
      <c r="A735" t="inlineStr">
        <is>
          <t>A 51547-2020</t>
        </is>
      </c>
      <c r="B735" s="1" t="n">
        <v>44113</v>
      </c>
      <c r="C735" s="1" t="n">
        <v>45832</v>
      </c>
      <c r="D735" t="inlineStr">
        <is>
          <t>VÄSTERBOTTENS LÄN</t>
        </is>
      </c>
      <c r="E735" t="inlineStr">
        <is>
          <t>SKELLEFTEÅ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51536-2020</t>
        </is>
      </c>
      <c r="B736" s="1" t="n">
        <v>44113</v>
      </c>
      <c r="C736" s="1" t="n">
        <v>45832</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51565-2020</t>
        </is>
      </c>
      <c r="B737" s="1" t="n">
        <v>44113</v>
      </c>
      <c r="C737" s="1" t="n">
        <v>45832</v>
      </c>
      <c r="D737" t="inlineStr">
        <is>
          <t>VÄSTERBOTTENS LÄN</t>
        </is>
      </c>
      <c r="E737" t="inlineStr">
        <is>
          <t>SKELLEFTEÅ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51530-2020</t>
        </is>
      </c>
      <c r="B738" s="1" t="n">
        <v>44113</v>
      </c>
      <c r="C738" s="1" t="n">
        <v>45832</v>
      </c>
      <c r="D738" t="inlineStr">
        <is>
          <t>VÄSTERBOTTENS LÄN</t>
        </is>
      </c>
      <c r="E738" t="inlineStr">
        <is>
          <t>SKELLEFTEÅ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51907-2020</t>
        </is>
      </c>
      <c r="B739" s="1" t="n">
        <v>44116</v>
      </c>
      <c r="C739" s="1" t="n">
        <v>45832</v>
      </c>
      <c r="D739" t="inlineStr">
        <is>
          <t>VÄSTERBOTTENS LÄN</t>
        </is>
      </c>
      <c r="E739" t="inlineStr">
        <is>
          <t>SKELLEFTEÅ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52292-2020</t>
        </is>
      </c>
      <c r="B740" s="1" t="n">
        <v>44117</v>
      </c>
      <c r="C740" s="1" t="n">
        <v>45832</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52640-2020</t>
        </is>
      </c>
      <c r="B741" s="1" t="n">
        <v>44118</v>
      </c>
      <c r="C741" s="1" t="n">
        <v>45832</v>
      </c>
      <c r="D741" t="inlineStr">
        <is>
          <t>VÄSTERBOTTENS LÄN</t>
        </is>
      </c>
      <c r="E741" t="inlineStr">
        <is>
          <t>SKELLEFTEÅ</t>
        </is>
      </c>
      <c r="G741" t="n">
        <v>11.5</v>
      </c>
      <c r="H741" t="n">
        <v>0</v>
      </c>
      <c r="I741" t="n">
        <v>0</v>
      </c>
      <c r="J741" t="n">
        <v>0</v>
      </c>
      <c r="K741" t="n">
        <v>0</v>
      </c>
      <c r="L741" t="n">
        <v>0</v>
      </c>
      <c r="M741" t="n">
        <v>0</v>
      </c>
      <c r="N741" t="n">
        <v>0</v>
      </c>
      <c r="O741" t="n">
        <v>0</v>
      </c>
      <c r="P741" t="n">
        <v>0</v>
      </c>
      <c r="Q741" t="n">
        <v>0</v>
      </c>
      <c r="R741" s="2" t="inlineStr"/>
    </row>
    <row r="742" ht="15" customHeight="1">
      <c r="A742" t="inlineStr">
        <is>
          <t>A 52714-2020</t>
        </is>
      </c>
      <c r="B742" s="1" t="n">
        <v>44119</v>
      </c>
      <c r="C742" s="1" t="n">
        <v>45832</v>
      </c>
      <c r="D742" t="inlineStr">
        <is>
          <t>VÄSTERBOTTENS LÄN</t>
        </is>
      </c>
      <c r="E742" t="inlineStr">
        <is>
          <t>SKELLEFTEÅ</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53114-2020</t>
        </is>
      </c>
      <c r="B743" s="1" t="n">
        <v>44120</v>
      </c>
      <c r="C743" s="1" t="n">
        <v>45832</v>
      </c>
      <c r="D743" t="inlineStr">
        <is>
          <t>VÄSTERBOTTENS LÄN</t>
        </is>
      </c>
      <c r="E743" t="inlineStr">
        <is>
          <t>SKELLEFTEÅ</t>
        </is>
      </c>
      <c r="G743" t="n">
        <v>6.1</v>
      </c>
      <c r="H743" t="n">
        <v>0</v>
      </c>
      <c r="I743" t="n">
        <v>0</v>
      </c>
      <c r="J743" t="n">
        <v>0</v>
      </c>
      <c r="K743" t="n">
        <v>0</v>
      </c>
      <c r="L743" t="n">
        <v>0</v>
      </c>
      <c r="M743" t="n">
        <v>0</v>
      </c>
      <c r="N743" t="n">
        <v>0</v>
      </c>
      <c r="O743" t="n">
        <v>0</v>
      </c>
      <c r="P743" t="n">
        <v>0</v>
      </c>
      <c r="Q743" t="n">
        <v>0</v>
      </c>
      <c r="R743" s="2" t="inlineStr"/>
    </row>
    <row r="744" ht="15" customHeight="1">
      <c r="A744" t="inlineStr">
        <is>
          <t>A 53373-2020</t>
        </is>
      </c>
      <c r="B744" s="1" t="n">
        <v>44123</v>
      </c>
      <c r="C744" s="1" t="n">
        <v>45832</v>
      </c>
      <c r="D744" t="inlineStr">
        <is>
          <t>VÄSTERBOTTENS LÄN</t>
        </is>
      </c>
      <c r="E744" t="inlineStr">
        <is>
          <t>SKELLEFTEÅ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54356-2020</t>
        </is>
      </c>
      <c r="B745" s="1" t="n">
        <v>44125</v>
      </c>
      <c r="C745" s="1" t="n">
        <v>45832</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54850-2020</t>
        </is>
      </c>
      <c r="B746" s="1" t="n">
        <v>44126</v>
      </c>
      <c r="C746" s="1" t="n">
        <v>45832</v>
      </c>
      <c r="D746" t="inlineStr">
        <is>
          <t>VÄSTERBOTTENS LÄN</t>
        </is>
      </c>
      <c r="E746" t="inlineStr">
        <is>
          <t>SKELLEFTEÅ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54872-2020</t>
        </is>
      </c>
      <c r="B747" s="1" t="n">
        <v>44126</v>
      </c>
      <c r="C747" s="1" t="n">
        <v>45832</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54662-2020</t>
        </is>
      </c>
      <c r="B748" s="1" t="n">
        <v>44127</v>
      </c>
      <c r="C748" s="1" t="n">
        <v>45832</v>
      </c>
      <c r="D748" t="inlineStr">
        <is>
          <t>VÄSTERBOTTENS LÄN</t>
        </is>
      </c>
      <c r="E748" t="inlineStr">
        <is>
          <t>SKELLEFTEÅ</t>
        </is>
      </c>
      <c r="F748" t="inlineStr">
        <is>
          <t>Holmen skog AB</t>
        </is>
      </c>
      <c r="G748" t="n">
        <v>13.4</v>
      </c>
      <c r="H748" t="n">
        <v>0</v>
      </c>
      <c r="I748" t="n">
        <v>0</v>
      </c>
      <c r="J748" t="n">
        <v>0</v>
      </c>
      <c r="K748" t="n">
        <v>0</v>
      </c>
      <c r="L748" t="n">
        <v>0</v>
      </c>
      <c r="M748" t="n">
        <v>0</v>
      </c>
      <c r="N748" t="n">
        <v>0</v>
      </c>
      <c r="O748" t="n">
        <v>0</v>
      </c>
      <c r="P748" t="n">
        <v>0</v>
      </c>
      <c r="Q748" t="n">
        <v>0</v>
      </c>
      <c r="R748" s="2" t="inlineStr"/>
    </row>
    <row r="749" ht="15" customHeight="1">
      <c r="A749" t="inlineStr">
        <is>
          <t>A 54921-2020</t>
        </is>
      </c>
      <c r="B749" s="1" t="n">
        <v>44127</v>
      </c>
      <c r="C749" s="1" t="n">
        <v>45832</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54913-2020</t>
        </is>
      </c>
      <c r="B750" s="1" t="n">
        <v>44127</v>
      </c>
      <c r="C750" s="1" t="n">
        <v>45832</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54942-2020</t>
        </is>
      </c>
      <c r="B751" s="1" t="n">
        <v>44129</v>
      </c>
      <c r="C751" s="1" t="n">
        <v>45832</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55628-2020</t>
        </is>
      </c>
      <c r="B752" s="1" t="n">
        <v>44131</v>
      </c>
      <c r="C752" s="1" t="n">
        <v>45832</v>
      </c>
      <c r="D752" t="inlineStr">
        <is>
          <t>VÄSTERBOTTENS LÄN</t>
        </is>
      </c>
      <c r="E752" t="inlineStr">
        <is>
          <t>SKELLEFTEÅ</t>
        </is>
      </c>
      <c r="F752" t="inlineStr">
        <is>
          <t>Sveaskog</t>
        </is>
      </c>
      <c r="G752" t="n">
        <v>25.9</v>
      </c>
      <c r="H752" t="n">
        <v>0</v>
      </c>
      <c r="I752" t="n">
        <v>0</v>
      </c>
      <c r="J752" t="n">
        <v>0</v>
      </c>
      <c r="K752" t="n">
        <v>0</v>
      </c>
      <c r="L752" t="n">
        <v>0</v>
      </c>
      <c r="M752" t="n">
        <v>0</v>
      </c>
      <c r="N752" t="n">
        <v>0</v>
      </c>
      <c r="O752" t="n">
        <v>0</v>
      </c>
      <c r="P752" t="n">
        <v>0</v>
      </c>
      <c r="Q752" t="n">
        <v>0</v>
      </c>
      <c r="R752" s="2" t="inlineStr"/>
    </row>
    <row r="753" ht="15" customHeight="1">
      <c r="A753" t="inlineStr">
        <is>
          <t>A 55633-2020</t>
        </is>
      </c>
      <c r="B753" s="1" t="n">
        <v>44131</v>
      </c>
      <c r="C753" s="1" t="n">
        <v>45832</v>
      </c>
      <c r="D753" t="inlineStr">
        <is>
          <t>VÄSTERBOTTENS LÄN</t>
        </is>
      </c>
      <c r="E753" t="inlineStr">
        <is>
          <t>SKELLEFTEÅ</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55572-2020</t>
        </is>
      </c>
      <c r="B754" s="1" t="n">
        <v>44131</v>
      </c>
      <c r="C754" s="1" t="n">
        <v>45832</v>
      </c>
      <c r="D754" t="inlineStr">
        <is>
          <t>VÄSTERBOTTENS LÄN</t>
        </is>
      </c>
      <c r="E754" t="inlineStr">
        <is>
          <t>SKELLEFTEÅ</t>
        </is>
      </c>
      <c r="F754" t="inlineStr">
        <is>
          <t>Sveaskog</t>
        </is>
      </c>
      <c r="G754" t="n">
        <v>12.6</v>
      </c>
      <c r="H754" t="n">
        <v>0</v>
      </c>
      <c r="I754" t="n">
        <v>0</v>
      </c>
      <c r="J754" t="n">
        <v>0</v>
      </c>
      <c r="K754" t="n">
        <v>0</v>
      </c>
      <c r="L754" t="n">
        <v>0</v>
      </c>
      <c r="M754" t="n">
        <v>0</v>
      </c>
      <c r="N754" t="n">
        <v>0</v>
      </c>
      <c r="O754" t="n">
        <v>0</v>
      </c>
      <c r="P754" t="n">
        <v>0</v>
      </c>
      <c r="Q754" t="n">
        <v>0</v>
      </c>
      <c r="R754" s="2" t="inlineStr"/>
    </row>
    <row r="755" ht="15" customHeight="1">
      <c r="A755" t="inlineStr">
        <is>
          <t>A 55626-2020</t>
        </is>
      </c>
      <c r="B755" s="1" t="n">
        <v>44131</v>
      </c>
      <c r="C755" s="1" t="n">
        <v>45832</v>
      </c>
      <c r="D755" t="inlineStr">
        <is>
          <t>VÄSTERBOTTENS LÄN</t>
        </is>
      </c>
      <c r="E755" t="inlineStr">
        <is>
          <t>SKELLEFTEÅ</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56029-2020</t>
        </is>
      </c>
      <c r="B756" s="1" t="n">
        <v>44133</v>
      </c>
      <c r="C756" s="1" t="n">
        <v>45832</v>
      </c>
      <c r="D756" t="inlineStr">
        <is>
          <t>VÄSTERBOTTENS LÄN</t>
        </is>
      </c>
      <c r="E756" t="inlineStr">
        <is>
          <t>SKELLEFTEÅ</t>
        </is>
      </c>
      <c r="F756" t="inlineStr">
        <is>
          <t>Holmen skog AB</t>
        </is>
      </c>
      <c r="G756" t="n">
        <v>3.2</v>
      </c>
      <c r="H756" t="n">
        <v>0</v>
      </c>
      <c r="I756" t="n">
        <v>0</v>
      </c>
      <c r="J756" t="n">
        <v>0</v>
      </c>
      <c r="K756" t="n">
        <v>0</v>
      </c>
      <c r="L756" t="n">
        <v>0</v>
      </c>
      <c r="M756" t="n">
        <v>0</v>
      </c>
      <c r="N756" t="n">
        <v>0</v>
      </c>
      <c r="O756" t="n">
        <v>0</v>
      </c>
      <c r="P756" t="n">
        <v>0</v>
      </c>
      <c r="Q756" t="n">
        <v>0</v>
      </c>
      <c r="R756" s="2" t="inlineStr"/>
    </row>
    <row r="757" ht="15" customHeight="1">
      <c r="A757" t="inlineStr">
        <is>
          <t>A 56683-2020</t>
        </is>
      </c>
      <c r="B757" s="1" t="n">
        <v>44133</v>
      </c>
      <c r="C757" s="1" t="n">
        <v>45832</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56879-2020</t>
        </is>
      </c>
      <c r="B758" s="1" t="n">
        <v>44134</v>
      </c>
      <c r="C758" s="1" t="n">
        <v>45832</v>
      </c>
      <c r="D758" t="inlineStr">
        <is>
          <t>VÄSTERBOTTENS LÄN</t>
        </is>
      </c>
      <c r="E758" t="inlineStr">
        <is>
          <t>SKELLEFTEÅ</t>
        </is>
      </c>
      <c r="G758" t="n">
        <v>8.5</v>
      </c>
      <c r="H758" t="n">
        <v>0</v>
      </c>
      <c r="I758" t="n">
        <v>0</v>
      </c>
      <c r="J758" t="n">
        <v>0</v>
      </c>
      <c r="K758" t="n">
        <v>0</v>
      </c>
      <c r="L758" t="n">
        <v>0</v>
      </c>
      <c r="M758" t="n">
        <v>0</v>
      </c>
      <c r="N758" t="n">
        <v>0</v>
      </c>
      <c r="O758" t="n">
        <v>0</v>
      </c>
      <c r="P758" t="n">
        <v>0</v>
      </c>
      <c r="Q758" t="n">
        <v>0</v>
      </c>
      <c r="R758" s="2" t="inlineStr"/>
    </row>
    <row r="759" ht="15" customHeight="1">
      <c r="A759" t="inlineStr">
        <is>
          <t>A 56604-2020</t>
        </is>
      </c>
      <c r="B759" s="1" t="n">
        <v>44137</v>
      </c>
      <c r="C759" s="1" t="n">
        <v>45832</v>
      </c>
      <c r="D759" t="inlineStr">
        <is>
          <t>VÄSTERBOTTENS LÄN</t>
        </is>
      </c>
      <c r="E759" t="inlineStr">
        <is>
          <t>SKELLEFTEÅ</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56720-2020</t>
        </is>
      </c>
      <c r="B760" s="1" t="n">
        <v>44137</v>
      </c>
      <c r="C760" s="1" t="n">
        <v>45832</v>
      </c>
      <c r="D760" t="inlineStr">
        <is>
          <t>VÄSTERBOTTENS LÄN</t>
        </is>
      </c>
      <c r="E760" t="inlineStr">
        <is>
          <t>SKELLEFTEÅ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56692-2020</t>
        </is>
      </c>
      <c r="B761" s="1" t="n">
        <v>44137</v>
      </c>
      <c r="C761" s="1" t="n">
        <v>45832</v>
      </c>
      <c r="D761" t="inlineStr">
        <is>
          <t>VÄSTERBOTTENS LÄN</t>
        </is>
      </c>
      <c r="E761" t="inlineStr">
        <is>
          <t>SKELLEFTEÅ</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56718-2020</t>
        </is>
      </c>
      <c r="B762" s="1" t="n">
        <v>44137</v>
      </c>
      <c r="C762" s="1" t="n">
        <v>45832</v>
      </c>
      <c r="D762" t="inlineStr">
        <is>
          <t>VÄSTERBOTTENS LÄN</t>
        </is>
      </c>
      <c r="E762" t="inlineStr">
        <is>
          <t>SKELLEFTEÅ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56945-2020</t>
        </is>
      </c>
      <c r="B763" s="1" t="n">
        <v>44138</v>
      </c>
      <c r="C763" s="1" t="n">
        <v>45832</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57620-2020</t>
        </is>
      </c>
      <c r="B764" s="1" t="n">
        <v>44140</v>
      </c>
      <c r="C764" s="1" t="n">
        <v>45832</v>
      </c>
      <c r="D764" t="inlineStr">
        <is>
          <t>VÄSTERBOTTENS LÄN</t>
        </is>
      </c>
      <c r="E764" t="inlineStr">
        <is>
          <t>SKELLEFTEÅ</t>
        </is>
      </c>
      <c r="G764" t="n">
        <v>1.4</v>
      </c>
      <c r="H764" t="n">
        <v>0</v>
      </c>
      <c r="I764" t="n">
        <v>0</v>
      </c>
      <c r="J764" t="n">
        <v>0</v>
      </c>
      <c r="K764" t="n">
        <v>0</v>
      </c>
      <c r="L764" t="n">
        <v>0</v>
      </c>
      <c r="M764" t="n">
        <v>0</v>
      </c>
      <c r="N764" t="n">
        <v>0</v>
      </c>
      <c r="O764" t="n">
        <v>0</v>
      </c>
      <c r="P764" t="n">
        <v>0</v>
      </c>
      <c r="Q764" t="n">
        <v>0</v>
      </c>
      <c r="R764" s="2" t="inlineStr"/>
    </row>
    <row r="765" ht="15" customHeight="1">
      <c r="A765" t="inlineStr">
        <is>
          <t>A 57770-2020</t>
        </is>
      </c>
      <c r="B765" s="1" t="n">
        <v>44141</v>
      </c>
      <c r="C765" s="1" t="n">
        <v>45832</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58427-2020</t>
        </is>
      </c>
      <c r="B766" s="1" t="n">
        <v>44141</v>
      </c>
      <c r="C766" s="1" t="n">
        <v>45832</v>
      </c>
      <c r="D766" t="inlineStr">
        <is>
          <t>VÄSTERBOTTENS LÄN</t>
        </is>
      </c>
      <c r="E766" t="inlineStr">
        <is>
          <t>SKELLEFTEÅ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58520-2020</t>
        </is>
      </c>
      <c r="B767" s="1" t="n">
        <v>44144</v>
      </c>
      <c r="C767" s="1" t="n">
        <v>45832</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58544-2020</t>
        </is>
      </c>
      <c r="B768" s="1" t="n">
        <v>44145</v>
      </c>
      <c r="C768" s="1" t="n">
        <v>45832</v>
      </c>
      <c r="D768" t="inlineStr">
        <is>
          <t>VÄSTERBOTTENS LÄN</t>
        </is>
      </c>
      <c r="E768" t="inlineStr">
        <is>
          <t>SKELLEFTEÅ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58769-2020</t>
        </is>
      </c>
      <c r="B769" s="1" t="n">
        <v>44145</v>
      </c>
      <c r="C769" s="1" t="n">
        <v>45832</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58861-2020</t>
        </is>
      </c>
      <c r="B770" s="1" t="n">
        <v>44146</v>
      </c>
      <c r="C770" s="1" t="n">
        <v>45832</v>
      </c>
      <c r="D770" t="inlineStr">
        <is>
          <t>VÄSTERBOTTENS LÄN</t>
        </is>
      </c>
      <c r="E770" t="inlineStr">
        <is>
          <t>SKELLEFTEÅ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59406-2020</t>
        </is>
      </c>
      <c r="B771" s="1" t="n">
        <v>44147</v>
      </c>
      <c r="C771" s="1" t="n">
        <v>45832</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59518-2020</t>
        </is>
      </c>
      <c r="B772" s="1" t="n">
        <v>44148</v>
      </c>
      <c r="C772" s="1" t="n">
        <v>45832</v>
      </c>
      <c r="D772" t="inlineStr">
        <is>
          <t>VÄSTERBOTTENS LÄN</t>
        </is>
      </c>
      <c r="E772" t="inlineStr">
        <is>
          <t>SKELLEFTEÅ</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59870-2020</t>
        </is>
      </c>
      <c r="B773" s="1" t="n">
        <v>44151</v>
      </c>
      <c r="C773" s="1" t="n">
        <v>45832</v>
      </c>
      <c r="D773" t="inlineStr">
        <is>
          <t>VÄSTERBOTTENS LÄN</t>
        </is>
      </c>
      <c r="E773" t="inlineStr">
        <is>
          <t>SKELLEFTEÅ</t>
        </is>
      </c>
      <c r="F773" t="inlineStr">
        <is>
          <t>Kommuner</t>
        </is>
      </c>
      <c r="G773" t="n">
        <v>5.7</v>
      </c>
      <c r="H773" t="n">
        <v>0</v>
      </c>
      <c r="I773" t="n">
        <v>0</v>
      </c>
      <c r="J773" t="n">
        <v>0</v>
      </c>
      <c r="K773" t="n">
        <v>0</v>
      </c>
      <c r="L773" t="n">
        <v>0</v>
      </c>
      <c r="M773" t="n">
        <v>0</v>
      </c>
      <c r="N773" t="n">
        <v>0</v>
      </c>
      <c r="O773" t="n">
        <v>0</v>
      </c>
      <c r="P773" t="n">
        <v>0</v>
      </c>
      <c r="Q773" t="n">
        <v>0</v>
      </c>
      <c r="R773" s="2" t="inlineStr"/>
    </row>
    <row r="774" ht="15" customHeight="1">
      <c r="A774" t="inlineStr">
        <is>
          <t>A 60152-2020</t>
        </is>
      </c>
      <c r="B774" s="1" t="n">
        <v>44151</v>
      </c>
      <c r="C774" s="1" t="n">
        <v>45832</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60489-2020</t>
        </is>
      </c>
      <c r="B775" s="1" t="n">
        <v>44152</v>
      </c>
      <c r="C775" s="1" t="n">
        <v>45832</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61260-2020</t>
        </is>
      </c>
      <c r="B776" s="1" t="n">
        <v>44153</v>
      </c>
      <c r="C776" s="1" t="n">
        <v>45832</v>
      </c>
      <c r="D776" t="inlineStr">
        <is>
          <t>VÄSTERBOTTENS LÄN</t>
        </is>
      </c>
      <c r="E776" t="inlineStr">
        <is>
          <t>SKELLEFTEÅ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61937-2020</t>
        </is>
      </c>
      <c r="B777" s="1" t="n">
        <v>44155</v>
      </c>
      <c r="C777" s="1" t="n">
        <v>45832</v>
      </c>
      <c r="D777" t="inlineStr">
        <is>
          <t>VÄSTERBOTTENS LÄN</t>
        </is>
      </c>
      <c r="E777" t="inlineStr">
        <is>
          <t>SKELLEFTEÅ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61958-2020</t>
        </is>
      </c>
      <c r="B778" s="1" t="n">
        <v>44155</v>
      </c>
      <c r="C778" s="1" t="n">
        <v>45832</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62158-2020</t>
        </is>
      </c>
      <c r="B779" s="1" t="n">
        <v>44159</v>
      </c>
      <c r="C779" s="1" t="n">
        <v>45832</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62466-2020</t>
        </is>
      </c>
      <c r="B780" s="1" t="n">
        <v>44160</v>
      </c>
      <c r="C780" s="1" t="n">
        <v>45832</v>
      </c>
      <c r="D780" t="inlineStr">
        <is>
          <t>VÄSTERBOTTENS LÄN</t>
        </is>
      </c>
      <c r="E780" t="inlineStr">
        <is>
          <t>SKELLEFTEÅ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62467-2020</t>
        </is>
      </c>
      <c r="B781" s="1" t="n">
        <v>44160</v>
      </c>
      <c r="C781" s="1" t="n">
        <v>45832</v>
      </c>
      <c r="D781" t="inlineStr">
        <is>
          <t>VÄSTERBOTTENS LÄN</t>
        </is>
      </c>
      <c r="E781" t="inlineStr">
        <is>
          <t>SKELLEFTEÅ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62763-2020</t>
        </is>
      </c>
      <c r="B782" s="1" t="n">
        <v>44160</v>
      </c>
      <c r="C782" s="1" t="n">
        <v>45832</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62592-2020</t>
        </is>
      </c>
      <c r="B783" s="1" t="n">
        <v>44161</v>
      </c>
      <c r="C783" s="1" t="n">
        <v>45832</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63241-2020</t>
        </is>
      </c>
      <c r="B784" s="1" t="n">
        <v>44163</v>
      </c>
      <c r="C784" s="1" t="n">
        <v>45832</v>
      </c>
      <c r="D784" t="inlineStr">
        <is>
          <t>VÄSTERBOTTENS LÄN</t>
        </is>
      </c>
      <c r="E784" t="inlineStr">
        <is>
          <t>SKELLEFTEÅ</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63839-2020</t>
        </is>
      </c>
      <c r="B785" s="1" t="n">
        <v>44165</v>
      </c>
      <c r="C785" s="1" t="n">
        <v>45832</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64650-2020</t>
        </is>
      </c>
      <c r="B786" s="1" t="n">
        <v>44166</v>
      </c>
      <c r="C786" s="1" t="n">
        <v>45832</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64198-2020</t>
        </is>
      </c>
      <c r="B787" s="1" t="n">
        <v>44167</v>
      </c>
      <c r="C787" s="1" t="n">
        <v>45832</v>
      </c>
      <c r="D787" t="inlineStr">
        <is>
          <t>VÄSTERBOTTENS LÄN</t>
        </is>
      </c>
      <c r="E787" t="inlineStr">
        <is>
          <t>SKELLEFTEÅ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64977-2020</t>
        </is>
      </c>
      <c r="B788" s="1" t="n">
        <v>44167</v>
      </c>
      <c r="C788" s="1" t="n">
        <v>45832</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65096-2020</t>
        </is>
      </c>
      <c r="B789" s="1" t="n">
        <v>44167</v>
      </c>
      <c r="C789" s="1" t="n">
        <v>45832</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65053-2020</t>
        </is>
      </c>
      <c r="B790" s="1" t="n">
        <v>44167</v>
      </c>
      <c r="C790" s="1" t="n">
        <v>45832</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65103-2020</t>
        </is>
      </c>
      <c r="B791" s="1" t="n">
        <v>44167</v>
      </c>
      <c r="C791" s="1" t="n">
        <v>45832</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64296-2020</t>
        </is>
      </c>
      <c r="B792" s="1" t="n">
        <v>44168</v>
      </c>
      <c r="C792" s="1" t="n">
        <v>45832</v>
      </c>
      <c r="D792" t="inlineStr">
        <is>
          <t>VÄSTERBOTTENS LÄN</t>
        </is>
      </c>
      <c r="E792" t="inlineStr">
        <is>
          <t>SKELLEFTEÅ</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64481-2020</t>
        </is>
      </c>
      <c r="B793" s="1" t="n">
        <v>44168</v>
      </c>
      <c r="C793" s="1" t="n">
        <v>45832</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64507-2020</t>
        </is>
      </c>
      <c r="B794" s="1" t="n">
        <v>44168</v>
      </c>
      <c r="C794" s="1" t="n">
        <v>45832</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64485-2020</t>
        </is>
      </c>
      <c r="B795" s="1" t="n">
        <v>44168</v>
      </c>
      <c r="C795" s="1" t="n">
        <v>45832</v>
      </c>
      <c r="D795" t="inlineStr">
        <is>
          <t>VÄSTERBOTTENS LÄN</t>
        </is>
      </c>
      <c r="E795" t="inlineStr">
        <is>
          <t>SKELLEFTEÅ</t>
        </is>
      </c>
      <c r="G795" t="n">
        <v>35.4</v>
      </c>
      <c r="H795" t="n">
        <v>0</v>
      </c>
      <c r="I795" t="n">
        <v>0</v>
      </c>
      <c r="J795" t="n">
        <v>0</v>
      </c>
      <c r="K795" t="n">
        <v>0</v>
      </c>
      <c r="L795" t="n">
        <v>0</v>
      </c>
      <c r="M795" t="n">
        <v>0</v>
      </c>
      <c r="N795" t="n">
        <v>0</v>
      </c>
      <c r="O795" t="n">
        <v>0</v>
      </c>
      <c r="P795" t="n">
        <v>0</v>
      </c>
      <c r="Q795" t="n">
        <v>0</v>
      </c>
      <c r="R795" s="2" t="inlineStr"/>
    </row>
    <row r="796" ht="15" customHeight="1">
      <c r="A796" t="inlineStr">
        <is>
          <t>A 65254-2020</t>
        </is>
      </c>
      <c r="B796" s="1" t="n">
        <v>44172</v>
      </c>
      <c r="C796" s="1" t="n">
        <v>45832</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65582-2020</t>
        </is>
      </c>
      <c r="B797" s="1" t="n">
        <v>44172</v>
      </c>
      <c r="C797" s="1" t="n">
        <v>45832</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65486-2020</t>
        </is>
      </c>
      <c r="B798" s="1" t="n">
        <v>44172</v>
      </c>
      <c r="C798" s="1" t="n">
        <v>45832</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65379-2020</t>
        </is>
      </c>
      <c r="B799" s="1" t="n">
        <v>44173</v>
      </c>
      <c r="C799" s="1" t="n">
        <v>45832</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65384-2020</t>
        </is>
      </c>
      <c r="B800" s="1" t="n">
        <v>44173</v>
      </c>
      <c r="C800" s="1" t="n">
        <v>45832</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65567-2020</t>
        </is>
      </c>
      <c r="B801" s="1" t="n">
        <v>44173</v>
      </c>
      <c r="C801" s="1" t="n">
        <v>45832</v>
      </c>
      <c r="D801" t="inlineStr">
        <is>
          <t>VÄSTERBOTTENS LÄN</t>
        </is>
      </c>
      <c r="E801" t="inlineStr">
        <is>
          <t>SKELLEFTEÅ</t>
        </is>
      </c>
      <c r="F801" t="inlineStr">
        <is>
          <t>Sveaskog</t>
        </is>
      </c>
      <c r="G801" t="n">
        <v>17.7</v>
      </c>
      <c r="H801" t="n">
        <v>0</v>
      </c>
      <c r="I801" t="n">
        <v>0</v>
      </c>
      <c r="J801" t="n">
        <v>0</v>
      </c>
      <c r="K801" t="n">
        <v>0</v>
      </c>
      <c r="L801" t="n">
        <v>0</v>
      </c>
      <c r="M801" t="n">
        <v>0</v>
      </c>
      <c r="N801" t="n">
        <v>0</v>
      </c>
      <c r="O801" t="n">
        <v>0</v>
      </c>
      <c r="P801" t="n">
        <v>0</v>
      </c>
      <c r="Q801" t="n">
        <v>0</v>
      </c>
      <c r="R801" s="2" t="inlineStr"/>
    </row>
    <row r="802" ht="15" customHeight="1">
      <c r="A802" t="inlineStr">
        <is>
          <t>A 65382-2020</t>
        </is>
      </c>
      <c r="B802" s="1" t="n">
        <v>44173</v>
      </c>
      <c r="C802" s="1" t="n">
        <v>45832</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66061-2020</t>
        </is>
      </c>
      <c r="B803" s="1" t="n">
        <v>44173</v>
      </c>
      <c r="C803" s="1" t="n">
        <v>45832</v>
      </c>
      <c r="D803" t="inlineStr">
        <is>
          <t>VÄSTERBOTTENS LÄN</t>
        </is>
      </c>
      <c r="E803" t="inlineStr">
        <is>
          <t>SKELLEFTEÅ</t>
        </is>
      </c>
      <c r="G803" t="n">
        <v>5.8</v>
      </c>
      <c r="H803" t="n">
        <v>0</v>
      </c>
      <c r="I803" t="n">
        <v>0</v>
      </c>
      <c r="J803" t="n">
        <v>0</v>
      </c>
      <c r="K803" t="n">
        <v>0</v>
      </c>
      <c r="L803" t="n">
        <v>0</v>
      </c>
      <c r="M803" t="n">
        <v>0</v>
      </c>
      <c r="N803" t="n">
        <v>0</v>
      </c>
      <c r="O803" t="n">
        <v>0</v>
      </c>
      <c r="P803" t="n">
        <v>0</v>
      </c>
      <c r="Q803" t="n">
        <v>0</v>
      </c>
      <c r="R803" s="2" t="inlineStr"/>
    </row>
    <row r="804" ht="15" customHeight="1">
      <c r="A804" t="inlineStr">
        <is>
          <t>A 66480-2020</t>
        </is>
      </c>
      <c r="B804" s="1" t="n">
        <v>44177</v>
      </c>
      <c r="C804" s="1" t="n">
        <v>45832</v>
      </c>
      <c r="D804" t="inlineStr">
        <is>
          <t>VÄSTERBOTTENS LÄN</t>
        </is>
      </c>
      <c r="E804" t="inlineStr">
        <is>
          <t>SKELLEFTEÅ</t>
        </is>
      </c>
      <c r="G804" t="n">
        <v>5.2</v>
      </c>
      <c r="H804" t="n">
        <v>0</v>
      </c>
      <c r="I804" t="n">
        <v>0</v>
      </c>
      <c r="J804" t="n">
        <v>0</v>
      </c>
      <c r="K804" t="n">
        <v>0</v>
      </c>
      <c r="L804" t="n">
        <v>0</v>
      </c>
      <c r="M804" t="n">
        <v>0</v>
      </c>
      <c r="N804" t="n">
        <v>0</v>
      </c>
      <c r="O804" t="n">
        <v>0</v>
      </c>
      <c r="P804" t="n">
        <v>0</v>
      </c>
      <c r="Q804" t="n">
        <v>0</v>
      </c>
      <c r="R804" s="2" t="inlineStr"/>
    </row>
    <row r="805" ht="15" customHeight="1">
      <c r="A805" t="inlineStr">
        <is>
          <t>A 66820-2020</t>
        </is>
      </c>
      <c r="B805" s="1" t="n">
        <v>44179</v>
      </c>
      <c r="C805" s="1" t="n">
        <v>45832</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67297-2020</t>
        </is>
      </c>
      <c r="B806" s="1" t="n">
        <v>44181</v>
      </c>
      <c r="C806" s="1" t="n">
        <v>45832</v>
      </c>
      <c r="D806" t="inlineStr">
        <is>
          <t>VÄSTERBOTTENS LÄN</t>
        </is>
      </c>
      <c r="E806" t="inlineStr">
        <is>
          <t>SKELLEFTEÅ</t>
        </is>
      </c>
      <c r="G806" t="n">
        <v>6.8</v>
      </c>
      <c r="H806" t="n">
        <v>0</v>
      </c>
      <c r="I806" t="n">
        <v>0</v>
      </c>
      <c r="J806" t="n">
        <v>0</v>
      </c>
      <c r="K806" t="n">
        <v>0</v>
      </c>
      <c r="L806" t="n">
        <v>0</v>
      </c>
      <c r="M806" t="n">
        <v>0</v>
      </c>
      <c r="N806" t="n">
        <v>0</v>
      </c>
      <c r="O806" t="n">
        <v>0</v>
      </c>
      <c r="P806" t="n">
        <v>0</v>
      </c>
      <c r="Q806" t="n">
        <v>0</v>
      </c>
      <c r="R806" s="2" t="inlineStr"/>
    </row>
    <row r="807" ht="15" customHeight="1">
      <c r="A807" t="inlineStr">
        <is>
          <t>A 67624-2020</t>
        </is>
      </c>
      <c r="B807" s="1" t="n">
        <v>44181</v>
      </c>
      <c r="C807" s="1" t="n">
        <v>45832</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67678-2020</t>
        </is>
      </c>
      <c r="B808" s="1" t="n">
        <v>44182</v>
      </c>
      <c r="C808" s="1" t="n">
        <v>45832</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67976-2020</t>
        </is>
      </c>
      <c r="B809" s="1" t="n">
        <v>44182</v>
      </c>
      <c r="C809" s="1" t="n">
        <v>45832</v>
      </c>
      <c r="D809" t="inlineStr">
        <is>
          <t>VÄSTERBOTTENS LÄN</t>
        </is>
      </c>
      <c r="E809" t="inlineStr">
        <is>
          <t>SKELLEFTEÅ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68116-2020</t>
        </is>
      </c>
      <c r="B810" s="1" t="n">
        <v>44183</v>
      </c>
      <c r="C810" s="1" t="n">
        <v>45832</v>
      </c>
      <c r="D810" t="inlineStr">
        <is>
          <t>VÄSTERBOTTENS LÄN</t>
        </is>
      </c>
      <c r="E810" t="inlineStr">
        <is>
          <t>SKELLEFTEÅ</t>
        </is>
      </c>
      <c r="F810" t="inlineStr">
        <is>
          <t>Sveaskog</t>
        </is>
      </c>
      <c r="G810" t="n">
        <v>5.5</v>
      </c>
      <c r="H810" t="n">
        <v>0</v>
      </c>
      <c r="I810" t="n">
        <v>0</v>
      </c>
      <c r="J810" t="n">
        <v>0</v>
      </c>
      <c r="K810" t="n">
        <v>0</v>
      </c>
      <c r="L810" t="n">
        <v>0</v>
      </c>
      <c r="M810" t="n">
        <v>0</v>
      </c>
      <c r="N810" t="n">
        <v>0</v>
      </c>
      <c r="O810" t="n">
        <v>0</v>
      </c>
      <c r="P810" t="n">
        <v>0</v>
      </c>
      <c r="Q810" t="n">
        <v>0</v>
      </c>
      <c r="R810" s="2" t="inlineStr"/>
    </row>
    <row r="811" ht="15" customHeight="1">
      <c r="A811" t="inlineStr">
        <is>
          <t>A 68203-2020</t>
        </is>
      </c>
      <c r="B811" s="1" t="n">
        <v>44183</v>
      </c>
      <c r="C811" s="1" t="n">
        <v>45832</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68055-2020</t>
        </is>
      </c>
      <c r="B812" s="1" t="n">
        <v>44183</v>
      </c>
      <c r="C812" s="1" t="n">
        <v>45832</v>
      </c>
      <c r="D812" t="inlineStr">
        <is>
          <t>VÄSTERBOTTENS LÄN</t>
        </is>
      </c>
      <c r="E812" t="inlineStr">
        <is>
          <t>SKELLEFTEÅ</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68564-2020</t>
        </is>
      </c>
      <c r="B813" s="1" t="n">
        <v>44186</v>
      </c>
      <c r="C813" s="1" t="n">
        <v>45832</v>
      </c>
      <c r="D813" t="inlineStr">
        <is>
          <t>VÄSTERBOTTENS LÄN</t>
        </is>
      </c>
      <c r="E813" t="inlineStr">
        <is>
          <t>SKELLEFTEÅ</t>
        </is>
      </c>
      <c r="G813" t="n">
        <v>11.4</v>
      </c>
      <c r="H813" t="n">
        <v>0</v>
      </c>
      <c r="I813" t="n">
        <v>0</v>
      </c>
      <c r="J813" t="n">
        <v>0</v>
      </c>
      <c r="K813" t="n">
        <v>0</v>
      </c>
      <c r="L813" t="n">
        <v>0</v>
      </c>
      <c r="M813" t="n">
        <v>0</v>
      </c>
      <c r="N813" t="n">
        <v>0</v>
      </c>
      <c r="O813" t="n">
        <v>0</v>
      </c>
      <c r="P813" t="n">
        <v>0</v>
      </c>
      <c r="Q813" t="n">
        <v>0</v>
      </c>
      <c r="R813" s="2" t="inlineStr"/>
    </row>
    <row r="814" ht="15" customHeight="1">
      <c r="A814" t="inlineStr">
        <is>
          <t>A 69583-2020</t>
        </is>
      </c>
      <c r="B814" s="1" t="n">
        <v>44195</v>
      </c>
      <c r="C814" s="1" t="n">
        <v>45832</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69585-2020</t>
        </is>
      </c>
      <c r="B815" s="1" t="n">
        <v>44195</v>
      </c>
      <c r="C815" s="1" t="n">
        <v>45832</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69581-2020</t>
        </is>
      </c>
      <c r="B816" s="1" t="n">
        <v>44195</v>
      </c>
      <c r="C816" s="1" t="n">
        <v>45832</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353-2021</t>
        </is>
      </c>
      <c r="B817" s="1" t="n">
        <v>44201</v>
      </c>
      <c r="C817" s="1" t="n">
        <v>45832</v>
      </c>
      <c r="D817" t="inlineStr">
        <is>
          <t>VÄSTERBOTTENS LÄN</t>
        </is>
      </c>
      <c r="E817" t="inlineStr">
        <is>
          <t>SKELLEFTEÅ</t>
        </is>
      </c>
      <c r="G817" t="n">
        <v>37.7</v>
      </c>
      <c r="H817" t="n">
        <v>0</v>
      </c>
      <c r="I817" t="n">
        <v>0</v>
      </c>
      <c r="J817" t="n">
        <v>0</v>
      </c>
      <c r="K817" t="n">
        <v>0</v>
      </c>
      <c r="L817" t="n">
        <v>0</v>
      </c>
      <c r="M817" t="n">
        <v>0</v>
      </c>
      <c r="N817" t="n">
        <v>0</v>
      </c>
      <c r="O817" t="n">
        <v>0</v>
      </c>
      <c r="P817" t="n">
        <v>0</v>
      </c>
      <c r="Q817" t="n">
        <v>0</v>
      </c>
      <c r="R817" s="2" t="inlineStr"/>
    </row>
    <row r="818" ht="15" customHeight="1">
      <c r="A818" t="inlineStr">
        <is>
          <t>A 1076-2021</t>
        </is>
      </c>
      <c r="B818" s="1" t="n">
        <v>44207</v>
      </c>
      <c r="C818" s="1" t="n">
        <v>45832</v>
      </c>
      <c r="D818" t="inlineStr">
        <is>
          <t>VÄSTERBOTTENS LÄN</t>
        </is>
      </c>
      <c r="E818" t="inlineStr">
        <is>
          <t>SKELLEFTEÅ</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1149-2021</t>
        </is>
      </c>
      <c r="B819" s="1" t="n">
        <v>44207</v>
      </c>
      <c r="C819" s="1" t="n">
        <v>45832</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1140-2021</t>
        </is>
      </c>
      <c r="B820" s="1" t="n">
        <v>44207</v>
      </c>
      <c r="C820" s="1" t="n">
        <v>45832</v>
      </c>
      <c r="D820" t="inlineStr">
        <is>
          <t>VÄSTERBOTTENS LÄN</t>
        </is>
      </c>
      <c r="E820" t="inlineStr">
        <is>
          <t>SKELLEFTEÅ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1891-2021</t>
        </is>
      </c>
      <c r="B821" s="1" t="n">
        <v>44210</v>
      </c>
      <c r="C821" s="1" t="n">
        <v>45832</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2575-2021</t>
        </is>
      </c>
      <c r="B822" s="1" t="n">
        <v>44214</v>
      </c>
      <c r="C822" s="1" t="n">
        <v>45832</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3031-2021</t>
        </is>
      </c>
      <c r="B823" s="1" t="n">
        <v>44216</v>
      </c>
      <c r="C823" s="1" t="n">
        <v>45832</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3844-2021</t>
        </is>
      </c>
      <c r="B824" s="1" t="n">
        <v>44216</v>
      </c>
      <c r="C824" s="1" t="n">
        <v>45832</v>
      </c>
      <c r="D824" t="inlineStr">
        <is>
          <t>VÄSTERBOTTENS LÄN</t>
        </is>
      </c>
      <c r="E824" t="inlineStr">
        <is>
          <t>SKELLEFTEÅ</t>
        </is>
      </c>
      <c r="G824" t="n">
        <v>3.7</v>
      </c>
      <c r="H824" t="n">
        <v>0</v>
      </c>
      <c r="I824" t="n">
        <v>0</v>
      </c>
      <c r="J824" t="n">
        <v>0</v>
      </c>
      <c r="K824" t="n">
        <v>0</v>
      </c>
      <c r="L824" t="n">
        <v>0</v>
      </c>
      <c r="M824" t="n">
        <v>0</v>
      </c>
      <c r="N824" t="n">
        <v>0</v>
      </c>
      <c r="O824" t="n">
        <v>0</v>
      </c>
      <c r="P824" t="n">
        <v>0</v>
      </c>
      <c r="Q824" t="n">
        <v>0</v>
      </c>
      <c r="R824" s="2" t="inlineStr"/>
    </row>
    <row r="825" ht="15" customHeight="1">
      <c r="A825" t="inlineStr">
        <is>
          <t>A 3951-2021</t>
        </is>
      </c>
      <c r="B825" s="1" t="n">
        <v>44217</v>
      </c>
      <c r="C825" s="1" t="n">
        <v>45832</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4202-2021</t>
        </is>
      </c>
      <c r="B826" s="1" t="n">
        <v>44218</v>
      </c>
      <c r="C826" s="1" t="n">
        <v>45832</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3575-2021</t>
        </is>
      </c>
      <c r="B827" s="1" t="n">
        <v>44218</v>
      </c>
      <c r="C827" s="1" t="n">
        <v>45832</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3934-2021</t>
        </is>
      </c>
      <c r="B828" s="1" t="n">
        <v>44221</v>
      </c>
      <c r="C828" s="1" t="n">
        <v>45832</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4299-2021</t>
        </is>
      </c>
      <c r="B829" s="1" t="n">
        <v>44223</v>
      </c>
      <c r="C829" s="1" t="n">
        <v>45832</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5095-2021</t>
        </is>
      </c>
      <c r="B830" s="1" t="n">
        <v>44224</v>
      </c>
      <c r="C830" s="1" t="n">
        <v>45832</v>
      </c>
      <c r="D830" t="inlineStr">
        <is>
          <t>VÄSTERBOTTENS LÄN</t>
        </is>
      </c>
      <c r="E830" t="inlineStr">
        <is>
          <t>SKELLEFTEÅ</t>
        </is>
      </c>
      <c r="G830" t="n">
        <v>5.6</v>
      </c>
      <c r="H830" t="n">
        <v>0</v>
      </c>
      <c r="I830" t="n">
        <v>0</v>
      </c>
      <c r="J830" t="n">
        <v>0</v>
      </c>
      <c r="K830" t="n">
        <v>0</v>
      </c>
      <c r="L830" t="n">
        <v>0</v>
      </c>
      <c r="M830" t="n">
        <v>0</v>
      </c>
      <c r="N830" t="n">
        <v>0</v>
      </c>
      <c r="O830" t="n">
        <v>0</v>
      </c>
      <c r="P830" t="n">
        <v>0</v>
      </c>
      <c r="Q830" t="n">
        <v>0</v>
      </c>
      <c r="R830" s="2" t="inlineStr"/>
    </row>
    <row r="831" ht="15" customHeight="1">
      <c r="A831" t="inlineStr">
        <is>
          <t>A 5143-2021</t>
        </is>
      </c>
      <c r="B831" s="1" t="n">
        <v>44228</v>
      </c>
      <c r="C831" s="1" t="n">
        <v>45832</v>
      </c>
      <c r="D831" t="inlineStr">
        <is>
          <t>VÄSTERBOTTENS LÄN</t>
        </is>
      </c>
      <c r="E831" t="inlineStr">
        <is>
          <t>SKELLEFTEÅ</t>
        </is>
      </c>
      <c r="G831" t="n">
        <v>5.3</v>
      </c>
      <c r="H831" t="n">
        <v>0</v>
      </c>
      <c r="I831" t="n">
        <v>0</v>
      </c>
      <c r="J831" t="n">
        <v>0</v>
      </c>
      <c r="K831" t="n">
        <v>0</v>
      </c>
      <c r="L831" t="n">
        <v>0</v>
      </c>
      <c r="M831" t="n">
        <v>0</v>
      </c>
      <c r="N831" t="n">
        <v>0</v>
      </c>
      <c r="O831" t="n">
        <v>0</v>
      </c>
      <c r="P831" t="n">
        <v>0</v>
      </c>
      <c r="Q831" t="n">
        <v>0</v>
      </c>
      <c r="R831" s="2" t="inlineStr"/>
    </row>
    <row r="832" ht="15" customHeight="1">
      <c r="A832" t="inlineStr">
        <is>
          <t>A 5603-2021</t>
        </is>
      </c>
      <c r="B832" s="1" t="n">
        <v>44230</v>
      </c>
      <c r="C832" s="1" t="n">
        <v>45832</v>
      </c>
      <c r="D832" t="inlineStr">
        <is>
          <t>VÄSTERBOTTENS LÄN</t>
        </is>
      </c>
      <c r="E832" t="inlineStr">
        <is>
          <t>SKELLEFTEÅ</t>
        </is>
      </c>
      <c r="G832" t="n">
        <v>2.6</v>
      </c>
      <c r="H832" t="n">
        <v>0</v>
      </c>
      <c r="I832" t="n">
        <v>0</v>
      </c>
      <c r="J832" t="n">
        <v>0</v>
      </c>
      <c r="K832" t="n">
        <v>0</v>
      </c>
      <c r="L832" t="n">
        <v>0</v>
      </c>
      <c r="M832" t="n">
        <v>0</v>
      </c>
      <c r="N832" t="n">
        <v>0</v>
      </c>
      <c r="O832" t="n">
        <v>0</v>
      </c>
      <c r="P832" t="n">
        <v>0</v>
      </c>
      <c r="Q832" t="n">
        <v>0</v>
      </c>
      <c r="R832" s="2" t="inlineStr"/>
    </row>
    <row r="833" ht="15" customHeight="1">
      <c r="A833" t="inlineStr">
        <is>
          <t>A 6356-2021</t>
        </is>
      </c>
      <c r="B833" s="1" t="n">
        <v>44235</v>
      </c>
      <c r="C833" s="1" t="n">
        <v>45832</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6557-2021</t>
        </is>
      </c>
      <c r="B834" s="1" t="n">
        <v>44236</v>
      </c>
      <c r="C834" s="1" t="n">
        <v>45832</v>
      </c>
      <c r="D834" t="inlineStr">
        <is>
          <t>VÄSTERBOTTENS LÄN</t>
        </is>
      </c>
      <c r="E834" t="inlineStr">
        <is>
          <t>SKELLEFTEÅ</t>
        </is>
      </c>
      <c r="G834" t="n">
        <v>6.4</v>
      </c>
      <c r="H834" t="n">
        <v>0</v>
      </c>
      <c r="I834" t="n">
        <v>0</v>
      </c>
      <c r="J834" t="n">
        <v>0</v>
      </c>
      <c r="K834" t="n">
        <v>0</v>
      </c>
      <c r="L834" t="n">
        <v>0</v>
      </c>
      <c r="M834" t="n">
        <v>0</v>
      </c>
      <c r="N834" t="n">
        <v>0</v>
      </c>
      <c r="O834" t="n">
        <v>0</v>
      </c>
      <c r="P834" t="n">
        <v>0</v>
      </c>
      <c r="Q834" t="n">
        <v>0</v>
      </c>
      <c r="R834" s="2" t="inlineStr"/>
    </row>
    <row r="835" ht="15" customHeight="1">
      <c r="A835" t="inlineStr">
        <is>
          <t>A 6635-2021</t>
        </is>
      </c>
      <c r="B835" s="1" t="n">
        <v>44236</v>
      </c>
      <c r="C835" s="1" t="n">
        <v>45832</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7038-2021</t>
        </is>
      </c>
      <c r="B836" s="1" t="n">
        <v>44237</v>
      </c>
      <c r="C836" s="1" t="n">
        <v>45832</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7034-2021</t>
        </is>
      </c>
      <c r="B837" s="1" t="n">
        <v>44237</v>
      </c>
      <c r="C837" s="1" t="n">
        <v>45832</v>
      </c>
      <c r="D837" t="inlineStr">
        <is>
          <t>VÄSTERBOTTENS LÄN</t>
        </is>
      </c>
      <c r="E837" t="inlineStr">
        <is>
          <t>SKELLEFTEÅ</t>
        </is>
      </c>
      <c r="G837" t="n">
        <v>10.1</v>
      </c>
      <c r="H837" t="n">
        <v>0</v>
      </c>
      <c r="I837" t="n">
        <v>0</v>
      </c>
      <c r="J837" t="n">
        <v>0</v>
      </c>
      <c r="K837" t="n">
        <v>0</v>
      </c>
      <c r="L837" t="n">
        <v>0</v>
      </c>
      <c r="M837" t="n">
        <v>0</v>
      </c>
      <c r="N837" t="n">
        <v>0</v>
      </c>
      <c r="O837" t="n">
        <v>0</v>
      </c>
      <c r="P837" t="n">
        <v>0</v>
      </c>
      <c r="Q837" t="n">
        <v>0</v>
      </c>
      <c r="R837" s="2" t="inlineStr"/>
    </row>
    <row r="838" ht="15" customHeight="1">
      <c r="A838" t="inlineStr">
        <is>
          <t>A 7823-2021</t>
        </is>
      </c>
      <c r="B838" s="1" t="n">
        <v>44242</v>
      </c>
      <c r="C838" s="1" t="n">
        <v>45832</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7950-2021</t>
        </is>
      </c>
      <c r="B839" s="1" t="n">
        <v>44242</v>
      </c>
      <c r="C839" s="1" t="n">
        <v>45832</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8644-2021</t>
        </is>
      </c>
      <c r="B840" s="1" t="n">
        <v>44245</v>
      </c>
      <c r="C840" s="1" t="n">
        <v>45832</v>
      </c>
      <c r="D840" t="inlineStr">
        <is>
          <t>VÄSTERBOTTENS LÄN</t>
        </is>
      </c>
      <c r="E840" t="inlineStr">
        <is>
          <t>SKELLEFTEÅ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8648-2021</t>
        </is>
      </c>
      <c r="B841" s="1" t="n">
        <v>44245</v>
      </c>
      <c r="C841" s="1" t="n">
        <v>45832</v>
      </c>
      <c r="D841" t="inlineStr">
        <is>
          <t>VÄSTERBOTTENS LÄN</t>
        </is>
      </c>
      <c r="E841" t="inlineStr">
        <is>
          <t>SKELLEFTEÅ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8911-2021</t>
        </is>
      </c>
      <c r="B842" s="1" t="n">
        <v>44245</v>
      </c>
      <c r="C842" s="1" t="n">
        <v>45832</v>
      </c>
      <c r="D842" t="inlineStr">
        <is>
          <t>VÄSTERBOTTENS LÄN</t>
        </is>
      </c>
      <c r="E842" t="inlineStr">
        <is>
          <t>SKELLEFTEÅ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8652-2021</t>
        </is>
      </c>
      <c r="B843" s="1" t="n">
        <v>44245</v>
      </c>
      <c r="C843" s="1" t="n">
        <v>45832</v>
      </c>
      <c r="D843" t="inlineStr">
        <is>
          <t>VÄSTERBOTTENS LÄN</t>
        </is>
      </c>
      <c r="E843" t="inlineStr">
        <is>
          <t>SKELLEFTEÅ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8846-2021</t>
        </is>
      </c>
      <c r="B844" s="1" t="n">
        <v>44246</v>
      </c>
      <c r="C844" s="1" t="n">
        <v>45832</v>
      </c>
      <c r="D844" t="inlineStr">
        <is>
          <t>VÄSTERBOTTENS LÄN</t>
        </is>
      </c>
      <c r="E844" t="inlineStr">
        <is>
          <t>SKELLEFTEÅ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9081-2021</t>
        </is>
      </c>
      <c r="B845" s="1" t="n">
        <v>44249</v>
      </c>
      <c r="C845" s="1" t="n">
        <v>45832</v>
      </c>
      <c r="D845" t="inlineStr">
        <is>
          <t>VÄSTERBOTTENS LÄN</t>
        </is>
      </c>
      <c r="E845" t="inlineStr">
        <is>
          <t>SKELLEFTEÅ</t>
        </is>
      </c>
      <c r="G845" t="n">
        <v>16.2</v>
      </c>
      <c r="H845" t="n">
        <v>0</v>
      </c>
      <c r="I845" t="n">
        <v>0</v>
      </c>
      <c r="J845" t="n">
        <v>0</v>
      </c>
      <c r="K845" t="n">
        <v>0</v>
      </c>
      <c r="L845" t="n">
        <v>0</v>
      </c>
      <c r="M845" t="n">
        <v>0</v>
      </c>
      <c r="N845" t="n">
        <v>0</v>
      </c>
      <c r="O845" t="n">
        <v>0</v>
      </c>
      <c r="P845" t="n">
        <v>0</v>
      </c>
      <c r="Q845" t="n">
        <v>0</v>
      </c>
      <c r="R845" s="2" t="inlineStr"/>
    </row>
    <row r="846" ht="15" customHeight="1">
      <c r="A846" t="inlineStr">
        <is>
          <t>A 9045-2021</t>
        </is>
      </c>
      <c r="B846" s="1" t="n">
        <v>44249</v>
      </c>
      <c r="C846" s="1" t="n">
        <v>45832</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9059-2021</t>
        </is>
      </c>
      <c r="B847" s="1" t="n">
        <v>44249</v>
      </c>
      <c r="C847" s="1" t="n">
        <v>45832</v>
      </c>
      <c r="D847" t="inlineStr">
        <is>
          <t>VÄSTERBOTTENS LÄN</t>
        </is>
      </c>
      <c r="E847" t="inlineStr">
        <is>
          <t>SKELLEFTEÅ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9192-2021</t>
        </is>
      </c>
      <c r="B848" s="1" t="n">
        <v>44249</v>
      </c>
      <c r="C848" s="1" t="n">
        <v>45832</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9035-2021</t>
        </is>
      </c>
      <c r="B849" s="1" t="n">
        <v>44249</v>
      </c>
      <c r="C849" s="1" t="n">
        <v>45832</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9051-2021</t>
        </is>
      </c>
      <c r="B850" s="1" t="n">
        <v>44249</v>
      </c>
      <c r="C850" s="1" t="n">
        <v>45832</v>
      </c>
      <c r="D850" t="inlineStr">
        <is>
          <t>VÄSTERBOTTENS LÄN</t>
        </is>
      </c>
      <c r="E850" t="inlineStr">
        <is>
          <t>SKELLEFTEÅ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9090-2021</t>
        </is>
      </c>
      <c r="B851" s="1" t="n">
        <v>44249</v>
      </c>
      <c r="C851" s="1" t="n">
        <v>45832</v>
      </c>
      <c r="D851" t="inlineStr">
        <is>
          <t>VÄSTERBOTTENS LÄN</t>
        </is>
      </c>
      <c r="E851" t="inlineStr">
        <is>
          <t>SKELLEFTEÅ</t>
        </is>
      </c>
      <c r="G851" t="n">
        <v>10.8</v>
      </c>
      <c r="H851" t="n">
        <v>0</v>
      </c>
      <c r="I851" t="n">
        <v>0</v>
      </c>
      <c r="J851" t="n">
        <v>0</v>
      </c>
      <c r="K851" t="n">
        <v>0</v>
      </c>
      <c r="L851" t="n">
        <v>0</v>
      </c>
      <c r="M851" t="n">
        <v>0</v>
      </c>
      <c r="N851" t="n">
        <v>0</v>
      </c>
      <c r="O851" t="n">
        <v>0</v>
      </c>
      <c r="P851" t="n">
        <v>0</v>
      </c>
      <c r="Q851" t="n">
        <v>0</v>
      </c>
      <c r="R851" s="2" t="inlineStr"/>
    </row>
    <row r="852" ht="15" customHeight="1">
      <c r="A852" t="inlineStr">
        <is>
          <t>A 10051-2021</t>
        </is>
      </c>
      <c r="B852" s="1" t="n">
        <v>44256</v>
      </c>
      <c r="C852" s="1" t="n">
        <v>45832</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10471-2021</t>
        </is>
      </c>
      <c r="B853" s="1" t="n">
        <v>44257</v>
      </c>
      <c r="C853" s="1" t="n">
        <v>45832</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11087-2021</t>
        </is>
      </c>
      <c r="B854" s="1" t="n">
        <v>44259</v>
      </c>
      <c r="C854" s="1" t="n">
        <v>45832</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11102-2021</t>
        </is>
      </c>
      <c r="B855" s="1" t="n">
        <v>44259</v>
      </c>
      <c r="C855" s="1" t="n">
        <v>45832</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11409-2021</t>
        </is>
      </c>
      <c r="B856" s="1" t="n">
        <v>44263</v>
      </c>
      <c r="C856" s="1" t="n">
        <v>45832</v>
      </c>
      <c r="D856" t="inlineStr">
        <is>
          <t>VÄSTERBOTTENS LÄN</t>
        </is>
      </c>
      <c r="E856" t="inlineStr">
        <is>
          <t>SKELLEFTEÅ</t>
        </is>
      </c>
      <c r="G856" t="n">
        <v>6</v>
      </c>
      <c r="H856" t="n">
        <v>0</v>
      </c>
      <c r="I856" t="n">
        <v>0</v>
      </c>
      <c r="J856" t="n">
        <v>0</v>
      </c>
      <c r="K856" t="n">
        <v>0</v>
      </c>
      <c r="L856" t="n">
        <v>0</v>
      </c>
      <c r="M856" t="n">
        <v>0</v>
      </c>
      <c r="N856" t="n">
        <v>0</v>
      </c>
      <c r="O856" t="n">
        <v>0</v>
      </c>
      <c r="P856" t="n">
        <v>0</v>
      </c>
      <c r="Q856" t="n">
        <v>0</v>
      </c>
      <c r="R856" s="2" t="inlineStr"/>
    </row>
    <row r="857" ht="15" customHeight="1">
      <c r="A857" t="inlineStr">
        <is>
          <t>A 11454-2021</t>
        </is>
      </c>
      <c r="B857" s="1" t="n">
        <v>44264</v>
      </c>
      <c r="C857" s="1" t="n">
        <v>45832</v>
      </c>
      <c r="D857" t="inlineStr">
        <is>
          <t>VÄSTERBOTTENS LÄN</t>
        </is>
      </c>
      <c r="E857" t="inlineStr">
        <is>
          <t>SKELLEFTEÅ</t>
        </is>
      </c>
      <c r="G857" t="n">
        <v>14.6</v>
      </c>
      <c r="H857" t="n">
        <v>0</v>
      </c>
      <c r="I857" t="n">
        <v>0</v>
      </c>
      <c r="J857" t="n">
        <v>0</v>
      </c>
      <c r="K857" t="n">
        <v>0</v>
      </c>
      <c r="L857" t="n">
        <v>0</v>
      </c>
      <c r="M857" t="n">
        <v>0</v>
      </c>
      <c r="N857" t="n">
        <v>0</v>
      </c>
      <c r="O857" t="n">
        <v>0</v>
      </c>
      <c r="P857" t="n">
        <v>0</v>
      </c>
      <c r="Q857" t="n">
        <v>0</v>
      </c>
      <c r="R857" s="2" t="inlineStr"/>
    </row>
    <row r="858" ht="15" customHeight="1">
      <c r="A858" t="inlineStr">
        <is>
          <t>A 11499-2021</t>
        </is>
      </c>
      <c r="B858" s="1" t="n">
        <v>44264</v>
      </c>
      <c r="C858" s="1" t="n">
        <v>45832</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12416-2021</t>
        </is>
      </c>
      <c r="B859" s="1" t="n">
        <v>44267</v>
      </c>
      <c r="C859" s="1" t="n">
        <v>45832</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12928-2021</t>
        </is>
      </c>
      <c r="B860" s="1" t="n">
        <v>44270</v>
      </c>
      <c r="C860" s="1" t="n">
        <v>45832</v>
      </c>
      <c r="D860" t="inlineStr">
        <is>
          <t>VÄSTERBOTTENS LÄN</t>
        </is>
      </c>
      <c r="E860" t="inlineStr">
        <is>
          <t>SKELLEFTEÅ</t>
        </is>
      </c>
      <c r="G860" t="n">
        <v>17.8</v>
      </c>
      <c r="H860" t="n">
        <v>0</v>
      </c>
      <c r="I860" t="n">
        <v>0</v>
      </c>
      <c r="J860" t="n">
        <v>0</v>
      </c>
      <c r="K860" t="n">
        <v>0</v>
      </c>
      <c r="L860" t="n">
        <v>0</v>
      </c>
      <c r="M860" t="n">
        <v>0</v>
      </c>
      <c r="N860" t="n">
        <v>0</v>
      </c>
      <c r="O860" t="n">
        <v>0</v>
      </c>
      <c r="P860" t="n">
        <v>0</v>
      </c>
      <c r="Q860" t="n">
        <v>0</v>
      </c>
      <c r="R860" s="2" t="inlineStr"/>
    </row>
    <row r="861" ht="15" customHeight="1">
      <c r="A861" t="inlineStr">
        <is>
          <t>A 13086-2021</t>
        </is>
      </c>
      <c r="B861" s="1" t="n">
        <v>44271</v>
      </c>
      <c r="C861" s="1" t="n">
        <v>45832</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13729-2021</t>
        </is>
      </c>
      <c r="B862" s="1" t="n">
        <v>44274</v>
      </c>
      <c r="C862" s="1" t="n">
        <v>45832</v>
      </c>
      <c r="D862" t="inlineStr">
        <is>
          <t>VÄSTERBOTTENS LÄN</t>
        </is>
      </c>
      <c r="E862" t="inlineStr">
        <is>
          <t>SKELLEFTEÅ</t>
        </is>
      </c>
      <c r="G862" t="n">
        <v>7.6</v>
      </c>
      <c r="H862" t="n">
        <v>0</v>
      </c>
      <c r="I862" t="n">
        <v>0</v>
      </c>
      <c r="J862" t="n">
        <v>0</v>
      </c>
      <c r="K862" t="n">
        <v>0</v>
      </c>
      <c r="L862" t="n">
        <v>0</v>
      </c>
      <c r="M862" t="n">
        <v>0</v>
      </c>
      <c r="N862" t="n">
        <v>0</v>
      </c>
      <c r="O862" t="n">
        <v>0</v>
      </c>
      <c r="P862" t="n">
        <v>0</v>
      </c>
      <c r="Q862" t="n">
        <v>0</v>
      </c>
      <c r="R862" s="2" t="inlineStr"/>
    </row>
    <row r="863" ht="15" customHeight="1">
      <c r="A863" t="inlineStr">
        <is>
          <t>A 14850-2021</t>
        </is>
      </c>
      <c r="B863" s="1" t="n">
        <v>44280</v>
      </c>
      <c r="C863" s="1" t="n">
        <v>45832</v>
      </c>
      <c r="D863" t="inlineStr">
        <is>
          <t>VÄSTERBOTTENS LÄN</t>
        </is>
      </c>
      <c r="E863" t="inlineStr">
        <is>
          <t>SKELLEFTEÅ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14865-2021</t>
        </is>
      </c>
      <c r="B864" s="1" t="n">
        <v>44280</v>
      </c>
      <c r="C864" s="1" t="n">
        <v>45832</v>
      </c>
      <c r="D864" t="inlineStr">
        <is>
          <t>VÄSTERBOTTENS LÄN</t>
        </is>
      </c>
      <c r="E864" t="inlineStr">
        <is>
          <t>SKELLEFTEÅ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14851-2021</t>
        </is>
      </c>
      <c r="B865" s="1" t="n">
        <v>44280</v>
      </c>
      <c r="C865" s="1" t="n">
        <v>45832</v>
      </c>
      <c r="D865" t="inlineStr">
        <is>
          <t>VÄSTERBOTTENS LÄN</t>
        </is>
      </c>
      <c r="E865" t="inlineStr">
        <is>
          <t>SKELLEFTEÅ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14858-2021</t>
        </is>
      </c>
      <c r="B866" s="1" t="n">
        <v>44280</v>
      </c>
      <c r="C866" s="1" t="n">
        <v>45832</v>
      </c>
      <c r="D866" t="inlineStr">
        <is>
          <t>VÄSTERBOTTENS LÄN</t>
        </is>
      </c>
      <c r="E866" t="inlineStr">
        <is>
          <t>SKELLEFTEÅ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14848-2021</t>
        </is>
      </c>
      <c r="B867" s="1" t="n">
        <v>44280</v>
      </c>
      <c r="C867" s="1" t="n">
        <v>45832</v>
      </c>
      <c r="D867" t="inlineStr">
        <is>
          <t>VÄSTERBOTTENS LÄN</t>
        </is>
      </c>
      <c r="E867" t="inlineStr">
        <is>
          <t>SKELLEFTEÅ</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14853-2021</t>
        </is>
      </c>
      <c r="B868" s="1" t="n">
        <v>44280</v>
      </c>
      <c r="C868" s="1" t="n">
        <v>45832</v>
      </c>
      <c r="D868" t="inlineStr">
        <is>
          <t>VÄSTERBOTTENS LÄN</t>
        </is>
      </c>
      <c r="E868" t="inlineStr">
        <is>
          <t>SKELLEFTEÅ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15108-2021</t>
        </is>
      </c>
      <c r="B869" s="1" t="n">
        <v>44281</v>
      </c>
      <c r="C869" s="1" t="n">
        <v>45832</v>
      </c>
      <c r="D869" t="inlineStr">
        <is>
          <t>VÄSTERBOTTENS LÄN</t>
        </is>
      </c>
      <c r="E869" t="inlineStr">
        <is>
          <t>SKELLEFTEÅ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15109-2021</t>
        </is>
      </c>
      <c r="B870" s="1" t="n">
        <v>44281</v>
      </c>
      <c r="C870" s="1" t="n">
        <v>45832</v>
      </c>
      <c r="D870" t="inlineStr">
        <is>
          <t>VÄSTERBOTTENS LÄN</t>
        </is>
      </c>
      <c r="E870" t="inlineStr">
        <is>
          <t>SKELLEFTEÅ</t>
        </is>
      </c>
      <c r="F870" t="inlineStr">
        <is>
          <t>SCA</t>
        </is>
      </c>
      <c r="G870" t="n">
        <v>6.4</v>
      </c>
      <c r="H870" t="n">
        <v>0</v>
      </c>
      <c r="I870" t="n">
        <v>0</v>
      </c>
      <c r="J870" t="n">
        <v>0</v>
      </c>
      <c r="K870" t="n">
        <v>0</v>
      </c>
      <c r="L870" t="n">
        <v>0</v>
      </c>
      <c r="M870" t="n">
        <v>0</v>
      </c>
      <c r="N870" t="n">
        <v>0</v>
      </c>
      <c r="O870" t="n">
        <v>0</v>
      </c>
      <c r="P870" t="n">
        <v>0</v>
      </c>
      <c r="Q870" t="n">
        <v>0</v>
      </c>
      <c r="R870" s="2" t="inlineStr"/>
    </row>
    <row r="871" ht="15" customHeight="1">
      <c r="A871" t="inlineStr">
        <is>
          <t>A 15459-2021</t>
        </is>
      </c>
      <c r="B871" s="1" t="n">
        <v>44284</v>
      </c>
      <c r="C871" s="1" t="n">
        <v>45832</v>
      </c>
      <c r="D871" t="inlineStr">
        <is>
          <t>VÄSTERBOTTENS LÄN</t>
        </is>
      </c>
      <c r="E871" t="inlineStr">
        <is>
          <t>SKELLEFTEÅ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18073-2021</t>
        </is>
      </c>
      <c r="B872" s="1" t="n">
        <v>44302</v>
      </c>
      <c r="C872" s="1" t="n">
        <v>45832</v>
      </c>
      <c r="D872" t="inlineStr">
        <is>
          <t>VÄSTERBOTTENS LÄN</t>
        </is>
      </c>
      <c r="E872" t="inlineStr">
        <is>
          <t>SKELLEFTEÅ</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18101-2021</t>
        </is>
      </c>
      <c r="B873" s="1" t="n">
        <v>44302</v>
      </c>
      <c r="C873" s="1" t="n">
        <v>45832</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18182-2021</t>
        </is>
      </c>
      <c r="B874" s="1" t="n">
        <v>44302</v>
      </c>
      <c r="C874" s="1" t="n">
        <v>45832</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18183-2021</t>
        </is>
      </c>
      <c r="B875" s="1" t="n">
        <v>44302</v>
      </c>
      <c r="C875" s="1" t="n">
        <v>45832</v>
      </c>
      <c r="D875" t="inlineStr">
        <is>
          <t>VÄSTERBOTTENS LÄN</t>
        </is>
      </c>
      <c r="E875" t="inlineStr">
        <is>
          <t>SKELLEFTEÅ</t>
        </is>
      </c>
      <c r="G875" t="n">
        <v>7.4</v>
      </c>
      <c r="H875" t="n">
        <v>0</v>
      </c>
      <c r="I875" t="n">
        <v>0</v>
      </c>
      <c r="J875" t="n">
        <v>0</v>
      </c>
      <c r="K875" t="n">
        <v>0</v>
      </c>
      <c r="L875" t="n">
        <v>0</v>
      </c>
      <c r="M875" t="n">
        <v>0</v>
      </c>
      <c r="N875" t="n">
        <v>0</v>
      </c>
      <c r="O875" t="n">
        <v>0</v>
      </c>
      <c r="P875" t="n">
        <v>0</v>
      </c>
      <c r="Q875" t="n">
        <v>0</v>
      </c>
      <c r="R875" s="2" t="inlineStr"/>
    </row>
    <row r="876" ht="15" customHeight="1">
      <c r="A876" t="inlineStr">
        <is>
          <t>A 18104-2021</t>
        </is>
      </c>
      <c r="B876" s="1" t="n">
        <v>44302</v>
      </c>
      <c r="C876" s="1" t="n">
        <v>45832</v>
      </c>
      <c r="D876" t="inlineStr">
        <is>
          <t>VÄSTERBOTTENS LÄN</t>
        </is>
      </c>
      <c r="E876" t="inlineStr">
        <is>
          <t>SKELLEFTEÅ</t>
        </is>
      </c>
      <c r="G876" t="n">
        <v>3.8</v>
      </c>
      <c r="H876" t="n">
        <v>0</v>
      </c>
      <c r="I876" t="n">
        <v>0</v>
      </c>
      <c r="J876" t="n">
        <v>0</v>
      </c>
      <c r="K876" t="n">
        <v>0</v>
      </c>
      <c r="L876" t="n">
        <v>0</v>
      </c>
      <c r="M876" t="n">
        <v>0</v>
      </c>
      <c r="N876" t="n">
        <v>0</v>
      </c>
      <c r="O876" t="n">
        <v>0</v>
      </c>
      <c r="P876" t="n">
        <v>0</v>
      </c>
      <c r="Q876" t="n">
        <v>0</v>
      </c>
      <c r="R876" s="2" t="inlineStr"/>
    </row>
    <row r="877" ht="15" customHeight="1">
      <c r="A877" t="inlineStr">
        <is>
          <t>A 18216-2021</t>
        </is>
      </c>
      <c r="B877" s="1" t="n">
        <v>44303</v>
      </c>
      <c r="C877" s="1" t="n">
        <v>45832</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18353-2021</t>
        </is>
      </c>
      <c r="B878" s="1" t="n">
        <v>44305</v>
      </c>
      <c r="C878" s="1" t="n">
        <v>45832</v>
      </c>
      <c r="D878" t="inlineStr">
        <is>
          <t>VÄSTERBOTTENS LÄN</t>
        </is>
      </c>
      <c r="E878" t="inlineStr">
        <is>
          <t>SKELLEFTEÅ</t>
        </is>
      </c>
      <c r="G878" t="n">
        <v>7.2</v>
      </c>
      <c r="H878" t="n">
        <v>0</v>
      </c>
      <c r="I878" t="n">
        <v>0</v>
      </c>
      <c r="J878" t="n">
        <v>0</v>
      </c>
      <c r="K878" t="n">
        <v>0</v>
      </c>
      <c r="L878" t="n">
        <v>0</v>
      </c>
      <c r="M878" t="n">
        <v>0</v>
      </c>
      <c r="N878" t="n">
        <v>0</v>
      </c>
      <c r="O878" t="n">
        <v>0</v>
      </c>
      <c r="P878" t="n">
        <v>0</v>
      </c>
      <c r="Q878" t="n">
        <v>0</v>
      </c>
      <c r="R878" s="2" t="inlineStr"/>
    </row>
    <row r="879" ht="15" customHeight="1">
      <c r="A879" t="inlineStr">
        <is>
          <t>A 19538-2021</t>
        </is>
      </c>
      <c r="B879" s="1" t="n">
        <v>44309</v>
      </c>
      <c r="C879" s="1" t="n">
        <v>45832</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19748-2021</t>
        </is>
      </c>
      <c r="B880" s="1" t="n">
        <v>44312</v>
      </c>
      <c r="C880" s="1" t="n">
        <v>45832</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19679-2021</t>
        </is>
      </c>
      <c r="B881" s="1" t="n">
        <v>44312</v>
      </c>
      <c r="C881" s="1" t="n">
        <v>45832</v>
      </c>
      <c r="D881" t="inlineStr">
        <is>
          <t>VÄSTERBOTTENS LÄN</t>
        </is>
      </c>
      <c r="E881" t="inlineStr">
        <is>
          <t>SKELLEFTEÅ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20051-2021</t>
        </is>
      </c>
      <c r="B882" s="1" t="n">
        <v>44313</v>
      </c>
      <c r="C882" s="1" t="n">
        <v>45832</v>
      </c>
      <c r="D882" t="inlineStr">
        <is>
          <t>VÄSTERBOTTENS LÄN</t>
        </is>
      </c>
      <c r="E882" t="inlineStr">
        <is>
          <t>SKELLEFTEÅ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20046-2021</t>
        </is>
      </c>
      <c r="B883" s="1" t="n">
        <v>44313</v>
      </c>
      <c r="C883" s="1" t="n">
        <v>45832</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20381-2021</t>
        </is>
      </c>
      <c r="B884" s="1" t="n">
        <v>44314</v>
      </c>
      <c r="C884" s="1" t="n">
        <v>45832</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20856-2021</t>
        </is>
      </c>
      <c r="B885" s="1" t="n">
        <v>44319</v>
      </c>
      <c r="C885" s="1" t="n">
        <v>45832</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24606-2021</t>
        </is>
      </c>
      <c r="B886" s="1" t="n">
        <v>44319</v>
      </c>
      <c r="C886" s="1" t="n">
        <v>45832</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21265-2021</t>
        </is>
      </c>
      <c r="B887" s="1" t="n">
        <v>44320</v>
      </c>
      <c r="C887" s="1" t="n">
        <v>45832</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22067-2021</t>
        </is>
      </c>
      <c r="B888" s="1" t="n">
        <v>44322</v>
      </c>
      <c r="C888" s="1" t="n">
        <v>45832</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22568-2021</t>
        </is>
      </c>
      <c r="B889" s="1" t="n">
        <v>44322</v>
      </c>
      <c r="C889" s="1" t="n">
        <v>45832</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22626-2021</t>
        </is>
      </c>
      <c r="B890" s="1" t="n">
        <v>44326</v>
      </c>
      <c r="C890" s="1" t="n">
        <v>45832</v>
      </c>
      <c r="D890" t="inlineStr">
        <is>
          <t>VÄSTERBOTTENS LÄN</t>
        </is>
      </c>
      <c r="E890" t="inlineStr">
        <is>
          <t>SKELLEFTEÅ</t>
        </is>
      </c>
      <c r="G890" t="n">
        <v>8.4</v>
      </c>
      <c r="H890" t="n">
        <v>0</v>
      </c>
      <c r="I890" t="n">
        <v>0</v>
      </c>
      <c r="J890" t="n">
        <v>0</v>
      </c>
      <c r="K890" t="n">
        <v>0</v>
      </c>
      <c r="L890" t="n">
        <v>0</v>
      </c>
      <c r="M890" t="n">
        <v>0</v>
      </c>
      <c r="N890" t="n">
        <v>0</v>
      </c>
      <c r="O890" t="n">
        <v>0</v>
      </c>
      <c r="P890" t="n">
        <v>0</v>
      </c>
      <c r="Q890" t="n">
        <v>0</v>
      </c>
      <c r="R890" s="2" t="inlineStr"/>
    </row>
    <row r="891" ht="15" customHeight="1">
      <c r="A891" t="inlineStr">
        <is>
          <t>A 23132-2021</t>
        </is>
      </c>
      <c r="B891" s="1" t="n">
        <v>44331</v>
      </c>
      <c r="C891" s="1" t="n">
        <v>45832</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23408-2021</t>
        </is>
      </c>
      <c r="B892" s="1" t="n">
        <v>44333</v>
      </c>
      <c r="C892" s="1" t="n">
        <v>45832</v>
      </c>
      <c r="D892" t="inlineStr">
        <is>
          <t>VÄSTERBOTTENS LÄN</t>
        </is>
      </c>
      <c r="E892" t="inlineStr">
        <is>
          <t>SKELLEFTEÅ</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23801-2021</t>
        </is>
      </c>
      <c r="B893" s="1" t="n">
        <v>44334</v>
      </c>
      <c r="C893" s="1" t="n">
        <v>45832</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23885-2021</t>
        </is>
      </c>
      <c r="B894" s="1" t="n">
        <v>44335</v>
      </c>
      <c r="C894" s="1" t="n">
        <v>45832</v>
      </c>
      <c r="D894" t="inlineStr">
        <is>
          <t>VÄSTERBOTTENS LÄN</t>
        </is>
      </c>
      <c r="E894" t="inlineStr">
        <is>
          <t>SKELLEFTEÅ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24238-2021</t>
        </is>
      </c>
      <c r="B895" s="1" t="n">
        <v>44337</v>
      </c>
      <c r="C895" s="1" t="n">
        <v>45832</v>
      </c>
      <c r="D895" t="inlineStr">
        <is>
          <t>VÄSTERBOTTENS LÄN</t>
        </is>
      </c>
      <c r="E895" t="inlineStr">
        <is>
          <t>SKELLEFTEÅ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24303-2021</t>
        </is>
      </c>
      <c r="B896" s="1" t="n">
        <v>44337</v>
      </c>
      <c r="C896" s="1" t="n">
        <v>45832</v>
      </c>
      <c r="D896" t="inlineStr">
        <is>
          <t>VÄSTERBOTTENS LÄN</t>
        </is>
      </c>
      <c r="E896" t="inlineStr">
        <is>
          <t>SKELLEFTEÅ</t>
        </is>
      </c>
      <c r="G896" t="n">
        <v>6.1</v>
      </c>
      <c r="H896" t="n">
        <v>0</v>
      </c>
      <c r="I896" t="n">
        <v>0</v>
      </c>
      <c r="J896" t="n">
        <v>0</v>
      </c>
      <c r="K896" t="n">
        <v>0</v>
      </c>
      <c r="L896" t="n">
        <v>0</v>
      </c>
      <c r="M896" t="n">
        <v>0</v>
      </c>
      <c r="N896" t="n">
        <v>0</v>
      </c>
      <c r="O896" t="n">
        <v>0</v>
      </c>
      <c r="P896" t="n">
        <v>0</v>
      </c>
      <c r="Q896" t="n">
        <v>0</v>
      </c>
      <c r="R896" s="2" t="inlineStr"/>
    </row>
    <row r="897" ht="15" customHeight="1">
      <c r="A897" t="inlineStr">
        <is>
          <t>A 24653-2021</t>
        </is>
      </c>
      <c r="B897" s="1" t="n">
        <v>44340</v>
      </c>
      <c r="C897" s="1" t="n">
        <v>45832</v>
      </c>
      <c r="D897" t="inlineStr">
        <is>
          <t>VÄSTERBOTTENS LÄN</t>
        </is>
      </c>
      <c r="E897" t="inlineStr">
        <is>
          <t>SKELLEFTEÅ</t>
        </is>
      </c>
      <c r="G897" t="n">
        <v>6.7</v>
      </c>
      <c r="H897" t="n">
        <v>0</v>
      </c>
      <c r="I897" t="n">
        <v>0</v>
      </c>
      <c r="J897" t="n">
        <v>0</v>
      </c>
      <c r="K897" t="n">
        <v>0</v>
      </c>
      <c r="L897" t="n">
        <v>0</v>
      </c>
      <c r="M897" t="n">
        <v>0</v>
      </c>
      <c r="N897" t="n">
        <v>0</v>
      </c>
      <c r="O897" t="n">
        <v>0</v>
      </c>
      <c r="P897" t="n">
        <v>0</v>
      </c>
      <c r="Q897" t="n">
        <v>0</v>
      </c>
      <c r="R897" s="2" t="inlineStr"/>
    </row>
    <row r="898" ht="15" customHeight="1">
      <c r="A898" t="inlineStr">
        <is>
          <t>A 25513-2021</t>
        </is>
      </c>
      <c r="B898" s="1" t="n">
        <v>44343</v>
      </c>
      <c r="C898" s="1" t="n">
        <v>45832</v>
      </c>
      <c r="D898" t="inlineStr">
        <is>
          <t>VÄSTERBOTTENS LÄN</t>
        </is>
      </c>
      <c r="E898" t="inlineStr">
        <is>
          <t>SKELLEFTEÅ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25512-2021</t>
        </is>
      </c>
      <c r="B899" s="1" t="n">
        <v>44342</v>
      </c>
      <c r="C899" s="1" t="n">
        <v>45832</v>
      </c>
      <c r="D899" t="inlineStr">
        <is>
          <t>VÄSTERBOTTENS LÄN</t>
        </is>
      </c>
      <c r="E899" t="inlineStr">
        <is>
          <t>SKELLEFTEÅ</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25515-2021</t>
        </is>
      </c>
      <c r="B900" s="1" t="n">
        <v>44343</v>
      </c>
      <c r="C900" s="1" t="n">
        <v>45832</v>
      </c>
      <c r="D900" t="inlineStr">
        <is>
          <t>VÄSTERBOTTENS LÄN</t>
        </is>
      </c>
      <c r="E900" t="inlineStr">
        <is>
          <t>SKELLEFTEÅ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25520-2021</t>
        </is>
      </c>
      <c r="B901" s="1" t="n">
        <v>44343</v>
      </c>
      <c r="C901" s="1" t="n">
        <v>45832</v>
      </c>
      <c r="D901" t="inlineStr">
        <is>
          <t>VÄSTERBOTTENS LÄN</t>
        </is>
      </c>
      <c r="E901" t="inlineStr">
        <is>
          <t>SKELLEFTEÅ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25473-2021</t>
        </is>
      </c>
      <c r="B902" s="1" t="n">
        <v>44342</v>
      </c>
      <c r="C902" s="1" t="n">
        <v>45832</v>
      </c>
      <c r="D902" t="inlineStr">
        <is>
          <t>VÄSTERBOTTENS LÄN</t>
        </is>
      </c>
      <c r="E902" t="inlineStr">
        <is>
          <t>SKELLEFTEÅ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25491-2021</t>
        </is>
      </c>
      <c r="B903" s="1" t="n">
        <v>44342</v>
      </c>
      <c r="C903" s="1" t="n">
        <v>45832</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26129-2021</t>
        </is>
      </c>
      <c r="B904" s="1" t="n">
        <v>44346</v>
      </c>
      <c r="C904" s="1" t="n">
        <v>45832</v>
      </c>
      <c r="D904" t="inlineStr">
        <is>
          <t>VÄSTERBOTTENS LÄN</t>
        </is>
      </c>
      <c r="E904" t="inlineStr">
        <is>
          <t>SKELLEFTEÅ</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26130-2021</t>
        </is>
      </c>
      <c r="B905" s="1" t="n">
        <v>44346</v>
      </c>
      <c r="C905" s="1" t="n">
        <v>45832</v>
      </c>
      <c r="D905" t="inlineStr">
        <is>
          <t>VÄSTERBOTTENS LÄN</t>
        </is>
      </c>
      <c r="E905" t="inlineStr">
        <is>
          <t>SKELLEFTEÅ</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45832</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26599-2021</t>
        </is>
      </c>
      <c r="B907" s="1" t="n">
        <v>44348</v>
      </c>
      <c r="C907" s="1" t="n">
        <v>45832</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26858-2021</t>
        </is>
      </c>
      <c r="B908" s="1" t="n">
        <v>44349</v>
      </c>
      <c r="C908" s="1" t="n">
        <v>45832</v>
      </c>
      <c r="D908" t="inlineStr">
        <is>
          <t>VÄSTERBOTTENS LÄN</t>
        </is>
      </c>
      <c r="E908" t="inlineStr">
        <is>
          <t>SKELLEFTEÅ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26957-2021</t>
        </is>
      </c>
      <c r="B909" s="1" t="n">
        <v>44350</v>
      </c>
      <c r="C909" s="1" t="n">
        <v>45832</v>
      </c>
      <c r="D909" t="inlineStr">
        <is>
          <t>VÄSTERBOTTENS LÄN</t>
        </is>
      </c>
      <c r="E909" t="inlineStr">
        <is>
          <t>SKELLEFTEÅ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26975-2021</t>
        </is>
      </c>
      <c r="B910" s="1" t="n">
        <v>44350</v>
      </c>
      <c r="C910" s="1" t="n">
        <v>45832</v>
      </c>
      <c r="D910" t="inlineStr">
        <is>
          <t>VÄSTERBOTTENS LÄN</t>
        </is>
      </c>
      <c r="E910" t="inlineStr">
        <is>
          <t>SKELLEFTEÅ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27444-2021</t>
        </is>
      </c>
      <c r="B911" s="1" t="n">
        <v>44351</v>
      </c>
      <c r="C911" s="1" t="n">
        <v>45832</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27698-2021</t>
        </is>
      </c>
      <c r="B912" s="1" t="n">
        <v>44354</v>
      </c>
      <c r="C912" s="1" t="n">
        <v>45832</v>
      </c>
      <c r="D912" t="inlineStr">
        <is>
          <t>VÄSTERBOTTENS LÄN</t>
        </is>
      </c>
      <c r="E912" t="inlineStr">
        <is>
          <t>SKELLEFTEÅ</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27643-2021</t>
        </is>
      </c>
      <c r="B913" s="1" t="n">
        <v>44354</v>
      </c>
      <c r="C913" s="1" t="n">
        <v>45832</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27774-2021</t>
        </is>
      </c>
      <c r="B914" s="1" t="n">
        <v>44354</v>
      </c>
      <c r="C914" s="1" t="n">
        <v>45832</v>
      </c>
      <c r="D914" t="inlineStr">
        <is>
          <t>VÄSTERBOTTENS LÄN</t>
        </is>
      </c>
      <c r="E914" t="inlineStr">
        <is>
          <t>SKELLEFTEÅ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28121-2021</t>
        </is>
      </c>
      <c r="B915" s="1" t="n">
        <v>44355</v>
      </c>
      <c r="C915" s="1" t="n">
        <v>45832</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28191-2021</t>
        </is>
      </c>
      <c r="B916" s="1" t="n">
        <v>44355</v>
      </c>
      <c r="C916" s="1" t="n">
        <v>45832</v>
      </c>
      <c r="D916" t="inlineStr">
        <is>
          <t>VÄSTERBOTTENS LÄN</t>
        </is>
      </c>
      <c r="E916" t="inlineStr">
        <is>
          <t>SKELLEFTEÅ</t>
        </is>
      </c>
      <c r="G916" t="n">
        <v>7.6</v>
      </c>
      <c r="H916" t="n">
        <v>0</v>
      </c>
      <c r="I916" t="n">
        <v>0</v>
      </c>
      <c r="J916" t="n">
        <v>0</v>
      </c>
      <c r="K916" t="n">
        <v>0</v>
      </c>
      <c r="L916" t="n">
        <v>0</v>
      </c>
      <c r="M916" t="n">
        <v>0</v>
      </c>
      <c r="N916" t="n">
        <v>0</v>
      </c>
      <c r="O916" t="n">
        <v>0</v>
      </c>
      <c r="P916" t="n">
        <v>0</v>
      </c>
      <c r="Q916" t="n">
        <v>0</v>
      </c>
      <c r="R916" s="2" t="inlineStr"/>
    </row>
    <row r="917" ht="15" customHeight="1">
      <c r="A917" t="inlineStr">
        <is>
          <t>A 28196-2021</t>
        </is>
      </c>
      <c r="B917" s="1" t="n">
        <v>44355</v>
      </c>
      <c r="C917" s="1" t="n">
        <v>45832</v>
      </c>
      <c r="D917" t="inlineStr">
        <is>
          <t>VÄSTERBOTTENS LÄN</t>
        </is>
      </c>
      <c r="E917" t="inlineStr">
        <is>
          <t>SKELLEFTEÅ</t>
        </is>
      </c>
      <c r="F917" t="inlineStr">
        <is>
          <t>Holmen skog AB</t>
        </is>
      </c>
      <c r="G917" t="n">
        <v>7.5</v>
      </c>
      <c r="H917" t="n">
        <v>0</v>
      </c>
      <c r="I917" t="n">
        <v>0</v>
      </c>
      <c r="J917" t="n">
        <v>0</v>
      </c>
      <c r="K917" t="n">
        <v>0</v>
      </c>
      <c r="L917" t="n">
        <v>0</v>
      </c>
      <c r="M917" t="n">
        <v>0</v>
      </c>
      <c r="N917" t="n">
        <v>0</v>
      </c>
      <c r="O917" t="n">
        <v>0</v>
      </c>
      <c r="P917" t="n">
        <v>0</v>
      </c>
      <c r="Q917" t="n">
        <v>0</v>
      </c>
      <c r="R917" s="2" t="inlineStr"/>
    </row>
    <row r="918" ht="15" customHeight="1">
      <c r="A918" t="inlineStr">
        <is>
          <t>A 28244-2021</t>
        </is>
      </c>
      <c r="B918" s="1" t="n">
        <v>44355</v>
      </c>
      <c r="C918" s="1" t="n">
        <v>45832</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28291-2021</t>
        </is>
      </c>
      <c r="B919" s="1" t="n">
        <v>44356</v>
      </c>
      <c r="C919" s="1" t="n">
        <v>45832</v>
      </c>
      <c r="D919" t="inlineStr">
        <is>
          <t>VÄSTERBOTTENS LÄN</t>
        </is>
      </c>
      <c r="E919" t="inlineStr">
        <is>
          <t>SKELLEFTEÅ</t>
        </is>
      </c>
      <c r="G919" t="n">
        <v>10.1</v>
      </c>
      <c r="H919" t="n">
        <v>0</v>
      </c>
      <c r="I919" t="n">
        <v>0</v>
      </c>
      <c r="J919" t="n">
        <v>0</v>
      </c>
      <c r="K919" t="n">
        <v>0</v>
      </c>
      <c r="L919" t="n">
        <v>0</v>
      </c>
      <c r="M919" t="n">
        <v>0</v>
      </c>
      <c r="N919" t="n">
        <v>0</v>
      </c>
      <c r="O919" t="n">
        <v>0</v>
      </c>
      <c r="P919" t="n">
        <v>0</v>
      </c>
      <c r="Q919" t="n">
        <v>0</v>
      </c>
      <c r="R919" s="2" t="inlineStr"/>
    </row>
    <row r="920" ht="15" customHeight="1">
      <c r="A920" t="inlineStr">
        <is>
          <t>A 28525-2021</t>
        </is>
      </c>
      <c r="B920" s="1" t="n">
        <v>44356</v>
      </c>
      <c r="C920" s="1" t="n">
        <v>45832</v>
      </c>
      <c r="D920" t="inlineStr">
        <is>
          <t>VÄSTERBOTTENS LÄN</t>
        </is>
      </c>
      <c r="E920" t="inlineStr">
        <is>
          <t>SKELLEFTEÅ</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28666-2021</t>
        </is>
      </c>
      <c r="B921" s="1" t="n">
        <v>44357</v>
      </c>
      <c r="C921" s="1" t="n">
        <v>45832</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28822-2021</t>
        </is>
      </c>
      <c r="B922" s="1" t="n">
        <v>44357</v>
      </c>
      <c r="C922" s="1" t="n">
        <v>45832</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29115-2021</t>
        </is>
      </c>
      <c r="B923" s="1" t="n">
        <v>44358</v>
      </c>
      <c r="C923" s="1" t="n">
        <v>45832</v>
      </c>
      <c r="D923" t="inlineStr">
        <is>
          <t>VÄSTERBOTTENS LÄN</t>
        </is>
      </c>
      <c r="E923" t="inlineStr">
        <is>
          <t>SKELLEFTEÅ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28959-2021</t>
        </is>
      </c>
      <c r="B924" s="1" t="n">
        <v>44358</v>
      </c>
      <c r="C924" s="1" t="n">
        <v>45832</v>
      </c>
      <c r="D924" t="inlineStr">
        <is>
          <t>VÄSTERBOTTENS LÄN</t>
        </is>
      </c>
      <c r="E924" t="inlineStr">
        <is>
          <t>SKELLEFTEÅ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29319-2021</t>
        </is>
      </c>
      <c r="B925" s="1" t="n">
        <v>44361</v>
      </c>
      <c r="C925" s="1" t="n">
        <v>45832</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29276-2021</t>
        </is>
      </c>
      <c r="B926" s="1" t="n">
        <v>44361</v>
      </c>
      <c r="C926" s="1" t="n">
        <v>45832</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29407-2021</t>
        </is>
      </c>
      <c r="B927" s="1" t="n">
        <v>44361</v>
      </c>
      <c r="C927" s="1" t="n">
        <v>45832</v>
      </c>
      <c r="D927" t="inlineStr">
        <is>
          <t>VÄSTERBOTTENS LÄN</t>
        </is>
      </c>
      <c r="E927" t="inlineStr">
        <is>
          <t>SKELLEFTEÅ</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29687-2021</t>
        </is>
      </c>
      <c r="B928" s="1" t="n">
        <v>44362</v>
      </c>
      <c r="C928" s="1" t="n">
        <v>45832</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29649-2021</t>
        </is>
      </c>
      <c r="B929" s="1" t="n">
        <v>44362</v>
      </c>
      <c r="C929" s="1" t="n">
        <v>45832</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29731-2021</t>
        </is>
      </c>
      <c r="B930" s="1" t="n">
        <v>44362</v>
      </c>
      <c r="C930" s="1" t="n">
        <v>45832</v>
      </c>
      <c r="D930" t="inlineStr">
        <is>
          <t>VÄSTERBOTTENS LÄN</t>
        </is>
      </c>
      <c r="E930" t="inlineStr">
        <is>
          <t>SKELLEFTEÅ</t>
        </is>
      </c>
      <c r="F930" t="inlineStr">
        <is>
          <t>Holmen skog AB</t>
        </is>
      </c>
      <c r="G930" t="n">
        <v>15.1</v>
      </c>
      <c r="H930" t="n">
        <v>0</v>
      </c>
      <c r="I930" t="n">
        <v>0</v>
      </c>
      <c r="J930" t="n">
        <v>0</v>
      </c>
      <c r="K930" t="n">
        <v>0</v>
      </c>
      <c r="L930" t="n">
        <v>0</v>
      </c>
      <c r="M930" t="n">
        <v>0</v>
      </c>
      <c r="N930" t="n">
        <v>0</v>
      </c>
      <c r="O930" t="n">
        <v>0</v>
      </c>
      <c r="P930" t="n">
        <v>0</v>
      </c>
      <c r="Q930" t="n">
        <v>0</v>
      </c>
      <c r="R930" s="2" t="inlineStr"/>
    </row>
    <row r="931" ht="15" customHeight="1">
      <c r="A931" t="inlineStr">
        <is>
          <t>A 30086-2021</t>
        </is>
      </c>
      <c r="B931" s="1" t="n">
        <v>44363</v>
      </c>
      <c r="C931" s="1" t="n">
        <v>45832</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30194-2021</t>
        </is>
      </c>
      <c r="B932" s="1" t="n">
        <v>44363</v>
      </c>
      <c r="C932" s="1" t="n">
        <v>45832</v>
      </c>
      <c r="D932" t="inlineStr">
        <is>
          <t>VÄSTERBOTTENS LÄN</t>
        </is>
      </c>
      <c r="E932" t="inlineStr">
        <is>
          <t>SKELLEFTEÅ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30449-2021</t>
        </is>
      </c>
      <c r="B933" s="1" t="n">
        <v>44364</v>
      </c>
      <c r="C933" s="1" t="n">
        <v>45832</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45832</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30744-2021</t>
        </is>
      </c>
      <c r="B935" s="1" t="n">
        <v>44365</v>
      </c>
      <c r="C935" s="1" t="n">
        <v>45832</v>
      </c>
      <c r="D935" t="inlineStr">
        <is>
          <t>VÄSTERBOTTENS LÄN</t>
        </is>
      </c>
      <c r="E935" t="inlineStr">
        <is>
          <t>SKELLEFTEÅ</t>
        </is>
      </c>
      <c r="G935" t="n">
        <v>38.3</v>
      </c>
      <c r="H935" t="n">
        <v>0</v>
      </c>
      <c r="I935" t="n">
        <v>0</v>
      </c>
      <c r="J935" t="n">
        <v>0</v>
      </c>
      <c r="K935" t="n">
        <v>0</v>
      </c>
      <c r="L935" t="n">
        <v>0</v>
      </c>
      <c r="M935" t="n">
        <v>0</v>
      </c>
      <c r="N935" t="n">
        <v>0</v>
      </c>
      <c r="O935" t="n">
        <v>0</v>
      </c>
      <c r="P935" t="n">
        <v>0</v>
      </c>
      <c r="Q935" t="n">
        <v>0</v>
      </c>
      <c r="R935" s="2" t="inlineStr"/>
    </row>
    <row r="936" ht="15" customHeight="1">
      <c r="A936" t="inlineStr">
        <is>
          <t>A 30719-2021</t>
        </is>
      </c>
      <c r="B936" s="1" t="n">
        <v>44365</v>
      </c>
      <c r="C936" s="1" t="n">
        <v>45832</v>
      </c>
      <c r="D936" t="inlineStr">
        <is>
          <t>VÄSTERBOTTENS LÄN</t>
        </is>
      </c>
      <c r="E936" t="inlineStr">
        <is>
          <t>SKELLEFTEÅ</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30704-2021</t>
        </is>
      </c>
      <c r="B937" s="1" t="n">
        <v>44365</v>
      </c>
      <c r="C937" s="1" t="n">
        <v>45832</v>
      </c>
      <c r="D937" t="inlineStr">
        <is>
          <t>VÄSTERBOTTENS LÄN</t>
        </is>
      </c>
      <c r="E937" t="inlineStr">
        <is>
          <t>SKELLEFTEÅ</t>
        </is>
      </c>
      <c r="G937" t="n">
        <v>20.2</v>
      </c>
      <c r="H937" t="n">
        <v>0</v>
      </c>
      <c r="I937" t="n">
        <v>0</v>
      </c>
      <c r="J937" t="n">
        <v>0</v>
      </c>
      <c r="K937" t="n">
        <v>0</v>
      </c>
      <c r="L937" t="n">
        <v>0</v>
      </c>
      <c r="M937" t="n">
        <v>0</v>
      </c>
      <c r="N937" t="n">
        <v>0</v>
      </c>
      <c r="O937" t="n">
        <v>0</v>
      </c>
      <c r="P937" t="n">
        <v>0</v>
      </c>
      <c r="Q937" t="n">
        <v>0</v>
      </c>
      <c r="R937" s="2" t="inlineStr"/>
    </row>
    <row r="938" ht="15" customHeight="1">
      <c r="A938" t="inlineStr">
        <is>
          <t>A 30754-2021</t>
        </is>
      </c>
      <c r="B938" s="1" t="n">
        <v>44365</v>
      </c>
      <c r="C938" s="1" t="n">
        <v>45832</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30870-2021</t>
        </is>
      </c>
      <c r="B939" s="1" t="n">
        <v>44365</v>
      </c>
      <c r="C939" s="1" t="n">
        <v>45832</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30959-2021</t>
        </is>
      </c>
      <c r="B940" s="1" t="n">
        <v>44365</v>
      </c>
      <c r="C940" s="1" t="n">
        <v>45832</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31185-2021</t>
        </is>
      </c>
      <c r="B941" s="1" t="n">
        <v>44367</v>
      </c>
      <c r="C941" s="1" t="n">
        <v>45832</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31186-2021</t>
        </is>
      </c>
      <c r="B942" s="1" t="n">
        <v>44368</v>
      </c>
      <c r="C942" s="1" t="n">
        <v>45832</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31181-2021</t>
        </is>
      </c>
      <c r="B943" s="1" t="n">
        <v>44368</v>
      </c>
      <c r="C943" s="1" t="n">
        <v>45832</v>
      </c>
      <c r="D943" t="inlineStr">
        <is>
          <t>VÄSTERBOTTENS LÄN</t>
        </is>
      </c>
      <c r="E943" t="inlineStr">
        <is>
          <t>SKELLEFTEÅ</t>
        </is>
      </c>
      <c r="G943" t="n">
        <v>6.3</v>
      </c>
      <c r="H943" t="n">
        <v>0</v>
      </c>
      <c r="I943" t="n">
        <v>0</v>
      </c>
      <c r="J943" t="n">
        <v>0</v>
      </c>
      <c r="K943" t="n">
        <v>0</v>
      </c>
      <c r="L943" t="n">
        <v>0</v>
      </c>
      <c r="M943" t="n">
        <v>0</v>
      </c>
      <c r="N943" t="n">
        <v>0</v>
      </c>
      <c r="O943" t="n">
        <v>0</v>
      </c>
      <c r="P943" t="n">
        <v>0</v>
      </c>
      <c r="Q943" t="n">
        <v>0</v>
      </c>
      <c r="R943" s="2" t="inlineStr"/>
    </row>
    <row r="944" ht="15" customHeight="1">
      <c r="A944" t="inlineStr">
        <is>
          <t>A 31197-2021</t>
        </is>
      </c>
      <c r="B944" s="1" t="n">
        <v>44368</v>
      </c>
      <c r="C944" s="1" t="n">
        <v>45832</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31251-2021</t>
        </is>
      </c>
      <c r="B945" s="1" t="n">
        <v>44368</v>
      </c>
      <c r="C945" s="1" t="n">
        <v>45832</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31419-2021</t>
        </is>
      </c>
      <c r="B946" s="1" t="n">
        <v>44368</v>
      </c>
      <c r="C946" s="1" t="n">
        <v>45832</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31395-2021</t>
        </is>
      </c>
      <c r="B947" s="1" t="n">
        <v>44369</v>
      </c>
      <c r="C947" s="1" t="n">
        <v>45832</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31766-2021</t>
        </is>
      </c>
      <c r="B948" s="1" t="n">
        <v>44369</v>
      </c>
      <c r="C948" s="1" t="n">
        <v>45832</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32114-2021</t>
        </is>
      </c>
      <c r="B949" s="1" t="n">
        <v>44371</v>
      </c>
      <c r="C949" s="1" t="n">
        <v>45832</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32439-2021</t>
        </is>
      </c>
      <c r="B950" s="1" t="n">
        <v>44371</v>
      </c>
      <c r="C950" s="1" t="n">
        <v>45832</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32438-2021</t>
        </is>
      </c>
      <c r="B951" s="1" t="n">
        <v>44371</v>
      </c>
      <c r="C951" s="1" t="n">
        <v>45832</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32616-2021</t>
        </is>
      </c>
      <c r="B952" s="1" t="n">
        <v>44371</v>
      </c>
      <c r="C952" s="1" t="n">
        <v>45832</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32585-2021</t>
        </is>
      </c>
      <c r="B953" s="1" t="n">
        <v>44375</v>
      </c>
      <c r="C953" s="1" t="n">
        <v>45832</v>
      </c>
      <c r="D953" t="inlineStr">
        <is>
          <t>VÄSTERBOTTENS LÄN</t>
        </is>
      </c>
      <c r="E953" t="inlineStr">
        <is>
          <t>SKELLEFTEÅ</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32917-2021</t>
        </is>
      </c>
      <c r="B954" s="1" t="n">
        <v>44375</v>
      </c>
      <c r="C954" s="1" t="n">
        <v>45832</v>
      </c>
      <c r="D954" t="inlineStr">
        <is>
          <t>VÄSTERBOTTENS LÄN</t>
        </is>
      </c>
      <c r="E954" t="inlineStr">
        <is>
          <t>SKELLEFTEÅ</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33236-2021</t>
        </is>
      </c>
      <c r="B955" s="1" t="n">
        <v>44376</v>
      </c>
      <c r="C955" s="1" t="n">
        <v>45832</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33283-2021</t>
        </is>
      </c>
      <c r="B956" s="1" t="n">
        <v>44377</v>
      </c>
      <c r="C956" s="1" t="n">
        <v>45832</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33284-2021</t>
        </is>
      </c>
      <c r="B957" s="1" t="n">
        <v>44377</v>
      </c>
      <c r="C957" s="1" t="n">
        <v>45832</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33373-2021</t>
        </is>
      </c>
      <c r="B958" s="1" t="n">
        <v>44377</v>
      </c>
      <c r="C958" s="1" t="n">
        <v>45832</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33473-2021</t>
        </is>
      </c>
      <c r="B959" s="1" t="n">
        <v>44377</v>
      </c>
      <c r="C959" s="1" t="n">
        <v>45832</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33520-2021</t>
        </is>
      </c>
      <c r="B960" s="1" t="n">
        <v>44377</v>
      </c>
      <c r="C960" s="1" t="n">
        <v>45832</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33576-2021</t>
        </is>
      </c>
      <c r="B961" s="1" t="n">
        <v>44378</v>
      </c>
      <c r="C961" s="1" t="n">
        <v>45832</v>
      </c>
      <c r="D961" t="inlineStr">
        <is>
          <t>VÄSTERBOTTENS LÄN</t>
        </is>
      </c>
      <c r="E961" t="inlineStr">
        <is>
          <t>SKELLEFTEÅ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33519-2021</t>
        </is>
      </c>
      <c r="B962" s="1" t="n">
        <v>44377</v>
      </c>
      <c r="C962" s="1" t="n">
        <v>45832</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33680-2021</t>
        </is>
      </c>
      <c r="B963" s="1" t="n">
        <v>44378</v>
      </c>
      <c r="C963" s="1" t="n">
        <v>45832</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33661-2021</t>
        </is>
      </c>
      <c r="B964" s="1" t="n">
        <v>44378</v>
      </c>
      <c r="C964" s="1" t="n">
        <v>45832</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33687-2021</t>
        </is>
      </c>
      <c r="B965" s="1" t="n">
        <v>44378</v>
      </c>
      <c r="C965" s="1" t="n">
        <v>45832</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33841-2021</t>
        </is>
      </c>
      <c r="B966" s="1" t="n">
        <v>44378</v>
      </c>
      <c r="C966" s="1" t="n">
        <v>45832</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34111-2021</t>
        </is>
      </c>
      <c r="B967" s="1" t="n">
        <v>44379</v>
      </c>
      <c r="C967" s="1" t="n">
        <v>45832</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34633-2021</t>
        </is>
      </c>
      <c r="B968" s="1" t="n">
        <v>44382</v>
      </c>
      <c r="C968" s="1" t="n">
        <v>45832</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34773-2021</t>
        </is>
      </c>
      <c r="B969" s="1" t="n">
        <v>44382</v>
      </c>
      <c r="C969" s="1" t="n">
        <v>45832</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35049-2021</t>
        </is>
      </c>
      <c r="B970" s="1" t="n">
        <v>44384</v>
      </c>
      <c r="C970" s="1" t="n">
        <v>45832</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35087-2021</t>
        </is>
      </c>
      <c r="B971" s="1" t="n">
        <v>44383</v>
      </c>
      <c r="C971" s="1" t="n">
        <v>45832</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35078-2021</t>
        </is>
      </c>
      <c r="B972" s="1" t="n">
        <v>44384</v>
      </c>
      <c r="C972" s="1" t="n">
        <v>45832</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35442-2021</t>
        </is>
      </c>
      <c r="B973" s="1" t="n">
        <v>44384</v>
      </c>
      <c r="C973" s="1" t="n">
        <v>45832</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35435-2021</t>
        </is>
      </c>
      <c r="B974" s="1" t="n">
        <v>44385</v>
      </c>
      <c r="C974" s="1" t="n">
        <v>45832</v>
      </c>
      <c r="D974" t="inlineStr">
        <is>
          <t>VÄSTERBOTTENS LÄN</t>
        </is>
      </c>
      <c r="E974" t="inlineStr">
        <is>
          <t>SKELLEFTEÅ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35578-2021</t>
        </is>
      </c>
      <c r="B975" s="1" t="n">
        <v>44386</v>
      </c>
      <c r="C975" s="1" t="n">
        <v>45832</v>
      </c>
      <c r="D975" t="inlineStr">
        <is>
          <t>VÄSTERBOTTENS LÄN</t>
        </is>
      </c>
      <c r="E975" t="inlineStr">
        <is>
          <t>SKELLEFTEÅ</t>
        </is>
      </c>
      <c r="F975" t="inlineStr">
        <is>
          <t>Sveaskog</t>
        </is>
      </c>
      <c r="G975" t="n">
        <v>15.5</v>
      </c>
      <c r="H975" t="n">
        <v>0</v>
      </c>
      <c r="I975" t="n">
        <v>0</v>
      </c>
      <c r="J975" t="n">
        <v>0</v>
      </c>
      <c r="K975" t="n">
        <v>0</v>
      </c>
      <c r="L975" t="n">
        <v>0</v>
      </c>
      <c r="M975" t="n">
        <v>0</v>
      </c>
      <c r="N975" t="n">
        <v>0</v>
      </c>
      <c r="O975" t="n">
        <v>0</v>
      </c>
      <c r="P975" t="n">
        <v>0</v>
      </c>
      <c r="Q975" t="n">
        <v>0</v>
      </c>
      <c r="R975" s="2" t="inlineStr"/>
    </row>
    <row r="976" ht="15" customHeight="1">
      <c r="A976" t="inlineStr">
        <is>
          <t>A 35650-2021</t>
        </is>
      </c>
      <c r="B976" s="1" t="n">
        <v>44386</v>
      </c>
      <c r="C976" s="1" t="n">
        <v>45832</v>
      </c>
      <c r="D976" t="inlineStr">
        <is>
          <t>VÄSTERBOTTENS LÄN</t>
        </is>
      </c>
      <c r="E976" t="inlineStr">
        <is>
          <t>SKELLEFTEÅ</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36086-2021</t>
        </is>
      </c>
      <c r="B977" s="1" t="n">
        <v>44386</v>
      </c>
      <c r="C977" s="1" t="n">
        <v>45832</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36564-2021</t>
        </is>
      </c>
      <c r="B978" s="1" t="n">
        <v>44391</v>
      </c>
      <c r="C978" s="1" t="n">
        <v>45832</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36588-2021</t>
        </is>
      </c>
      <c r="B979" s="1" t="n">
        <v>44391</v>
      </c>
      <c r="C979" s="1" t="n">
        <v>45832</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36603-2021</t>
        </is>
      </c>
      <c r="B980" s="1" t="n">
        <v>44391</v>
      </c>
      <c r="C980" s="1" t="n">
        <v>45832</v>
      </c>
      <c r="D980" t="inlineStr">
        <is>
          <t>VÄSTERBOTTENS LÄN</t>
        </is>
      </c>
      <c r="E980" t="inlineStr">
        <is>
          <t>SKELLEFTEÅ</t>
        </is>
      </c>
      <c r="G980" t="n">
        <v>2.7</v>
      </c>
      <c r="H980" t="n">
        <v>0</v>
      </c>
      <c r="I980" t="n">
        <v>0</v>
      </c>
      <c r="J980" t="n">
        <v>0</v>
      </c>
      <c r="K980" t="n">
        <v>0</v>
      </c>
      <c r="L980" t="n">
        <v>0</v>
      </c>
      <c r="M980" t="n">
        <v>0</v>
      </c>
      <c r="N980" t="n">
        <v>0</v>
      </c>
      <c r="O980" t="n">
        <v>0</v>
      </c>
      <c r="P980" t="n">
        <v>0</v>
      </c>
      <c r="Q980" t="n">
        <v>0</v>
      </c>
      <c r="R980" s="2" t="inlineStr"/>
    </row>
    <row r="981" ht="15" customHeight="1">
      <c r="A981" t="inlineStr">
        <is>
          <t>A 36609-2021</t>
        </is>
      </c>
      <c r="B981" s="1" t="n">
        <v>44391</v>
      </c>
      <c r="C981" s="1" t="n">
        <v>45832</v>
      </c>
      <c r="D981" t="inlineStr">
        <is>
          <t>VÄSTERBOTTENS LÄN</t>
        </is>
      </c>
      <c r="E981" t="inlineStr">
        <is>
          <t>SKELLEFTEÅ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37210-2021</t>
        </is>
      </c>
      <c r="B982" s="1" t="n">
        <v>44396</v>
      </c>
      <c r="C982" s="1" t="n">
        <v>45832</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37211-2021</t>
        </is>
      </c>
      <c r="B983" s="1" t="n">
        <v>44396</v>
      </c>
      <c r="C983" s="1" t="n">
        <v>45832</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37208-2021</t>
        </is>
      </c>
      <c r="B984" s="1" t="n">
        <v>44396</v>
      </c>
      <c r="C984" s="1" t="n">
        <v>45832</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37498-2021</t>
        </is>
      </c>
      <c r="B985" s="1" t="n">
        <v>44399</v>
      </c>
      <c r="C985" s="1" t="n">
        <v>45832</v>
      </c>
      <c r="D985" t="inlineStr">
        <is>
          <t>VÄSTERBOTTENS LÄN</t>
        </is>
      </c>
      <c r="E985" t="inlineStr">
        <is>
          <t>SKELLEFTEÅ</t>
        </is>
      </c>
      <c r="G985" t="n">
        <v>12.8</v>
      </c>
      <c r="H985" t="n">
        <v>0</v>
      </c>
      <c r="I985" t="n">
        <v>0</v>
      </c>
      <c r="J985" t="n">
        <v>0</v>
      </c>
      <c r="K985" t="n">
        <v>0</v>
      </c>
      <c r="L985" t="n">
        <v>0</v>
      </c>
      <c r="M985" t="n">
        <v>0</v>
      </c>
      <c r="N985" t="n">
        <v>0</v>
      </c>
      <c r="O985" t="n">
        <v>0</v>
      </c>
      <c r="P985" t="n">
        <v>0</v>
      </c>
      <c r="Q985" t="n">
        <v>0</v>
      </c>
      <c r="R985" s="2" t="inlineStr"/>
    </row>
    <row r="986" ht="15" customHeight="1">
      <c r="A986" t="inlineStr">
        <is>
          <t>A 37792-2021</t>
        </is>
      </c>
      <c r="B986" s="1" t="n">
        <v>44401</v>
      </c>
      <c r="C986" s="1" t="n">
        <v>45832</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37937-2021</t>
        </is>
      </c>
      <c r="B987" s="1" t="n">
        <v>44403</v>
      </c>
      <c r="C987" s="1" t="n">
        <v>45832</v>
      </c>
      <c r="D987" t="inlineStr">
        <is>
          <t>VÄSTERBOTTENS LÄN</t>
        </is>
      </c>
      <c r="E987" t="inlineStr">
        <is>
          <t>SKELLEFTEÅ</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37938-2021</t>
        </is>
      </c>
      <c r="B988" s="1" t="n">
        <v>44403</v>
      </c>
      <c r="C988" s="1" t="n">
        <v>45832</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38026-2021</t>
        </is>
      </c>
      <c r="B989" s="1" t="n">
        <v>44404</v>
      </c>
      <c r="C989" s="1" t="n">
        <v>45832</v>
      </c>
      <c r="D989" t="inlineStr">
        <is>
          <t>VÄSTERBOTTENS LÄN</t>
        </is>
      </c>
      <c r="E989" t="inlineStr">
        <is>
          <t>SKELLEFTEÅ</t>
        </is>
      </c>
      <c r="F989" t="inlineStr">
        <is>
          <t>Holmen skog AB</t>
        </is>
      </c>
      <c r="G989" t="n">
        <v>7.8</v>
      </c>
      <c r="H989" t="n">
        <v>0</v>
      </c>
      <c r="I989" t="n">
        <v>0</v>
      </c>
      <c r="J989" t="n">
        <v>0</v>
      </c>
      <c r="K989" t="n">
        <v>0</v>
      </c>
      <c r="L989" t="n">
        <v>0</v>
      </c>
      <c r="M989" t="n">
        <v>0</v>
      </c>
      <c r="N989" t="n">
        <v>0</v>
      </c>
      <c r="O989" t="n">
        <v>0</v>
      </c>
      <c r="P989" t="n">
        <v>0</v>
      </c>
      <c r="Q989" t="n">
        <v>0</v>
      </c>
      <c r="R989" s="2" t="inlineStr"/>
    </row>
    <row r="990" ht="15" customHeight="1">
      <c r="A990" t="inlineStr">
        <is>
          <t>A 38260-2021</t>
        </is>
      </c>
      <c r="B990" s="1" t="n">
        <v>44405</v>
      </c>
      <c r="C990" s="1" t="n">
        <v>45832</v>
      </c>
      <c r="D990" t="inlineStr">
        <is>
          <t>VÄSTERBOTTENS LÄN</t>
        </is>
      </c>
      <c r="E990" t="inlineStr">
        <is>
          <t>SKELLEFTEÅ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38504-2021</t>
        </is>
      </c>
      <c r="B991" s="1" t="n">
        <v>44407</v>
      </c>
      <c r="C991" s="1" t="n">
        <v>45832</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38506-2021</t>
        </is>
      </c>
      <c r="B992" s="1" t="n">
        <v>44407</v>
      </c>
      <c r="C992" s="1" t="n">
        <v>45832</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38505-2021</t>
        </is>
      </c>
      <c r="B993" s="1" t="n">
        <v>44407</v>
      </c>
      <c r="C993" s="1" t="n">
        <v>45832</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39035-2021</t>
        </is>
      </c>
      <c r="B994" s="1" t="n">
        <v>44411</v>
      </c>
      <c r="C994" s="1" t="n">
        <v>45832</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39623-2021</t>
        </is>
      </c>
      <c r="B995" s="1" t="n">
        <v>44413</v>
      </c>
      <c r="C995" s="1" t="n">
        <v>45832</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39185-2021</t>
        </is>
      </c>
      <c r="B996" s="1" t="n">
        <v>44413</v>
      </c>
      <c r="C996" s="1" t="n">
        <v>45832</v>
      </c>
      <c r="D996" t="inlineStr">
        <is>
          <t>VÄSTERBOTTENS LÄN</t>
        </is>
      </c>
      <c r="E996" t="inlineStr">
        <is>
          <t>SKELLEFTEÅ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39277-2021</t>
        </is>
      </c>
      <c r="B997" s="1" t="n">
        <v>44413</v>
      </c>
      <c r="C997" s="1" t="n">
        <v>45832</v>
      </c>
      <c r="D997" t="inlineStr">
        <is>
          <t>VÄSTERBOTTENS LÄN</t>
        </is>
      </c>
      <c r="E997" t="inlineStr">
        <is>
          <t>SKELLEFTEÅ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39192-2021</t>
        </is>
      </c>
      <c r="B998" s="1" t="n">
        <v>44413</v>
      </c>
      <c r="C998" s="1" t="n">
        <v>45832</v>
      </c>
      <c r="D998" t="inlineStr">
        <is>
          <t>VÄSTERBOTTENS LÄN</t>
        </is>
      </c>
      <c r="E998" t="inlineStr">
        <is>
          <t>SKELLEFTEÅ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39226-2021</t>
        </is>
      </c>
      <c r="B999" s="1" t="n">
        <v>44413</v>
      </c>
      <c r="C999" s="1" t="n">
        <v>45832</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39589-2021</t>
        </is>
      </c>
      <c r="B1000" s="1" t="n">
        <v>44413</v>
      </c>
      <c r="C1000" s="1" t="n">
        <v>45832</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39590-2021</t>
        </is>
      </c>
      <c r="B1001" s="1" t="n">
        <v>44413</v>
      </c>
      <c r="C1001" s="1" t="n">
        <v>45832</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39553-2021</t>
        </is>
      </c>
      <c r="B1002" s="1" t="n">
        <v>44416</v>
      </c>
      <c r="C1002" s="1" t="n">
        <v>45832</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39827-2021</t>
        </is>
      </c>
      <c r="B1003" s="1" t="n">
        <v>44417</v>
      </c>
      <c r="C1003" s="1" t="n">
        <v>45832</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40683-2021</t>
        </is>
      </c>
      <c r="B1004" s="1" t="n">
        <v>44420</v>
      </c>
      <c r="C1004" s="1" t="n">
        <v>45832</v>
      </c>
      <c r="D1004" t="inlineStr">
        <is>
          <t>VÄSTERBOTTENS LÄN</t>
        </is>
      </c>
      <c r="E1004" t="inlineStr">
        <is>
          <t>SKELLEFTEÅ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40828-2021</t>
        </is>
      </c>
      <c r="B1005" s="1" t="n">
        <v>44421</v>
      </c>
      <c r="C1005" s="1" t="n">
        <v>45832</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40906-2021</t>
        </is>
      </c>
      <c r="B1006" s="1" t="n">
        <v>44421</v>
      </c>
      <c r="C1006" s="1" t="n">
        <v>45832</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40929-2021</t>
        </is>
      </c>
      <c r="B1007" s="1" t="n">
        <v>44421</v>
      </c>
      <c r="C1007" s="1" t="n">
        <v>45832</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40898-2021</t>
        </is>
      </c>
      <c r="B1008" s="1" t="n">
        <v>44421</v>
      </c>
      <c r="C1008" s="1" t="n">
        <v>45832</v>
      </c>
      <c r="D1008" t="inlineStr">
        <is>
          <t>VÄSTERBOTTENS LÄN</t>
        </is>
      </c>
      <c r="E1008" t="inlineStr">
        <is>
          <t>SKELLEFTEÅ</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41464-2021</t>
        </is>
      </c>
      <c r="B1009" s="1" t="n">
        <v>44424</v>
      </c>
      <c r="C1009" s="1" t="n">
        <v>45832</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41507-2021</t>
        </is>
      </c>
      <c r="B1010" s="1" t="n">
        <v>44425</v>
      </c>
      <c r="C1010" s="1" t="n">
        <v>45832</v>
      </c>
      <c r="D1010" t="inlineStr">
        <is>
          <t>VÄSTERBOTTENS LÄN</t>
        </is>
      </c>
      <c r="E1010" t="inlineStr">
        <is>
          <t>SKELLEFTEÅ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42057-2021</t>
        </is>
      </c>
      <c r="B1011" s="1" t="n">
        <v>44426</v>
      </c>
      <c r="C1011" s="1" t="n">
        <v>45832</v>
      </c>
      <c r="D1011" t="inlineStr">
        <is>
          <t>VÄSTERBOTTENS LÄN</t>
        </is>
      </c>
      <c r="E1011" t="inlineStr">
        <is>
          <t>SKELLEFTEÅ</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41993-2021</t>
        </is>
      </c>
      <c r="B1012" s="1" t="n">
        <v>44426</v>
      </c>
      <c r="C1012" s="1" t="n">
        <v>45832</v>
      </c>
      <c r="D1012" t="inlineStr">
        <is>
          <t>VÄSTERBOTTENS LÄN</t>
        </is>
      </c>
      <c r="E1012" t="inlineStr">
        <is>
          <t>SKELLEFTEÅ</t>
        </is>
      </c>
      <c r="F1012" t="inlineStr">
        <is>
          <t>Sveaskog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42026-2021</t>
        </is>
      </c>
      <c r="B1013" s="1" t="n">
        <v>44426</v>
      </c>
      <c r="C1013" s="1" t="n">
        <v>45832</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42323-2021</t>
        </is>
      </c>
      <c r="B1014" s="1" t="n">
        <v>44426</v>
      </c>
      <c r="C1014" s="1" t="n">
        <v>45832</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42367-2021</t>
        </is>
      </c>
      <c r="B1015" s="1" t="n">
        <v>44427</v>
      </c>
      <c r="C1015" s="1" t="n">
        <v>45832</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42557-2021</t>
        </is>
      </c>
      <c r="B1016" s="1" t="n">
        <v>44428</v>
      </c>
      <c r="C1016" s="1" t="n">
        <v>45832</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42609-2021</t>
        </is>
      </c>
      <c r="B1017" s="1" t="n">
        <v>44428</v>
      </c>
      <c r="C1017" s="1" t="n">
        <v>45832</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43228-2021</t>
        </is>
      </c>
      <c r="B1018" s="1" t="n">
        <v>44432</v>
      </c>
      <c r="C1018" s="1" t="n">
        <v>45832</v>
      </c>
      <c r="D1018" t="inlineStr">
        <is>
          <t>VÄSTERBOTTENS LÄN</t>
        </is>
      </c>
      <c r="E1018" t="inlineStr">
        <is>
          <t>SKELLEFTEÅ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43252-2021</t>
        </is>
      </c>
      <c r="B1019" s="1" t="n">
        <v>44432</v>
      </c>
      <c r="C1019" s="1" t="n">
        <v>45832</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43863-2021</t>
        </is>
      </c>
      <c r="B1020" s="1" t="n">
        <v>44433</v>
      </c>
      <c r="C1020" s="1" t="n">
        <v>45832</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44090-2021</t>
        </is>
      </c>
      <c r="B1021" s="1" t="n">
        <v>44434</v>
      </c>
      <c r="C1021" s="1" t="n">
        <v>45832</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44570-2021</t>
        </is>
      </c>
      <c r="B1022" s="1" t="n">
        <v>44435</v>
      </c>
      <c r="C1022" s="1" t="n">
        <v>45832</v>
      </c>
      <c r="D1022" t="inlineStr">
        <is>
          <t>VÄSTERBOTTENS LÄN</t>
        </is>
      </c>
      <c r="E1022" t="inlineStr">
        <is>
          <t>SKELLEFTEÅ</t>
        </is>
      </c>
      <c r="F1022" t="inlineStr">
        <is>
          <t>Sveaskog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45043-2021</t>
        </is>
      </c>
      <c r="B1023" s="1" t="n">
        <v>44438</v>
      </c>
      <c r="C1023" s="1" t="n">
        <v>45832</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45036-2021</t>
        </is>
      </c>
      <c r="B1024" s="1" t="n">
        <v>44438</v>
      </c>
      <c r="C1024" s="1" t="n">
        <v>45832</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v>
      </c>
      <c r="C1025" s="1" t="n">
        <v>45832</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45406-2021</t>
        </is>
      </c>
      <c r="B1026" s="1" t="n">
        <v>44440</v>
      </c>
      <c r="C1026" s="1" t="n">
        <v>45832</v>
      </c>
      <c r="D1026" t="inlineStr">
        <is>
          <t>VÄSTERBOTTENS LÄN</t>
        </is>
      </c>
      <c r="E1026" t="inlineStr">
        <is>
          <t>SKELLEFTEÅ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45389-2021</t>
        </is>
      </c>
      <c r="B1027" s="1" t="n">
        <v>44440</v>
      </c>
      <c r="C1027" s="1" t="n">
        <v>45832</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46005-2021</t>
        </is>
      </c>
      <c r="B1028" s="1" t="n">
        <v>44441</v>
      </c>
      <c r="C1028" s="1" t="n">
        <v>45832</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46006-2021</t>
        </is>
      </c>
      <c r="B1029" s="1" t="n">
        <v>44441</v>
      </c>
      <c r="C1029" s="1" t="n">
        <v>45832</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46178-2021</t>
        </is>
      </c>
      <c r="B1030" s="1" t="n">
        <v>44441</v>
      </c>
      <c r="C1030" s="1" t="n">
        <v>45832</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46619-2021</t>
        </is>
      </c>
      <c r="B1031" s="1" t="n">
        <v>44442</v>
      </c>
      <c r="C1031" s="1" t="n">
        <v>45832</v>
      </c>
      <c r="D1031" t="inlineStr">
        <is>
          <t>VÄSTERBOTTENS LÄN</t>
        </is>
      </c>
      <c r="E1031" t="inlineStr">
        <is>
          <t>SKELLEFTEÅ</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46628-2021</t>
        </is>
      </c>
      <c r="B1032" s="1" t="n">
        <v>44445</v>
      </c>
      <c r="C1032" s="1" t="n">
        <v>45832</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45832</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47610-2021</t>
        </is>
      </c>
      <c r="B1034" s="1" t="n">
        <v>44448</v>
      </c>
      <c r="C1034" s="1" t="n">
        <v>45832</v>
      </c>
      <c r="D1034" t="inlineStr">
        <is>
          <t>VÄSTERBOTTENS LÄN</t>
        </is>
      </c>
      <c r="E1034" t="inlineStr">
        <is>
          <t>SKELLEFTEÅ</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47974-2021</t>
        </is>
      </c>
      <c r="B1035" s="1" t="n">
        <v>44448</v>
      </c>
      <c r="C1035" s="1" t="n">
        <v>45832</v>
      </c>
      <c r="D1035" t="inlineStr">
        <is>
          <t>VÄSTERBOTTENS LÄN</t>
        </is>
      </c>
      <c r="E1035" t="inlineStr">
        <is>
          <t>SKELLEFTEÅ</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48015-2021</t>
        </is>
      </c>
      <c r="B1036" s="1" t="n">
        <v>44449</v>
      </c>
      <c r="C1036" s="1" t="n">
        <v>45832</v>
      </c>
      <c r="D1036" t="inlineStr">
        <is>
          <t>VÄSTERBOTTENS LÄN</t>
        </is>
      </c>
      <c r="E1036" t="inlineStr">
        <is>
          <t>SKELLEFTEÅ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48538-2021</t>
        </is>
      </c>
      <c r="B1037" s="1" t="n">
        <v>44451</v>
      </c>
      <c r="C1037" s="1" t="n">
        <v>45832</v>
      </c>
      <c r="D1037" t="inlineStr">
        <is>
          <t>VÄSTERBOTTENS LÄN</t>
        </is>
      </c>
      <c r="E1037" t="inlineStr">
        <is>
          <t>SKELLEFTEÅ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50603-2021</t>
        </is>
      </c>
      <c r="B1038" s="1" t="n">
        <v>44459</v>
      </c>
      <c r="C1038" s="1" t="n">
        <v>45832</v>
      </c>
      <c r="D1038" t="inlineStr">
        <is>
          <t>VÄSTERBOTTENS LÄN</t>
        </is>
      </c>
      <c r="E1038" t="inlineStr">
        <is>
          <t>SKELLEFTEÅ</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50772-2021</t>
        </is>
      </c>
      <c r="B1039" s="1" t="n">
        <v>44460</v>
      </c>
      <c r="C1039" s="1" t="n">
        <v>45832</v>
      </c>
      <c r="D1039" t="inlineStr">
        <is>
          <t>VÄSTERBOTTENS LÄN</t>
        </is>
      </c>
      <c r="E1039" t="inlineStr">
        <is>
          <t>SKELLEFTEÅ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51789-2021</t>
        </is>
      </c>
      <c r="B1040" s="1" t="n">
        <v>44461</v>
      </c>
      <c r="C1040" s="1" t="n">
        <v>45832</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51734-2021</t>
        </is>
      </c>
      <c r="B1041" s="1" t="n">
        <v>44461</v>
      </c>
      <c r="C1041" s="1" t="n">
        <v>45832</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51476-2021</t>
        </is>
      </c>
      <c r="B1042" s="1" t="n">
        <v>44462</v>
      </c>
      <c r="C1042" s="1" t="n">
        <v>45832</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51587-2021</t>
        </is>
      </c>
      <c r="B1043" s="1" t="n">
        <v>44462</v>
      </c>
      <c r="C1043" s="1" t="n">
        <v>45832</v>
      </c>
      <c r="D1043" t="inlineStr">
        <is>
          <t>VÄSTERBOTTENS LÄN</t>
        </is>
      </c>
      <c r="E1043" t="inlineStr">
        <is>
          <t>SKELLEFTEÅ</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51544-2021</t>
        </is>
      </c>
      <c r="B1044" s="1" t="n">
        <v>44462</v>
      </c>
      <c r="C1044" s="1" t="n">
        <v>45832</v>
      </c>
      <c r="D1044" t="inlineStr">
        <is>
          <t>VÄSTERBOTTENS LÄN</t>
        </is>
      </c>
      <c r="E1044" t="inlineStr">
        <is>
          <t>SKELLEFTEÅ</t>
        </is>
      </c>
      <c r="F1044" t="inlineStr">
        <is>
          <t>Holmen skog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52069-2021</t>
        </is>
      </c>
      <c r="B1045" s="1" t="n">
        <v>44462</v>
      </c>
      <c r="C1045" s="1" t="n">
        <v>45832</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52080-2021</t>
        </is>
      </c>
      <c r="B1046" s="1" t="n">
        <v>44463</v>
      </c>
      <c r="C1046" s="1" t="n">
        <v>45832</v>
      </c>
      <c r="D1046" t="inlineStr">
        <is>
          <t>VÄSTERBOTTENS LÄN</t>
        </is>
      </c>
      <c r="E1046" t="inlineStr">
        <is>
          <t>SKELLEFTEÅ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52086-2021</t>
        </is>
      </c>
      <c r="B1047" s="1" t="n">
        <v>44463</v>
      </c>
      <c r="C1047" s="1" t="n">
        <v>45832</v>
      </c>
      <c r="D1047" t="inlineStr">
        <is>
          <t>VÄSTERBOTTENS LÄN</t>
        </is>
      </c>
      <c r="E1047" t="inlineStr">
        <is>
          <t>SKELLEFTEÅ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52453-2021</t>
        </is>
      </c>
      <c r="B1048" s="1" t="n">
        <v>44463</v>
      </c>
      <c r="C1048" s="1" t="n">
        <v>45832</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52462-2021</t>
        </is>
      </c>
      <c r="B1049" s="1" t="n">
        <v>44463</v>
      </c>
      <c r="C1049" s="1" t="n">
        <v>45832</v>
      </c>
      <c r="D1049" t="inlineStr">
        <is>
          <t>VÄSTERBOTTENS LÄN</t>
        </is>
      </c>
      <c r="E1049" t="inlineStr">
        <is>
          <t>SKELLEFTEÅ</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52746-2021</t>
        </is>
      </c>
      <c r="B1050" s="1" t="n">
        <v>44467</v>
      </c>
      <c r="C1050" s="1" t="n">
        <v>45832</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53152-2021</t>
        </is>
      </c>
      <c r="B1051" s="1" t="n">
        <v>44468</v>
      </c>
      <c r="C1051" s="1" t="n">
        <v>45832</v>
      </c>
      <c r="D1051" t="inlineStr">
        <is>
          <t>VÄSTERBOTTENS LÄN</t>
        </is>
      </c>
      <c r="E1051" t="inlineStr">
        <is>
          <t>SKELLEFTEÅ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54193-2021</t>
        </is>
      </c>
      <c r="B1052" s="1" t="n">
        <v>44470</v>
      </c>
      <c r="C1052" s="1" t="n">
        <v>45832</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54280-2021</t>
        </is>
      </c>
      <c r="B1053" s="1" t="n">
        <v>44470</v>
      </c>
      <c r="C1053" s="1" t="n">
        <v>45832</v>
      </c>
      <c r="D1053" t="inlineStr">
        <is>
          <t>VÄSTERBOTTENS LÄN</t>
        </is>
      </c>
      <c r="E1053" t="inlineStr">
        <is>
          <t>SKELLEFTEÅ</t>
        </is>
      </c>
      <c r="F1053" t="inlineStr">
        <is>
          <t>Sveaskog</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54288-2021</t>
        </is>
      </c>
      <c r="B1054" s="1" t="n">
        <v>44471</v>
      </c>
      <c r="C1054" s="1" t="n">
        <v>45832</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54287-2021</t>
        </is>
      </c>
      <c r="B1055" s="1" t="n">
        <v>44471</v>
      </c>
      <c r="C1055" s="1" t="n">
        <v>45832</v>
      </c>
      <c r="D1055" t="inlineStr">
        <is>
          <t>VÄSTERBOTTENS LÄN</t>
        </is>
      </c>
      <c r="E1055" t="inlineStr">
        <is>
          <t>SKELLEFTEÅ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54384-2021</t>
        </is>
      </c>
      <c r="B1056" s="1" t="n">
        <v>44473</v>
      </c>
      <c r="C1056" s="1" t="n">
        <v>45832</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54863-2021</t>
        </is>
      </c>
      <c r="B1057" s="1" t="n">
        <v>44473</v>
      </c>
      <c r="C1057" s="1" t="n">
        <v>45832</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54850-2021</t>
        </is>
      </c>
      <c r="B1058" s="1" t="n">
        <v>44473</v>
      </c>
      <c r="C1058" s="1" t="n">
        <v>45832</v>
      </c>
      <c r="D1058" t="inlineStr">
        <is>
          <t>VÄSTERBOTTENS LÄN</t>
        </is>
      </c>
      <c r="E1058" t="inlineStr">
        <is>
          <t>SKELLEFTEÅ</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55067-2021</t>
        </is>
      </c>
      <c r="B1059" s="1" t="n">
        <v>44474</v>
      </c>
      <c r="C1059" s="1" t="n">
        <v>45832</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55032-2021</t>
        </is>
      </c>
      <c r="B1060" s="1" t="n">
        <v>44474</v>
      </c>
      <c r="C1060" s="1" t="n">
        <v>45832</v>
      </c>
      <c r="D1060" t="inlineStr">
        <is>
          <t>VÄSTERBOTTENS LÄN</t>
        </is>
      </c>
      <c r="E1060" t="inlineStr">
        <is>
          <t>SKELLEFTEÅ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55168-2021</t>
        </is>
      </c>
      <c r="B1061" s="1" t="n">
        <v>44475</v>
      </c>
      <c r="C1061" s="1" t="n">
        <v>45832</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55206-2021</t>
        </is>
      </c>
      <c r="B1062" s="1" t="n">
        <v>44475</v>
      </c>
      <c r="C1062" s="1" t="n">
        <v>45832</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55182-2021</t>
        </is>
      </c>
      <c r="B1063" s="1" t="n">
        <v>44475</v>
      </c>
      <c r="C1063" s="1" t="n">
        <v>45832</v>
      </c>
      <c r="D1063" t="inlineStr">
        <is>
          <t>VÄSTERBOTTENS LÄN</t>
        </is>
      </c>
      <c r="E1063" t="inlineStr">
        <is>
          <t>SKELLEFTEÅ</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55471-2021</t>
        </is>
      </c>
      <c r="B1064" s="1" t="n">
        <v>44475</v>
      </c>
      <c r="C1064" s="1" t="n">
        <v>45832</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55568-2021</t>
        </is>
      </c>
      <c r="B1065" s="1" t="n">
        <v>44475</v>
      </c>
      <c r="C1065" s="1" t="n">
        <v>45832</v>
      </c>
      <c r="D1065" t="inlineStr">
        <is>
          <t>VÄSTERBOTTENS LÄN</t>
        </is>
      </c>
      <c r="E1065" t="inlineStr">
        <is>
          <t>SKELLEFTEÅ</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55814-2021</t>
        </is>
      </c>
      <c r="B1066" s="1" t="n">
        <v>44476</v>
      </c>
      <c r="C1066" s="1" t="n">
        <v>45832</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56084-2021</t>
        </is>
      </c>
      <c r="B1067" s="1" t="n">
        <v>44477</v>
      </c>
      <c r="C1067" s="1" t="n">
        <v>45832</v>
      </c>
      <c r="D1067" t="inlineStr">
        <is>
          <t>VÄSTERBOTTENS LÄN</t>
        </is>
      </c>
      <c r="E1067" t="inlineStr">
        <is>
          <t>SKELLEFTEÅ</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56134-2021</t>
        </is>
      </c>
      <c r="B1068" s="1" t="n">
        <v>44477</v>
      </c>
      <c r="C1068" s="1" t="n">
        <v>45832</v>
      </c>
      <c r="D1068" t="inlineStr">
        <is>
          <t>VÄSTERBOTTENS LÄN</t>
        </is>
      </c>
      <c r="E1068" t="inlineStr">
        <is>
          <t>SKELLEFTEÅ</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45832</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56536-2021</t>
        </is>
      </c>
      <c r="B1070" s="1" t="n">
        <v>44480</v>
      </c>
      <c r="C1070" s="1" t="n">
        <v>45832</v>
      </c>
      <c r="D1070" t="inlineStr">
        <is>
          <t>VÄSTERBOTTENS LÄN</t>
        </is>
      </c>
      <c r="E1070" t="inlineStr">
        <is>
          <t>SKELLEFTEÅ</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56540-2021</t>
        </is>
      </c>
      <c r="B1071" s="1" t="n">
        <v>44480</v>
      </c>
      <c r="C1071" s="1" t="n">
        <v>45832</v>
      </c>
      <c r="D1071" t="inlineStr">
        <is>
          <t>VÄSTERBOTTENS LÄN</t>
        </is>
      </c>
      <c r="E1071" t="inlineStr">
        <is>
          <t>SKELLEFTEÅ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56627-2021</t>
        </is>
      </c>
      <c r="B1072" s="1" t="n">
        <v>44480</v>
      </c>
      <c r="C1072" s="1" t="n">
        <v>45832</v>
      </c>
      <c r="D1072" t="inlineStr">
        <is>
          <t>VÄSTERBOTTENS LÄN</t>
        </is>
      </c>
      <c r="E1072" t="inlineStr">
        <is>
          <t>SKELLEFTEÅ</t>
        </is>
      </c>
      <c r="F1072" t="inlineStr">
        <is>
          <t>Sveaskog</t>
        </is>
      </c>
      <c r="G1072" t="n">
        <v>20.1</v>
      </c>
      <c r="H1072" t="n">
        <v>0</v>
      </c>
      <c r="I1072" t="n">
        <v>0</v>
      </c>
      <c r="J1072" t="n">
        <v>0</v>
      </c>
      <c r="K1072" t="n">
        <v>0</v>
      </c>
      <c r="L1072" t="n">
        <v>0</v>
      </c>
      <c r="M1072" t="n">
        <v>0</v>
      </c>
      <c r="N1072" t="n">
        <v>0</v>
      </c>
      <c r="O1072" t="n">
        <v>0</v>
      </c>
      <c r="P1072" t="n">
        <v>0</v>
      </c>
      <c r="Q1072" t="n">
        <v>0</v>
      </c>
      <c r="R1072" s="2" t="inlineStr"/>
    </row>
    <row r="1073" ht="15" customHeight="1">
      <c r="A1073" t="inlineStr">
        <is>
          <t>A 57197-2021</t>
        </is>
      </c>
      <c r="B1073" s="1" t="n">
        <v>44483</v>
      </c>
      <c r="C1073" s="1" t="n">
        <v>45832</v>
      </c>
      <c r="D1073" t="inlineStr">
        <is>
          <t>VÄSTERBOTTENS LÄN</t>
        </is>
      </c>
      <c r="E1073" t="inlineStr">
        <is>
          <t>SKELLEFTEÅ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57370-2021</t>
        </is>
      </c>
      <c r="B1074" s="1" t="n">
        <v>44483</v>
      </c>
      <c r="C1074" s="1" t="n">
        <v>45832</v>
      </c>
      <c r="D1074" t="inlineStr">
        <is>
          <t>VÄSTERBOTTENS LÄN</t>
        </is>
      </c>
      <c r="E1074" t="inlineStr">
        <is>
          <t>SKELLEFTEÅ</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57530-2021</t>
        </is>
      </c>
      <c r="B1075" s="1" t="n">
        <v>44483</v>
      </c>
      <c r="C1075" s="1" t="n">
        <v>45832</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57978-2021</t>
        </is>
      </c>
      <c r="B1076" s="1" t="n">
        <v>44484</v>
      </c>
      <c r="C1076" s="1" t="n">
        <v>45832</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57714-2021</t>
        </is>
      </c>
      <c r="B1077" s="1" t="n">
        <v>44484</v>
      </c>
      <c r="C1077" s="1" t="n">
        <v>45832</v>
      </c>
      <c r="D1077" t="inlineStr">
        <is>
          <t>VÄSTERBOTTENS LÄN</t>
        </is>
      </c>
      <c r="E1077" t="inlineStr">
        <is>
          <t>SKELLEFTEÅ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57966-2021</t>
        </is>
      </c>
      <c r="B1078" s="1" t="n">
        <v>44484</v>
      </c>
      <c r="C1078" s="1" t="n">
        <v>45832</v>
      </c>
      <c r="D1078" t="inlineStr">
        <is>
          <t>VÄSTERBOTTENS LÄN</t>
        </is>
      </c>
      <c r="E1078" t="inlineStr">
        <is>
          <t>SKELLEFTEÅ</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58303-2021</t>
        </is>
      </c>
      <c r="B1079" s="1" t="n">
        <v>44488</v>
      </c>
      <c r="C1079" s="1" t="n">
        <v>45832</v>
      </c>
      <c r="D1079" t="inlineStr">
        <is>
          <t>VÄSTERBOTTENS LÄN</t>
        </is>
      </c>
      <c r="E1079" t="inlineStr">
        <is>
          <t>SKELLEFTEÅ</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58570-2021</t>
        </is>
      </c>
      <c r="B1080" s="1" t="n">
        <v>44489</v>
      </c>
      <c r="C1080" s="1" t="n">
        <v>45832</v>
      </c>
      <c r="D1080" t="inlineStr">
        <is>
          <t>VÄSTERBOTTENS LÄN</t>
        </is>
      </c>
      <c r="E1080" t="inlineStr">
        <is>
          <t>SKELLEFTEÅ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58808-2021</t>
        </is>
      </c>
      <c r="B1081" s="1" t="n">
        <v>44489</v>
      </c>
      <c r="C1081" s="1" t="n">
        <v>45832</v>
      </c>
      <c r="D1081" t="inlineStr">
        <is>
          <t>VÄSTERBOTTENS LÄN</t>
        </is>
      </c>
      <c r="E1081" t="inlineStr">
        <is>
          <t>SKELLEFTEÅ</t>
        </is>
      </c>
      <c r="F1081" t="inlineStr">
        <is>
          <t>Sveaskog</t>
        </is>
      </c>
      <c r="G1081" t="n">
        <v>15.5</v>
      </c>
      <c r="H1081" t="n">
        <v>0</v>
      </c>
      <c r="I1081" t="n">
        <v>0</v>
      </c>
      <c r="J1081" t="n">
        <v>0</v>
      </c>
      <c r="K1081" t="n">
        <v>0</v>
      </c>
      <c r="L1081" t="n">
        <v>0</v>
      </c>
      <c r="M1081" t="n">
        <v>0</v>
      </c>
      <c r="N1081" t="n">
        <v>0</v>
      </c>
      <c r="O1081" t="n">
        <v>0</v>
      </c>
      <c r="P1081" t="n">
        <v>0</v>
      </c>
      <c r="Q1081" t="n">
        <v>0</v>
      </c>
      <c r="R1081" s="2" t="inlineStr"/>
    </row>
    <row r="1082" ht="15" customHeight="1">
      <c r="A1082" t="inlineStr">
        <is>
          <t>A 58844-2021</t>
        </is>
      </c>
      <c r="B1082" s="1" t="n">
        <v>44489</v>
      </c>
      <c r="C1082" s="1" t="n">
        <v>45832</v>
      </c>
      <c r="D1082" t="inlineStr">
        <is>
          <t>VÄSTERBOTTENS LÄN</t>
        </is>
      </c>
      <c r="E1082" t="inlineStr">
        <is>
          <t>SKELLEFTEÅ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58813-2021</t>
        </is>
      </c>
      <c r="B1083" s="1" t="n">
        <v>44489</v>
      </c>
      <c r="C1083" s="1" t="n">
        <v>45832</v>
      </c>
      <c r="D1083" t="inlineStr">
        <is>
          <t>VÄSTERBOTTENS LÄN</t>
        </is>
      </c>
      <c r="E1083" t="inlineStr">
        <is>
          <t>SKELLEFTEÅ</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58847-2021</t>
        </is>
      </c>
      <c r="B1084" s="1" t="n">
        <v>44489</v>
      </c>
      <c r="C1084" s="1" t="n">
        <v>45832</v>
      </c>
      <c r="D1084" t="inlineStr">
        <is>
          <t>VÄSTERBOTTENS LÄN</t>
        </is>
      </c>
      <c r="E1084" t="inlineStr">
        <is>
          <t>SKELLEFTEÅ</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58872-2021</t>
        </is>
      </c>
      <c r="B1085" s="1" t="n">
        <v>44489</v>
      </c>
      <c r="C1085" s="1" t="n">
        <v>45832</v>
      </c>
      <c r="D1085" t="inlineStr">
        <is>
          <t>VÄSTERBOTTENS LÄN</t>
        </is>
      </c>
      <c r="E1085" t="inlineStr">
        <is>
          <t>SKELLEFTEÅ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58811-2021</t>
        </is>
      </c>
      <c r="B1086" s="1" t="n">
        <v>44489</v>
      </c>
      <c r="C1086" s="1" t="n">
        <v>45832</v>
      </c>
      <c r="D1086" t="inlineStr">
        <is>
          <t>VÄSTERBOTTENS LÄN</t>
        </is>
      </c>
      <c r="E1086" t="inlineStr">
        <is>
          <t>SKELLEFTEÅ</t>
        </is>
      </c>
      <c r="F1086" t="inlineStr">
        <is>
          <t>Holmen skog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59180-2021</t>
        </is>
      </c>
      <c r="B1087" s="1" t="n">
        <v>44489</v>
      </c>
      <c r="C1087" s="1" t="n">
        <v>45832</v>
      </c>
      <c r="D1087" t="inlineStr">
        <is>
          <t>VÄSTERBOTTENS LÄN</t>
        </is>
      </c>
      <c r="E1087" t="inlineStr">
        <is>
          <t>SKELLEFTEÅ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59171-2021</t>
        </is>
      </c>
      <c r="B1088" s="1" t="n">
        <v>44489</v>
      </c>
      <c r="C1088" s="1" t="n">
        <v>45832</v>
      </c>
      <c r="D1088" t="inlineStr">
        <is>
          <t>VÄSTERBOTTENS LÄN</t>
        </is>
      </c>
      <c r="E1088" t="inlineStr">
        <is>
          <t>SKELLEFTEÅ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58892-2021</t>
        </is>
      </c>
      <c r="B1089" s="1" t="n">
        <v>44489</v>
      </c>
      <c r="C1089" s="1" t="n">
        <v>45832</v>
      </c>
      <c r="D1089" t="inlineStr">
        <is>
          <t>VÄSTERBOTTENS LÄN</t>
        </is>
      </c>
      <c r="E1089" t="inlineStr">
        <is>
          <t>SKELLEFTEÅ</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59457-2021</t>
        </is>
      </c>
      <c r="B1090" s="1" t="n">
        <v>44491</v>
      </c>
      <c r="C1090" s="1" t="n">
        <v>45832</v>
      </c>
      <c r="D1090" t="inlineStr">
        <is>
          <t>VÄSTERBOTTENS LÄN</t>
        </is>
      </c>
      <c r="E1090" t="inlineStr">
        <is>
          <t>SKELLEFTEÅ</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59372-2021</t>
        </is>
      </c>
      <c r="B1091" s="1" t="n">
        <v>44491</v>
      </c>
      <c r="C1091" s="1" t="n">
        <v>45832</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59851-2021</t>
        </is>
      </c>
      <c r="B1092" s="1" t="n">
        <v>44491</v>
      </c>
      <c r="C1092" s="1" t="n">
        <v>45832</v>
      </c>
      <c r="D1092" t="inlineStr">
        <is>
          <t>VÄSTERBOTTENS LÄN</t>
        </is>
      </c>
      <c r="E1092" t="inlineStr">
        <is>
          <t>SKELLEFTEÅ</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59522-2021</t>
        </is>
      </c>
      <c r="B1093" s="1" t="n">
        <v>44491</v>
      </c>
      <c r="C1093" s="1" t="n">
        <v>45832</v>
      </c>
      <c r="D1093" t="inlineStr">
        <is>
          <t>VÄSTERBOTTENS LÄN</t>
        </is>
      </c>
      <c r="E1093" t="inlineStr">
        <is>
          <t>SKELLEFTEÅ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59659-2021</t>
        </is>
      </c>
      <c r="B1094" s="1" t="n">
        <v>44491</v>
      </c>
      <c r="C1094" s="1" t="n">
        <v>45832</v>
      </c>
      <c r="D1094" t="inlineStr">
        <is>
          <t>VÄSTERBOTTENS LÄN</t>
        </is>
      </c>
      <c r="E1094" t="inlineStr">
        <is>
          <t>SKELLEFTEÅ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59647-2021</t>
        </is>
      </c>
      <c r="B1095" s="1" t="n">
        <v>44493</v>
      </c>
      <c r="C1095" s="1" t="n">
        <v>45832</v>
      </c>
      <c r="D1095" t="inlineStr">
        <is>
          <t>VÄSTERBOTTENS LÄN</t>
        </is>
      </c>
      <c r="E1095" t="inlineStr">
        <is>
          <t>SKELLEFTEÅ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59711-2021</t>
        </is>
      </c>
      <c r="B1096" s="1" t="n">
        <v>44494</v>
      </c>
      <c r="C1096" s="1" t="n">
        <v>45832</v>
      </c>
      <c r="D1096" t="inlineStr">
        <is>
          <t>VÄSTERBOTTENS LÄN</t>
        </is>
      </c>
      <c r="E1096" t="inlineStr">
        <is>
          <t>SKELLEFTEÅ</t>
        </is>
      </c>
      <c r="F1096" t="inlineStr">
        <is>
          <t>Sveaskog</t>
        </is>
      </c>
      <c r="G1096" t="n">
        <v>33.9</v>
      </c>
      <c r="H1096" t="n">
        <v>0</v>
      </c>
      <c r="I1096" t="n">
        <v>0</v>
      </c>
      <c r="J1096" t="n">
        <v>0</v>
      </c>
      <c r="K1096" t="n">
        <v>0</v>
      </c>
      <c r="L1096" t="n">
        <v>0</v>
      </c>
      <c r="M1096" t="n">
        <v>0</v>
      </c>
      <c r="N1096" t="n">
        <v>0</v>
      </c>
      <c r="O1096" t="n">
        <v>0</v>
      </c>
      <c r="P1096" t="n">
        <v>0</v>
      </c>
      <c r="Q1096" t="n">
        <v>0</v>
      </c>
      <c r="R1096" s="2" t="inlineStr"/>
    </row>
    <row r="1097" ht="15" customHeight="1">
      <c r="A1097" t="inlineStr">
        <is>
          <t>A 59748-2021</t>
        </is>
      </c>
      <c r="B1097" s="1" t="n">
        <v>44494</v>
      </c>
      <c r="C1097" s="1" t="n">
        <v>45832</v>
      </c>
      <c r="D1097" t="inlineStr">
        <is>
          <t>VÄSTERBOTTENS LÄN</t>
        </is>
      </c>
      <c r="E1097" t="inlineStr">
        <is>
          <t>SKELLEFTEÅ</t>
        </is>
      </c>
      <c r="F1097" t="inlineStr">
        <is>
          <t>Sveaskog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59717-2021</t>
        </is>
      </c>
      <c r="B1098" s="1" t="n">
        <v>44494</v>
      </c>
      <c r="C1098" s="1" t="n">
        <v>45832</v>
      </c>
      <c r="D1098" t="inlineStr">
        <is>
          <t>VÄSTERBOTTENS LÄN</t>
        </is>
      </c>
      <c r="E1098" t="inlineStr">
        <is>
          <t>SKELLEFTEÅ</t>
        </is>
      </c>
      <c r="F1098" t="inlineStr">
        <is>
          <t>Sveaskog</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59736-2021</t>
        </is>
      </c>
      <c r="B1099" s="1" t="n">
        <v>44494</v>
      </c>
      <c r="C1099" s="1" t="n">
        <v>45832</v>
      </c>
      <c r="D1099" t="inlineStr">
        <is>
          <t>VÄSTERBOTTENS LÄN</t>
        </is>
      </c>
      <c r="E1099" t="inlineStr">
        <is>
          <t>SKELLEFTEÅ</t>
        </is>
      </c>
      <c r="F1099" t="inlineStr">
        <is>
          <t>Sveaskog</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59859-2021</t>
        </is>
      </c>
      <c r="B1100" s="1" t="n">
        <v>44494</v>
      </c>
      <c r="C1100" s="1" t="n">
        <v>45832</v>
      </c>
      <c r="D1100" t="inlineStr">
        <is>
          <t>VÄSTERBOTTENS LÄN</t>
        </is>
      </c>
      <c r="E1100" t="inlineStr">
        <is>
          <t>SKELLEFTEÅ</t>
        </is>
      </c>
      <c r="F1100" t="inlineStr">
        <is>
          <t>Holmen skog AB</t>
        </is>
      </c>
      <c r="G1100" t="n">
        <v>13.8</v>
      </c>
      <c r="H1100" t="n">
        <v>0</v>
      </c>
      <c r="I1100" t="n">
        <v>0</v>
      </c>
      <c r="J1100" t="n">
        <v>0</v>
      </c>
      <c r="K1100" t="n">
        <v>0</v>
      </c>
      <c r="L1100" t="n">
        <v>0</v>
      </c>
      <c r="M1100" t="n">
        <v>0</v>
      </c>
      <c r="N1100" t="n">
        <v>0</v>
      </c>
      <c r="O1100" t="n">
        <v>0</v>
      </c>
      <c r="P1100" t="n">
        <v>0</v>
      </c>
      <c r="Q1100" t="n">
        <v>0</v>
      </c>
      <c r="R1100" s="2" t="inlineStr"/>
    </row>
    <row r="1101" ht="15" customHeight="1">
      <c r="A1101" t="inlineStr">
        <is>
          <t>A 60066-2021</t>
        </is>
      </c>
      <c r="B1101" s="1" t="n">
        <v>44494</v>
      </c>
      <c r="C1101" s="1" t="n">
        <v>45832</v>
      </c>
      <c r="D1101" t="inlineStr">
        <is>
          <t>VÄSTERBOTTENS LÄN</t>
        </is>
      </c>
      <c r="E1101" t="inlineStr">
        <is>
          <t>SKELLEFTEÅ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60107-2021</t>
        </is>
      </c>
      <c r="B1102" s="1" t="n">
        <v>44495</v>
      </c>
      <c r="C1102" s="1" t="n">
        <v>45832</v>
      </c>
      <c r="D1102" t="inlineStr">
        <is>
          <t>VÄSTERBOTTENS LÄN</t>
        </is>
      </c>
      <c r="E1102" t="inlineStr">
        <is>
          <t>SKELLEFTEÅ</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60539-2021</t>
        </is>
      </c>
      <c r="B1103" s="1" t="n">
        <v>44495</v>
      </c>
      <c r="C1103" s="1" t="n">
        <v>45832</v>
      </c>
      <c r="D1103" t="inlineStr">
        <is>
          <t>VÄSTERBOTTENS LÄN</t>
        </is>
      </c>
      <c r="E1103" t="inlineStr">
        <is>
          <t>SKELLEFTEÅ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61656-2021</t>
        </is>
      </c>
      <c r="B1104" s="1" t="n">
        <v>44501</v>
      </c>
      <c r="C1104" s="1" t="n">
        <v>45832</v>
      </c>
      <c r="D1104" t="inlineStr">
        <is>
          <t>VÄSTERBOTTENS LÄN</t>
        </is>
      </c>
      <c r="E1104" t="inlineStr">
        <is>
          <t>SKELLEFTEÅ</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61811-2021</t>
        </is>
      </c>
      <c r="B1105" s="1" t="n">
        <v>44501</v>
      </c>
      <c r="C1105" s="1" t="n">
        <v>45832</v>
      </c>
      <c r="D1105" t="inlineStr">
        <is>
          <t>VÄSTERBOTTENS LÄN</t>
        </is>
      </c>
      <c r="E1105" t="inlineStr">
        <is>
          <t>SKELLEFTEÅ</t>
        </is>
      </c>
      <c r="F1105" t="inlineStr">
        <is>
          <t>Sveaskog</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61844-2021</t>
        </is>
      </c>
      <c r="B1106" s="1" t="n">
        <v>44501</v>
      </c>
      <c r="C1106" s="1" t="n">
        <v>45832</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62227-2021</t>
        </is>
      </c>
      <c r="B1107" s="1" t="n">
        <v>44501</v>
      </c>
      <c r="C1107" s="1" t="n">
        <v>45832</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62345-2021</t>
        </is>
      </c>
      <c r="B1108" s="1" t="n">
        <v>44503</v>
      </c>
      <c r="C1108" s="1" t="n">
        <v>45832</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62486-2021</t>
        </is>
      </c>
      <c r="B1109" s="1" t="n">
        <v>44503</v>
      </c>
      <c r="C1109" s="1" t="n">
        <v>45832</v>
      </c>
      <c r="D1109" t="inlineStr">
        <is>
          <t>VÄSTERBOTTENS LÄN</t>
        </is>
      </c>
      <c r="E1109" t="inlineStr">
        <is>
          <t>SKELLEFTEÅ</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62651-2021</t>
        </is>
      </c>
      <c r="B1110" s="1" t="n">
        <v>44503</v>
      </c>
      <c r="C1110" s="1" t="n">
        <v>45832</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63145-2021</t>
        </is>
      </c>
      <c r="B1111" s="1" t="n">
        <v>44505</v>
      </c>
      <c r="C1111" s="1" t="n">
        <v>45832</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63171-2021</t>
        </is>
      </c>
      <c r="B1112" s="1" t="n">
        <v>44506</v>
      </c>
      <c r="C1112" s="1" t="n">
        <v>45832</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63502-2021</t>
        </is>
      </c>
      <c r="B1113" s="1" t="n">
        <v>44508</v>
      </c>
      <c r="C1113" s="1" t="n">
        <v>45832</v>
      </c>
      <c r="D1113" t="inlineStr">
        <is>
          <t>VÄSTERBOTTENS LÄN</t>
        </is>
      </c>
      <c r="E1113" t="inlineStr">
        <is>
          <t>SKELLEFTEÅ</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63801-2021</t>
        </is>
      </c>
      <c r="B1114" s="1" t="n">
        <v>44508</v>
      </c>
      <c r="C1114" s="1" t="n">
        <v>45832</v>
      </c>
      <c r="D1114" t="inlineStr">
        <is>
          <t>VÄSTERBOTTENS LÄN</t>
        </is>
      </c>
      <c r="E1114" t="inlineStr">
        <is>
          <t>SKELLEFTEÅ</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63620-2021</t>
        </is>
      </c>
      <c r="B1115" s="1" t="n">
        <v>44509</v>
      </c>
      <c r="C1115" s="1" t="n">
        <v>45832</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64087-2021</t>
        </is>
      </c>
      <c r="B1116" s="1" t="n">
        <v>44509</v>
      </c>
      <c r="C1116" s="1" t="n">
        <v>45832</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64409-2021</t>
        </is>
      </c>
      <c r="B1117" s="1" t="n">
        <v>44510</v>
      </c>
      <c r="C1117" s="1" t="n">
        <v>45832</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64316-2021</t>
        </is>
      </c>
      <c r="B1118" s="1" t="n">
        <v>44510</v>
      </c>
      <c r="C1118" s="1" t="n">
        <v>45832</v>
      </c>
      <c r="D1118" t="inlineStr">
        <is>
          <t>VÄSTERBOTTENS LÄN</t>
        </is>
      </c>
      <c r="E1118" t="inlineStr">
        <is>
          <t>SKELLEFTEÅ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64391-2021</t>
        </is>
      </c>
      <c r="B1119" s="1" t="n">
        <v>44511</v>
      </c>
      <c r="C1119" s="1" t="n">
        <v>45832</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45832</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64593-2021</t>
        </is>
      </c>
      <c r="B1121" s="1" t="n">
        <v>44511</v>
      </c>
      <c r="C1121" s="1" t="n">
        <v>45832</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64580-2021</t>
        </is>
      </c>
      <c r="B1122" s="1" t="n">
        <v>44511</v>
      </c>
      <c r="C1122" s="1" t="n">
        <v>45832</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64761-2021</t>
        </is>
      </c>
      <c r="B1123" s="1" t="n">
        <v>44511</v>
      </c>
      <c r="C1123" s="1" t="n">
        <v>45832</v>
      </c>
      <c r="D1123" t="inlineStr">
        <is>
          <t>VÄSTERBOTTENS LÄN</t>
        </is>
      </c>
      <c r="E1123" t="inlineStr">
        <is>
          <t>SKELLEFTEÅ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64765-2021</t>
        </is>
      </c>
      <c r="B1124" s="1" t="n">
        <v>44511</v>
      </c>
      <c r="C1124" s="1" t="n">
        <v>45832</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65455-2021</t>
        </is>
      </c>
      <c r="B1125" s="1" t="n">
        <v>44516</v>
      </c>
      <c r="C1125" s="1" t="n">
        <v>45832</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66250-2021</t>
        </is>
      </c>
      <c r="B1126" s="1" t="n">
        <v>44518</v>
      </c>
      <c r="C1126" s="1" t="n">
        <v>45832</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66463-2021</t>
        </is>
      </c>
      <c r="B1127" s="1" t="n">
        <v>44518</v>
      </c>
      <c r="C1127" s="1" t="n">
        <v>45832</v>
      </c>
      <c r="D1127" t="inlineStr">
        <is>
          <t>VÄSTERBOTTENS LÄN</t>
        </is>
      </c>
      <c r="E1127" t="inlineStr">
        <is>
          <t>SKELLEFTEÅ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66465-2021</t>
        </is>
      </c>
      <c r="B1128" s="1" t="n">
        <v>44518</v>
      </c>
      <c r="C1128" s="1" t="n">
        <v>45832</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66501-2021</t>
        </is>
      </c>
      <c r="B1129" s="1" t="n">
        <v>44519</v>
      </c>
      <c r="C1129" s="1" t="n">
        <v>45832</v>
      </c>
      <c r="D1129" t="inlineStr">
        <is>
          <t>VÄSTERBOTTENS LÄN</t>
        </is>
      </c>
      <c r="E1129" t="inlineStr">
        <is>
          <t>SKELLEFTEÅ</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66500-2021</t>
        </is>
      </c>
      <c r="B1130" s="1" t="n">
        <v>44519</v>
      </c>
      <c r="C1130" s="1" t="n">
        <v>45832</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66499-2021</t>
        </is>
      </c>
      <c r="B1131" s="1" t="n">
        <v>44519</v>
      </c>
      <c r="C1131" s="1" t="n">
        <v>45832</v>
      </c>
      <c r="D1131" t="inlineStr">
        <is>
          <t>VÄSTERBOTTENS LÄN</t>
        </is>
      </c>
      <c r="E1131" t="inlineStr">
        <is>
          <t>SKELLEFTEÅ</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66502-2021</t>
        </is>
      </c>
      <c r="B1132" s="1" t="n">
        <v>44519</v>
      </c>
      <c r="C1132" s="1" t="n">
        <v>45832</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66756-2021</t>
        </is>
      </c>
      <c r="B1133" s="1" t="n">
        <v>44521</v>
      </c>
      <c r="C1133" s="1" t="n">
        <v>45832</v>
      </c>
      <c r="D1133" t="inlineStr">
        <is>
          <t>VÄSTERBOTTENS LÄN</t>
        </is>
      </c>
      <c r="E1133" t="inlineStr">
        <is>
          <t>SKELLEFTEÅ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66949-2021</t>
        </is>
      </c>
      <c r="B1134" s="1" t="n">
        <v>44522</v>
      </c>
      <c r="C1134" s="1" t="n">
        <v>45832</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c r="U1134">
        <f>HYPERLINK("https://klasma.github.io/Logging_2482/knärot/A 66949-2021 karta knärot.png", "A 66949-2021")</f>
        <v/>
      </c>
      <c r="V1134">
        <f>HYPERLINK("https://klasma.github.io/Logging_2482/klagomål/A 66949-2021 FSC-klagomål.docx", "A 66949-2021")</f>
        <v/>
      </c>
      <c r="W1134">
        <f>HYPERLINK("https://klasma.github.io/Logging_2482/klagomålsmail/A 66949-2021 FSC-klagomål mail.docx", "A 66949-2021")</f>
        <v/>
      </c>
      <c r="X1134">
        <f>HYPERLINK("https://klasma.github.io/Logging_2482/tillsyn/A 66949-2021 tillsynsbegäran.docx", "A 66949-2021")</f>
        <v/>
      </c>
      <c r="Y1134">
        <f>HYPERLINK("https://klasma.github.io/Logging_2482/tillsynsmail/A 66949-2021 tillsynsbegäran mail.docx", "A 66949-2021")</f>
        <v/>
      </c>
    </row>
    <row r="1135" ht="15" customHeight="1">
      <c r="A1135" t="inlineStr">
        <is>
          <t>A 67450-2021</t>
        </is>
      </c>
      <c r="B1135" s="1" t="n">
        <v>44524</v>
      </c>
      <c r="C1135" s="1" t="n">
        <v>45832</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67893-2021</t>
        </is>
      </c>
      <c r="B1136" s="1" t="n">
        <v>44525</v>
      </c>
      <c r="C1136" s="1" t="n">
        <v>45832</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68251-2021</t>
        </is>
      </c>
      <c r="B1137" s="1" t="n">
        <v>44525</v>
      </c>
      <c r="C1137" s="1" t="n">
        <v>45832</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68334-2021</t>
        </is>
      </c>
      <c r="B1138" s="1" t="n">
        <v>44527</v>
      </c>
      <c r="C1138" s="1" t="n">
        <v>45832</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69106-2021</t>
        </is>
      </c>
      <c r="B1139" s="1" t="n">
        <v>44530</v>
      </c>
      <c r="C1139" s="1" t="n">
        <v>45832</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69262-2021</t>
        </is>
      </c>
      <c r="B1140" s="1" t="n">
        <v>44531</v>
      </c>
      <c r="C1140" s="1" t="n">
        <v>45832</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69315-2021</t>
        </is>
      </c>
      <c r="B1141" s="1" t="n">
        <v>44531</v>
      </c>
      <c r="C1141" s="1" t="n">
        <v>45832</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70168-2021</t>
        </is>
      </c>
      <c r="B1142" s="1" t="n">
        <v>44533</v>
      </c>
      <c r="C1142" s="1" t="n">
        <v>45832</v>
      </c>
      <c r="D1142" t="inlineStr">
        <is>
          <t>VÄSTERBOTTENS LÄN</t>
        </is>
      </c>
      <c r="E1142" t="inlineStr">
        <is>
          <t>SKELLEFTEÅ</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70176-2021</t>
        </is>
      </c>
      <c r="B1143" s="1" t="n">
        <v>44533</v>
      </c>
      <c r="C1143" s="1" t="n">
        <v>45832</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70029-2021</t>
        </is>
      </c>
      <c r="B1144" s="1" t="n">
        <v>44533</v>
      </c>
      <c r="C1144" s="1" t="n">
        <v>45832</v>
      </c>
      <c r="D1144" t="inlineStr">
        <is>
          <t>VÄSTERBOTTENS LÄN</t>
        </is>
      </c>
      <c r="E1144" t="inlineStr">
        <is>
          <t>SKELLEFTEÅ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69992-2021</t>
        </is>
      </c>
      <c r="B1145" s="1" t="n">
        <v>44533</v>
      </c>
      <c r="C1145" s="1" t="n">
        <v>45832</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69996-2021</t>
        </is>
      </c>
      <c r="B1146" s="1" t="n">
        <v>44533</v>
      </c>
      <c r="C1146" s="1" t="n">
        <v>45832</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69991-2021</t>
        </is>
      </c>
      <c r="B1147" s="1" t="n">
        <v>44533</v>
      </c>
      <c r="C1147" s="1" t="n">
        <v>45832</v>
      </c>
      <c r="D1147" t="inlineStr">
        <is>
          <t>VÄSTERBOTTENS LÄN</t>
        </is>
      </c>
      <c r="E1147" t="inlineStr">
        <is>
          <t>SKELLEFTEÅ</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69978-2021</t>
        </is>
      </c>
      <c r="B1148" s="1" t="n">
        <v>44533</v>
      </c>
      <c r="C1148" s="1" t="n">
        <v>45832</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70229-2021</t>
        </is>
      </c>
      <c r="B1149" s="1" t="n">
        <v>44533</v>
      </c>
      <c r="C1149" s="1" t="n">
        <v>45832</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70272-2021</t>
        </is>
      </c>
      <c r="B1150" s="1" t="n">
        <v>44536</v>
      </c>
      <c r="C1150" s="1" t="n">
        <v>45832</v>
      </c>
      <c r="D1150" t="inlineStr">
        <is>
          <t>VÄSTERBOTTENS LÄN</t>
        </is>
      </c>
      <c r="E1150" t="inlineStr">
        <is>
          <t>SKELLEFTEÅ</t>
        </is>
      </c>
      <c r="F1150" t="inlineStr">
        <is>
          <t>Kyrkan</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70339-2021</t>
        </is>
      </c>
      <c r="B1151" s="1" t="n">
        <v>44536</v>
      </c>
      <c r="C1151" s="1" t="n">
        <v>45832</v>
      </c>
      <c r="D1151" t="inlineStr">
        <is>
          <t>VÄSTERBOTTENS LÄN</t>
        </is>
      </c>
      <c r="E1151" t="inlineStr">
        <is>
          <t>SKELLEFTEÅ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70508-2021</t>
        </is>
      </c>
      <c r="B1152" s="1" t="n">
        <v>44536</v>
      </c>
      <c r="C1152" s="1" t="n">
        <v>45832</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70703-2021</t>
        </is>
      </c>
      <c r="B1153" s="1" t="n">
        <v>44536</v>
      </c>
      <c r="C1153" s="1" t="n">
        <v>45832</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70718-2021</t>
        </is>
      </c>
      <c r="B1154" s="1" t="n">
        <v>44536</v>
      </c>
      <c r="C1154" s="1" t="n">
        <v>45832</v>
      </c>
      <c r="D1154" t="inlineStr">
        <is>
          <t>VÄSTERBOTTENS LÄN</t>
        </is>
      </c>
      <c r="E1154" t="inlineStr">
        <is>
          <t>SKELLEFTEÅ</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70851-2021</t>
        </is>
      </c>
      <c r="B1155" s="1" t="n">
        <v>44536</v>
      </c>
      <c r="C1155" s="1" t="n">
        <v>45832</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70558-2021</t>
        </is>
      </c>
      <c r="B1156" s="1" t="n">
        <v>44537</v>
      </c>
      <c r="C1156" s="1" t="n">
        <v>45832</v>
      </c>
      <c r="D1156" t="inlineStr">
        <is>
          <t>VÄSTERBOTTENS LÄN</t>
        </is>
      </c>
      <c r="E1156" t="inlineStr">
        <is>
          <t>SKELLEFTEÅ</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70748-2021</t>
        </is>
      </c>
      <c r="B1157" s="1" t="n">
        <v>44537</v>
      </c>
      <c r="C1157" s="1" t="n">
        <v>45832</v>
      </c>
      <c r="D1157" t="inlineStr">
        <is>
          <t>VÄSTERBOTTENS LÄN</t>
        </is>
      </c>
      <c r="E1157" t="inlineStr">
        <is>
          <t>SKELLEFTEÅ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71019-2021</t>
        </is>
      </c>
      <c r="B1158" s="1" t="n">
        <v>44538</v>
      </c>
      <c r="C1158" s="1" t="n">
        <v>45832</v>
      </c>
      <c r="D1158" t="inlineStr">
        <is>
          <t>VÄSTERBOTTENS LÄN</t>
        </is>
      </c>
      <c r="E1158" t="inlineStr">
        <is>
          <t>SKELLEFTEÅ</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71410-2021</t>
        </is>
      </c>
      <c r="B1159" s="1" t="n">
        <v>44540</v>
      </c>
      <c r="C1159" s="1" t="n">
        <v>45832</v>
      </c>
      <c r="D1159" t="inlineStr">
        <is>
          <t>VÄSTERBOTTENS LÄN</t>
        </is>
      </c>
      <c r="E1159" t="inlineStr">
        <is>
          <t>SKELLEFTEÅ</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71422-2021</t>
        </is>
      </c>
      <c r="B1160" s="1" t="n">
        <v>44540</v>
      </c>
      <c r="C1160" s="1" t="n">
        <v>45832</v>
      </c>
      <c r="D1160" t="inlineStr">
        <is>
          <t>VÄSTERBOTTENS LÄN</t>
        </is>
      </c>
      <c r="E1160" t="inlineStr">
        <is>
          <t>SKELLEFTEÅ</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71445-2021</t>
        </is>
      </c>
      <c r="B1161" s="1" t="n">
        <v>44540</v>
      </c>
      <c r="C1161" s="1" t="n">
        <v>45832</v>
      </c>
      <c r="D1161" t="inlineStr">
        <is>
          <t>VÄSTERBOTTENS LÄN</t>
        </is>
      </c>
      <c r="E1161" t="inlineStr">
        <is>
          <t>SKELLEFTEÅ</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71464-2021</t>
        </is>
      </c>
      <c r="B1162" s="1" t="n">
        <v>44540</v>
      </c>
      <c r="C1162" s="1" t="n">
        <v>45832</v>
      </c>
      <c r="D1162" t="inlineStr">
        <is>
          <t>VÄSTERBOTTENS LÄN</t>
        </is>
      </c>
      <c r="E1162" t="inlineStr">
        <is>
          <t>SKELLEFTEÅ</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71434-2021</t>
        </is>
      </c>
      <c r="B1163" s="1" t="n">
        <v>44540</v>
      </c>
      <c r="C1163" s="1" t="n">
        <v>45832</v>
      </c>
      <c r="D1163" t="inlineStr">
        <is>
          <t>VÄSTERBOTTENS LÄN</t>
        </is>
      </c>
      <c r="E1163" t="inlineStr">
        <is>
          <t>SKELLEFTEÅ</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71565-2021</t>
        </is>
      </c>
      <c r="B1164" s="1" t="n">
        <v>44540</v>
      </c>
      <c r="C1164" s="1" t="n">
        <v>45832</v>
      </c>
      <c r="D1164" t="inlineStr">
        <is>
          <t>VÄSTERBOTTENS LÄN</t>
        </is>
      </c>
      <c r="E1164" t="inlineStr">
        <is>
          <t>SKELLEFTEÅ</t>
        </is>
      </c>
      <c r="F1164" t="inlineStr">
        <is>
          <t>Sveaskog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71400-2021</t>
        </is>
      </c>
      <c r="B1165" s="1" t="n">
        <v>44540</v>
      </c>
      <c r="C1165" s="1" t="n">
        <v>45832</v>
      </c>
      <c r="D1165" t="inlineStr">
        <is>
          <t>VÄSTERBOTTENS LÄN</t>
        </is>
      </c>
      <c r="E1165" t="inlineStr">
        <is>
          <t>SKELLEFTEÅ</t>
        </is>
      </c>
      <c r="F1165" t="inlineStr">
        <is>
          <t>Sveaskog</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71460-2021</t>
        </is>
      </c>
      <c r="B1166" s="1" t="n">
        <v>44540</v>
      </c>
      <c r="C1166" s="1" t="n">
        <v>45832</v>
      </c>
      <c r="D1166" t="inlineStr">
        <is>
          <t>VÄSTERBOTTENS LÄN</t>
        </is>
      </c>
      <c r="E1166" t="inlineStr">
        <is>
          <t>SKELLEFTEÅ</t>
        </is>
      </c>
      <c r="F1166" t="inlineStr">
        <is>
          <t>Sveaskog</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71459-2021</t>
        </is>
      </c>
      <c r="B1167" s="1" t="n">
        <v>44540</v>
      </c>
      <c r="C1167" s="1" t="n">
        <v>45832</v>
      </c>
      <c r="D1167" t="inlineStr">
        <is>
          <t>VÄSTERBOTTENS LÄN</t>
        </is>
      </c>
      <c r="E1167" t="inlineStr">
        <is>
          <t>SKELLEFTEÅ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71798-2021</t>
        </is>
      </c>
      <c r="B1168" s="1" t="n">
        <v>44543</v>
      </c>
      <c r="C1168" s="1" t="n">
        <v>45832</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71924-2021</t>
        </is>
      </c>
      <c r="B1169" s="1" t="n">
        <v>44543</v>
      </c>
      <c r="C1169" s="1" t="n">
        <v>45832</v>
      </c>
      <c r="D1169" t="inlineStr">
        <is>
          <t>VÄSTERBOTTENS LÄN</t>
        </is>
      </c>
      <c r="E1169" t="inlineStr">
        <is>
          <t>SKELLEFTEÅ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71943-2021</t>
        </is>
      </c>
      <c r="B1170" s="1" t="n">
        <v>44543</v>
      </c>
      <c r="C1170" s="1" t="n">
        <v>45832</v>
      </c>
      <c r="D1170" t="inlineStr">
        <is>
          <t>VÄSTERBOTTENS LÄN</t>
        </is>
      </c>
      <c r="E1170" t="inlineStr">
        <is>
          <t>SKELLEFTEÅ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71931-2021</t>
        </is>
      </c>
      <c r="B1171" s="1" t="n">
        <v>44543</v>
      </c>
      <c r="C1171" s="1" t="n">
        <v>45832</v>
      </c>
      <c r="D1171" t="inlineStr">
        <is>
          <t>VÄSTERBOTTENS LÄN</t>
        </is>
      </c>
      <c r="E1171" t="inlineStr">
        <is>
          <t>SKELLEFTEÅ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72203-2021</t>
        </is>
      </c>
      <c r="B1172" s="1" t="n">
        <v>44543</v>
      </c>
      <c r="C1172" s="1" t="n">
        <v>45832</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v>
      </c>
      <c r="C1173" s="1" t="n">
        <v>45832</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72033-2021</t>
        </is>
      </c>
      <c r="B1174" s="1" t="n">
        <v>44544</v>
      </c>
      <c r="C1174" s="1" t="n">
        <v>45832</v>
      </c>
      <c r="D1174" t="inlineStr">
        <is>
          <t>VÄSTERBOTTENS LÄN</t>
        </is>
      </c>
      <c r="E1174" t="inlineStr">
        <is>
          <t>SKELLEFTEÅ</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72183-2021</t>
        </is>
      </c>
      <c r="B1175" s="1" t="n">
        <v>44544</v>
      </c>
      <c r="C1175" s="1" t="n">
        <v>45832</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72692-2021</t>
        </is>
      </c>
      <c r="B1176" s="1" t="n">
        <v>44545</v>
      </c>
      <c r="C1176" s="1" t="n">
        <v>45832</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72545-2021</t>
        </is>
      </c>
      <c r="B1177" s="1" t="n">
        <v>44546</v>
      </c>
      <c r="C1177" s="1" t="n">
        <v>45832</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73159-2021</t>
        </is>
      </c>
      <c r="B1178" s="1" t="n">
        <v>44550</v>
      </c>
      <c r="C1178" s="1" t="n">
        <v>45832</v>
      </c>
      <c r="D1178" t="inlineStr">
        <is>
          <t>VÄSTERBOTTENS LÄN</t>
        </is>
      </c>
      <c r="E1178" t="inlineStr">
        <is>
          <t>SKELLEFTEÅ</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73556-2021</t>
        </is>
      </c>
      <c r="B1179" s="1" t="n">
        <v>44551</v>
      </c>
      <c r="C1179" s="1" t="n">
        <v>45832</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73614-2021</t>
        </is>
      </c>
      <c r="B1180" s="1" t="n">
        <v>44551</v>
      </c>
      <c r="C1180" s="1" t="n">
        <v>45832</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73684-2021</t>
        </is>
      </c>
      <c r="B1181" s="1" t="n">
        <v>44551</v>
      </c>
      <c r="C1181" s="1" t="n">
        <v>45832</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73833-2021</t>
        </is>
      </c>
      <c r="B1182" s="1" t="n">
        <v>44552</v>
      </c>
      <c r="C1182" s="1" t="n">
        <v>45832</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73956-2021</t>
        </is>
      </c>
      <c r="B1183" s="1" t="n">
        <v>44553</v>
      </c>
      <c r="C1183" s="1" t="n">
        <v>45832</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73957-2021</t>
        </is>
      </c>
      <c r="B1184" s="1" t="n">
        <v>44553</v>
      </c>
      <c r="C1184" s="1" t="n">
        <v>45832</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73950-2021</t>
        </is>
      </c>
      <c r="B1185" s="1" t="n">
        <v>44553</v>
      </c>
      <c r="C1185" s="1" t="n">
        <v>45832</v>
      </c>
      <c r="D1185" t="inlineStr">
        <is>
          <t>VÄSTERBOTTENS LÄN</t>
        </is>
      </c>
      <c r="E1185" t="inlineStr">
        <is>
          <t>SKELLEFTEÅ</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73985-2021</t>
        </is>
      </c>
      <c r="B1186" s="1" t="n">
        <v>44555</v>
      </c>
      <c r="C1186" s="1" t="n">
        <v>45832</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74077-2021</t>
        </is>
      </c>
      <c r="B1187" s="1" t="n">
        <v>44557</v>
      </c>
      <c r="C1187" s="1" t="n">
        <v>45832</v>
      </c>
      <c r="D1187" t="inlineStr">
        <is>
          <t>VÄSTERBOTTENS LÄN</t>
        </is>
      </c>
      <c r="E1187" t="inlineStr">
        <is>
          <t>SKELLEFTEÅ</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74205-2021</t>
        </is>
      </c>
      <c r="B1188" s="1" t="n">
        <v>44558</v>
      </c>
      <c r="C1188" s="1" t="n">
        <v>45832</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528-2022</t>
        </is>
      </c>
      <c r="B1189" s="1" t="n">
        <v>44566</v>
      </c>
      <c r="C1189" s="1" t="n">
        <v>45832</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808-2022</t>
        </is>
      </c>
      <c r="B1190" s="1" t="n">
        <v>44568</v>
      </c>
      <c r="C1190" s="1" t="n">
        <v>45832</v>
      </c>
      <c r="D1190" t="inlineStr">
        <is>
          <t>VÄSTERBOTTENS LÄN</t>
        </is>
      </c>
      <c r="E1190" t="inlineStr">
        <is>
          <t>SKELLEFTEÅ</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1626-2022</t>
        </is>
      </c>
      <c r="B1191" s="1" t="n">
        <v>44573</v>
      </c>
      <c r="C1191" s="1" t="n">
        <v>45832</v>
      </c>
      <c r="D1191" t="inlineStr">
        <is>
          <t>VÄSTERBOTTENS LÄN</t>
        </is>
      </c>
      <c r="E1191" t="inlineStr">
        <is>
          <t>SKELLEFTEÅ</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1750-2022</t>
        </is>
      </c>
      <c r="B1192" s="1" t="n">
        <v>44574</v>
      </c>
      <c r="C1192" s="1" t="n">
        <v>45832</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1834-2022</t>
        </is>
      </c>
      <c r="B1193" s="1" t="n">
        <v>44574</v>
      </c>
      <c r="C1193" s="1" t="n">
        <v>45832</v>
      </c>
      <c r="D1193" t="inlineStr">
        <is>
          <t>VÄSTERBOTTENS LÄN</t>
        </is>
      </c>
      <c r="E1193" t="inlineStr">
        <is>
          <t>SKELLEFTEÅ</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2486-2022</t>
        </is>
      </c>
      <c r="B1194" s="1" t="n">
        <v>44579</v>
      </c>
      <c r="C1194" s="1" t="n">
        <v>45832</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2607-2022</t>
        </is>
      </c>
      <c r="B1195" s="1" t="n">
        <v>44580</v>
      </c>
      <c r="C1195" s="1" t="n">
        <v>45832</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2813-2022</t>
        </is>
      </c>
      <c r="B1196" s="1" t="n">
        <v>44580</v>
      </c>
      <c r="C1196" s="1" t="n">
        <v>45832</v>
      </c>
      <c r="D1196" t="inlineStr">
        <is>
          <t>VÄSTERBOTTENS LÄN</t>
        </is>
      </c>
      <c r="E1196" t="inlineStr">
        <is>
          <t>SKELLEFTEÅ</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3006-2022</t>
        </is>
      </c>
      <c r="B1197" s="1" t="n">
        <v>44581</v>
      </c>
      <c r="C1197" s="1" t="n">
        <v>45832</v>
      </c>
      <c r="D1197" t="inlineStr">
        <is>
          <t>VÄSTERBOTTENS LÄN</t>
        </is>
      </c>
      <c r="E1197" t="inlineStr">
        <is>
          <t>SKELLEFTEÅ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3009-2022</t>
        </is>
      </c>
      <c r="B1198" s="1" t="n">
        <v>44581</v>
      </c>
      <c r="C1198" s="1" t="n">
        <v>45832</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3268-2022</t>
        </is>
      </c>
      <c r="B1199" s="1" t="n">
        <v>44583</v>
      </c>
      <c r="C1199" s="1" t="n">
        <v>45832</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3265-2022</t>
        </is>
      </c>
      <c r="B1200" s="1" t="n">
        <v>44583</v>
      </c>
      <c r="C1200" s="1" t="n">
        <v>45832</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3266-2022</t>
        </is>
      </c>
      <c r="B1201" s="1" t="n">
        <v>44583</v>
      </c>
      <c r="C1201" s="1" t="n">
        <v>45832</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3362-2022</t>
        </is>
      </c>
      <c r="B1202" s="1" t="n">
        <v>44585</v>
      </c>
      <c r="C1202" s="1" t="n">
        <v>45832</v>
      </c>
      <c r="D1202" t="inlineStr">
        <is>
          <t>VÄSTERBOTTENS LÄN</t>
        </is>
      </c>
      <c r="E1202" t="inlineStr">
        <is>
          <t>SKELLEFTEÅ</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3616-2022</t>
        </is>
      </c>
      <c r="B1203" s="1" t="n">
        <v>44586</v>
      </c>
      <c r="C1203" s="1" t="n">
        <v>45832</v>
      </c>
      <c r="D1203" t="inlineStr">
        <is>
          <t>VÄSTERBOTTENS LÄN</t>
        </is>
      </c>
      <c r="E1203" t="inlineStr">
        <is>
          <t>SKELLEFTEÅ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3600-2022</t>
        </is>
      </c>
      <c r="B1204" s="1" t="n">
        <v>44586</v>
      </c>
      <c r="C1204" s="1" t="n">
        <v>45832</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3876-2022</t>
        </is>
      </c>
      <c r="B1205" s="1" t="n">
        <v>44587</v>
      </c>
      <c r="C1205" s="1" t="n">
        <v>45832</v>
      </c>
      <c r="D1205" t="inlineStr">
        <is>
          <t>VÄSTERBOTTENS LÄN</t>
        </is>
      </c>
      <c r="E1205" t="inlineStr">
        <is>
          <t>SKELLEFTEÅ</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3924-2022</t>
        </is>
      </c>
      <c r="B1206" s="1" t="n">
        <v>44587</v>
      </c>
      <c r="C1206" s="1" t="n">
        <v>45832</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3882-2022</t>
        </is>
      </c>
      <c r="B1207" s="1" t="n">
        <v>44587</v>
      </c>
      <c r="C1207" s="1" t="n">
        <v>45832</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3944-2022</t>
        </is>
      </c>
      <c r="B1208" s="1" t="n">
        <v>44587</v>
      </c>
      <c r="C1208" s="1" t="n">
        <v>45832</v>
      </c>
      <c r="D1208" t="inlineStr">
        <is>
          <t>VÄSTERBOTTENS LÄN</t>
        </is>
      </c>
      <c r="E1208" t="inlineStr">
        <is>
          <t>SKELLEFTEÅ</t>
        </is>
      </c>
      <c r="F1208" t="inlineStr">
        <is>
          <t>Kommuner</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3987-2022</t>
        </is>
      </c>
      <c r="B1209" s="1" t="n">
        <v>44587</v>
      </c>
      <c r="C1209" s="1" t="n">
        <v>45832</v>
      </c>
      <c r="D1209" t="inlineStr">
        <is>
          <t>VÄSTERBOTTENS LÄN</t>
        </is>
      </c>
      <c r="E1209" t="inlineStr">
        <is>
          <t>SKELLEFTEÅ</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4008-2022</t>
        </is>
      </c>
      <c r="B1210" s="1" t="n">
        <v>44587</v>
      </c>
      <c r="C1210" s="1" t="n">
        <v>45832</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3963-2022</t>
        </is>
      </c>
      <c r="B1211" s="1" t="n">
        <v>44587</v>
      </c>
      <c r="C1211" s="1" t="n">
        <v>45832</v>
      </c>
      <c r="D1211" t="inlineStr">
        <is>
          <t>VÄSTERBOTTENS LÄN</t>
        </is>
      </c>
      <c r="E1211" t="inlineStr">
        <is>
          <t>SKELLEFTEÅ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4005-2022</t>
        </is>
      </c>
      <c r="B1212" s="1" t="n">
        <v>44587</v>
      </c>
      <c r="C1212" s="1" t="n">
        <v>45832</v>
      </c>
      <c r="D1212" t="inlineStr">
        <is>
          <t>VÄSTERBOTTENS LÄN</t>
        </is>
      </c>
      <c r="E1212" t="inlineStr">
        <is>
          <t>SKELLEFTEÅ</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4603-2022</t>
        </is>
      </c>
      <c r="B1213" s="1" t="n">
        <v>44592</v>
      </c>
      <c r="C1213" s="1" t="n">
        <v>45832</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4653-2022</t>
        </is>
      </c>
      <c r="B1214" s="1" t="n">
        <v>44592</v>
      </c>
      <c r="C1214" s="1" t="n">
        <v>45832</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4762-2022</t>
        </is>
      </c>
      <c r="B1215" s="1" t="n">
        <v>44592</v>
      </c>
      <c r="C1215" s="1" t="n">
        <v>45832</v>
      </c>
      <c r="D1215" t="inlineStr">
        <is>
          <t>VÄSTERBOTTENS LÄN</t>
        </is>
      </c>
      <c r="E1215" t="inlineStr">
        <is>
          <t>SKELLEFTEÅ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4844-2022</t>
        </is>
      </c>
      <c r="B1216" s="1" t="n">
        <v>44592</v>
      </c>
      <c r="C1216" s="1" t="n">
        <v>45832</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4791-2022</t>
        </is>
      </c>
      <c r="B1217" s="1" t="n">
        <v>44592</v>
      </c>
      <c r="C1217" s="1" t="n">
        <v>45832</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5817-2022</t>
        </is>
      </c>
      <c r="B1218" s="1" t="n">
        <v>44596</v>
      </c>
      <c r="C1218" s="1" t="n">
        <v>45832</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5826-2022</t>
        </is>
      </c>
      <c r="B1219" s="1" t="n">
        <v>44596</v>
      </c>
      <c r="C1219" s="1" t="n">
        <v>45832</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5828-2022</t>
        </is>
      </c>
      <c r="B1220" s="1" t="n">
        <v>44596</v>
      </c>
      <c r="C1220" s="1" t="n">
        <v>45832</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5972-2022</t>
        </is>
      </c>
      <c r="B1221" s="1" t="n">
        <v>44599</v>
      </c>
      <c r="C1221" s="1" t="n">
        <v>45832</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6635-2022</t>
        </is>
      </c>
      <c r="B1222" s="1" t="n">
        <v>44601</v>
      </c>
      <c r="C1222" s="1" t="n">
        <v>45832</v>
      </c>
      <c r="D1222" t="inlineStr">
        <is>
          <t>VÄSTERBOTTENS LÄN</t>
        </is>
      </c>
      <c r="E1222" t="inlineStr">
        <is>
          <t>SKELLEFTEÅ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6666-2022</t>
        </is>
      </c>
      <c r="B1223" s="1" t="n">
        <v>44602</v>
      </c>
      <c r="C1223" s="1" t="n">
        <v>45832</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6837-2022</t>
        </is>
      </c>
      <c r="B1224" s="1" t="n">
        <v>44602</v>
      </c>
      <c r="C1224" s="1" t="n">
        <v>45832</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6834-2022</t>
        </is>
      </c>
      <c r="B1225" s="1" t="n">
        <v>44602</v>
      </c>
      <c r="C1225" s="1" t="n">
        <v>45832</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7006-2022</t>
        </is>
      </c>
      <c r="B1226" s="1" t="n">
        <v>44602</v>
      </c>
      <c r="C1226" s="1" t="n">
        <v>45832</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7052-2022</t>
        </is>
      </c>
      <c r="B1227" s="1" t="n">
        <v>44603</v>
      </c>
      <c r="C1227" s="1" t="n">
        <v>45832</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7127-2022</t>
        </is>
      </c>
      <c r="B1228" s="1" t="n">
        <v>44603</v>
      </c>
      <c r="C1228" s="1" t="n">
        <v>45832</v>
      </c>
      <c r="D1228" t="inlineStr">
        <is>
          <t>VÄSTERBOTTENS LÄN</t>
        </is>
      </c>
      <c r="E1228" t="inlineStr">
        <is>
          <t>SKELLEFTEÅ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7462-2022</t>
        </is>
      </c>
      <c r="B1229" s="1" t="n">
        <v>44606</v>
      </c>
      <c r="C1229" s="1" t="n">
        <v>45832</v>
      </c>
      <c r="D1229" t="inlineStr">
        <is>
          <t>VÄSTERBOTTENS LÄN</t>
        </is>
      </c>
      <c r="E1229" t="inlineStr">
        <is>
          <t>SKELLEFTEÅ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7495-2022</t>
        </is>
      </c>
      <c r="B1230" s="1" t="n">
        <v>44607</v>
      </c>
      <c r="C1230" s="1" t="n">
        <v>45832</v>
      </c>
      <c r="D1230" t="inlineStr">
        <is>
          <t>VÄSTERBOTTENS LÄN</t>
        </is>
      </c>
      <c r="E1230" t="inlineStr">
        <is>
          <t>SKELLEFTEÅ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7518-2022</t>
        </is>
      </c>
      <c r="B1231" s="1" t="n">
        <v>44607</v>
      </c>
      <c r="C1231" s="1" t="n">
        <v>45832</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7579-2022</t>
        </is>
      </c>
      <c r="B1232" s="1" t="n">
        <v>44607</v>
      </c>
      <c r="C1232" s="1" t="n">
        <v>45832</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8023-2022</t>
        </is>
      </c>
      <c r="B1233" s="1" t="n">
        <v>44609</v>
      </c>
      <c r="C1233" s="1" t="n">
        <v>45832</v>
      </c>
      <c r="D1233" t="inlineStr">
        <is>
          <t>VÄSTERBOTTENS LÄN</t>
        </is>
      </c>
      <c r="E1233" t="inlineStr">
        <is>
          <t>SKELLEFTEÅ</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8203-2022</t>
        </is>
      </c>
      <c r="B1234" s="1" t="n">
        <v>44609</v>
      </c>
      <c r="C1234" s="1" t="n">
        <v>45832</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8456-2022</t>
        </is>
      </c>
      <c r="B1235" s="1" t="n">
        <v>44612</v>
      </c>
      <c r="C1235" s="1" t="n">
        <v>45832</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8436-2022</t>
        </is>
      </c>
      <c r="B1236" s="1" t="n">
        <v>44612</v>
      </c>
      <c r="C1236" s="1" t="n">
        <v>45832</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8600-2022</t>
        </is>
      </c>
      <c r="B1237" s="1" t="n">
        <v>44613</v>
      </c>
      <c r="C1237" s="1" t="n">
        <v>45832</v>
      </c>
      <c r="D1237" t="inlineStr">
        <is>
          <t>VÄSTERBOTTENS LÄN</t>
        </is>
      </c>
      <c r="E1237" t="inlineStr">
        <is>
          <t>SKELLEFTEÅ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8603-2022</t>
        </is>
      </c>
      <c r="B1238" s="1" t="n">
        <v>44613</v>
      </c>
      <c r="C1238" s="1" t="n">
        <v>45832</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8598-2022</t>
        </is>
      </c>
      <c r="B1239" s="1" t="n">
        <v>44613</v>
      </c>
      <c r="C1239" s="1" t="n">
        <v>45832</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8595-2022</t>
        </is>
      </c>
      <c r="B1240" s="1" t="n">
        <v>44613</v>
      </c>
      <c r="C1240" s="1" t="n">
        <v>45832</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8539-2022</t>
        </is>
      </c>
      <c r="B1241" s="1" t="n">
        <v>44613</v>
      </c>
      <c r="C1241" s="1" t="n">
        <v>45832</v>
      </c>
      <c r="D1241" t="inlineStr">
        <is>
          <t>VÄSTERBOTTENS LÄN</t>
        </is>
      </c>
      <c r="E1241" t="inlineStr">
        <is>
          <t>SKELLEFTEÅ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9053-2022</t>
        </is>
      </c>
      <c r="B1242" s="1" t="n">
        <v>44615</v>
      </c>
      <c r="C1242" s="1" t="n">
        <v>45832</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9500-2022</t>
        </is>
      </c>
      <c r="B1243" s="1" t="n">
        <v>44616</v>
      </c>
      <c r="C1243" s="1" t="n">
        <v>45832</v>
      </c>
      <c r="D1243" t="inlineStr">
        <is>
          <t>VÄSTERBOTTENS LÄN</t>
        </is>
      </c>
      <c r="E1243" t="inlineStr">
        <is>
          <t>SKELLEFTEÅ</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9579-2022</t>
        </is>
      </c>
      <c r="B1244" s="1" t="n">
        <v>44617</v>
      </c>
      <c r="C1244" s="1" t="n">
        <v>45832</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9925-2022</t>
        </is>
      </c>
      <c r="B1245" s="1" t="n">
        <v>44620</v>
      </c>
      <c r="C1245" s="1" t="n">
        <v>45832</v>
      </c>
      <c r="D1245" t="inlineStr">
        <is>
          <t>VÄSTERBOTTENS LÄN</t>
        </is>
      </c>
      <c r="E1245" t="inlineStr">
        <is>
          <t>SKELLEFTEÅ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9950-2022</t>
        </is>
      </c>
      <c r="B1246" s="1" t="n">
        <v>44620</v>
      </c>
      <c r="C1246" s="1" t="n">
        <v>45832</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10132-2022</t>
        </is>
      </c>
      <c r="B1247" s="1" t="n">
        <v>44621</v>
      </c>
      <c r="C1247" s="1" t="n">
        <v>45832</v>
      </c>
      <c r="D1247" t="inlineStr">
        <is>
          <t>VÄSTERBOTTENS LÄN</t>
        </is>
      </c>
      <c r="E1247" t="inlineStr">
        <is>
          <t>SKELLEFTEÅ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10578-2022</t>
        </is>
      </c>
      <c r="B1248" s="1" t="n">
        <v>44624</v>
      </c>
      <c r="C1248" s="1" t="n">
        <v>45832</v>
      </c>
      <c r="D1248" t="inlineStr">
        <is>
          <t>VÄSTERBOTTENS LÄN</t>
        </is>
      </c>
      <c r="E1248" t="inlineStr">
        <is>
          <t>SKELLEFTEÅ</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10568-2022</t>
        </is>
      </c>
      <c r="B1249" s="1" t="n">
        <v>44624</v>
      </c>
      <c r="C1249" s="1" t="n">
        <v>45832</v>
      </c>
      <c r="D1249" t="inlineStr">
        <is>
          <t>VÄSTERBOTTENS LÄN</t>
        </is>
      </c>
      <c r="E1249" t="inlineStr">
        <is>
          <t>SKELLEFTEÅ</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10723-2022</t>
        </is>
      </c>
      <c r="B1250" s="1" t="n">
        <v>44624</v>
      </c>
      <c r="C1250" s="1" t="n">
        <v>45832</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11226-2022</t>
        </is>
      </c>
      <c r="B1251" s="1" t="n">
        <v>44624</v>
      </c>
      <c r="C1251" s="1" t="n">
        <v>45832</v>
      </c>
      <c r="D1251" t="inlineStr">
        <is>
          <t>VÄSTERBOTTENS LÄN</t>
        </is>
      </c>
      <c r="E1251" t="inlineStr">
        <is>
          <t>SKELLEFTEÅ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11260-2022</t>
        </is>
      </c>
      <c r="B1252" s="1" t="n">
        <v>44629</v>
      </c>
      <c r="C1252" s="1" t="n">
        <v>45832</v>
      </c>
      <c r="D1252" t="inlineStr">
        <is>
          <t>VÄSTERBOTTENS LÄN</t>
        </is>
      </c>
      <c r="E1252" t="inlineStr">
        <is>
          <t>SKELLEFTEÅ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v>
      </c>
      <c r="C1253" s="1" t="n">
        <v>45832</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11685-2022</t>
        </is>
      </c>
      <c r="B1254" s="1" t="n">
        <v>44634</v>
      </c>
      <c r="C1254" s="1" t="n">
        <v>45832</v>
      </c>
      <c r="D1254" t="inlineStr">
        <is>
          <t>VÄSTERBOTTENS LÄN</t>
        </is>
      </c>
      <c r="E1254" t="inlineStr">
        <is>
          <t>SKELLEFTEÅ</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11790-2022</t>
        </is>
      </c>
      <c r="B1255" s="1" t="n">
        <v>44634</v>
      </c>
      <c r="C1255" s="1" t="n">
        <v>45832</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11879-2022</t>
        </is>
      </c>
      <c r="B1256" s="1" t="n">
        <v>44635</v>
      </c>
      <c r="C1256" s="1" t="n">
        <v>45832</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12009-2022</t>
        </is>
      </c>
      <c r="B1257" s="1" t="n">
        <v>44635</v>
      </c>
      <c r="C1257" s="1" t="n">
        <v>45832</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12326-2022</t>
        </is>
      </c>
      <c r="B1258" s="1" t="n">
        <v>44637</v>
      </c>
      <c r="C1258" s="1" t="n">
        <v>45832</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12512-2022</t>
        </is>
      </c>
      <c r="B1259" s="1" t="n">
        <v>44638</v>
      </c>
      <c r="C1259" s="1" t="n">
        <v>45832</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12518-2022</t>
        </is>
      </c>
      <c r="B1260" s="1" t="n">
        <v>44638</v>
      </c>
      <c r="C1260" s="1" t="n">
        <v>45832</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12529-2022</t>
        </is>
      </c>
      <c r="B1261" s="1" t="n">
        <v>44638</v>
      </c>
      <c r="C1261" s="1" t="n">
        <v>45832</v>
      </c>
      <c r="D1261" t="inlineStr">
        <is>
          <t>VÄSTERBOTTENS LÄN</t>
        </is>
      </c>
      <c r="E1261" t="inlineStr">
        <is>
          <t>SKELLEFTEÅ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12516-2022</t>
        </is>
      </c>
      <c r="B1262" s="1" t="n">
        <v>44638</v>
      </c>
      <c r="C1262" s="1" t="n">
        <v>45832</v>
      </c>
      <c r="D1262" t="inlineStr">
        <is>
          <t>VÄSTERBOTTENS LÄN</t>
        </is>
      </c>
      <c r="E1262" t="inlineStr">
        <is>
          <t>SKELLEFTEÅ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12511-2022</t>
        </is>
      </c>
      <c r="B1263" s="1" t="n">
        <v>44638</v>
      </c>
      <c r="C1263" s="1" t="n">
        <v>45832</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12509-2022</t>
        </is>
      </c>
      <c r="B1264" s="1" t="n">
        <v>44638</v>
      </c>
      <c r="C1264" s="1" t="n">
        <v>45832</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12715-2022</t>
        </is>
      </c>
      <c r="B1265" s="1" t="n">
        <v>44641</v>
      </c>
      <c r="C1265" s="1" t="n">
        <v>45832</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13131-2022</t>
        </is>
      </c>
      <c r="B1266" s="1" t="n">
        <v>44644</v>
      </c>
      <c r="C1266" s="1" t="n">
        <v>45832</v>
      </c>
      <c r="D1266" t="inlineStr">
        <is>
          <t>VÄSTERBOTTENS LÄN</t>
        </is>
      </c>
      <c r="E1266" t="inlineStr">
        <is>
          <t>SKELLEFTEÅ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13430-2022</t>
        </is>
      </c>
      <c r="B1267" s="1" t="n">
        <v>44645</v>
      </c>
      <c r="C1267" s="1" t="n">
        <v>45832</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13391-2022</t>
        </is>
      </c>
      <c r="B1268" s="1" t="n">
        <v>44645</v>
      </c>
      <c r="C1268" s="1" t="n">
        <v>45832</v>
      </c>
      <c r="D1268" t="inlineStr">
        <is>
          <t>VÄSTERBOTTENS LÄN</t>
        </is>
      </c>
      <c r="E1268" t="inlineStr">
        <is>
          <t>SKELLEFTEÅ</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13530-2022</t>
        </is>
      </c>
      <c r="B1269" s="1" t="n">
        <v>44648</v>
      </c>
      <c r="C1269" s="1" t="n">
        <v>45832</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13693-2022</t>
        </is>
      </c>
      <c r="B1270" s="1" t="n">
        <v>44648</v>
      </c>
      <c r="C1270" s="1" t="n">
        <v>45832</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14088-2022</t>
        </is>
      </c>
      <c r="B1271" s="1" t="n">
        <v>44650</v>
      </c>
      <c r="C1271" s="1" t="n">
        <v>45832</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14096-2022</t>
        </is>
      </c>
      <c r="B1272" s="1" t="n">
        <v>44651</v>
      </c>
      <c r="C1272" s="1" t="n">
        <v>45832</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14627-2022</t>
        </is>
      </c>
      <c r="B1273" s="1" t="n">
        <v>44655</v>
      </c>
      <c r="C1273" s="1" t="n">
        <v>45832</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14759-2022</t>
        </is>
      </c>
      <c r="B1274" s="1" t="n">
        <v>44656</v>
      </c>
      <c r="C1274" s="1" t="n">
        <v>45832</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14756-2022</t>
        </is>
      </c>
      <c r="B1275" s="1" t="n">
        <v>44656</v>
      </c>
      <c r="C1275" s="1" t="n">
        <v>45832</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14952-2022</t>
        </is>
      </c>
      <c r="B1276" s="1" t="n">
        <v>44657</v>
      </c>
      <c r="C1276" s="1" t="n">
        <v>45832</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15441-2022</t>
        </is>
      </c>
      <c r="B1277" s="1" t="n">
        <v>44659</v>
      </c>
      <c r="C1277" s="1" t="n">
        <v>45832</v>
      </c>
      <c r="D1277" t="inlineStr">
        <is>
          <t>VÄSTERBOTTENS LÄN</t>
        </is>
      </c>
      <c r="E1277" t="inlineStr">
        <is>
          <t>SKELLEFTEÅ</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15740-2022</t>
        </is>
      </c>
      <c r="B1278" s="1" t="n">
        <v>44663</v>
      </c>
      <c r="C1278" s="1" t="n">
        <v>45832</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16139-2022</t>
        </is>
      </c>
      <c r="B1279" s="1" t="n">
        <v>44665</v>
      </c>
      <c r="C1279" s="1" t="n">
        <v>45832</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16198-2022</t>
        </is>
      </c>
      <c r="B1280" s="1" t="n">
        <v>44665</v>
      </c>
      <c r="C1280" s="1" t="n">
        <v>45832</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16653-2022</t>
        </is>
      </c>
      <c r="B1281" s="1" t="n">
        <v>44672</v>
      </c>
      <c r="C1281" s="1" t="n">
        <v>45832</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16802-2022</t>
        </is>
      </c>
      <c r="B1282" s="1" t="n">
        <v>44673</v>
      </c>
      <c r="C1282" s="1" t="n">
        <v>45832</v>
      </c>
      <c r="D1282" t="inlineStr">
        <is>
          <t>VÄSTERBOTTENS LÄN</t>
        </is>
      </c>
      <c r="E1282" t="inlineStr">
        <is>
          <t>SKELLEFTEÅ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16837-2022</t>
        </is>
      </c>
      <c r="B1283" s="1" t="n">
        <v>44674</v>
      </c>
      <c r="C1283" s="1" t="n">
        <v>45832</v>
      </c>
      <c r="D1283" t="inlineStr">
        <is>
          <t>VÄSTERBOTTENS LÄN</t>
        </is>
      </c>
      <c r="E1283" t="inlineStr">
        <is>
          <t>SKELLEFTEÅ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16750-2022</t>
        </is>
      </c>
      <c r="B1284" s="1" t="n">
        <v>44673</v>
      </c>
      <c r="C1284" s="1" t="n">
        <v>45832</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16842-2022</t>
        </is>
      </c>
      <c r="B1285" s="1" t="n">
        <v>44674</v>
      </c>
      <c r="C1285" s="1" t="n">
        <v>45832</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17197-2022</t>
        </is>
      </c>
      <c r="B1286" s="1" t="n">
        <v>44677</v>
      </c>
      <c r="C1286" s="1" t="n">
        <v>45832</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17257-2022</t>
        </is>
      </c>
      <c r="B1287" s="1" t="n">
        <v>44678</v>
      </c>
      <c r="C1287" s="1" t="n">
        <v>45832</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17251-2022</t>
        </is>
      </c>
      <c r="B1288" s="1" t="n">
        <v>44678</v>
      </c>
      <c r="C1288" s="1" t="n">
        <v>45832</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18056-2022</t>
        </is>
      </c>
      <c r="B1289" s="1" t="n">
        <v>44684</v>
      </c>
      <c r="C1289" s="1" t="n">
        <v>45832</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18070-2022</t>
        </is>
      </c>
      <c r="B1290" s="1" t="n">
        <v>44684</v>
      </c>
      <c r="C1290" s="1" t="n">
        <v>45832</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18046-2022</t>
        </is>
      </c>
      <c r="B1291" s="1" t="n">
        <v>44684</v>
      </c>
      <c r="C1291" s="1" t="n">
        <v>45832</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18081-2022</t>
        </is>
      </c>
      <c r="B1292" s="1" t="n">
        <v>44684</v>
      </c>
      <c r="C1292" s="1" t="n">
        <v>45832</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18255-2022</t>
        </is>
      </c>
      <c r="B1293" s="1" t="n">
        <v>44685</v>
      </c>
      <c r="C1293" s="1" t="n">
        <v>45832</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45832</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18661-2022</t>
        </is>
      </c>
      <c r="B1295" s="1" t="n">
        <v>44687</v>
      </c>
      <c r="C1295" s="1" t="n">
        <v>45832</v>
      </c>
      <c r="D1295" t="inlineStr">
        <is>
          <t>VÄSTERBOTTENS LÄN</t>
        </is>
      </c>
      <c r="E1295" t="inlineStr">
        <is>
          <t>SKELLEFTEÅ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19804-2022</t>
        </is>
      </c>
      <c r="B1296" s="1" t="n">
        <v>44694</v>
      </c>
      <c r="C1296" s="1" t="n">
        <v>45832</v>
      </c>
      <c r="D1296" t="inlineStr">
        <is>
          <t>VÄSTERBOTTENS LÄN</t>
        </is>
      </c>
      <c r="E1296" t="inlineStr">
        <is>
          <t>SKELLEFTEÅ</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19805-2022</t>
        </is>
      </c>
      <c r="B1297" s="1" t="n">
        <v>44694</v>
      </c>
      <c r="C1297" s="1" t="n">
        <v>45832</v>
      </c>
      <c r="D1297" t="inlineStr">
        <is>
          <t>VÄSTERBOTTENS LÄN</t>
        </is>
      </c>
      <c r="E1297" t="inlineStr">
        <is>
          <t>SKELLEFTEÅ</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19870-2022</t>
        </is>
      </c>
      <c r="B1298" s="1" t="n">
        <v>44694</v>
      </c>
      <c r="C1298" s="1" t="n">
        <v>45832</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20515-2022</t>
        </is>
      </c>
      <c r="B1299" s="1" t="n">
        <v>44699</v>
      </c>
      <c r="C1299" s="1" t="n">
        <v>45832</v>
      </c>
      <c r="D1299" t="inlineStr">
        <is>
          <t>VÄSTERBOTTENS LÄN</t>
        </is>
      </c>
      <c r="E1299" t="inlineStr">
        <is>
          <t>SKELLEFTEÅ</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20638-2022</t>
        </is>
      </c>
      <c r="B1300" s="1" t="n">
        <v>44700</v>
      </c>
      <c r="C1300" s="1" t="n">
        <v>45832</v>
      </c>
      <c r="D1300" t="inlineStr">
        <is>
          <t>VÄSTERBOTTENS LÄN</t>
        </is>
      </c>
      <c r="E1300" t="inlineStr">
        <is>
          <t>SKELLEFTEÅ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20654-2022</t>
        </is>
      </c>
      <c r="B1301" s="1" t="n">
        <v>44700</v>
      </c>
      <c r="C1301" s="1" t="n">
        <v>45832</v>
      </c>
      <c r="D1301" t="inlineStr">
        <is>
          <t>VÄSTERBOTTENS LÄN</t>
        </is>
      </c>
      <c r="E1301" t="inlineStr">
        <is>
          <t>SKELLEFTEÅ</t>
        </is>
      </c>
      <c r="F1301" t="inlineStr">
        <is>
          <t>Holmen skog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20610-2022</t>
        </is>
      </c>
      <c r="B1302" s="1" t="n">
        <v>44700</v>
      </c>
      <c r="C1302" s="1" t="n">
        <v>45832</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21035-2022</t>
        </is>
      </c>
      <c r="B1303" s="1" t="n">
        <v>44704</v>
      </c>
      <c r="C1303" s="1" t="n">
        <v>45832</v>
      </c>
      <c r="D1303" t="inlineStr">
        <is>
          <t>VÄSTERBOTTENS LÄN</t>
        </is>
      </c>
      <c r="E1303" t="inlineStr">
        <is>
          <t>SKELLEFTEÅ</t>
        </is>
      </c>
      <c r="G1303" t="n">
        <v>26.9</v>
      </c>
      <c r="H1303" t="n">
        <v>0</v>
      </c>
      <c r="I1303" t="n">
        <v>0</v>
      </c>
      <c r="J1303" t="n">
        <v>0</v>
      </c>
      <c r="K1303" t="n">
        <v>0</v>
      </c>
      <c r="L1303" t="n">
        <v>0</v>
      </c>
      <c r="M1303" t="n">
        <v>0</v>
      </c>
      <c r="N1303" t="n">
        <v>0</v>
      </c>
      <c r="O1303" t="n">
        <v>0</v>
      </c>
      <c r="P1303" t="n">
        <v>0</v>
      </c>
      <c r="Q1303" t="n">
        <v>0</v>
      </c>
      <c r="R1303" s="2" t="inlineStr"/>
    </row>
    <row r="1304" ht="15" customHeight="1">
      <c r="A1304" t="inlineStr">
        <is>
          <t>A 21136-2022</t>
        </is>
      </c>
      <c r="B1304" s="1" t="n">
        <v>44704</v>
      </c>
      <c r="C1304" s="1" t="n">
        <v>45832</v>
      </c>
      <c r="D1304" t="inlineStr">
        <is>
          <t>VÄSTERBOTTENS LÄN</t>
        </is>
      </c>
      <c r="E1304" t="inlineStr">
        <is>
          <t>SKELLEFTEÅ</t>
        </is>
      </c>
      <c r="F1304" t="inlineStr">
        <is>
          <t>Holmen skog AB</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21395-2022</t>
        </is>
      </c>
      <c r="B1305" s="1" t="n">
        <v>44706</v>
      </c>
      <c r="C1305" s="1" t="n">
        <v>45832</v>
      </c>
      <c r="D1305" t="inlineStr">
        <is>
          <t>VÄSTERBOTTENS LÄN</t>
        </is>
      </c>
      <c r="E1305" t="inlineStr">
        <is>
          <t>SKELLEFTEÅ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21539-2022</t>
        </is>
      </c>
      <c r="B1306" s="1" t="n">
        <v>44706</v>
      </c>
      <c r="C1306" s="1" t="n">
        <v>45832</v>
      </c>
      <c r="D1306" t="inlineStr">
        <is>
          <t>VÄSTERBOTTENS LÄN</t>
        </is>
      </c>
      <c r="E1306" t="inlineStr">
        <is>
          <t>SKELLEFTEÅ</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21843-2022</t>
        </is>
      </c>
      <c r="B1307" s="1" t="n">
        <v>44711</v>
      </c>
      <c r="C1307" s="1" t="n">
        <v>45832</v>
      </c>
      <c r="D1307" t="inlineStr">
        <is>
          <t>VÄSTERBOTTENS LÄN</t>
        </is>
      </c>
      <c r="E1307" t="inlineStr">
        <is>
          <t>SKELLEFTEÅ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21882-2022</t>
        </is>
      </c>
      <c r="B1308" s="1" t="n">
        <v>44711</v>
      </c>
      <c r="C1308" s="1" t="n">
        <v>45832</v>
      </c>
      <c r="D1308" t="inlineStr">
        <is>
          <t>VÄSTERBOTTENS LÄN</t>
        </is>
      </c>
      <c r="E1308" t="inlineStr">
        <is>
          <t>SKELLEFTEÅ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21883-2022</t>
        </is>
      </c>
      <c r="B1309" s="1" t="n">
        <v>44711</v>
      </c>
      <c r="C1309" s="1" t="n">
        <v>45832</v>
      </c>
      <c r="D1309" t="inlineStr">
        <is>
          <t>VÄSTERBOTTENS LÄN</t>
        </is>
      </c>
      <c r="E1309" t="inlineStr">
        <is>
          <t>SKELLEFTEÅ</t>
        </is>
      </c>
      <c r="F1309" t="inlineStr">
        <is>
          <t>Holmen skog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21842-2022</t>
        </is>
      </c>
      <c r="B1310" s="1" t="n">
        <v>44711</v>
      </c>
      <c r="C1310" s="1" t="n">
        <v>45832</v>
      </c>
      <c r="D1310" t="inlineStr">
        <is>
          <t>VÄSTERBOTTENS LÄN</t>
        </is>
      </c>
      <c r="E1310" t="inlineStr">
        <is>
          <t>SKELLEFTEÅ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21996-2022</t>
        </is>
      </c>
      <c r="B1311" s="1" t="n">
        <v>44711</v>
      </c>
      <c r="C1311" s="1" t="n">
        <v>45832</v>
      </c>
      <c r="D1311" t="inlineStr">
        <is>
          <t>VÄSTERBOTTENS LÄN</t>
        </is>
      </c>
      <c r="E1311" t="inlineStr">
        <is>
          <t>SKELLEFTEÅ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22373-2022</t>
        </is>
      </c>
      <c r="B1312" s="1" t="n">
        <v>44713</v>
      </c>
      <c r="C1312" s="1" t="n">
        <v>45832</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22364-2022</t>
        </is>
      </c>
      <c r="B1313" s="1" t="n">
        <v>44713</v>
      </c>
      <c r="C1313" s="1" t="n">
        <v>45832</v>
      </c>
      <c r="D1313" t="inlineStr">
        <is>
          <t>VÄSTERBOTTENS LÄN</t>
        </is>
      </c>
      <c r="E1313" t="inlineStr">
        <is>
          <t>SKELLEFTEÅ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22661-2022</t>
        </is>
      </c>
      <c r="B1314" s="1" t="n">
        <v>44714</v>
      </c>
      <c r="C1314" s="1" t="n">
        <v>45832</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22618-2022</t>
        </is>
      </c>
      <c r="B1315" s="1" t="n">
        <v>44714</v>
      </c>
      <c r="C1315" s="1" t="n">
        <v>45832</v>
      </c>
      <c r="D1315" t="inlineStr">
        <is>
          <t>VÄSTERBOTTENS LÄN</t>
        </is>
      </c>
      <c r="E1315" t="inlineStr">
        <is>
          <t>SKELLEFTEÅ</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22758-2022</t>
        </is>
      </c>
      <c r="B1316" s="1" t="n">
        <v>44714</v>
      </c>
      <c r="C1316" s="1" t="n">
        <v>45832</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22760-2022</t>
        </is>
      </c>
      <c r="B1317" s="1" t="n">
        <v>44714</v>
      </c>
      <c r="C1317" s="1" t="n">
        <v>45832</v>
      </c>
      <c r="D1317" t="inlineStr">
        <is>
          <t>VÄSTERBOTTENS LÄN</t>
        </is>
      </c>
      <c r="E1317" t="inlineStr">
        <is>
          <t>SKELLEFTEÅ</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22822-2022</t>
        </is>
      </c>
      <c r="B1318" s="1" t="n">
        <v>44714</v>
      </c>
      <c r="C1318" s="1" t="n">
        <v>45832</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22763-2022</t>
        </is>
      </c>
      <c r="B1319" s="1" t="n">
        <v>44715</v>
      </c>
      <c r="C1319" s="1" t="n">
        <v>45832</v>
      </c>
      <c r="D1319" t="inlineStr">
        <is>
          <t>VÄSTERBOTTENS LÄN</t>
        </is>
      </c>
      <c r="E1319" t="inlineStr">
        <is>
          <t>SKELLEFTEÅ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22828-2022</t>
        </is>
      </c>
      <c r="B1320" s="1" t="n">
        <v>44714</v>
      </c>
      <c r="C1320" s="1" t="n">
        <v>45832</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22896-2022</t>
        </is>
      </c>
      <c r="B1321" s="1" t="n">
        <v>44715</v>
      </c>
      <c r="C1321" s="1" t="n">
        <v>45832</v>
      </c>
      <c r="D1321" t="inlineStr">
        <is>
          <t>VÄSTERBOTTENS LÄN</t>
        </is>
      </c>
      <c r="E1321" t="inlineStr">
        <is>
          <t>SKELLEFTEÅ</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23042-2022</t>
        </is>
      </c>
      <c r="B1322" s="1" t="n">
        <v>44719</v>
      </c>
      <c r="C1322" s="1" t="n">
        <v>45832</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23046-2022</t>
        </is>
      </c>
      <c r="B1323" s="1" t="n">
        <v>44719</v>
      </c>
      <c r="C1323" s="1" t="n">
        <v>45832</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23513-2022</t>
        </is>
      </c>
      <c r="B1324" s="1" t="n">
        <v>44721</v>
      </c>
      <c r="C1324" s="1" t="n">
        <v>45832</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23715-2022</t>
        </is>
      </c>
      <c r="B1325" s="1" t="n">
        <v>44721</v>
      </c>
      <c r="C1325" s="1" t="n">
        <v>45832</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23729-2022</t>
        </is>
      </c>
      <c r="B1326" s="1" t="n">
        <v>44722</v>
      </c>
      <c r="C1326" s="1" t="n">
        <v>45832</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24238-2022</t>
        </is>
      </c>
      <c r="B1327" s="1" t="n">
        <v>44725</v>
      </c>
      <c r="C1327" s="1" t="n">
        <v>45832</v>
      </c>
      <c r="D1327" t="inlineStr">
        <is>
          <t>VÄSTERBOTTENS LÄN</t>
        </is>
      </c>
      <c r="E1327" t="inlineStr">
        <is>
          <t>SKELLEFTEÅ</t>
        </is>
      </c>
      <c r="F1327" t="inlineStr">
        <is>
          <t>Övriga Aktiebolag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24323-2022</t>
        </is>
      </c>
      <c r="B1328" s="1" t="n">
        <v>44725</v>
      </c>
      <c r="C1328" s="1" t="n">
        <v>45832</v>
      </c>
      <c r="D1328" t="inlineStr">
        <is>
          <t>VÄSTERBOTTENS LÄN</t>
        </is>
      </c>
      <c r="E1328" t="inlineStr">
        <is>
          <t>SKELLEFTEÅ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24242-2022</t>
        </is>
      </c>
      <c r="B1329" s="1" t="n">
        <v>44725</v>
      </c>
      <c r="C1329" s="1" t="n">
        <v>45832</v>
      </c>
      <c r="D1329" t="inlineStr">
        <is>
          <t>VÄSTERBOTTENS LÄN</t>
        </is>
      </c>
      <c r="E1329" t="inlineStr">
        <is>
          <t>SKELLEFTEÅ</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24505-2022</t>
        </is>
      </c>
      <c r="B1330" s="1" t="n">
        <v>44727</v>
      </c>
      <c r="C1330" s="1" t="n">
        <v>45832</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24577-2022</t>
        </is>
      </c>
      <c r="B1331" s="1" t="n">
        <v>44727</v>
      </c>
      <c r="C1331" s="1" t="n">
        <v>45832</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24583-2022</t>
        </is>
      </c>
      <c r="B1332" s="1" t="n">
        <v>44727</v>
      </c>
      <c r="C1332" s="1" t="n">
        <v>45832</v>
      </c>
      <c r="D1332" t="inlineStr">
        <is>
          <t>VÄSTERBOTTENS LÄN</t>
        </is>
      </c>
      <c r="E1332" t="inlineStr">
        <is>
          <t>SKELLEFTEÅ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24663-2022</t>
        </is>
      </c>
      <c r="B1333" s="1" t="n">
        <v>44728</v>
      </c>
      <c r="C1333" s="1" t="n">
        <v>45832</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24832-2022</t>
        </is>
      </c>
      <c r="B1334" s="1" t="n">
        <v>44728</v>
      </c>
      <c r="C1334" s="1" t="n">
        <v>45832</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24899-2022</t>
        </is>
      </c>
      <c r="B1335" s="1" t="n">
        <v>44728</v>
      </c>
      <c r="C1335" s="1" t="n">
        <v>45832</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24941-2022</t>
        </is>
      </c>
      <c r="B1336" s="1" t="n">
        <v>44728</v>
      </c>
      <c r="C1336" s="1" t="n">
        <v>45832</v>
      </c>
      <c r="D1336" t="inlineStr">
        <is>
          <t>VÄSTERBOTTENS LÄN</t>
        </is>
      </c>
      <c r="E1336" t="inlineStr">
        <is>
          <t>SKELLEFTEÅ</t>
        </is>
      </c>
      <c r="F1336" t="inlineStr">
        <is>
          <t>Holmen skog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25009-2022</t>
        </is>
      </c>
      <c r="B1337" s="1" t="n">
        <v>44729</v>
      </c>
      <c r="C1337" s="1" t="n">
        <v>45832</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25182-2022</t>
        </is>
      </c>
      <c r="B1338" s="1" t="n">
        <v>44729</v>
      </c>
      <c r="C1338" s="1" t="n">
        <v>45832</v>
      </c>
      <c r="D1338" t="inlineStr">
        <is>
          <t>VÄSTERBOTTENS LÄN</t>
        </is>
      </c>
      <c r="E1338" t="inlineStr">
        <is>
          <t>SKELLEFTEÅ</t>
        </is>
      </c>
      <c r="F1338" t="inlineStr">
        <is>
          <t>Holmen skog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25207-2022</t>
        </is>
      </c>
      <c r="B1339" s="1" t="n">
        <v>44729</v>
      </c>
      <c r="C1339" s="1" t="n">
        <v>45832</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25336-2022</t>
        </is>
      </c>
      <c r="B1340" s="1" t="n">
        <v>44732</v>
      </c>
      <c r="C1340" s="1" t="n">
        <v>45832</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25404-2022</t>
        </is>
      </c>
      <c r="B1341" s="1" t="n">
        <v>44732</v>
      </c>
      <c r="C1341" s="1" t="n">
        <v>45832</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25568-2022</t>
        </is>
      </c>
      <c r="B1342" s="1" t="n">
        <v>44732</v>
      </c>
      <c r="C1342" s="1" t="n">
        <v>45832</v>
      </c>
      <c r="D1342" t="inlineStr">
        <is>
          <t>VÄSTERBOTTENS LÄN</t>
        </is>
      </c>
      <c r="E1342" t="inlineStr">
        <is>
          <t>SKELLEFTEÅ</t>
        </is>
      </c>
      <c r="F1342" t="inlineStr">
        <is>
          <t>Holmen skog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25596-2022</t>
        </is>
      </c>
      <c r="B1343" s="1" t="n">
        <v>44732</v>
      </c>
      <c r="C1343" s="1" t="n">
        <v>45832</v>
      </c>
      <c r="D1343" t="inlineStr">
        <is>
          <t>VÄSTERBOTTENS LÄN</t>
        </is>
      </c>
      <c r="E1343" t="inlineStr">
        <is>
          <t>SKELLEFTEÅ</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25674-2022</t>
        </is>
      </c>
      <c r="B1344" s="1" t="n">
        <v>44732</v>
      </c>
      <c r="C1344" s="1" t="n">
        <v>45832</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26031-2022</t>
        </is>
      </c>
      <c r="B1345" s="1" t="n">
        <v>44734</v>
      </c>
      <c r="C1345" s="1" t="n">
        <v>45832</v>
      </c>
      <c r="D1345" t="inlineStr">
        <is>
          <t>VÄSTERBOTTENS LÄN</t>
        </is>
      </c>
      <c r="E1345" t="inlineStr">
        <is>
          <t>SKELLEFTEÅ</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26203-2022</t>
        </is>
      </c>
      <c r="B1346" s="1" t="n">
        <v>44735</v>
      </c>
      <c r="C1346" s="1" t="n">
        <v>45832</v>
      </c>
      <c r="D1346" t="inlineStr">
        <is>
          <t>VÄSTERBOTTENS LÄN</t>
        </is>
      </c>
      <c r="E1346" t="inlineStr">
        <is>
          <t>SKELLEFTEÅ</t>
        </is>
      </c>
      <c r="F1346" t="inlineStr">
        <is>
          <t>Kommuner</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26166-2022</t>
        </is>
      </c>
      <c r="B1347" s="1" t="n">
        <v>44735</v>
      </c>
      <c r="C1347" s="1" t="n">
        <v>45832</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26545-2022</t>
        </is>
      </c>
      <c r="B1348" s="1" t="n">
        <v>44739</v>
      </c>
      <c r="C1348" s="1" t="n">
        <v>45832</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26483-2022</t>
        </is>
      </c>
      <c r="B1349" s="1" t="n">
        <v>44739</v>
      </c>
      <c r="C1349" s="1" t="n">
        <v>45832</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26798-2022</t>
        </is>
      </c>
      <c r="B1350" s="1" t="n">
        <v>44740</v>
      </c>
      <c r="C1350" s="1" t="n">
        <v>45832</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26807-2022</t>
        </is>
      </c>
      <c r="B1351" s="1" t="n">
        <v>44740</v>
      </c>
      <c r="C1351" s="1" t="n">
        <v>45832</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26803-2022</t>
        </is>
      </c>
      <c r="B1352" s="1" t="n">
        <v>44740</v>
      </c>
      <c r="C1352" s="1" t="n">
        <v>45832</v>
      </c>
      <c r="D1352" t="inlineStr">
        <is>
          <t>VÄSTERBOTTENS LÄN</t>
        </is>
      </c>
      <c r="E1352" t="inlineStr">
        <is>
          <t>SKELLEFTEÅ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26881-2022</t>
        </is>
      </c>
      <c r="B1353" s="1" t="n">
        <v>44740</v>
      </c>
      <c r="C1353" s="1" t="n">
        <v>45832</v>
      </c>
      <c r="D1353" t="inlineStr">
        <is>
          <t>VÄSTERBOTTENS LÄN</t>
        </is>
      </c>
      <c r="E1353" t="inlineStr">
        <is>
          <t>SKELLEFTEÅ</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26999-2022</t>
        </is>
      </c>
      <c r="B1354" s="1" t="n">
        <v>44740</v>
      </c>
      <c r="C1354" s="1" t="n">
        <v>45832</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27003-2022</t>
        </is>
      </c>
      <c r="B1355" s="1" t="n">
        <v>44741</v>
      </c>
      <c r="C1355" s="1" t="n">
        <v>45832</v>
      </c>
      <c r="D1355" t="inlineStr">
        <is>
          <t>VÄSTERBOTTENS LÄN</t>
        </is>
      </c>
      <c r="E1355" t="inlineStr">
        <is>
          <t>SKELLEFTEÅ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27028-2022</t>
        </is>
      </c>
      <c r="B1356" s="1" t="n">
        <v>44740</v>
      </c>
      <c r="C1356" s="1" t="n">
        <v>45832</v>
      </c>
      <c r="D1356" t="inlineStr">
        <is>
          <t>VÄSTERBOTTENS LÄN</t>
        </is>
      </c>
      <c r="E1356" t="inlineStr">
        <is>
          <t>SKELLEFTEÅ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27002-2022</t>
        </is>
      </c>
      <c r="B1357" s="1" t="n">
        <v>44740</v>
      </c>
      <c r="C1357" s="1" t="n">
        <v>45832</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v>
      </c>
      <c r="C1358" s="1" t="n">
        <v>45832</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27555-2022</t>
        </is>
      </c>
      <c r="B1359" s="1" t="n">
        <v>44743</v>
      </c>
      <c r="C1359" s="1" t="n">
        <v>45832</v>
      </c>
      <c r="D1359" t="inlineStr">
        <is>
          <t>VÄSTERBOTTENS LÄN</t>
        </is>
      </c>
      <c r="E1359" t="inlineStr">
        <is>
          <t>SKELLEFTEÅ</t>
        </is>
      </c>
      <c r="F1359" t="inlineStr">
        <is>
          <t>Kommuner</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27560-2022</t>
        </is>
      </c>
      <c r="B1360" s="1" t="n">
        <v>44743</v>
      </c>
      <c r="C1360" s="1" t="n">
        <v>45832</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27817-2022</t>
        </is>
      </c>
      <c r="B1361" s="1" t="n">
        <v>44743</v>
      </c>
      <c r="C1361" s="1" t="n">
        <v>45832</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27637-2022</t>
        </is>
      </c>
      <c r="B1362" s="1" t="n">
        <v>44743</v>
      </c>
      <c r="C1362" s="1" t="n">
        <v>45832</v>
      </c>
      <c r="D1362" t="inlineStr">
        <is>
          <t>VÄSTERBOTTENS LÄN</t>
        </is>
      </c>
      <c r="E1362" t="inlineStr">
        <is>
          <t>SKELLEFTEÅ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27672-2022</t>
        </is>
      </c>
      <c r="B1363" s="1" t="n">
        <v>44743</v>
      </c>
      <c r="C1363" s="1" t="n">
        <v>45832</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27631-2022</t>
        </is>
      </c>
      <c r="B1364" s="1" t="n">
        <v>44743</v>
      </c>
      <c r="C1364" s="1" t="n">
        <v>45832</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27636-2022</t>
        </is>
      </c>
      <c r="B1365" s="1" t="n">
        <v>44743</v>
      </c>
      <c r="C1365" s="1" t="n">
        <v>45832</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27907-2022</t>
        </is>
      </c>
      <c r="B1366" s="1" t="n">
        <v>44743</v>
      </c>
      <c r="C1366" s="1" t="n">
        <v>45832</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27901-2022</t>
        </is>
      </c>
      <c r="B1367" s="1" t="n">
        <v>44743</v>
      </c>
      <c r="C1367" s="1" t="n">
        <v>45832</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28352-2022</t>
        </is>
      </c>
      <c r="B1368" s="1" t="n">
        <v>44747</v>
      </c>
      <c r="C1368" s="1" t="n">
        <v>45832</v>
      </c>
      <c r="D1368" t="inlineStr">
        <is>
          <t>VÄSTERBOTTENS LÄN</t>
        </is>
      </c>
      <c r="E1368" t="inlineStr">
        <is>
          <t>SKELLEFTEÅ</t>
        </is>
      </c>
      <c r="F1368" t="inlineStr">
        <is>
          <t>Holmen skog AB</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29085-2022</t>
        </is>
      </c>
      <c r="B1369" s="1" t="n">
        <v>44749</v>
      </c>
      <c r="C1369" s="1" t="n">
        <v>45832</v>
      </c>
      <c r="D1369" t="inlineStr">
        <is>
          <t>VÄSTERBOTTENS LÄN</t>
        </is>
      </c>
      <c r="E1369" t="inlineStr">
        <is>
          <t>SKELLEFTEÅ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29030-2022</t>
        </is>
      </c>
      <c r="B1370" s="1" t="n">
        <v>44749</v>
      </c>
      <c r="C1370" s="1" t="n">
        <v>45832</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29028-2022</t>
        </is>
      </c>
      <c r="B1371" s="1" t="n">
        <v>44749</v>
      </c>
      <c r="C1371" s="1" t="n">
        <v>45832</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29029-2022</t>
        </is>
      </c>
      <c r="B1372" s="1" t="n">
        <v>44749</v>
      </c>
      <c r="C1372" s="1" t="n">
        <v>45832</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29092-2022</t>
        </is>
      </c>
      <c r="B1373" s="1" t="n">
        <v>44750</v>
      </c>
      <c r="C1373" s="1" t="n">
        <v>45832</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29164-2022</t>
        </is>
      </c>
      <c r="B1374" s="1" t="n">
        <v>44750</v>
      </c>
      <c r="C1374" s="1" t="n">
        <v>45832</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29161-2022</t>
        </is>
      </c>
      <c r="B1375" s="1" t="n">
        <v>44750</v>
      </c>
      <c r="C1375" s="1" t="n">
        <v>45832</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29802-2022</t>
        </is>
      </c>
      <c r="B1376" s="1" t="n">
        <v>44755</v>
      </c>
      <c r="C1376" s="1" t="n">
        <v>45832</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30184-2022</t>
        </is>
      </c>
      <c r="B1377" s="1" t="n">
        <v>44757</v>
      </c>
      <c r="C1377" s="1" t="n">
        <v>45832</v>
      </c>
      <c r="D1377" t="inlineStr">
        <is>
          <t>VÄSTERBOTTENS LÄN</t>
        </is>
      </c>
      <c r="E1377" t="inlineStr">
        <is>
          <t>SKELLEFTEÅ</t>
        </is>
      </c>
      <c r="F1377" t="inlineStr">
        <is>
          <t>Holmen skog AB</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30278-2022</t>
        </is>
      </c>
      <c r="B1378" s="1" t="n">
        <v>44759</v>
      </c>
      <c r="C1378" s="1" t="n">
        <v>45832</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30905-2022</t>
        </is>
      </c>
      <c r="B1379" s="1" t="n">
        <v>44767</v>
      </c>
      <c r="C1379" s="1" t="n">
        <v>45832</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31124-2022</t>
        </is>
      </c>
      <c r="B1380" s="1" t="n">
        <v>44770</v>
      </c>
      <c r="C1380" s="1" t="n">
        <v>45832</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31234-2022</t>
        </is>
      </c>
      <c r="B1381" s="1" t="n">
        <v>44771</v>
      </c>
      <c r="C1381" s="1" t="n">
        <v>45832</v>
      </c>
      <c r="D1381" t="inlineStr">
        <is>
          <t>VÄSTERBOTTENS LÄN</t>
        </is>
      </c>
      <c r="E1381" t="inlineStr">
        <is>
          <t>SKELLEFTEÅ</t>
        </is>
      </c>
      <c r="F1381" t="inlineStr">
        <is>
          <t>Holmen skog AB</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44778</v>
      </c>
      <c r="C1382" s="1" t="n">
        <v>45832</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31960-2022</t>
        </is>
      </c>
      <c r="B1383" s="1" t="n">
        <v>44778</v>
      </c>
      <c r="C1383" s="1" t="n">
        <v>45832</v>
      </c>
      <c r="D1383" t="inlineStr">
        <is>
          <t>VÄSTERBOTTENS LÄN</t>
        </is>
      </c>
      <c r="E1383" t="inlineStr">
        <is>
          <t>SKELLEFTEÅ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31954-2022</t>
        </is>
      </c>
      <c r="B1384" s="1" t="n">
        <v>44778</v>
      </c>
      <c r="C1384" s="1" t="n">
        <v>45832</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32173-2022</t>
        </is>
      </c>
      <c r="B1385" s="1" t="n">
        <v>44781</v>
      </c>
      <c r="C1385" s="1" t="n">
        <v>45832</v>
      </c>
      <c r="D1385" t="inlineStr">
        <is>
          <t>VÄSTERBOTTENS LÄN</t>
        </is>
      </c>
      <c r="E1385" t="inlineStr">
        <is>
          <t>SKELLEFTEÅ</t>
        </is>
      </c>
      <c r="F1385" t="inlineStr">
        <is>
          <t>Kommuner</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32244-2022</t>
        </is>
      </c>
      <c r="B1386" s="1" t="n">
        <v>44781</v>
      </c>
      <c r="C1386" s="1" t="n">
        <v>45832</v>
      </c>
      <c r="D1386" t="inlineStr">
        <is>
          <t>VÄSTERBOTTENS LÄN</t>
        </is>
      </c>
      <c r="E1386" t="inlineStr">
        <is>
          <t>SKELLEFTEÅ</t>
        </is>
      </c>
      <c r="F1386" t="inlineStr">
        <is>
          <t>Holmen skog AB</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32279-2022</t>
        </is>
      </c>
      <c r="B1387" s="1" t="n">
        <v>44781</v>
      </c>
      <c r="C1387" s="1" t="n">
        <v>45832</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45832</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32344-2022</t>
        </is>
      </c>
      <c r="B1389" s="1" t="n">
        <v>44781</v>
      </c>
      <c r="C1389" s="1" t="n">
        <v>45832</v>
      </c>
      <c r="D1389" t="inlineStr">
        <is>
          <t>VÄSTERBOTTENS LÄN</t>
        </is>
      </c>
      <c r="E1389" t="inlineStr">
        <is>
          <t>SKELLEFTEÅ</t>
        </is>
      </c>
      <c r="F1389" t="inlineStr">
        <is>
          <t>Sveaskog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32427-2022</t>
        </is>
      </c>
      <c r="B1390" s="1" t="n">
        <v>44782</v>
      </c>
      <c r="C1390" s="1" t="n">
        <v>45832</v>
      </c>
      <c r="D1390" t="inlineStr">
        <is>
          <t>VÄSTERBOTTENS LÄN</t>
        </is>
      </c>
      <c r="E1390" t="inlineStr">
        <is>
          <t>SKELLEFTEÅ</t>
        </is>
      </c>
      <c r="F1390" t="inlineStr">
        <is>
          <t>Kommuner</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45832</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32415-2022</t>
        </is>
      </c>
      <c r="B1392" s="1" t="n">
        <v>44782</v>
      </c>
      <c r="C1392" s="1" t="n">
        <v>45832</v>
      </c>
      <c r="D1392" t="inlineStr">
        <is>
          <t>VÄSTERBOTTENS LÄN</t>
        </is>
      </c>
      <c r="E1392" t="inlineStr">
        <is>
          <t>SKELLEFTEÅ</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32436-2022</t>
        </is>
      </c>
      <c r="B1393" s="1" t="n">
        <v>44782</v>
      </c>
      <c r="C1393" s="1" t="n">
        <v>45832</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32420-2022</t>
        </is>
      </c>
      <c r="B1394" s="1" t="n">
        <v>44782</v>
      </c>
      <c r="C1394" s="1" t="n">
        <v>45832</v>
      </c>
      <c r="D1394" t="inlineStr">
        <is>
          <t>VÄSTERBOTTENS LÄN</t>
        </is>
      </c>
      <c r="E1394" t="inlineStr">
        <is>
          <t>SKELLEFTEÅ</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32448-2022</t>
        </is>
      </c>
      <c r="B1395" s="1" t="n">
        <v>44782</v>
      </c>
      <c r="C1395" s="1" t="n">
        <v>45832</v>
      </c>
      <c r="D1395" t="inlineStr">
        <is>
          <t>VÄSTERBOTTENS LÄN</t>
        </is>
      </c>
      <c r="E1395" t="inlineStr">
        <is>
          <t>SKELLEFTEÅ</t>
        </is>
      </c>
      <c r="F1395" t="inlineStr">
        <is>
          <t>Kommuner</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32560-2022</t>
        </is>
      </c>
      <c r="B1396" s="1" t="n">
        <v>44783</v>
      </c>
      <c r="C1396" s="1" t="n">
        <v>45832</v>
      </c>
      <c r="D1396" t="inlineStr">
        <is>
          <t>VÄSTERBOTTENS LÄN</t>
        </is>
      </c>
      <c r="E1396" t="inlineStr">
        <is>
          <t>SKELLEFTEÅ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32677-2022</t>
        </is>
      </c>
      <c r="B1397" s="1" t="n">
        <v>44783</v>
      </c>
      <c r="C1397" s="1" t="n">
        <v>45832</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32539-2022</t>
        </is>
      </c>
      <c r="B1398" s="1" t="n">
        <v>44783</v>
      </c>
      <c r="C1398" s="1" t="n">
        <v>45832</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32657-2022</t>
        </is>
      </c>
      <c r="B1399" s="1" t="n">
        <v>44783</v>
      </c>
      <c r="C1399" s="1" t="n">
        <v>45832</v>
      </c>
      <c r="D1399" t="inlineStr">
        <is>
          <t>VÄSTERBOTTENS LÄN</t>
        </is>
      </c>
      <c r="E1399" t="inlineStr">
        <is>
          <t>SKELLEFTEÅ</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32985-2022</t>
        </is>
      </c>
      <c r="B1400" s="1" t="n">
        <v>44785</v>
      </c>
      <c r="C1400" s="1" t="n">
        <v>45832</v>
      </c>
      <c r="D1400" t="inlineStr">
        <is>
          <t>VÄSTERBOTTENS LÄN</t>
        </is>
      </c>
      <c r="E1400" t="inlineStr">
        <is>
          <t>SKELLEFTEÅ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32984-2022</t>
        </is>
      </c>
      <c r="B1401" s="1" t="n">
        <v>44784</v>
      </c>
      <c r="C1401" s="1" t="n">
        <v>45832</v>
      </c>
      <c r="D1401" t="inlineStr">
        <is>
          <t>VÄSTERBOTTENS LÄN</t>
        </is>
      </c>
      <c r="E1401" t="inlineStr">
        <is>
          <t>SKELLEFTEÅ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33268-2022</t>
        </is>
      </c>
      <c r="B1402" s="1" t="n">
        <v>44788</v>
      </c>
      <c r="C1402" s="1" t="n">
        <v>45832</v>
      </c>
      <c r="D1402" t="inlineStr">
        <is>
          <t>VÄSTERBOTTENS LÄN</t>
        </is>
      </c>
      <c r="E1402" t="inlineStr">
        <is>
          <t>SKELLEFTEÅ</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33324-2022</t>
        </is>
      </c>
      <c r="B1403" s="1" t="n">
        <v>44788</v>
      </c>
      <c r="C1403" s="1" t="n">
        <v>45832</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33629-2022</t>
        </is>
      </c>
      <c r="B1404" s="1" t="n">
        <v>44789</v>
      </c>
      <c r="C1404" s="1" t="n">
        <v>45832</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33984-2022</t>
        </is>
      </c>
      <c r="B1405" s="1" t="n">
        <v>44791</v>
      </c>
      <c r="C1405" s="1" t="n">
        <v>45832</v>
      </c>
      <c r="D1405" t="inlineStr">
        <is>
          <t>VÄSTERBOTTENS LÄN</t>
        </is>
      </c>
      <c r="E1405" t="inlineStr">
        <is>
          <t>SKELLEFTEÅ</t>
        </is>
      </c>
      <c r="F1405" t="inlineStr">
        <is>
          <t>Sveaskog</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34094-2022</t>
        </is>
      </c>
      <c r="B1406" s="1" t="n">
        <v>44791</v>
      </c>
      <c r="C1406" s="1" t="n">
        <v>45832</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34104-2022</t>
        </is>
      </c>
      <c r="B1407" s="1" t="n">
        <v>44791</v>
      </c>
      <c r="C1407" s="1" t="n">
        <v>45832</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34082-2022</t>
        </is>
      </c>
      <c r="B1408" s="1" t="n">
        <v>44791</v>
      </c>
      <c r="C1408" s="1" t="n">
        <v>45832</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34547-2022</t>
        </is>
      </c>
      <c r="B1409" s="1" t="n">
        <v>44794</v>
      </c>
      <c r="C1409" s="1" t="n">
        <v>45832</v>
      </c>
      <c r="D1409" t="inlineStr">
        <is>
          <t>VÄSTERBOTTENS LÄN</t>
        </is>
      </c>
      <c r="E1409" t="inlineStr">
        <is>
          <t>SKELLEFTEÅ</t>
        </is>
      </c>
      <c r="F1409" t="inlineStr">
        <is>
          <t>SCA</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34639-2022</t>
        </is>
      </c>
      <c r="B1410" s="1" t="n">
        <v>44795</v>
      </c>
      <c r="C1410" s="1" t="n">
        <v>45832</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34895-2022</t>
        </is>
      </c>
      <c r="B1411" s="1" t="n">
        <v>44796</v>
      </c>
      <c r="C1411" s="1" t="n">
        <v>45832</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35001-2022</t>
        </is>
      </c>
      <c r="B1412" s="1" t="n">
        <v>44797</v>
      </c>
      <c r="C1412" s="1" t="n">
        <v>45832</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35119-2022</t>
        </is>
      </c>
      <c r="B1413" s="1" t="n">
        <v>44797</v>
      </c>
      <c r="C1413" s="1" t="n">
        <v>45832</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35189-2022</t>
        </is>
      </c>
      <c r="B1414" s="1" t="n">
        <v>44797</v>
      </c>
      <c r="C1414" s="1" t="n">
        <v>45832</v>
      </c>
      <c r="D1414" t="inlineStr">
        <is>
          <t>VÄSTERBOTTENS LÄN</t>
        </is>
      </c>
      <c r="E1414" t="inlineStr">
        <is>
          <t>SKELLEFTEÅ</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45832</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35558-2022</t>
        </is>
      </c>
      <c r="B1416" s="1" t="n">
        <v>44799</v>
      </c>
      <c r="C1416" s="1" t="n">
        <v>45832</v>
      </c>
      <c r="D1416" t="inlineStr">
        <is>
          <t>VÄSTERBOTTENS LÄN</t>
        </is>
      </c>
      <c r="E1416" t="inlineStr">
        <is>
          <t>SKELLEFTEÅ</t>
        </is>
      </c>
      <c r="F1416" t="inlineStr">
        <is>
          <t>Sveaskog</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35609-2022</t>
        </is>
      </c>
      <c r="B1417" s="1" t="n">
        <v>44799</v>
      </c>
      <c r="C1417" s="1" t="n">
        <v>45832</v>
      </c>
      <c r="D1417" t="inlineStr">
        <is>
          <t>VÄSTERBOTTENS LÄN</t>
        </is>
      </c>
      <c r="E1417" t="inlineStr">
        <is>
          <t>SKELLEFTEÅ</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35652-2022</t>
        </is>
      </c>
      <c r="B1418" s="1" t="n">
        <v>44799</v>
      </c>
      <c r="C1418" s="1" t="n">
        <v>45832</v>
      </c>
      <c r="D1418" t="inlineStr">
        <is>
          <t>VÄSTERBOTTENS LÄN</t>
        </is>
      </c>
      <c r="E1418" t="inlineStr">
        <is>
          <t>SKELLEFTEÅ</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35635-2022</t>
        </is>
      </c>
      <c r="B1419" s="1" t="n">
        <v>44799</v>
      </c>
      <c r="C1419" s="1" t="n">
        <v>45832</v>
      </c>
      <c r="D1419" t="inlineStr">
        <is>
          <t>VÄSTERBOTTENS LÄN</t>
        </is>
      </c>
      <c r="E1419" t="inlineStr">
        <is>
          <t>SKELLEFTEÅ</t>
        </is>
      </c>
      <c r="F1419" t="inlineStr">
        <is>
          <t>Holmen skog AB</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35608-2022</t>
        </is>
      </c>
      <c r="B1420" s="1" t="n">
        <v>44799</v>
      </c>
      <c r="C1420" s="1" t="n">
        <v>45832</v>
      </c>
      <c r="D1420" t="inlineStr">
        <is>
          <t>VÄSTERBOTTENS LÄN</t>
        </is>
      </c>
      <c r="E1420" t="inlineStr">
        <is>
          <t>SKELLEFTEÅ</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35794-2022</t>
        </is>
      </c>
      <c r="B1421" s="1" t="n">
        <v>44801</v>
      </c>
      <c r="C1421" s="1" t="n">
        <v>45832</v>
      </c>
      <c r="D1421" t="inlineStr">
        <is>
          <t>VÄSTERBOTTENS LÄN</t>
        </is>
      </c>
      <c r="E1421" t="inlineStr">
        <is>
          <t>SKELLEFTEÅ</t>
        </is>
      </c>
      <c r="F1421" t="inlineStr">
        <is>
          <t>Sveaskog</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35771-2022</t>
        </is>
      </c>
      <c r="B1422" s="1" t="n">
        <v>44801</v>
      </c>
      <c r="C1422" s="1" t="n">
        <v>45832</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35809-2022</t>
        </is>
      </c>
      <c r="B1423" s="1" t="n">
        <v>44802</v>
      </c>
      <c r="C1423" s="1" t="n">
        <v>45832</v>
      </c>
      <c r="D1423" t="inlineStr">
        <is>
          <t>VÄSTERBOTTENS LÄN</t>
        </is>
      </c>
      <c r="E1423" t="inlineStr">
        <is>
          <t>SKELLEFTEÅ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36208-2022</t>
        </is>
      </c>
      <c r="B1424" s="1" t="n">
        <v>44803</v>
      </c>
      <c r="C1424" s="1" t="n">
        <v>45832</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35888-2022</t>
        </is>
      </c>
      <c r="B1425" s="1" t="n">
        <v>44803</v>
      </c>
      <c r="C1425" s="1" t="n">
        <v>45832</v>
      </c>
      <c r="D1425" t="inlineStr">
        <is>
          <t>VÄSTERBOTTENS LÄN</t>
        </is>
      </c>
      <c r="E1425" t="inlineStr">
        <is>
          <t>SKELLEFTEÅ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36723-2022</t>
        </is>
      </c>
      <c r="B1426" s="1" t="n">
        <v>44804</v>
      </c>
      <c r="C1426" s="1" t="n">
        <v>45832</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36539-2022</t>
        </is>
      </c>
      <c r="B1427" s="1" t="n">
        <v>44804</v>
      </c>
      <c r="C1427" s="1" t="n">
        <v>45832</v>
      </c>
      <c r="D1427" t="inlineStr">
        <is>
          <t>VÄSTERBOTTENS LÄN</t>
        </is>
      </c>
      <c r="E1427" t="inlineStr">
        <is>
          <t>SKELLEFTEÅ</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36728-2022</t>
        </is>
      </c>
      <c r="B1428" s="1" t="n">
        <v>44804</v>
      </c>
      <c r="C1428" s="1" t="n">
        <v>45832</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37669-2022</t>
        </is>
      </c>
      <c r="B1429" s="1" t="n">
        <v>44810</v>
      </c>
      <c r="C1429" s="1" t="n">
        <v>45832</v>
      </c>
      <c r="D1429" t="inlineStr">
        <is>
          <t>VÄSTERBOTTENS LÄN</t>
        </is>
      </c>
      <c r="E1429" t="inlineStr">
        <is>
          <t>SKELLEFTEÅ</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37823-2022</t>
        </is>
      </c>
      <c r="B1430" s="1" t="n">
        <v>44811</v>
      </c>
      <c r="C1430" s="1" t="n">
        <v>45832</v>
      </c>
      <c r="D1430" t="inlineStr">
        <is>
          <t>VÄSTERBOTTENS LÄN</t>
        </is>
      </c>
      <c r="E1430" t="inlineStr">
        <is>
          <t>SKELLEFTEÅ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37819-2022</t>
        </is>
      </c>
      <c r="B1431" s="1" t="n">
        <v>44810</v>
      </c>
      <c r="C1431" s="1" t="n">
        <v>45832</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37825-2022</t>
        </is>
      </c>
      <c r="B1432" s="1" t="n">
        <v>44811</v>
      </c>
      <c r="C1432" s="1" t="n">
        <v>45832</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37944-2022</t>
        </is>
      </c>
      <c r="B1433" s="1" t="n">
        <v>44811</v>
      </c>
      <c r="C1433" s="1" t="n">
        <v>45832</v>
      </c>
      <c r="D1433" t="inlineStr">
        <is>
          <t>VÄSTERBOTTENS LÄN</t>
        </is>
      </c>
      <c r="E1433" t="inlineStr">
        <is>
          <t>SKELLEFTEÅ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37940-2022</t>
        </is>
      </c>
      <c r="B1434" s="1" t="n">
        <v>44811</v>
      </c>
      <c r="C1434" s="1" t="n">
        <v>45832</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37950-2022</t>
        </is>
      </c>
      <c r="B1435" s="1" t="n">
        <v>44811</v>
      </c>
      <c r="C1435" s="1" t="n">
        <v>45832</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38275-2022</t>
        </is>
      </c>
      <c r="B1436" s="1" t="n">
        <v>44812</v>
      </c>
      <c r="C1436" s="1" t="n">
        <v>45832</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38457-2022</t>
        </is>
      </c>
      <c r="B1437" s="1" t="n">
        <v>44813</v>
      </c>
      <c r="C1437" s="1" t="n">
        <v>45832</v>
      </c>
      <c r="D1437" t="inlineStr">
        <is>
          <t>VÄSTERBOTTENS LÄN</t>
        </is>
      </c>
      <c r="E1437" t="inlineStr">
        <is>
          <t>SKELLEFTEÅ</t>
        </is>
      </c>
      <c r="F1437" t="inlineStr">
        <is>
          <t>Holmen skog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38578-2022</t>
        </is>
      </c>
      <c r="B1438" s="1" t="n">
        <v>44813</v>
      </c>
      <c r="C1438" s="1" t="n">
        <v>45832</v>
      </c>
      <c r="D1438" t="inlineStr">
        <is>
          <t>VÄSTERBOTTENS LÄN</t>
        </is>
      </c>
      <c r="E1438" t="inlineStr">
        <is>
          <t>SKELLEFTEÅ</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38514-2022</t>
        </is>
      </c>
      <c r="B1439" s="1" t="n">
        <v>44813</v>
      </c>
      <c r="C1439" s="1" t="n">
        <v>45832</v>
      </c>
      <c r="D1439" t="inlineStr">
        <is>
          <t>VÄSTERBOTTENS LÄN</t>
        </is>
      </c>
      <c r="E1439" t="inlineStr">
        <is>
          <t>SKELLEFTEÅ</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38728-2022</t>
        </is>
      </c>
      <c r="B1440" s="1" t="n">
        <v>44816</v>
      </c>
      <c r="C1440" s="1" t="n">
        <v>45832</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38727-2022</t>
        </is>
      </c>
      <c r="B1441" s="1" t="n">
        <v>44816</v>
      </c>
      <c r="C1441" s="1" t="n">
        <v>45832</v>
      </c>
      <c r="D1441" t="inlineStr">
        <is>
          <t>VÄSTERBOTTENS LÄN</t>
        </is>
      </c>
      <c r="E1441" t="inlineStr">
        <is>
          <t>SKELLEFTEÅ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38767-2022</t>
        </is>
      </c>
      <c r="B1442" s="1" t="n">
        <v>44816</v>
      </c>
      <c r="C1442" s="1" t="n">
        <v>45832</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38873-2022</t>
        </is>
      </c>
      <c r="B1443" s="1" t="n">
        <v>44816</v>
      </c>
      <c r="C1443" s="1" t="n">
        <v>45832</v>
      </c>
      <c r="D1443" t="inlineStr">
        <is>
          <t>VÄSTERBOTTENS LÄN</t>
        </is>
      </c>
      <c r="E1443" t="inlineStr">
        <is>
          <t>SKELLEFTEÅ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38876-2022</t>
        </is>
      </c>
      <c r="B1444" s="1" t="n">
        <v>44816</v>
      </c>
      <c r="C1444" s="1" t="n">
        <v>45832</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38932-2022</t>
        </is>
      </c>
      <c r="B1445" s="1" t="n">
        <v>44816</v>
      </c>
      <c r="C1445" s="1" t="n">
        <v>45832</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38940-2022</t>
        </is>
      </c>
      <c r="B1446" s="1" t="n">
        <v>44816</v>
      </c>
      <c r="C1446" s="1" t="n">
        <v>45832</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38995-2022</t>
        </is>
      </c>
      <c r="B1447" s="1" t="n">
        <v>44816</v>
      </c>
      <c r="C1447" s="1" t="n">
        <v>45832</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38997-2022</t>
        </is>
      </c>
      <c r="B1448" s="1" t="n">
        <v>44817</v>
      </c>
      <c r="C1448" s="1" t="n">
        <v>45832</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38998-2022</t>
        </is>
      </c>
      <c r="B1449" s="1" t="n">
        <v>44817</v>
      </c>
      <c r="C1449" s="1" t="n">
        <v>45832</v>
      </c>
      <c r="D1449" t="inlineStr">
        <is>
          <t>VÄSTERBOTTENS LÄN</t>
        </is>
      </c>
      <c r="E1449" t="inlineStr">
        <is>
          <t>SKELLEFTEÅ</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38993-2022</t>
        </is>
      </c>
      <c r="B1450" s="1" t="n">
        <v>44816</v>
      </c>
      <c r="C1450" s="1" t="n">
        <v>45832</v>
      </c>
      <c r="D1450" t="inlineStr">
        <is>
          <t>VÄSTERBOTTENS LÄN</t>
        </is>
      </c>
      <c r="E1450" t="inlineStr">
        <is>
          <t>SKELLEFTEÅ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39019-2022</t>
        </is>
      </c>
      <c r="B1451" s="1" t="n">
        <v>44817</v>
      </c>
      <c r="C1451" s="1" t="n">
        <v>45832</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39668-2022</t>
        </is>
      </c>
      <c r="B1452" s="1" t="n">
        <v>44818</v>
      </c>
      <c r="C1452" s="1" t="n">
        <v>45832</v>
      </c>
      <c r="D1452" t="inlineStr">
        <is>
          <t>VÄSTERBOTTENS LÄN</t>
        </is>
      </c>
      <c r="E1452" t="inlineStr">
        <is>
          <t>SKELLEFTEÅ</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39794-2022</t>
        </is>
      </c>
      <c r="B1453" s="1" t="n">
        <v>44819</v>
      </c>
      <c r="C1453" s="1" t="n">
        <v>45832</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39732-2022</t>
        </is>
      </c>
      <c r="B1454" s="1" t="n">
        <v>44819</v>
      </c>
      <c r="C1454" s="1" t="n">
        <v>45832</v>
      </c>
      <c r="D1454" t="inlineStr">
        <is>
          <t>VÄSTERBOTTENS LÄN</t>
        </is>
      </c>
      <c r="E1454" t="inlineStr">
        <is>
          <t>SKELLEFTEÅ</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39918-2022</t>
        </is>
      </c>
      <c r="B1455" s="1" t="n">
        <v>44819</v>
      </c>
      <c r="C1455" s="1" t="n">
        <v>45832</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39986-2022</t>
        </is>
      </c>
      <c r="B1456" s="1" t="n">
        <v>44820</v>
      </c>
      <c r="C1456" s="1" t="n">
        <v>45832</v>
      </c>
      <c r="D1456" t="inlineStr">
        <is>
          <t>VÄSTERBOTTENS LÄN</t>
        </is>
      </c>
      <c r="E1456" t="inlineStr">
        <is>
          <t>SKELLEFTEÅ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39998-2022</t>
        </is>
      </c>
      <c r="B1457" s="1" t="n">
        <v>44820</v>
      </c>
      <c r="C1457" s="1" t="n">
        <v>45832</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40013-2022</t>
        </is>
      </c>
      <c r="B1458" s="1" t="n">
        <v>44820</v>
      </c>
      <c r="C1458" s="1" t="n">
        <v>45832</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40034-2022</t>
        </is>
      </c>
      <c r="B1459" s="1" t="n">
        <v>44820</v>
      </c>
      <c r="C1459" s="1" t="n">
        <v>45832</v>
      </c>
      <c r="D1459" t="inlineStr">
        <is>
          <t>VÄSTERBOTTENS LÄN</t>
        </is>
      </c>
      <c r="E1459" t="inlineStr">
        <is>
          <t>SKELLEFTEÅ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39985-2022</t>
        </is>
      </c>
      <c r="B1460" s="1" t="n">
        <v>44820</v>
      </c>
      <c r="C1460" s="1" t="n">
        <v>45832</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40219-2022</t>
        </is>
      </c>
      <c r="B1461" s="1" t="n">
        <v>44820</v>
      </c>
      <c r="C1461" s="1" t="n">
        <v>45832</v>
      </c>
      <c r="D1461" t="inlineStr">
        <is>
          <t>VÄSTERBOTTENS LÄN</t>
        </is>
      </c>
      <c r="E1461" t="inlineStr">
        <is>
          <t>SKELLEFTEÅ</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40905-2022</t>
        </is>
      </c>
      <c r="B1462" s="1" t="n">
        <v>44820</v>
      </c>
      <c r="C1462" s="1" t="n">
        <v>45832</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40345-2022</t>
        </is>
      </c>
      <c r="B1463" s="1" t="n">
        <v>44823</v>
      </c>
      <c r="C1463" s="1" t="n">
        <v>45832</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40314-2022</t>
        </is>
      </c>
      <c r="B1464" s="1" t="n">
        <v>44823</v>
      </c>
      <c r="C1464" s="1" t="n">
        <v>45832</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40329-2022</t>
        </is>
      </c>
      <c r="B1465" s="1" t="n">
        <v>44823</v>
      </c>
      <c r="C1465" s="1" t="n">
        <v>45832</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40964-2022</t>
        </is>
      </c>
      <c r="B1466" s="1" t="n">
        <v>44823</v>
      </c>
      <c r="C1466" s="1" t="n">
        <v>45832</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40969-2022</t>
        </is>
      </c>
      <c r="B1467" s="1" t="n">
        <v>44824</v>
      </c>
      <c r="C1467" s="1" t="n">
        <v>45832</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41010-2022</t>
        </is>
      </c>
      <c r="B1468" s="1" t="n">
        <v>44825</v>
      </c>
      <c r="C1468" s="1" t="n">
        <v>45832</v>
      </c>
      <c r="D1468" t="inlineStr">
        <is>
          <t>VÄSTERBOTTENS LÄN</t>
        </is>
      </c>
      <c r="E1468" t="inlineStr">
        <is>
          <t>SKELLEFTEÅ</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40851-2022</t>
        </is>
      </c>
      <c r="B1469" s="1" t="n">
        <v>44825</v>
      </c>
      <c r="C1469" s="1" t="n">
        <v>45832</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41360-2022</t>
        </is>
      </c>
      <c r="B1470" s="1" t="n">
        <v>44825</v>
      </c>
      <c r="C1470" s="1" t="n">
        <v>45832</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41409-2022</t>
        </is>
      </c>
      <c r="B1471" s="1" t="n">
        <v>44826</v>
      </c>
      <c r="C1471" s="1" t="n">
        <v>45832</v>
      </c>
      <c r="D1471" t="inlineStr">
        <is>
          <t>VÄSTERBOTTENS LÄN</t>
        </is>
      </c>
      <c r="E1471" t="inlineStr">
        <is>
          <t>SKELLEFTEÅ</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41513-2022</t>
        </is>
      </c>
      <c r="B1472" s="1" t="n">
        <v>44827</v>
      </c>
      <c r="C1472" s="1" t="n">
        <v>45832</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41802-2022</t>
        </is>
      </c>
      <c r="B1473" s="1" t="n">
        <v>44827</v>
      </c>
      <c r="C1473" s="1" t="n">
        <v>45832</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41803-2022</t>
        </is>
      </c>
      <c r="B1474" s="1" t="n">
        <v>44828</v>
      </c>
      <c r="C1474" s="1" t="n">
        <v>45832</v>
      </c>
      <c r="D1474" t="inlineStr">
        <is>
          <t>VÄSTERBOTTENS LÄN</t>
        </is>
      </c>
      <c r="E1474" t="inlineStr">
        <is>
          <t>SKELLEFTEÅ</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41801-2022</t>
        </is>
      </c>
      <c r="B1475" s="1" t="n">
        <v>44828</v>
      </c>
      <c r="C1475" s="1" t="n">
        <v>45832</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42357-2022</t>
        </is>
      </c>
      <c r="B1476" s="1" t="n">
        <v>44827</v>
      </c>
      <c r="C1476" s="1" t="n">
        <v>45832</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45832</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42109-2022</t>
        </is>
      </c>
      <c r="B1478" s="1" t="n">
        <v>44827</v>
      </c>
      <c r="C1478" s="1" t="n">
        <v>45832</v>
      </c>
      <c r="D1478" t="inlineStr">
        <is>
          <t>VÄSTERBOTTENS LÄN</t>
        </is>
      </c>
      <c r="E1478" t="inlineStr">
        <is>
          <t>SKELLEFTEÅ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42099-2022</t>
        </is>
      </c>
      <c r="B1479" s="1" t="n">
        <v>44827</v>
      </c>
      <c r="C1479" s="1" t="n">
        <v>45832</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41889-2022</t>
        </is>
      </c>
      <c r="B1480" s="1" t="n">
        <v>44830</v>
      </c>
      <c r="C1480" s="1" t="n">
        <v>45832</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41956-2022</t>
        </is>
      </c>
      <c r="B1481" s="1" t="n">
        <v>44830</v>
      </c>
      <c r="C1481" s="1" t="n">
        <v>45832</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41883-2022</t>
        </is>
      </c>
      <c r="B1482" s="1" t="n">
        <v>44830</v>
      </c>
      <c r="C1482" s="1" t="n">
        <v>45832</v>
      </c>
      <c r="D1482" t="inlineStr">
        <is>
          <t>VÄSTERBOTTENS LÄN</t>
        </is>
      </c>
      <c r="E1482" t="inlineStr">
        <is>
          <t>SKELLEFTEÅ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42255-2022</t>
        </is>
      </c>
      <c r="B1483" s="1" t="n">
        <v>44830</v>
      </c>
      <c r="C1483" s="1" t="n">
        <v>45832</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42260-2022</t>
        </is>
      </c>
      <c r="B1484" s="1" t="n">
        <v>44830</v>
      </c>
      <c r="C1484" s="1" t="n">
        <v>45832</v>
      </c>
      <c r="D1484" t="inlineStr">
        <is>
          <t>VÄSTERBOTTENS LÄN</t>
        </is>
      </c>
      <c r="E1484" t="inlineStr">
        <is>
          <t>SKELLEFTEÅ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45832</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42798-2022</t>
        </is>
      </c>
      <c r="B1486" s="1" t="n">
        <v>44832</v>
      </c>
      <c r="C1486" s="1" t="n">
        <v>45832</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42808-2022</t>
        </is>
      </c>
      <c r="B1487" s="1" t="n">
        <v>44832</v>
      </c>
      <c r="C1487" s="1" t="n">
        <v>45832</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42946-2022</t>
        </is>
      </c>
      <c r="B1488" s="1" t="n">
        <v>44833</v>
      </c>
      <c r="C1488" s="1" t="n">
        <v>45832</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43069-2022</t>
        </is>
      </c>
      <c r="B1489" s="1" t="n">
        <v>44833</v>
      </c>
      <c r="C1489" s="1" t="n">
        <v>45832</v>
      </c>
      <c r="D1489" t="inlineStr">
        <is>
          <t>VÄSTERBOTTENS LÄN</t>
        </is>
      </c>
      <c r="E1489" t="inlineStr">
        <is>
          <t>SKELLEFTEÅ</t>
        </is>
      </c>
      <c r="F1489" t="inlineStr">
        <is>
          <t>Sveaskog</t>
        </is>
      </c>
      <c r="G1489" t="n">
        <v>19.6</v>
      </c>
      <c r="H1489" t="n">
        <v>0</v>
      </c>
      <c r="I1489" t="n">
        <v>0</v>
      </c>
      <c r="J1489" t="n">
        <v>0</v>
      </c>
      <c r="K1489" t="n">
        <v>0</v>
      </c>
      <c r="L1489" t="n">
        <v>0</v>
      </c>
      <c r="M1489" t="n">
        <v>0</v>
      </c>
      <c r="N1489" t="n">
        <v>0</v>
      </c>
      <c r="O1489" t="n">
        <v>0</v>
      </c>
      <c r="P1489" t="n">
        <v>0</v>
      </c>
      <c r="Q1489" t="n">
        <v>0</v>
      </c>
      <c r="R1489" s="2" t="inlineStr"/>
    </row>
    <row r="1490" ht="15" customHeight="1">
      <c r="A1490" t="inlineStr">
        <is>
          <t>A 43078-2022</t>
        </is>
      </c>
      <c r="B1490" s="1" t="n">
        <v>44833</v>
      </c>
      <c r="C1490" s="1" t="n">
        <v>45832</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43515-2022</t>
        </is>
      </c>
      <c r="B1491" s="1" t="n">
        <v>44837</v>
      </c>
      <c r="C1491" s="1" t="n">
        <v>45832</v>
      </c>
      <c r="D1491" t="inlineStr">
        <is>
          <t>VÄSTERBOTTENS LÄN</t>
        </is>
      </c>
      <c r="E1491" t="inlineStr">
        <is>
          <t>SKELLEFTEÅ</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43544-2022</t>
        </is>
      </c>
      <c r="B1492" s="1" t="n">
        <v>44837</v>
      </c>
      <c r="C1492" s="1" t="n">
        <v>45832</v>
      </c>
      <c r="D1492" t="inlineStr">
        <is>
          <t>VÄSTERBOTTENS LÄN</t>
        </is>
      </c>
      <c r="E1492" t="inlineStr">
        <is>
          <t>SKELLEFTEÅ</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43763-2022</t>
        </is>
      </c>
      <c r="B1493" s="1" t="n">
        <v>44838</v>
      </c>
      <c r="C1493" s="1" t="n">
        <v>45832</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43917-2022</t>
        </is>
      </c>
      <c r="B1494" s="1" t="n">
        <v>44838</v>
      </c>
      <c r="C1494" s="1" t="n">
        <v>45832</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44621-2022</t>
        </is>
      </c>
      <c r="B1495" s="1" t="n">
        <v>44838</v>
      </c>
      <c r="C1495" s="1" t="n">
        <v>45832</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44397-2022</t>
        </is>
      </c>
      <c r="B1496" s="1" t="n">
        <v>44839</v>
      </c>
      <c r="C1496" s="1" t="n">
        <v>45832</v>
      </c>
      <c r="D1496" t="inlineStr">
        <is>
          <t>VÄSTERBOTTENS LÄN</t>
        </is>
      </c>
      <c r="E1496" t="inlineStr">
        <is>
          <t>SKELLEFTEÅ</t>
        </is>
      </c>
      <c r="F1496" t="inlineStr">
        <is>
          <t>Sveaskog</t>
        </is>
      </c>
      <c r="G1496" t="n">
        <v>31.1</v>
      </c>
      <c r="H1496" t="n">
        <v>0</v>
      </c>
      <c r="I1496" t="n">
        <v>0</v>
      </c>
      <c r="J1496" t="n">
        <v>0</v>
      </c>
      <c r="K1496" t="n">
        <v>0</v>
      </c>
      <c r="L1496" t="n">
        <v>0</v>
      </c>
      <c r="M1496" t="n">
        <v>0</v>
      </c>
      <c r="N1496" t="n">
        <v>0</v>
      </c>
      <c r="O1496" t="n">
        <v>0</v>
      </c>
      <c r="P1496" t="n">
        <v>0</v>
      </c>
      <c r="Q1496" t="n">
        <v>0</v>
      </c>
      <c r="R1496" s="2" t="inlineStr"/>
    </row>
    <row r="1497" ht="15" customHeight="1">
      <c r="A1497" t="inlineStr">
        <is>
          <t>A 44398-2022</t>
        </is>
      </c>
      <c r="B1497" s="1" t="n">
        <v>44839</v>
      </c>
      <c r="C1497" s="1" t="n">
        <v>45832</v>
      </c>
      <c r="D1497" t="inlineStr">
        <is>
          <t>VÄSTERBOTTENS LÄN</t>
        </is>
      </c>
      <c r="E1497" t="inlineStr">
        <is>
          <t>SKELLEFTEÅ</t>
        </is>
      </c>
      <c r="F1497" t="inlineStr">
        <is>
          <t>Sveaskog</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44616-2022</t>
        </is>
      </c>
      <c r="B1498" s="1" t="n">
        <v>44839</v>
      </c>
      <c r="C1498" s="1" t="n">
        <v>45832</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44959-2022</t>
        </is>
      </c>
      <c r="B1499" s="1" t="n">
        <v>44839</v>
      </c>
      <c r="C1499" s="1" t="n">
        <v>45832</v>
      </c>
      <c r="D1499" t="inlineStr">
        <is>
          <t>VÄSTERBOTTENS LÄN</t>
        </is>
      </c>
      <c r="E1499" t="inlineStr">
        <is>
          <t>SKELLEFTEÅ</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44724-2022</t>
        </is>
      </c>
      <c r="B1500" s="1" t="n">
        <v>44840</v>
      </c>
      <c r="C1500" s="1" t="n">
        <v>45832</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44722-2022</t>
        </is>
      </c>
      <c r="B1501" s="1" t="n">
        <v>44840</v>
      </c>
      <c r="C1501" s="1" t="n">
        <v>45832</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45011-2022</t>
        </is>
      </c>
      <c r="B1502" s="1" t="n">
        <v>44840</v>
      </c>
      <c r="C1502" s="1" t="n">
        <v>45832</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45266-2022</t>
        </is>
      </c>
      <c r="B1503" s="1" t="n">
        <v>44844</v>
      </c>
      <c r="C1503" s="1" t="n">
        <v>45832</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45250-2022</t>
        </is>
      </c>
      <c r="B1504" s="1" t="n">
        <v>44844</v>
      </c>
      <c r="C1504" s="1" t="n">
        <v>45832</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45985-2022</t>
        </is>
      </c>
      <c r="B1505" s="1" t="n">
        <v>44844</v>
      </c>
      <c r="C1505" s="1" t="n">
        <v>45832</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45832</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45495-2022</t>
        </is>
      </c>
      <c r="B1507" s="1" t="n">
        <v>44845</v>
      </c>
      <c r="C1507" s="1" t="n">
        <v>45832</v>
      </c>
      <c r="D1507" t="inlineStr">
        <is>
          <t>VÄSTERBOTTENS LÄN</t>
        </is>
      </c>
      <c r="E1507" t="inlineStr">
        <is>
          <t>SKELLEFTEÅ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45554-2022</t>
        </is>
      </c>
      <c r="B1508" s="1" t="n">
        <v>44845</v>
      </c>
      <c r="C1508" s="1" t="n">
        <v>45832</v>
      </c>
      <c r="D1508" t="inlineStr">
        <is>
          <t>VÄSTERBOTTENS LÄN</t>
        </is>
      </c>
      <c r="E1508" t="inlineStr">
        <is>
          <t>SKELLEFTEÅ</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45619-2022</t>
        </is>
      </c>
      <c r="B1509" s="1" t="n">
        <v>44845</v>
      </c>
      <c r="C1509" s="1" t="n">
        <v>45832</v>
      </c>
      <c r="D1509" t="inlineStr">
        <is>
          <t>VÄSTERBOTTENS LÄN</t>
        </is>
      </c>
      <c r="E1509" t="inlineStr">
        <is>
          <t>SKELLEFTEÅ</t>
        </is>
      </c>
      <c r="F1509" t="inlineStr">
        <is>
          <t>Holmen skog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46181-2022</t>
        </is>
      </c>
      <c r="B1510" s="1" t="n">
        <v>44845</v>
      </c>
      <c r="C1510" s="1" t="n">
        <v>45832</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46218-2022</t>
        </is>
      </c>
      <c r="B1511" s="1" t="n">
        <v>44845</v>
      </c>
      <c r="C1511" s="1" t="n">
        <v>45832</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45748-2022</t>
        </is>
      </c>
      <c r="B1512" s="1" t="n">
        <v>44846</v>
      </c>
      <c r="C1512" s="1" t="n">
        <v>45832</v>
      </c>
      <c r="D1512" t="inlineStr">
        <is>
          <t>VÄSTERBOTTENS LÄN</t>
        </is>
      </c>
      <c r="E1512" t="inlineStr">
        <is>
          <t>SKELLEFTEÅ</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46233-2022</t>
        </is>
      </c>
      <c r="B1513" s="1" t="n">
        <v>44847</v>
      </c>
      <c r="C1513" s="1" t="n">
        <v>45832</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46216-2022</t>
        </is>
      </c>
      <c r="B1514" s="1" t="n">
        <v>44847</v>
      </c>
      <c r="C1514" s="1" t="n">
        <v>45832</v>
      </c>
      <c r="D1514" t="inlineStr">
        <is>
          <t>VÄSTERBOTTENS LÄN</t>
        </is>
      </c>
      <c r="E1514" t="inlineStr">
        <is>
          <t>SKELLEFTEÅ</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46409-2022</t>
        </is>
      </c>
      <c r="B1515" s="1" t="n">
        <v>44848</v>
      </c>
      <c r="C1515" s="1" t="n">
        <v>45832</v>
      </c>
      <c r="D1515" t="inlineStr">
        <is>
          <t>VÄSTERBOTTENS LÄN</t>
        </is>
      </c>
      <c r="E1515" t="inlineStr">
        <is>
          <t>SKELLEFTEÅ</t>
        </is>
      </c>
      <c r="F1515" t="inlineStr">
        <is>
          <t>Holmen skog AB</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46445-2022</t>
        </is>
      </c>
      <c r="B1516" s="1" t="n">
        <v>44848</v>
      </c>
      <c r="C1516" s="1" t="n">
        <v>45832</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46868-2022</t>
        </is>
      </c>
      <c r="B1517" s="1" t="n">
        <v>44848</v>
      </c>
      <c r="C1517" s="1" t="n">
        <v>45832</v>
      </c>
      <c r="D1517" t="inlineStr">
        <is>
          <t>VÄSTERBOTTENS LÄN</t>
        </is>
      </c>
      <c r="E1517" t="inlineStr">
        <is>
          <t>SKELLEFTEÅ</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47637-2022</t>
        </is>
      </c>
      <c r="B1518" s="1" t="n">
        <v>44852</v>
      </c>
      <c r="C1518" s="1" t="n">
        <v>45832</v>
      </c>
      <c r="D1518" t="inlineStr">
        <is>
          <t>VÄSTERBOTTENS LÄN</t>
        </is>
      </c>
      <c r="E1518" t="inlineStr">
        <is>
          <t>SKELLEFTEÅ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47500-2022</t>
        </is>
      </c>
      <c r="B1519" s="1" t="n">
        <v>44852</v>
      </c>
      <c r="C1519" s="1" t="n">
        <v>45832</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47410-2022</t>
        </is>
      </c>
      <c r="B1520" s="1" t="n">
        <v>44853</v>
      </c>
      <c r="C1520" s="1" t="n">
        <v>45832</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47548-2022</t>
        </is>
      </c>
      <c r="B1521" s="1" t="n">
        <v>44854</v>
      </c>
      <c r="C1521" s="1" t="n">
        <v>45832</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47554-2022</t>
        </is>
      </c>
      <c r="B1522" s="1" t="n">
        <v>44854</v>
      </c>
      <c r="C1522" s="1" t="n">
        <v>45832</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47988-2022</t>
        </is>
      </c>
      <c r="B1523" s="1" t="n">
        <v>44853</v>
      </c>
      <c r="C1523" s="1" t="n">
        <v>45832</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47984-2022</t>
        </is>
      </c>
      <c r="B1524" s="1" t="n">
        <v>44853</v>
      </c>
      <c r="C1524" s="1" t="n">
        <v>45832</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47991-2022</t>
        </is>
      </c>
      <c r="B1525" s="1" t="n">
        <v>44853</v>
      </c>
      <c r="C1525" s="1" t="n">
        <v>45832</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47696-2022</t>
        </is>
      </c>
      <c r="B1526" s="1" t="n">
        <v>44854</v>
      </c>
      <c r="C1526" s="1" t="n">
        <v>45832</v>
      </c>
      <c r="D1526" t="inlineStr">
        <is>
          <t>VÄSTERBOTTENS LÄN</t>
        </is>
      </c>
      <c r="E1526" t="inlineStr">
        <is>
          <t>SKELLEFTEÅ</t>
        </is>
      </c>
      <c r="F1526" t="inlineStr">
        <is>
          <t>Holmen skog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48011-2022</t>
        </is>
      </c>
      <c r="B1527" s="1" t="n">
        <v>44855</v>
      </c>
      <c r="C1527" s="1" t="n">
        <v>45832</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48082-2022</t>
        </is>
      </c>
      <c r="B1528" s="1" t="n">
        <v>44856</v>
      </c>
      <c r="C1528" s="1" t="n">
        <v>45832</v>
      </c>
      <c r="D1528" t="inlineStr">
        <is>
          <t>VÄSTERBOTTENS LÄN</t>
        </is>
      </c>
      <c r="E1528" t="inlineStr">
        <is>
          <t>SKELLEFTEÅ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48722-2022</t>
        </is>
      </c>
      <c r="B1529" s="1" t="n">
        <v>44855</v>
      </c>
      <c r="C1529" s="1" t="n">
        <v>45832</v>
      </c>
      <c r="D1529" t="inlineStr">
        <is>
          <t>VÄSTERBOTTENS LÄN</t>
        </is>
      </c>
      <c r="E1529" t="inlineStr">
        <is>
          <t>SKELLEFTEÅ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48125-2022</t>
        </is>
      </c>
      <c r="B1530" s="1" t="n">
        <v>44857</v>
      </c>
      <c r="C1530" s="1" t="n">
        <v>45832</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48133-2022</t>
        </is>
      </c>
      <c r="B1531" s="1" t="n">
        <v>44857</v>
      </c>
      <c r="C1531" s="1" t="n">
        <v>45832</v>
      </c>
      <c r="D1531" t="inlineStr">
        <is>
          <t>VÄSTERBOTTENS LÄN</t>
        </is>
      </c>
      <c r="E1531" t="inlineStr">
        <is>
          <t>SKELLEFTEÅ</t>
        </is>
      </c>
      <c r="F1531" t="inlineStr">
        <is>
          <t>Sveaskog</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49241-2022</t>
        </is>
      </c>
      <c r="B1532" s="1" t="n">
        <v>44858</v>
      </c>
      <c r="C1532" s="1" t="n">
        <v>45832</v>
      </c>
      <c r="D1532" t="inlineStr">
        <is>
          <t>VÄSTERBOTTENS LÄN</t>
        </is>
      </c>
      <c r="E1532" t="inlineStr">
        <is>
          <t>SKELLEFTEÅ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49992-2022</t>
        </is>
      </c>
      <c r="B1533" s="1" t="n">
        <v>44860</v>
      </c>
      <c r="C1533" s="1" t="n">
        <v>45832</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49246-2022</t>
        </is>
      </c>
      <c r="B1534" s="1" t="n">
        <v>44861</v>
      </c>
      <c r="C1534" s="1" t="n">
        <v>45832</v>
      </c>
      <c r="D1534" t="inlineStr">
        <is>
          <t>VÄSTERBOTTENS LÄN</t>
        </is>
      </c>
      <c r="E1534" t="inlineStr">
        <is>
          <t>SKELLEFTEÅ</t>
        </is>
      </c>
      <c r="F1534" t="inlineStr">
        <is>
          <t>Holmen skog AB</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49328-2022</t>
        </is>
      </c>
      <c r="B1535" s="1" t="n">
        <v>44861</v>
      </c>
      <c r="C1535" s="1" t="n">
        <v>45832</v>
      </c>
      <c r="D1535" t="inlineStr">
        <is>
          <t>VÄSTERBOTTENS LÄN</t>
        </is>
      </c>
      <c r="E1535" t="inlineStr">
        <is>
          <t>SKELLEFTEÅ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49382-2022</t>
        </is>
      </c>
      <c r="B1536" s="1" t="n">
        <v>44861</v>
      </c>
      <c r="C1536" s="1" t="n">
        <v>45832</v>
      </c>
      <c r="D1536" t="inlineStr">
        <is>
          <t>VÄSTERBOTTENS LÄN</t>
        </is>
      </c>
      <c r="E1536" t="inlineStr">
        <is>
          <t>SKELLEFTEÅ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49277-2022</t>
        </is>
      </c>
      <c r="B1537" s="1" t="n">
        <v>44861</v>
      </c>
      <c r="C1537" s="1" t="n">
        <v>45832</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49757-2022</t>
        </is>
      </c>
      <c r="B1538" s="1" t="n">
        <v>44862</v>
      </c>
      <c r="C1538" s="1" t="n">
        <v>45832</v>
      </c>
      <c r="D1538" t="inlineStr">
        <is>
          <t>VÄSTERBOTTENS LÄN</t>
        </is>
      </c>
      <c r="E1538" t="inlineStr">
        <is>
          <t>SKELLEFTEÅ</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49749-2022</t>
        </is>
      </c>
      <c r="B1539" s="1" t="n">
        <v>44862</v>
      </c>
      <c r="C1539" s="1" t="n">
        <v>45832</v>
      </c>
      <c r="D1539" t="inlineStr">
        <is>
          <t>VÄSTERBOTTENS LÄN</t>
        </is>
      </c>
      <c r="E1539" t="inlineStr">
        <is>
          <t>SKELLEFTEÅ</t>
        </is>
      </c>
      <c r="F1539" t="inlineStr">
        <is>
          <t>Holmen skog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49876-2022</t>
        </is>
      </c>
      <c r="B1540" s="1" t="n">
        <v>44864</v>
      </c>
      <c r="C1540" s="1" t="n">
        <v>45832</v>
      </c>
      <c r="D1540" t="inlineStr">
        <is>
          <t>VÄSTERBOTTENS LÄN</t>
        </is>
      </c>
      <c r="E1540" t="inlineStr">
        <is>
          <t>SKELLEFTEÅ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49875-2022</t>
        </is>
      </c>
      <c r="B1541" s="1" t="n">
        <v>44864</v>
      </c>
      <c r="C1541" s="1" t="n">
        <v>45832</v>
      </c>
      <c r="D1541" t="inlineStr">
        <is>
          <t>VÄSTERBOTTENS LÄN</t>
        </is>
      </c>
      <c r="E1541" t="inlineStr">
        <is>
          <t>SKELLEFTEÅ</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49906-2022</t>
        </is>
      </c>
      <c r="B1542" s="1" t="n">
        <v>44864</v>
      </c>
      <c r="C1542" s="1" t="n">
        <v>45832</v>
      </c>
      <c r="D1542" t="inlineStr">
        <is>
          <t>VÄSTERBOTTENS LÄN</t>
        </is>
      </c>
      <c r="E1542" t="inlineStr">
        <is>
          <t>SKELLEFTEÅ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49908-2022</t>
        </is>
      </c>
      <c r="B1543" s="1" t="n">
        <v>44864</v>
      </c>
      <c r="C1543" s="1" t="n">
        <v>45832</v>
      </c>
      <c r="D1543" t="inlineStr">
        <is>
          <t>VÄSTERBOTTENS LÄN</t>
        </is>
      </c>
      <c r="E1543" t="inlineStr">
        <is>
          <t>SKELLEFTEÅ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49905-2022</t>
        </is>
      </c>
      <c r="B1544" s="1" t="n">
        <v>44864</v>
      </c>
      <c r="C1544" s="1" t="n">
        <v>45832</v>
      </c>
      <c r="D1544" t="inlineStr">
        <is>
          <t>VÄSTERBOTTENS LÄN</t>
        </is>
      </c>
      <c r="E1544" t="inlineStr">
        <is>
          <t>SKELLEFTEÅ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49907-2022</t>
        </is>
      </c>
      <c r="B1545" s="1" t="n">
        <v>44864</v>
      </c>
      <c r="C1545" s="1" t="n">
        <v>45832</v>
      </c>
      <c r="D1545" t="inlineStr">
        <is>
          <t>VÄSTERBOTTENS LÄN</t>
        </is>
      </c>
      <c r="E1545" t="inlineStr">
        <is>
          <t>SKELLEFTEÅ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50055-2022</t>
        </is>
      </c>
      <c r="B1546" s="1" t="n">
        <v>44865</v>
      </c>
      <c r="C1546" s="1" t="n">
        <v>45832</v>
      </c>
      <c r="D1546" t="inlineStr">
        <is>
          <t>VÄSTERBOTTENS LÄN</t>
        </is>
      </c>
      <c r="E1546" t="inlineStr">
        <is>
          <t>SKELLEFTEÅ</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49961-2022</t>
        </is>
      </c>
      <c r="B1547" s="1" t="n">
        <v>44865</v>
      </c>
      <c r="C1547" s="1" t="n">
        <v>45832</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50371-2022</t>
        </is>
      </c>
      <c r="B1548" s="1" t="n">
        <v>44866</v>
      </c>
      <c r="C1548" s="1" t="n">
        <v>45832</v>
      </c>
      <c r="D1548" t="inlineStr">
        <is>
          <t>VÄSTERBOTTENS LÄN</t>
        </is>
      </c>
      <c r="E1548" t="inlineStr">
        <is>
          <t>SKELLEFTEÅ</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50366-2022</t>
        </is>
      </c>
      <c r="B1549" s="1" t="n">
        <v>44866</v>
      </c>
      <c r="C1549" s="1" t="n">
        <v>45832</v>
      </c>
      <c r="D1549" t="inlineStr">
        <is>
          <t>VÄSTERBOTTENS LÄN</t>
        </is>
      </c>
      <c r="E1549" t="inlineStr">
        <is>
          <t>SKELLEFTEÅ</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50529-2022</t>
        </is>
      </c>
      <c r="B1550" s="1" t="n">
        <v>44866</v>
      </c>
      <c r="C1550" s="1" t="n">
        <v>45832</v>
      </c>
      <c r="D1550" t="inlineStr">
        <is>
          <t>VÄSTERBOTTENS LÄN</t>
        </is>
      </c>
      <c r="E1550" t="inlineStr">
        <is>
          <t>SKELLEFTEÅ</t>
        </is>
      </c>
      <c r="F1550" t="inlineStr">
        <is>
          <t>Holmen skog AB</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50409-2022</t>
        </is>
      </c>
      <c r="B1551" s="1" t="n">
        <v>44866</v>
      </c>
      <c r="C1551" s="1" t="n">
        <v>45832</v>
      </c>
      <c r="D1551" t="inlineStr">
        <is>
          <t>VÄSTERBOTTENS LÄN</t>
        </is>
      </c>
      <c r="E1551" t="inlineStr">
        <is>
          <t>SKELLEFTEÅ</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50538-2022</t>
        </is>
      </c>
      <c r="B1552" s="1" t="n">
        <v>44866</v>
      </c>
      <c r="C1552" s="1" t="n">
        <v>45832</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50549-2022</t>
        </is>
      </c>
      <c r="B1553" s="1" t="n">
        <v>44866</v>
      </c>
      <c r="C1553" s="1" t="n">
        <v>45832</v>
      </c>
      <c r="D1553" t="inlineStr">
        <is>
          <t>VÄSTERBOTTENS LÄN</t>
        </is>
      </c>
      <c r="E1553" t="inlineStr">
        <is>
          <t>SKELLEFTEÅ</t>
        </is>
      </c>
      <c r="F1553" t="inlineStr">
        <is>
          <t>Kommuner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50531-2022</t>
        </is>
      </c>
      <c r="B1554" s="1" t="n">
        <v>44866</v>
      </c>
      <c r="C1554" s="1" t="n">
        <v>45832</v>
      </c>
      <c r="D1554" t="inlineStr">
        <is>
          <t>VÄSTERBOTTENS LÄN</t>
        </is>
      </c>
      <c r="E1554" t="inlineStr">
        <is>
          <t>SKELLEFTEÅ</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50554-2022</t>
        </is>
      </c>
      <c r="B1555" s="1" t="n">
        <v>44866</v>
      </c>
      <c r="C1555" s="1" t="n">
        <v>45832</v>
      </c>
      <c r="D1555" t="inlineStr">
        <is>
          <t>VÄSTERBOTTENS LÄN</t>
        </is>
      </c>
      <c r="E1555" t="inlineStr">
        <is>
          <t>SKELLEFTEÅ</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50872-2022</t>
        </is>
      </c>
      <c r="B1556" s="1" t="n">
        <v>44867</v>
      </c>
      <c r="C1556" s="1" t="n">
        <v>45832</v>
      </c>
      <c r="D1556" t="inlineStr">
        <is>
          <t>VÄSTERBOTTENS LÄN</t>
        </is>
      </c>
      <c r="E1556" t="inlineStr">
        <is>
          <t>SKELLEFTEÅ</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50838-2022</t>
        </is>
      </c>
      <c r="B1557" s="1" t="n">
        <v>44867</v>
      </c>
      <c r="C1557" s="1" t="n">
        <v>45832</v>
      </c>
      <c r="D1557" t="inlineStr">
        <is>
          <t>VÄSTERBOTTENS LÄN</t>
        </is>
      </c>
      <c r="E1557" t="inlineStr">
        <is>
          <t>SKELLEFTEÅ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51222-2022</t>
        </is>
      </c>
      <c r="B1558" s="1" t="n">
        <v>44868</v>
      </c>
      <c r="C1558" s="1" t="n">
        <v>45832</v>
      </c>
      <c r="D1558" t="inlineStr">
        <is>
          <t>VÄSTERBOTTENS LÄN</t>
        </is>
      </c>
      <c r="E1558" t="inlineStr">
        <is>
          <t>SKELLEFTEÅ</t>
        </is>
      </c>
      <c r="F1558" t="inlineStr">
        <is>
          <t>Holmen skog AB</t>
        </is>
      </c>
      <c r="G1558" t="n">
        <v>16.4</v>
      </c>
      <c r="H1558" t="n">
        <v>0</v>
      </c>
      <c r="I1558" t="n">
        <v>0</v>
      </c>
      <c r="J1558" t="n">
        <v>0</v>
      </c>
      <c r="K1558" t="n">
        <v>0</v>
      </c>
      <c r="L1558" t="n">
        <v>0</v>
      </c>
      <c r="M1558" t="n">
        <v>0</v>
      </c>
      <c r="N1558" t="n">
        <v>0</v>
      </c>
      <c r="O1558" t="n">
        <v>0</v>
      </c>
      <c r="P1558" t="n">
        <v>0</v>
      </c>
      <c r="Q1558" t="n">
        <v>0</v>
      </c>
      <c r="R1558" s="2" t="inlineStr"/>
    </row>
    <row r="1559" ht="15" customHeight="1">
      <c r="A1559" t="inlineStr">
        <is>
          <t>A 51160-2022</t>
        </is>
      </c>
      <c r="B1559" s="1" t="n">
        <v>44868</v>
      </c>
      <c r="C1559" s="1" t="n">
        <v>45832</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51240-2022</t>
        </is>
      </c>
      <c r="B1560" s="1" t="n">
        <v>44868</v>
      </c>
      <c r="C1560" s="1" t="n">
        <v>45832</v>
      </c>
      <c r="D1560" t="inlineStr">
        <is>
          <t>VÄSTERBOTTENS LÄN</t>
        </is>
      </c>
      <c r="E1560" t="inlineStr">
        <is>
          <t>SKELLEFTEÅ</t>
        </is>
      </c>
      <c r="F1560" t="inlineStr">
        <is>
          <t>Holmen skog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52129-2022</t>
        </is>
      </c>
      <c r="B1561" s="1" t="n">
        <v>44868</v>
      </c>
      <c r="C1561" s="1" t="n">
        <v>45832</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52141-2022</t>
        </is>
      </c>
      <c r="B1562" s="1" t="n">
        <v>44868</v>
      </c>
      <c r="C1562" s="1" t="n">
        <v>45832</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52148-2022</t>
        </is>
      </c>
      <c r="B1563" s="1" t="n">
        <v>44868</v>
      </c>
      <c r="C1563" s="1" t="n">
        <v>45832</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52135-2022</t>
        </is>
      </c>
      <c r="B1564" s="1" t="n">
        <v>44868</v>
      </c>
      <c r="C1564" s="1" t="n">
        <v>45832</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51486-2022</t>
        </is>
      </c>
      <c r="B1565" s="1" t="n">
        <v>44869</v>
      </c>
      <c r="C1565" s="1" t="n">
        <v>45832</v>
      </c>
      <c r="D1565" t="inlineStr">
        <is>
          <t>VÄSTERBOTTENS LÄN</t>
        </is>
      </c>
      <c r="E1565" t="inlineStr">
        <is>
          <t>SKELLEFTEÅ</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51427-2022</t>
        </is>
      </c>
      <c r="B1566" s="1" t="n">
        <v>44869</v>
      </c>
      <c r="C1566" s="1" t="n">
        <v>45832</v>
      </c>
      <c r="D1566" t="inlineStr">
        <is>
          <t>VÄSTERBOTTENS LÄN</t>
        </is>
      </c>
      <c r="E1566" t="inlineStr">
        <is>
          <t>SKELLEFTEÅ</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51438-2022</t>
        </is>
      </c>
      <c r="B1567" s="1" t="n">
        <v>44869</v>
      </c>
      <c r="C1567" s="1" t="n">
        <v>45832</v>
      </c>
      <c r="D1567" t="inlineStr">
        <is>
          <t>VÄSTERBOTTENS LÄN</t>
        </is>
      </c>
      <c r="E1567" t="inlineStr">
        <is>
          <t>SKELLEFTEÅ</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52482-2022</t>
        </is>
      </c>
      <c r="B1568" s="1" t="n">
        <v>44869</v>
      </c>
      <c r="C1568" s="1" t="n">
        <v>45832</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52500-2022</t>
        </is>
      </c>
      <c r="B1569" s="1" t="n">
        <v>44869</v>
      </c>
      <c r="C1569" s="1" t="n">
        <v>45832</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52475-2022</t>
        </is>
      </c>
      <c r="B1570" s="1" t="n">
        <v>44869</v>
      </c>
      <c r="C1570" s="1" t="n">
        <v>45832</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52497-2022</t>
        </is>
      </c>
      <c r="B1571" s="1" t="n">
        <v>44869</v>
      </c>
      <c r="C1571" s="1" t="n">
        <v>45832</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52459-2022</t>
        </is>
      </c>
      <c r="B1572" s="1" t="n">
        <v>44869</v>
      </c>
      <c r="C1572" s="1" t="n">
        <v>45832</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52492-2022</t>
        </is>
      </c>
      <c r="B1573" s="1" t="n">
        <v>44869</v>
      </c>
      <c r="C1573" s="1" t="n">
        <v>45832</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52488-2022</t>
        </is>
      </c>
      <c r="B1574" s="1" t="n">
        <v>44869</v>
      </c>
      <c r="C1574" s="1" t="n">
        <v>45832</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51919-2022</t>
        </is>
      </c>
      <c r="B1575" s="1" t="n">
        <v>44872</v>
      </c>
      <c r="C1575" s="1" t="n">
        <v>45832</v>
      </c>
      <c r="D1575" t="inlineStr">
        <is>
          <t>VÄSTERBOTTENS LÄN</t>
        </is>
      </c>
      <c r="E1575" t="inlineStr">
        <is>
          <t>SKELLEFTEÅ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51951-2022</t>
        </is>
      </c>
      <c r="B1576" s="1" t="n">
        <v>44872</v>
      </c>
      <c r="C1576" s="1" t="n">
        <v>45832</v>
      </c>
      <c r="D1576" t="inlineStr">
        <is>
          <t>VÄSTERBOTTENS LÄN</t>
        </is>
      </c>
      <c r="E1576" t="inlineStr">
        <is>
          <t>SKELLEFTEÅ</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52009-2022</t>
        </is>
      </c>
      <c r="B1577" s="1" t="n">
        <v>44872</v>
      </c>
      <c r="C1577" s="1" t="n">
        <v>45832</v>
      </c>
      <c r="D1577" t="inlineStr">
        <is>
          <t>VÄSTERBOTTENS LÄN</t>
        </is>
      </c>
      <c r="E1577" t="inlineStr">
        <is>
          <t>SKELLEFTEÅ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51982-2022</t>
        </is>
      </c>
      <c r="B1578" s="1" t="n">
        <v>44872</v>
      </c>
      <c r="C1578" s="1" t="n">
        <v>45832</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51874-2022</t>
        </is>
      </c>
      <c r="B1579" s="1" t="n">
        <v>44872</v>
      </c>
      <c r="C1579" s="1" t="n">
        <v>45832</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52864-2022</t>
        </is>
      </c>
      <c r="B1580" s="1" t="n">
        <v>44872</v>
      </c>
      <c r="C1580" s="1" t="n">
        <v>45832</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52003-2022</t>
        </is>
      </c>
      <c r="B1581" s="1" t="n">
        <v>44872</v>
      </c>
      <c r="C1581" s="1" t="n">
        <v>45832</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52817-2022</t>
        </is>
      </c>
      <c r="B1582" s="1" t="n">
        <v>44872</v>
      </c>
      <c r="C1582" s="1" t="n">
        <v>45832</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53753-2022</t>
        </is>
      </c>
      <c r="B1583" s="1" t="n">
        <v>44872</v>
      </c>
      <c r="C1583" s="1" t="n">
        <v>45832</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52871-2022</t>
        </is>
      </c>
      <c r="B1584" s="1" t="n">
        <v>44872</v>
      </c>
      <c r="C1584" s="1" t="n">
        <v>45832</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53743-2022</t>
        </is>
      </c>
      <c r="B1585" s="1" t="n">
        <v>44872</v>
      </c>
      <c r="C1585" s="1" t="n">
        <v>45832</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52855-2022</t>
        </is>
      </c>
      <c r="B1586" s="1" t="n">
        <v>44872</v>
      </c>
      <c r="C1586" s="1" t="n">
        <v>45832</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52043-2022</t>
        </is>
      </c>
      <c r="B1587" s="1" t="n">
        <v>44873</v>
      </c>
      <c r="C1587" s="1" t="n">
        <v>45832</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v>
      </c>
      <c r="C1588" s="1" t="n">
        <v>45832</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52548-2022</t>
        </is>
      </c>
      <c r="B1589" s="1" t="n">
        <v>44874</v>
      </c>
      <c r="C1589" s="1" t="n">
        <v>45832</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52555-2022</t>
        </is>
      </c>
      <c r="B1590" s="1" t="n">
        <v>44874</v>
      </c>
      <c r="C1590" s="1" t="n">
        <v>45832</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52835-2022</t>
        </is>
      </c>
      <c r="B1591" s="1" t="n">
        <v>44875</v>
      </c>
      <c r="C1591" s="1" t="n">
        <v>45832</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52869-2022</t>
        </is>
      </c>
      <c r="B1592" s="1" t="n">
        <v>44875</v>
      </c>
      <c r="C1592" s="1" t="n">
        <v>45832</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52986-2022</t>
        </is>
      </c>
      <c r="B1593" s="1" t="n">
        <v>44875</v>
      </c>
      <c r="C1593" s="1" t="n">
        <v>45832</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52988-2022</t>
        </is>
      </c>
      <c r="B1594" s="1" t="n">
        <v>44875</v>
      </c>
      <c r="C1594" s="1" t="n">
        <v>45832</v>
      </c>
      <c r="D1594" t="inlineStr">
        <is>
          <t>VÄSTERBOTTENS LÄN</t>
        </is>
      </c>
      <c r="E1594" t="inlineStr">
        <is>
          <t>SKELLEFTEÅ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53033-2022</t>
        </is>
      </c>
      <c r="B1595" s="1" t="n">
        <v>44876</v>
      </c>
      <c r="C1595" s="1" t="n">
        <v>45832</v>
      </c>
      <c r="D1595" t="inlineStr">
        <is>
          <t>VÄSTERBOTTENS LÄN</t>
        </is>
      </c>
      <c r="E1595" t="inlineStr">
        <is>
          <t>SKELLEFTEÅ</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53075-2022</t>
        </is>
      </c>
      <c r="B1596" s="1" t="n">
        <v>44876</v>
      </c>
      <c r="C1596" s="1" t="n">
        <v>45832</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53089-2022</t>
        </is>
      </c>
      <c r="B1597" s="1" t="n">
        <v>44876</v>
      </c>
      <c r="C1597" s="1" t="n">
        <v>45832</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53092-2022</t>
        </is>
      </c>
      <c r="B1598" s="1" t="n">
        <v>44876</v>
      </c>
      <c r="C1598" s="1" t="n">
        <v>45832</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53083-2022</t>
        </is>
      </c>
      <c r="B1599" s="1" t="n">
        <v>44876</v>
      </c>
      <c r="C1599" s="1" t="n">
        <v>45832</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53639-2022</t>
        </is>
      </c>
      <c r="B1600" s="1" t="n">
        <v>44879</v>
      </c>
      <c r="C1600" s="1" t="n">
        <v>45832</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53646-2022</t>
        </is>
      </c>
      <c r="B1601" s="1" t="n">
        <v>44879</v>
      </c>
      <c r="C1601" s="1" t="n">
        <v>45832</v>
      </c>
      <c r="D1601" t="inlineStr">
        <is>
          <t>VÄSTERBOTTENS LÄN</t>
        </is>
      </c>
      <c r="E1601" t="inlineStr">
        <is>
          <t>SKELLEFTEÅ</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53642-2022</t>
        </is>
      </c>
      <c r="B1602" s="1" t="n">
        <v>44879</v>
      </c>
      <c r="C1602" s="1" t="n">
        <v>45832</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53641-2022</t>
        </is>
      </c>
      <c r="B1603" s="1" t="n">
        <v>44879</v>
      </c>
      <c r="C1603" s="1" t="n">
        <v>45832</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54316-2022</t>
        </is>
      </c>
      <c r="B1604" s="1" t="n">
        <v>44879</v>
      </c>
      <c r="C1604" s="1" t="n">
        <v>45832</v>
      </c>
      <c r="D1604" t="inlineStr">
        <is>
          <t>VÄSTERBOTTENS LÄN</t>
        </is>
      </c>
      <c r="E1604" t="inlineStr">
        <is>
          <t>SKELLEFTEÅ</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54438-2022</t>
        </is>
      </c>
      <c r="B1605" s="1" t="n">
        <v>44880</v>
      </c>
      <c r="C1605" s="1" t="n">
        <v>45832</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53903-2022</t>
        </is>
      </c>
      <c r="B1606" s="1" t="n">
        <v>44880</v>
      </c>
      <c r="C1606" s="1" t="n">
        <v>45832</v>
      </c>
      <c r="D1606" t="inlineStr">
        <is>
          <t>VÄSTERBOTTENS LÄN</t>
        </is>
      </c>
      <c r="E1606" t="inlineStr">
        <is>
          <t>SKELLEFTEÅ</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45832</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54081-2022</t>
        </is>
      </c>
      <c r="B1608" s="1" t="n">
        <v>44881</v>
      </c>
      <c r="C1608" s="1" t="n">
        <v>45832</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45832</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54635-2022</t>
        </is>
      </c>
      <c r="B1610" s="1" t="n">
        <v>44883</v>
      </c>
      <c r="C1610" s="1" t="n">
        <v>45832</v>
      </c>
      <c r="D1610" t="inlineStr">
        <is>
          <t>VÄSTERBOTTENS LÄN</t>
        </is>
      </c>
      <c r="E1610" t="inlineStr">
        <is>
          <t>SKELLEFTEÅ</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55018-2022</t>
        </is>
      </c>
      <c r="B1611" s="1" t="n">
        <v>44886</v>
      </c>
      <c r="C1611" s="1" t="n">
        <v>45832</v>
      </c>
      <c r="D1611" t="inlineStr">
        <is>
          <t>VÄSTERBOTTENS LÄN</t>
        </is>
      </c>
      <c r="E1611" t="inlineStr">
        <is>
          <t>SKELLEFTEÅ</t>
        </is>
      </c>
      <c r="F1611" t="inlineStr">
        <is>
          <t>Holmen skog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55063-2022</t>
        </is>
      </c>
      <c r="B1612" s="1" t="n">
        <v>44886</v>
      </c>
      <c r="C1612" s="1" t="n">
        <v>45832</v>
      </c>
      <c r="D1612" t="inlineStr">
        <is>
          <t>VÄSTERBOTTENS LÄN</t>
        </is>
      </c>
      <c r="E1612" t="inlineStr">
        <is>
          <t>SKELLEFTEÅ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55037-2022</t>
        </is>
      </c>
      <c r="B1613" s="1" t="n">
        <v>44886</v>
      </c>
      <c r="C1613" s="1" t="n">
        <v>45832</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55176-2022</t>
        </is>
      </c>
      <c r="B1614" s="1" t="n">
        <v>44886</v>
      </c>
      <c r="C1614" s="1" t="n">
        <v>45832</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56313-2022</t>
        </is>
      </c>
      <c r="B1615" s="1" t="n">
        <v>44887</v>
      </c>
      <c r="C1615" s="1" t="n">
        <v>45832</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56299-2022</t>
        </is>
      </c>
      <c r="B1616" s="1" t="n">
        <v>44887</v>
      </c>
      <c r="C1616" s="1" t="n">
        <v>45832</v>
      </c>
      <c r="D1616" t="inlineStr">
        <is>
          <t>VÄSTERBOTTENS LÄN</t>
        </is>
      </c>
      <c r="E1616" t="inlineStr">
        <is>
          <t>SKELLEFTEÅ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55611-2022</t>
        </is>
      </c>
      <c r="B1617" s="1" t="n">
        <v>44888</v>
      </c>
      <c r="C1617" s="1" t="n">
        <v>45832</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55584-2022</t>
        </is>
      </c>
      <c r="B1618" s="1" t="n">
        <v>44888</v>
      </c>
      <c r="C1618" s="1" t="n">
        <v>45832</v>
      </c>
      <c r="D1618" t="inlineStr">
        <is>
          <t>VÄSTERBOTTENS LÄN</t>
        </is>
      </c>
      <c r="E1618" t="inlineStr">
        <is>
          <t>SKELLEFTEÅ</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55603-2022</t>
        </is>
      </c>
      <c r="B1619" s="1" t="n">
        <v>44888</v>
      </c>
      <c r="C1619" s="1" t="n">
        <v>45832</v>
      </c>
      <c r="D1619" t="inlineStr">
        <is>
          <t>VÄSTERBOTTENS LÄN</t>
        </is>
      </c>
      <c r="E1619" t="inlineStr">
        <is>
          <t>SKELLEFTEÅ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55623-2022</t>
        </is>
      </c>
      <c r="B1620" s="1" t="n">
        <v>44888</v>
      </c>
      <c r="C1620" s="1" t="n">
        <v>45832</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55815-2022</t>
        </is>
      </c>
      <c r="B1621" s="1" t="n">
        <v>44888</v>
      </c>
      <c r="C1621" s="1" t="n">
        <v>45832</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55827-2022</t>
        </is>
      </c>
      <c r="B1622" s="1" t="n">
        <v>44888</v>
      </c>
      <c r="C1622" s="1" t="n">
        <v>45832</v>
      </c>
      <c r="D1622" t="inlineStr">
        <is>
          <t>VÄSTERBOTTENS LÄN</t>
        </is>
      </c>
      <c r="E1622" t="inlineStr">
        <is>
          <t>SKELLEFTEÅ</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56824-2022</t>
        </is>
      </c>
      <c r="B1623" s="1" t="n">
        <v>44888</v>
      </c>
      <c r="C1623" s="1" t="n">
        <v>45832</v>
      </c>
      <c r="D1623" t="inlineStr">
        <is>
          <t>VÄSTERBOTTENS LÄN</t>
        </is>
      </c>
      <c r="E1623" t="inlineStr">
        <is>
          <t>SKELLEFTEÅ</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56031-2022</t>
        </is>
      </c>
      <c r="B1624" s="1" t="n">
        <v>44889</v>
      </c>
      <c r="C1624" s="1" t="n">
        <v>45832</v>
      </c>
      <c r="D1624" t="inlineStr">
        <is>
          <t>VÄSTERBOTTENS LÄN</t>
        </is>
      </c>
      <c r="E1624" t="inlineStr">
        <is>
          <t>SKELLEFTEÅ</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55982-2022</t>
        </is>
      </c>
      <c r="B1625" s="1" t="n">
        <v>44889</v>
      </c>
      <c r="C1625" s="1" t="n">
        <v>45832</v>
      </c>
      <c r="D1625" t="inlineStr">
        <is>
          <t>VÄSTERBOTTENS LÄN</t>
        </is>
      </c>
      <c r="E1625" t="inlineStr">
        <is>
          <t>SKELLEFTEÅ</t>
        </is>
      </c>
      <c r="F1625" t="inlineStr">
        <is>
          <t>Holmen skog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55999-2022</t>
        </is>
      </c>
      <c r="B1626" s="1" t="n">
        <v>44889</v>
      </c>
      <c r="C1626" s="1" t="n">
        <v>45832</v>
      </c>
      <c r="D1626" t="inlineStr">
        <is>
          <t>VÄSTERBOTTENS LÄN</t>
        </is>
      </c>
      <c r="E1626" t="inlineStr">
        <is>
          <t>SKELLEFTEÅ</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56072-2022</t>
        </is>
      </c>
      <c r="B1627" s="1" t="n">
        <v>44889</v>
      </c>
      <c r="C1627" s="1" t="n">
        <v>45832</v>
      </c>
      <c r="D1627" t="inlineStr">
        <is>
          <t>VÄSTERBOTTENS LÄN</t>
        </is>
      </c>
      <c r="E1627" t="inlineStr">
        <is>
          <t>SKELLEFTEÅ</t>
        </is>
      </c>
      <c r="F1627" t="inlineStr">
        <is>
          <t>Holmen skog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56141-2022</t>
        </is>
      </c>
      <c r="B1628" s="1" t="n">
        <v>44889</v>
      </c>
      <c r="C1628" s="1" t="n">
        <v>45832</v>
      </c>
      <c r="D1628" t="inlineStr">
        <is>
          <t>VÄSTERBOTTENS LÄN</t>
        </is>
      </c>
      <c r="E1628" t="inlineStr">
        <is>
          <t>SKELLEFTEÅ</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56155-2022</t>
        </is>
      </c>
      <c r="B1629" s="1" t="n">
        <v>44889</v>
      </c>
      <c r="C1629" s="1" t="n">
        <v>45832</v>
      </c>
      <c r="D1629" t="inlineStr">
        <is>
          <t>VÄSTERBOTTENS LÄN</t>
        </is>
      </c>
      <c r="E1629" t="inlineStr">
        <is>
          <t>SKELLEFTEÅ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56113-2022</t>
        </is>
      </c>
      <c r="B1630" s="1" t="n">
        <v>44889</v>
      </c>
      <c r="C1630" s="1" t="n">
        <v>45832</v>
      </c>
      <c r="D1630" t="inlineStr">
        <is>
          <t>VÄSTERBOTTENS LÄN</t>
        </is>
      </c>
      <c r="E1630" t="inlineStr">
        <is>
          <t>SKELLEFTEÅ</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56156-2022</t>
        </is>
      </c>
      <c r="B1631" s="1" t="n">
        <v>44889</v>
      </c>
      <c r="C1631" s="1" t="n">
        <v>45832</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57405-2022</t>
        </is>
      </c>
      <c r="B1632" s="1" t="n">
        <v>44889</v>
      </c>
      <c r="C1632" s="1" t="n">
        <v>45832</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57432-2022</t>
        </is>
      </c>
      <c r="B1633" s="1" t="n">
        <v>44889</v>
      </c>
      <c r="C1633" s="1" t="n">
        <v>45832</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56284-2022</t>
        </is>
      </c>
      <c r="B1634" s="1" t="n">
        <v>44890</v>
      </c>
      <c r="C1634" s="1" t="n">
        <v>45832</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56394-2022</t>
        </is>
      </c>
      <c r="B1635" s="1" t="n">
        <v>44890</v>
      </c>
      <c r="C1635" s="1" t="n">
        <v>45832</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56435-2022</t>
        </is>
      </c>
      <c r="B1636" s="1" t="n">
        <v>44892</v>
      </c>
      <c r="C1636" s="1" t="n">
        <v>45832</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56503-2022</t>
        </is>
      </c>
      <c r="B1637" s="1" t="n">
        <v>44893</v>
      </c>
      <c r="C1637" s="1" t="n">
        <v>45832</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57406-2022</t>
        </is>
      </c>
      <c r="B1638" s="1" t="n">
        <v>44893</v>
      </c>
      <c r="C1638" s="1" t="n">
        <v>45832</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58114-2022</t>
        </is>
      </c>
      <c r="B1639" s="1" t="n">
        <v>44893</v>
      </c>
      <c r="C1639" s="1" t="n">
        <v>45832</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56993-2022</t>
        </is>
      </c>
      <c r="B1640" s="1" t="n">
        <v>44894</v>
      </c>
      <c r="C1640" s="1" t="n">
        <v>45832</v>
      </c>
      <c r="D1640" t="inlineStr">
        <is>
          <t>VÄSTERBOTTENS LÄN</t>
        </is>
      </c>
      <c r="E1640" t="inlineStr">
        <is>
          <t>SKELLEFTEÅ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56960-2022</t>
        </is>
      </c>
      <c r="B1641" s="1" t="n">
        <v>44894</v>
      </c>
      <c r="C1641" s="1" t="n">
        <v>45832</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56995-2022</t>
        </is>
      </c>
      <c r="B1642" s="1" t="n">
        <v>44894</v>
      </c>
      <c r="C1642" s="1" t="n">
        <v>45832</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58250-2022</t>
        </is>
      </c>
      <c r="B1643" s="1" t="n">
        <v>44894</v>
      </c>
      <c r="C1643" s="1" t="n">
        <v>45832</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58634-2022</t>
        </is>
      </c>
      <c r="B1644" s="1" t="n">
        <v>44894</v>
      </c>
      <c r="C1644" s="1" t="n">
        <v>45832</v>
      </c>
      <c r="D1644" t="inlineStr">
        <is>
          <t>VÄSTERBOTTENS LÄN</t>
        </is>
      </c>
      <c r="E1644" t="inlineStr">
        <is>
          <t>SKELLEFTEÅ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57059-2022</t>
        </is>
      </c>
      <c r="B1645" s="1" t="n">
        <v>44895</v>
      </c>
      <c r="C1645" s="1" t="n">
        <v>45832</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57103-2022</t>
        </is>
      </c>
      <c r="B1646" s="1" t="n">
        <v>44895</v>
      </c>
      <c r="C1646" s="1" t="n">
        <v>45832</v>
      </c>
      <c r="D1646" t="inlineStr">
        <is>
          <t>VÄSTERBOTTENS LÄN</t>
        </is>
      </c>
      <c r="E1646" t="inlineStr">
        <is>
          <t>SKELLEFTEÅ</t>
        </is>
      </c>
      <c r="F1646" t="inlineStr">
        <is>
          <t>Holmen skog AB</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57057-2022</t>
        </is>
      </c>
      <c r="B1647" s="1" t="n">
        <v>44895</v>
      </c>
      <c r="C1647" s="1" t="n">
        <v>45832</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57054-2022</t>
        </is>
      </c>
      <c r="B1648" s="1" t="n">
        <v>44895</v>
      </c>
      <c r="C1648" s="1" t="n">
        <v>45832</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57152-2022</t>
        </is>
      </c>
      <c r="B1649" s="1" t="n">
        <v>44895</v>
      </c>
      <c r="C1649" s="1" t="n">
        <v>45832</v>
      </c>
      <c r="D1649" t="inlineStr">
        <is>
          <t>VÄSTERBOTTENS LÄN</t>
        </is>
      </c>
      <c r="E1649" t="inlineStr">
        <is>
          <t>SKELLEFTEÅ</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57187-2022</t>
        </is>
      </c>
      <c r="B1650" s="1" t="n">
        <v>44895</v>
      </c>
      <c r="C1650" s="1" t="n">
        <v>45832</v>
      </c>
      <c r="D1650" t="inlineStr">
        <is>
          <t>VÄSTERBOTTENS LÄN</t>
        </is>
      </c>
      <c r="E1650" t="inlineStr">
        <is>
          <t>SKELLEFTEÅ</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58897-2022</t>
        </is>
      </c>
      <c r="B1651" s="1" t="n">
        <v>44895</v>
      </c>
      <c r="C1651" s="1" t="n">
        <v>45832</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58814-2022</t>
        </is>
      </c>
      <c r="B1652" s="1" t="n">
        <v>44895</v>
      </c>
      <c r="C1652" s="1" t="n">
        <v>45832</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57364-2022</t>
        </is>
      </c>
      <c r="B1653" s="1" t="n">
        <v>44896</v>
      </c>
      <c r="C1653" s="1" t="n">
        <v>45832</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57417-2022</t>
        </is>
      </c>
      <c r="B1654" s="1" t="n">
        <v>44896</v>
      </c>
      <c r="C1654" s="1" t="n">
        <v>45832</v>
      </c>
      <c r="D1654" t="inlineStr">
        <is>
          <t>VÄSTERBOTTENS LÄN</t>
        </is>
      </c>
      <c r="E1654" t="inlineStr">
        <is>
          <t>SKELLEFTEÅ</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57579-2022</t>
        </is>
      </c>
      <c r="B1655" s="1" t="n">
        <v>44896</v>
      </c>
      <c r="C1655" s="1" t="n">
        <v>45832</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57362-2022</t>
        </is>
      </c>
      <c r="B1656" s="1" t="n">
        <v>44896</v>
      </c>
      <c r="C1656" s="1" t="n">
        <v>45832</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57457-2022</t>
        </is>
      </c>
      <c r="B1657" s="1" t="n">
        <v>44896</v>
      </c>
      <c r="C1657" s="1" t="n">
        <v>45832</v>
      </c>
      <c r="D1657" t="inlineStr">
        <is>
          <t>VÄSTERBOTTENS LÄN</t>
        </is>
      </c>
      <c r="E1657" t="inlineStr">
        <is>
          <t>SKELLEFTEÅ</t>
        </is>
      </c>
      <c r="F1657" t="inlineStr">
        <is>
          <t>Holmen skog AB</t>
        </is>
      </c>
      <c r="G1657" t="n">
        <v>16.2</v>
      </c>
      <c r="H1657" t="n">
        <v>0</v>
      </c>
      <c r="I1657" t="n">
        <v>0</v>
      </c>
      <c r="J1657" t="n">
        <v>0</v>
      </c>
      <c r="K1657" t="n">
        <v>0</v>
      </c>
      <c r="L1657" t="n">
        <v>0</v>
      </c>
      <c r="M1657" t="n">
        <v>0</v>
      </c>
      <c r="N1657" t="n">
        <v>0</v>
      </c>
      <c r="O1657" t="n">
        <v>0</v>
      </c>
      <c r="P1657" t="n">
        <v>0</v>
      </c>
      <c r="Q1657" t="n">
        <v>0</v>
      </c>
      <c r="R1657" s="2" t="inlineStr"/>
    </row>
    <row r="1658" ht="15" customHeight="1">
      <c r="A1658" t="inlineStr">
        <is>
          <t>A 57569-2022</t>
        </is>
      </c>
      <c r="B1658" s="1" t="n">
        <v>44896</v>
      </c>
      <c r="C1658" s="1" t="n">
        <v>45832</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57570-2022</t>
        </is>
      </c>
      <c r="B1659" s="1" t="n">
        <v>44896</v>
      </c>
      <c r="C1659" s="1" t="n">
        <v>45832</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57577-2022</t>
        </is>
      </c>
      <c r="B1660" s="1" t="n">
        <v>44896</v>
      </c>
      <c r="C1660" s="1" t="n">
        <v>45832</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57583-2022</t>
        </is>
      </c>
      <c r="B1661" s="1" t="n">
        <v>44896</v>
      </c>
      <c r="C1661" s="1" t="n">
        <v>45832</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57582-2022</t>
        </is>
      </c>
      <c r="B1662" s="1" t="n">
        <v>44896</v>
      </c>
      <c r="C1662" s="1" t="n">
        <v>45832</v>
      </c>
      <c r="D1662" t="inlineStr">
        <is>
          <t>VÄSTERBOTTENS LÄN</t>
        </is>
      </c>
      <c r="E1662" t="inlineStr">
        <is>
          <t>SKELLEFTEÅ</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57571-2022</t>
        </is>
      </c>
      <c r="B1663" s="1" t="n">
        <v>44896</v>
      </c>
      <c r="C1663" s="1" t="n">
        <v>45832</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57578-2022</t>
        </is>
      </c>
      <c r="B1664" s="1" t="n">
        <v>44896</v>
      </c>
      <c r="C1664" s="1" t="n">
        <v>45832</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57584-2022</t>
        </is>
      </c>
      <c r="B1665" s="1" t="n">
        <v>44896</v>
      </c>
      <c r="C1665" s="1" t="n">
        <v>45832</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58877-2022</t>
        </is>
      </c>
      <c r="B1666" s="1" t="n">
        <v>44896</v>
      </c>
      <c r="C1666" s="1" t="n">
        <v>45832</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58926-2022</t>
        </is>
      </c>
      <c r="B1667" s="1" t="n">
        <v>44896</v>
      </c>
      <c r="C1667" s="1" t="n">
        <v>45832</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57646-2022</t>
        </is>
      </c>
      <c r="B1668" s="1" t="n">
        <v>44897</v>
      </c>
      <c r="C1668" s="1" t="n">
        <v>45832</v>
      </c>
      <c r="D1668" t="inlineStr">
        <is>
          <t>VÄSTERBOTTENS LÄN</t>
        </is>
      </c>
      <c r="E1668" t="inlineStr">
        <is>
          <t>SKELLEFTEÅ</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57770-2022</t>
        </is>
      </c>
      <c r="B1669" s="1" t="n">
        <v>44897</v>
      </c>
      <c r="C1669" s="1" t="n">
        <v>45832</v>
      </c>
      <c r="D1669" t="inlineStr">
        <is>
          <t>VÄSTERBOTTENS LÄN</t>
        </is>
      </c>
      <c r="E1669" t="inlineStr">
        <is>
          <t>SKELLEFTEÅ</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57654-2022</t>
        </is>
      </c>
      <c r="B1670" s="1" t="n">
        <v>44897</v>
      </c>
      <c r="C1670" s="1" t="n">
        <v>45832</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57659-2022</t>
        </is>
      </c>
      <c r="B1671" s="1" t="n">
        <v>44897</v>
      </c>
      <c r="C1671" s="1" t="n">
        <v>45832</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59020-2022</t>
        </is>
      </c>
      <c r="B1672" s="1" t="n">
        <v>44897</v>
      </c>
      <c r="C1672" s="1" t="n">
        <v>45832</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57847-2022</t>
        </is>
      </c>
      <c r="B1673" s="1" t="n">
        <v>44898</v>
      </c>
      <c r="C1673" s="1" t="n">
        <v>45832</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57849-2022</t>
        </is>
      </c>
      <c r="B1674" s="1" t="n">
        <v>44898</v>
      </c>
      <c r="C1674" s="1" t="n">
        <v>45832</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57848-2022</t>
        </is>
      </c>
      <c r="B1675" s="1" t="n">
        <v>44898</v>
      </c>
      <c r="C1675" s="1" t="n">
        <v>45832</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57908-2022</t>
        </is>
      </c>
      <c r="B1676" s="1" t="n">
        <v>44900</v>
      </c>
      <c r="C1676" s="1" t="n">
        <v>45832</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58053-2022</t>
        </is>
      </c>
      <c r="B1677" s="1" t="n">
        <v>44900</v>
      </c>
      <c r="C1677" s="1" t="n">
        <v>45832</v>
      </c>
      <c r="D1677" t="inlineStr">
        <is>
          <t>VÄSTERBOTTENS LÄN</t>
        </is>
      </c>
      <c r="E1677" t="inlineStr">
        <is>
          <t>SKELLEFTEÅ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57899-2022</t>
        </is>
      </c>
      <c r="B1678" s="1" t="n">
        <v>44900</v>
      </c>
      <c r="C1678" s="1" t="n">
        <v>45832</v>
      </c>
      <c r="D1678" t="inlineStr">
        <is>
          <t>VÄSTERBOTTENS LÄN</t>
        </is>
      </c>
      <c r="E1678" t="inlineStr">
        <is>
          <t>SKELLEFTEÅ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58063-2022</t>
        </is>
      </c>
      <c r="B1679" s="1" t="n">
        <v>44900</v>
      </c>
      <c r="C1679" s="1" t="n">
        <v>45832</v>
      </c>
      <c r="D1679" t="inlineStr">
        <is>
          <t>VÄSTERBOTTENS LÄN</t>
        </is>
      </c>
      <c r="E1679" t="inlineStr">
        <is>
          <t>SKELLEFTEÅ</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59754-2022</t>
        </is>
      </c>
      <c r="B1680" s="1" t="n">
        <v>44900</v>
      </c>
      <c r="C1680" s="1" t="n">
        <v>45832</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58298-2022</t>
        </is>
      </c>
      <c r="B1681" s="1" t="n">
        <v>44901</v>
      </c>
      <c r="C1681" s="1" t="n">
        <v>45832</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58325-2022</t>
        </is>
      </c>
      <c r="B1682" s="1" t="n">
        <v>44901</v>
      </c>
      <c r="C1682" s="1" t="n">
        <v>45832</v>
      </c>
      <c r="D1682" t="inlineStr">
        <is>
          <t>VÄSTERBOTTENS LÄN</t>
        </is>
      </c>
      <c r="E1682" t="inlineStr">
        <is>
          <t>SKELLEFTEÅ</t>
        </is>
      </c>
      <c r="F1682" t="inlineStr">
        <is>
          <t>Sveaskog</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58376-2022</t>
        </is>
      </c>
      <c r="B1683" s="1" t="n">
        <v>44901</v>
      </c>
      <c r="C1683" s="1" t="n">
        <v>45832</v>
      </c>
      <c r="D1683" t="inlineStr">
        <is>
          <t>VÄSTERBOTTENS LÄN</t>
        </is>
      </c>
      <c r="E1683" t="inlineStr">
        <is>
          <t>SKELLEFTEÅ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58429-2022</t>
        </is>
      </c>
      <c r="B1684" s="1" t="n">
        <v>44901</v>
      </c>
      <c r="C1684" s="1" t="n">
        <v>45832</v>
      </c>
      <c r="D1684" t="inlineStr">
        <is>
          <t>VÄSTERBOTTENS LÄN</t>
        </is>
      </c>
      <c r="E1684" t="inlineStr">
        <is>
          <t>SKELLEFTEÅ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58304-2022</t>
        </is>
      </c>
      <c r="B1685" s="1" t="n">
        <v>44901</v>
      </c>
      <c r="C1685" s="1" t="n">
        <v>45832</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58197-2022</t>
        </is>
      </c>
      <c r="B1686" s="1" t="n">
        <v>44901</v>
      </c>
      <c r="C1686" s="1" t="n">
        <v>45832</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58295-2022</t>
        </is>
      </c>
      <c r="B1687" s="1" t="n">
        <v>44901</v>
      </c>
      <c r="C1687" s="1" t="n">
        <v>45832</v>
      </c>
      <c r="D1687" t="inlineStr">
        <is>
          <t>VÄSTERBOTTENS LÄN</t>
        </is>
      </c>
      <c r="E1687" t="inlineStr">
        <is>
          <t>SKELLEFTEÅ</t>
        </is>
      </c>
      <c r="F1687" t="inlineStr">
        <is>
          <t>Sveaskog</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58349-2022</t>
        </is>
      </c>
      <c r="B1688" s="1" t="n">
        <v>44901</v>
      </c>
      <c r="C1688" s="1" t="n">
        <v>45832</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58464-2022</t>
        </is>
      </c>
      <c r="B1689" s="1" t="n">
        <v>44902</v>
      </c>
      <c r="C1689" s="1" t="n">
        <v>45832</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58572-2022</t>
        </is>
      </c>
      <c r="B1690" s="1" t="n">
        <v>44902</v>
      </c>
      <c r="C1690" s="1" t="n">
        <v>45832</v>
      </c>
      <c r="D1690" t="inlineStr">
        <is>
          <t>VÄSTERBOTTENS LÄN</t>
        </is>
      </c>
      <c r="E1690" t="inlineStr">
        <is>
          <t>SKELLEFTEÅ</t>
        </is>
      </c>
      <c r="F1690" t="inlineStr">
        <is>
          <t>Sveaskog</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58676-2022</t>
        </is>
      </c>
      <c r="B1691" s="1" t="n">
        <v>44902</v>
      </c>
      <c r="C1691" s="1" t="n">
        <v>45832</v>
      </c>
      <c r="D1691" t="inlineStr">
        <is>
          <t>VÄSTERBOTTENS LÄN</t>
        </is>
      </c>
      <c r="E1691" t="inlineStr">
        <is>
          <t>SKELLEFTEÅ</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58803-2022</t>
        </is>
      </c>
      <c r="B1692" s="1" t="n">
        <v>44903</v>
      </c>
      <c r="C1692" s="1" t="n">
        <v>45832</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60237-2022</t>
        </is>
      </c>
      <c r="B1693" s="1" t="n">
        <v>44903</v>
      </c>
      <c r="C1693" s="1" t="n">
        <v>45832</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59067-2022</t>
        </is>
      </c>
      <c r="B1694" s="1" t="n">
        <v>44904</v>
      </c>
      <c r="C1694" s="1" t="n">
        <v>45832</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60558-2022</t>
        </is>
      </c>
      <c r="B1695" s="1" t="n">
        <v>44904</v>
      </c>
      <c r="C1695" s="1" t="n">
        <v>45832</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60356-2022</t>
        </is>
      </c>
      <c r="B1696" s="1" t="n">
        <v>44904</v>
      </c>
      <c r="C1696" s="1" t="n">
        <v>45832</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59531-2022</t>
        </is>
      </c>
      <c r="B1697" s="1" t="n">
        <v>44907</v>
      </c>
      <c r="C1697" s="1" t="n">
        <v>45832</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60981-2022</t>
        </is>
      </c>
      <c r="B1698" s="1" t="n">
        <v>44907</v>
      </c>
      <c r="C1698" s="1" t="n">
        <v>45832</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60785-2022</t>
        </is>
      </c>
      <c r="B1699" s="1" t="n">
        <v>44907</v>
      </c>
      <c r="C1699" s="1" t="n">
        <v>45832</v>
      </c>
      <c r="D1699" t="inlineStr">
        <is>
          <t>VÄSTERBOTTENS LÄN</t>
        </is>
      </c>
      <c r="E1699" t="inlineStr">
        <is>
          <t>SKELLEFTEÅ</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60970-2022</t>
        </is>
      </c>
      <c r="B1700" s="1" t="n">
        <v>44907</v>
      </c>
      <c r="C1700" s="1" t="n">
        <v>45832</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59666-2022</t>
        </is>
      </c>
      <c r="B1701" s="1" t="n">
        <v>44908</v>
      </c>
      <c r="C1701" s="1" t="n">
        <v>45832</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59744-2022</t>
        </is>
      </c>
      <c r="B1702" s="1" t="n">
        <v>44908</v>
      </c>
      <c r="C1702" s="1" t="n">
        <v>45832</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59664-2022</t>
        </is>
      </c>
      <c r="B1703" s="1" t="n">
        <v>44908</v>
      </c>
      <c r="C1703" s="1" t="n">
        <v>45832</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59748-2022</t>
        </is>
      </c>
      <c r="B1704" s="1" t="n">
        <v>44908</v>
      </c>
      <c r="C1704" s="1" t="n">
        <v>45832</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61153-2022</t>
        </is>
      </c>
      <c r="B1705" s="1" t="n">
        <v>44908</v>
      </c>
      <c r="C1705" s="1" t="n">
        <v>45832</v>
      </c>
      <c r="D1705" t="inlineStr">
        <is>
          <t>VÄSTERBOTTENS LÄN</t>
        </is>
      </c>
      <c r="E1705" t="inlineStr">
        <is>
          <t>SKELLEFTEÅ</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60000-2022</t>
        </is>
      </c>
      <c r="B1706" s="1" t="n">
        <v>44909</v>
      </c>
      <c r="C1706" s="1" t="n">
        <v>45832</v>
      </c>
      <c r="D1706" t="inlineStr">
        <is>
          <t>VÄSTERBOTTENS LÄN</t>
        </is>
      </c>
      <c r="E1706" t="inlineStr">
        <is>
          <t>SKELLEFTEÅ</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61275-2022</t>
        </is>
      </c>
      <c r="B1707" s="1" t="n">
        <v>44909</v>
      </c>
      <c r="C1707" s="1" t="n">
        <v>45832</v>
      </c>
      <c r="D1707" t="inlineStr">
        <is>
          <t>VÄSTERBOTTENS LÄN</t>
        </is>
      </c>
      <c r="E1707" t="inlineStr">
        <is>
          <t>SKELLEFTEÅ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60378-2022</t>
        </is>
      </c>
      <c r="B1708" s="1" t="n">
        <v>44910</v>
      </c>
      <c r="C1708" s="1" t="n">
        <v>45832</v>
      </c>
      <c r="D1708" t="inlineStr">
        <is>
          <t>VÄSTERBOTTENS LÄN</t>
        </is>
      </c>
      <c r="E1708" t="inlineStr">
        <is>
          <t>SKELLEFTEÅ</t>
        </is>
      </c>
      <c r="F1708" t="inlineStr">
        <is>
          <t>Holmen skog AB</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60488-2022</t>
        </is>
      </c>
      <c r="B1709" s="1" t="n">
        <v>44911</v>
      </c>
      <c r="C1709" s="1" t="n">
        <v>45832</v>
      </c>
      <c r="D1709" t="inlineStr">
        <is>
          <t>VÄSTERBOTTENS LÄN</t>
        </is>
      </c>
      <c r="E1709" t="inlineStr">
        <is>
          <t>SKELLEFTEÅ</t>
        </is>
      </c>
      <c r="F1709" t="inlineStr">
        <is>
          <t>Sveaskog</t>
        </is>
      </c>
      <c r="G1709" t="n">
        <v>11.6</v>
      </c>
      <c r="H1709" t="n">
        <v>0</v>
      </c>
      <c r="I1709" t="n">
        <v>0</v>
      </c>
      <c r="J1709" t="n">
        <v>0</v>
      </c>
      <c r="K1709" t="n">
        <v>0</v>
      </c>
      <c r="L1709" t="n">
        <v>0</v>
      </c>
      <c r="M1709" t="n">
        <v>0</v>
      </c>
      <c r="N1709" t="n">
        <v>0</v>
      </c>
      <c r="O1709" t="n">
        <v>0</v>
      </c>
      <c r="P1709" t="n">
        <v>0</v>
      </c>
      <c r="Q1709" t="n">
        <v>0</v>
      </c>
      <c r="R1709" s="2" t="inlineStr"/>
      <c r="U1709">
        <f>HYPERLINK("https://klasma.github.io/Logging_2482/knärot/A 60488-2022 karta knärot.png", "A 60488-2022")</f>
        <v/>
      </c>
      <c r="V1709">
        <f>HYPERLINK("https://klasma.github.io/Logging_2482/klagomål/A 60488-2022 FSC-klagomål.docx", "A 60488-2022")</f>
        <v/>
      </c>
      <c r="W1709">
        <f>HYPERLINK("https://klasma.github.io/Logging_2482/klagomålsmail/A 60488-2022 FSC-klagomål mail.docx", "A 60488-2022")</f>
        <v/>
      </c>
      <c r="X1709">
        <f>HYPERLINK("https://klasma.github.io/Logging_2482/tillsyn/A 60488-2022 tillsynsbegäran.docx", "A 60488-2022")</f>
        <v/>
      </c>
      <c r="Y1709">
        <f>HYPERLINK("https://klasma.github.io/Logging_2482/tillsynsmail/A 60488-2022 tillsynsbegäran mail.docx", "A 60488-2022")</f>
        <v/>
      </c>
    </row>
    <row r="1710" ht="15" customHeight="1">
      <c r="A1710" t="inlineStr">
        <is>
          <t>A 60498-2022</t>
        </is>
      </c>
      <c r="B1710" s="1" t="n">
        <v>44911</v>
      </c>
      <c r="C1710" s="1" t="n">
        <v>45832</v>
      </c>
      <c r="D1710" t="inlineStr">
        <is>
          <t>VÄSTERBOTTENS LÄN</t>
        </is>
      </c>
      <c r="E1710" t="inlineStr">
        <is>
          <t>SKELLEFTEÅ</t>
        </is>
      </c>
      <c r="F1710" t="inlineStr">
        <is>
          <t>Sveaskog</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60582-2022</t>
        </is>
      </c>
      <c r="B1711" s="1" t="n">
        <v>44911</v>
      </c>
      <c r="C1711" s="1" t="n">
        <v>45832</v>
      </c>
      <c r="D1711" t="inlineStr">
        <is>
          <t>VÄSTERBOTTENS LÄN</t>
        </is>
      </c>
      <c r="E1711" t="inlineStr">
        <is>
          <t>SKELLEFTEÅ</t>
        </is>
      </c>
      <c r="F1711" t="inlineStr">
        <is>
          <t>Sveaskog</t>
        </is>
      </c>
      <c r="G1711" t="n">
        <v>27.3</v>
      </c>
      <c r="H1711" t="n">
        <v>0</v>
      </c>
      <c r="I1711" t="n">
        <v>0</v>
      </c>
      <c r="J1711" t="n">
        <v>0</v>
      </c>
      <c r="K1711" t="n">
        <v>0</v>
      </c>
      <c r="L1711" t="n">
        <v>0</v>
      </c>
      <c r="M1711" t="n">
        <v>0</v>
      </c>
      <c r="N1711" t="n">
        <v>0</v>
      </c>
      <c r="O1711" t="n">
        <v>0</v>
      </c>
      <c r="P1711" t="n">
        <v>0</v>
      </c>
      <c r="Q1711" t="n">
        <v>0</v>
      </c>
      <c r="R1711" s="2" t="inlineStr"/>
    </row>
    <row r="1712" ht="15" customHeight="1">
      <c r="A1712" t="inlineStr">
        <is>
          <t>A 60656-2022</t>
        </is>
      </c>
      <c r="B1712" s="1" t="n">
        <v>44911</v>
      </c>
      <c r="C1712" s="1" t="n">
        <v>45832</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60452-2022</t>
        </is>
      </c>
      <c r="B1713" s="1" t="n">
        <v>44911</v>
      </c>
      <c r="C1713" s="1" t="n">
        <v>45832</v>
      </c>
      <c r="D1713" t="inlineStr">
        <is>
          <t>VÄSTERBOTTENS LÄN</t>
        </is>
      </c>
      <c r="E1713" t="inlineStr">
        <is>
          <t>SKELLEFTEÅ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60502-2022</t>
        </is>
      </c>
      <c r="B1714" s="1" t="n">
        <v>44911</v>
      </c>
      <c r="C1714" s="1" t="n">
        <v>45832</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60524-2022</t>
        </is>
      </c>
      <c r="B1715" s="1" t="n">
        <v>44911</v>
      </c>
      <c r="C1715" s="1" t="n">
        <v>45832</v>
      </c>
      <c r="D1715" t="inlineStr">
        <is>
          <t>VÄSTERBOTTENS LÄN</t>
        </is>
      </c>
      <c r="E1715" t="inlineStr">
        <is>
          <t>SKELLEFTEÅ</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60581-2022</t>
        </is>
      </c>
      <c r="B1716" s="1" t="n">
        <v>44911</v>
      </c>
      <c r="C1716" s="1" t="n">
        <v>45832</v>
      </c>
      <c r="D1716" t="inlineStr">
        <is>
          <t>VÄSTERBOTTENS LÄN</t>
        </is>
      </c>
      <c r="E1716" t="inlineStr">
        <is>
          <t>SKELLEFTEÅ</t>
        </is>
      </c>
      <c r="F1716" t="inlineStr">
        <is>
          <t>Sveaskog</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60655-2022</t>
        </is>
      </c>
      <c r="B1717" s="1" t="n">
        <v>44911</v>
      </c>
      <c r="C1717" s="1" t="n">
        <v>45832</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60506-2022</t>
        </is>
      </c>
      <c r="B1718" s="1" t="n">
        <v>44911</v>
      </c>
      <c r="C1718" s="1" t="n">
        <v>45832</v>
      </c>
      <c r="D1718" t="inlineStr">
        <is>
          <t>VÄSTERBOTTENS LÄN</t>
        </is>
      </c>
      <c r="E1718" t="inlineStr">
        <is>
          <t>SKELLEFTEÅ</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60484-2022</t>
        </is>
      </c>
      <c r="B1719" s="1" t="n">
        <v>44911</v>
      </c>
      <c r="C1719" s="1" t="n">
        <v>45832</v>
      </c>
      <c r="D1719" t="inlineStr">
        <is>
          <t>VÄSTERBOTTENS LÄN</t>
        </is>
      </c>
      <c r="E1719" t="inlineStr">
        <is>
          <t>SKELLEFTEÅ</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60585-2022</t>
        </is>
      </c>
      <c r="B1720" s="1" t="n">
        <v>44911</v>
      </c>
      <c r="C1720" s="1" t="n">
        <v>45832</v>
      </c>
      <c r="D1720" t="inlineStr">
        <is>
          <t>VÄSTERBOTTENS LÄN</t>
        </is>
      </c>
      <c r="E1720" t="inlineStr">
        <is>
          <t>SKELLEFTEÅ</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60590-2022</t>
        </is>
      </c>
      <c r="B1721" s="1" t="n">
        <v>44911</v>
      </c>
      <c r="C1721" s="1" t="n">
        <v>45832</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61697-2022</t>
        </is>
      </c>
      <c r="B1722" s="1" t="n">
        <v>44911</v>
      </c>
      <c r="C1722" s="1" t="n">
        <v>45832</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61700-2022</t>
        </is>
      </c>
      <c r="B1723" s="1" t="n">
        <v>44911</v>
      </c>
      <c r="C1723" s="1" t="n">
        <v>45832</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60787-2022</t>
        </is>
      </c>
      <c r="B1724" s="1" t="n">
        <v>44914</v>
      </c>
      <c r="C1724" s="1" t="n">
        <v>45832</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60853-2022</t>
        </is>
      </c>
      <c r="B1725" s="1" t="n">
        <v>44914</v>
      </c>
      <c r="C1725" s="1" t="n">
        <v>45832</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60858-2022</t>
        </is>
      </c>
      <c r="B1726" s="1" t="n">
        <v>44914</v>
      </c>
      <c r="C1726" s="1" t="n">
        <v>45832</v>
      </c>
      <c r="D1726" t="inlineStr">
        <is>
          <t>VÄSTERBOTTENS LÄN</t>
        </is>
      </c>
      <c r="E1726" t="inlineStr">
        <is>
          <t>SKELLEFTEÅ</t>
        </is>
      </c>
      <c r="F1726" t="inlineStr">
        <is>
          <t>Sveaskog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60789-2022</t>
        </is>
      </c>
      <c r="B1727" s="1" t="n">
        <v>44914</v>
      </c>
      <c r="C1727" s="1" t="n">
        <v>45832</v>
      </c>
      <c r="D1727" t="inlineStr">
        <is>
          <t>VÄSTERBOTTENS LÄN</t>
        </is>
      </c>
      <c r="E1727" t="inlineStr">
        <is>
          <t>SKELLEFTEÅ</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62028-2022</t>
        </is>
      </c>
      <c r="B1728" s="1" t="n">
        <v>44914</v>
      </c>
      <c r="C1728" s="1" t="n">
        <v>45832</v>
      </c>
      <c r="D1728" t="inlineStr">
        <is>
          <t>VÄSTERBOTTENS LÄN</t>
        </is>
      </c>
      <c r="E1728" t="inlineStr">
        <is>
          <t>SKELLEFTEÅ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62027-2022</t>
        </is>
      </c>
      <c r="B1729" s="1" t="n">
        <v>44914</v>
      </c>
      <c r="C1729" s="1" t="n">
        <v>45832</v>
      </c>
      <c r="D1729" t="inlineStr">
        <is>
          <t>VÄSTERBOTTENS LÄN</t>
        </is>
      </c>
      <c r="E1729" t="inlineStr">
        <is>
          <t>SKELLEFTEÅ</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45832</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61105-2022</t>
        </is>
      </c>
      <c r="B1731" s="1" t="n">
        <v>44915</v>
      </c>
      <c r="C1731" s="1" t="n">
        <v>45832</v>
      </c>
      <c r="D1731" t="inlineStr">
        <is>
          <t>VÄSTERBOTTENS LÄN</t>
        </is>
      </c>
      <c r="E1731" t="inlineStr">
        <is>
          <t>SKELLEFTEÅ</t>
        </is>
      </c>
      <c r="F1731" t="inlineStr">
        <is>
          <t>Sveaskog</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61101-2022</t>
        </is>
      </c>
      <c r="B1732" s="1" t="n">
        <v>44915</v>
      </c>
      <c r="C1732" s="1" t="n">
        <v>45832</v>
      </c>
      <c r="D1732" t="inlineStr">
        <is>
          <t>VÄSTERBOTTENS LÄN</t>
        </is>
      </c>
      <c r="E1732" t="inlineStr">
        <is>
          <t>SKELLEFTEÅ</t>
        </is>
      </c>
      <c r="F1732" t="inlineStr">
        <is>
          <t>Sveaskog</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61132-2022</t>
        </is>
      </c>
      <c r="B1733" s="1" t="n">
        <v>44915</v>
      </c>
      <c r="C1733" s="1" t="n">
        <v>45832</v>
      </c>
      <c r="D1733" t="inlineStr">
        <is>
          <t>VÄSTERBOTTENS LÄN</t>
        </is>
      </c>
      <c r="E1733" t="inlineStr">
        <is>
          <t>SKELLEFTEÅ</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61348-2022</t>
        </is>
      </c>
      <c r="B1734" s="1" t="n">
        <v>44915</v>
      </c>
      <c r="C1734" s="1" t="n">
        <v>45832</v>
      </c>
      <c r="D1734" t="inlineStr">
        <is>
          <t>VÄSTERBOTTENS LÄN</t>
        </is>
      </c>
      <c r="E1734" t="inlineStr">
        <is>
          <t>SKELLEFTEÅ</t>
        </is>
      </c>
      <c r="F1734" t="inlineStr">
        <is>
          <t>Sveaskog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61467-2022</t>
        </is>
      </c>
      <c r="B1735" s="1" t="n">
        <v>44916</v>
      </c>
      <c r="C1735" s="1" t="n">
        <v>45832</v>
      </c>
      <c r="D1735" t="inlineStr">
        <is>
          <t>VÄSTERBOTTENS LÄN</t>
        </is>
      </c>
      <c r="E1735" t="inlineStr">
        <is>
          <t>SKELLEFTEÅ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61635-2022</t>
        </is>
      </c>
      <c r="B1736" s="1" t="n">
        <v>44916</v>
      </c>
      <c r="C1736" s="1" t="n">
        <v>45832</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61634-2022</t>
        </is>
      </c>
      <c r="B1737" s="1" t="n">
        <v>44916</v>
      </c>
      <c r="C1737" s="1" t="n">
        <v>45832</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61569-2022</t>
        </is>
      </c>
      <c r="B1738" s="1" t="n">
        <v>44916</v>
      </c>
      <c r="C1738" s="1" t="n">
        <v>45832</v>
      </c>
      <c r="D1738" t="inlineStr">
        <is>
          <t>VÄSTERBOTTENS LÄN</t>
        </is>
      </c>
      <c r="E1738" t="inlineStr">
        <is>
          <t>SKELLEFTEÅ</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61631-2022</t>
        </is>
      </c>
      <c r="B1739" s="1" t="n">
        <v>44916</v>
      </c>
      <c r="C1739" s="1" t="n">
        <v>45832</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62325-2022</t>
        </is>
      </c>
      <c r="B1740" s="1" t="n">
        <v>44916</v>
      </c>
      <c r="C1740" s="1" t="n">
        <v>45832</v>
      </c>
      <c r="D1740" t="inlineStr">
        <is>
          <t>VÄSTERBOTTENS LÄN</t>
        </is>
      </c>
      <c r="E1740" t="inlineStr">
        <is>
          <t>SKELLEFTEÅ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62323-2022</t>
        </is>
      </c>
      <c r="B1741" s="1" t="n">
        <v>44916</v>
      </c>
      <c r="C1741" s="1" t="n">
        <v>45832</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62536-2022</t>
        </is>
      </c>
      <c r="B1742" s="1" t="n">
        <v>44917</v>
      </c>
      <c r="C1742" s="1" t="n">
        <v>45832</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121-2023</t>
        </is>
      </c>
      <c r="B1743" s="1" t="n">
        <v>44918</v>
      </c>
      <c r="C1743" s="1" t="n">
        <v>45832</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62249-2022</t>
        </is>
      </c>
      <c r="B1744" s="1" t="n">
        <v>44922</v>
      </c>
      <c r="C1744" s="1" t="n">
        <v>45832</v>
      </c>
      <c r="D1744" t="inlineStr">
        <is>
          <t>VÄSTERBOTTENS LÄN</t>
        </is>
      </c>
      <c r="E1744" t="inlineStr">
        <is>
          <t>SKELLEFTEÅ</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62279-2022</t>
        </is>
      </c>
      <c r="B1745" s="1" t="n">
        <v>44923</v>
      </c>
      <c r="C1745" s="1" t="n">
        <v>45832</v>
      </c>
      <c r="D1745" t="inlineStr">
        <is>
          <t>VÄSTERBOTTENS LÄN</t>
        </is>
      </c>
      <c r="E1745" t="inlineStr">
        <is>
          <t>SKELLEFTEÅ</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62284-2022</t>
        </is>
      </c>
      <c r="B1746" s="1" t="n">
        <v>44923</v>
      </c>
      <c r="C1746" s="1" t="n">
        <v>45832</v>
      </c>
      <c r="D1746" t="inlineStr">
        <is>
          <t>VÄSTERBOTTENS LÄN</t>
        </is>
      </c>
      <c r="E1746" t="inlineStr">
        <is>
          <t>SKELLEFTEÅ</t>
        </is>
      </c>
      <c r="F1746" t="inlineStr">
        <is>
          <t>Sveaskog</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62308-2022</t>
        </is>
      </c>
      <c r="B1747" s="1" t="n">
        <v>44923</v>
      </c>
      <c r="C1747" s="1" t="n">
        <v>45832</v>
      </c>
      <c r="D1747" t="inlineStr">
        <is>
          <t>VÄSTERBOTTENS LÄN</t>
        </is>
      </c>
      <c r="E1747" t="inlineStr">
        <is>
          <t>SKELLEFTEÅ</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62319-2022</t>
        </is>
      </c>
      <c r="B1748" s="1" t="n">
        <v>44923</v>
      </c>
      <c r="C1748" s="1" t="n">
        <v>45832</v>
      </c>
      <c r="D1748" t="inlineStr">
        <is>
          <t>VÄSTERBOTTENS LÄN</t>
        </is>
      </c>
      <c r="E1748" t="inlineStr">
        <is>
          <t>SKELLEFTEÅ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62483-2022</t>
        </is>
      </c>
      <c r="B1749" s="1" t="n">
        <v>44924</v>
      </c>
      <c r="C1749" s="1" t="n">
        <v>45832</v>
      </c>
      <c r="D1749" t="inlineStr">
        <is>
          <t>VÄSTERBOTTENS LÄN</t>
        </is>
      </c>
      <c r="E1749" t="inlineStr">
        <is>
          <t>SKELLEFTEÅ</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62577-2022</t>
        </is>
      </c>
      <c r="B1750" s="1" t="n">
        <v>44924</v>
      </c>
      <c r="C1750" s="1" t="n">
        <v>45832</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62642-2022</t>
        </is>
      </c>
      <c r="B1751" s="1" t="n">
        <v>44925</v>
      </c>
      <c r="C1751" s="1" t="n">
        <v>45832</v>
      </c>
      <c r="D1751" t="inlineStr">
        <is>
          <t>VÄSTERBOTTENS LÄN</t>
        </is>
      </c>
      <c r="E1751" t="inlineStr">
        <is>
          <t>SKELLEFTEÅ</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531-2023</t>
        </is>
      </c>
      <c r="B1752" s="1" t="n">
        <v>44925</v>
      </c>
      <c r="C1752" s="1" t="n">
        <v>45832</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639-2023</t>
        </is>
      </c>
      <c r="B1753" s="1" t="n">
        <v>44928</v>
      </c>
      <c r="C1753" s="1" t="n">
        <v>45832</v>
      </c>
      <c r="D1753" t="inlineStr">
        <is>
          <t>VÄSTERBOTTENS LÄN</t>
        </is>
      </c>
      <c r="E1753" t="inlineStr">
        <is>
          <t>SKELLEFTEÅ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640-2023</t>
        </is>
      </c>
      <c r="B1754" s="1" t="n">
        <v>44928</v>
      </c>
      <c r="C1754" s="1" t="n">
        <v>45832</v>
      </c>
      <c r="D1754" t="inlineStr">
        <is>
          <t>VÄSTERBOTTENS LÄN</t>
        </is>
      </c>
      <c r="E1754" t="inlineStr">
        <is>
          <t>SKELLEFTEÅ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1076-2023</t>
        </is>
      </c>
      <c r="B1755" s="1" t="n">
        <v>44929</v>
      </c>
      <c r="C1755" s="1" t="n">
        <v>45832</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547-2023</t>
        </is>
      </c>
      <c r="B1756" s="1" t="n">
        <v>44930</v>
      </c>
      <c r="C1756" s="1" t="n">
        <v>45832</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589-2023</t>
        </is>
      </c>
      <c r="B1757" s="1" t="n">
        <v>44930</v>
      </c>
      <c r="C1757" s="1" t="n">
        <v>45832</v>
      </c>
      <c r="D1757" t="inlineStr">
        <is>
          <t>VÄSTERBOTTENS LÄN</t>
        </is>
      </c>
      <c r="E1757" t="inlineStr">
        <is>
          <t>SKELLEFTEÅ</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703-2023</t>
        </is>
      </c>
      <c r="B1758" s="1" t="n">
        <v>44930</v>
      </c>
      <c r="C1758" s="1" t="n">
        <v>45832</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707-2023</t>
        </is>
      </c>
      <c r="B1759" s="1" t="n">
        <v>44930</v>
      </c>
      <c r="C1759" s="1" t="n">
        <v>45832</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702-2023</t>
        </is>
      </c>
      <c r="B1760" s="1" t="n">
        <v>44930</v>
      </c>
      <c r="C1760" s="1" t="n">
        <v>45832</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706-2023</t>
        </is>
      </c>
      <c r="B1761" s="1" t="n">
        <v>44930</v>
      </c>
      <c r="C1761" s="1" t="n">
        <v>45832</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1206-2023</t>
        </is>
      </c>
      <c r="B1762" s="1" t="n">
        <v>44930</v>
      </c>
      <c r="C1762" s="1" t="n">
        <v>45832</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911-2023</t>
        </is>
      </c>
      <c r="B1763" s="1" t="n">
        <v>44931</v>
      </c>
      <c r="C1763" s="1" t="n">
        <v>45832</v>
      </c>
      <c r="D1763" t="inlineStr">
        <is>
          <t>VÄSTERBOTTENS LÄN</t>
        </is>
      </c>
      <c r="E1763" t="inlineStr">
        <is>
          <t>SKELLEFTEÅ</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900-2023</t>
        </is>
      </c>
      <c r="B1764" s="1" t="n">
        <v>44931</v>
      </c>
      <c r="C1764" s="1" t="n">
        <v>45832</v>
      </c>
      <c r="D1764" t="inlineStr">
        <is>
          <t>VÄSTERBOTTENS LÄN</t>
        </is>
      </c>
      <c r="E1764" t="inlineStr">
        <is>
          <t>SKELLEFTEÅ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904-2023</t>
        </is>
      </c>
      <c r="B1765" s="1" t="n">
        <v>44931</v>
      </c>
      <c r="C1765" s="1" t="n">
        <v>45832</v>
      </c>
      <c r="D1765" t="inlineStr">
        <is>
          <t>VÄSTERBOTTENS LÄN</t>
        </is>
      </c>
      <c r="E1765" t="inlineStr">
        <is>
          <t>SKELLEFTEÅ</t>
        </is>
      </c>
      <c r="G1765" t="n">
        <v>22.2</v>
      </c>
      <c r="H1765" t="n">
        <v>0</v>
      </c>
      <c r="I1765" t="n">
        <v>0</v>
      </c>
      <c r="J1765" t="n">
        <v>0</v>
      </c>
      <c r="K1765" t="n">
        <v>0</v>
      </c>
      <c r="L1765" t="n">
        <v>0</v>
      </c>
      <c r="M1765" t="n">
        <v>0</v>
      </c>
      <c r="N1765" t="n">
        <v>0</v>
      </c>
      <c r="O1765" t="n">
        <v>0</v>
      </c>
      <c r="P1765" t="n">
        <v>0</v>
      </c>
      <c r="Q1765" t="n">
        <v>0</v>
      </c>
      <c r="R1765" s="2" t="inlineStr"/>
    </row>
    <row r="1766" ht="15" customHeight="1">
      <c r="A1766" t="inlineStr">
        <is>
          <t>A 913-2023</t>
        </is>
      </c>
      <c r="B1766" s="1" t="n">
        <v>44931</v>
      </c>
      <c r="C1766" s="1" t="n">
        <v>45832</v>
      </c>
      <c r="D1766" t="inlineStr">
        <is>
          <t>VÄSTERBOTTENS LÄN</t>
        </is>
      </c>
      <c r="E1766" t="inlineStr">
        <is>
          <t>SKELLEFTEÅ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909-2023</t>
        </is>
      </c>
      <c r="B1767" s="1" t="n">
        <v>44931</v>
      </c>
      <c r="C1767" s="1" t="n">
        <v>45832</v>
      </c>
      <c r="D1767" t="inlineStr">
        <is>
          <t>VÄSTERBOTTENS LÄN</t>
        </is>
      </c>
      <c r="E1767" t="inlineStr">
        <is>
          <t>SKELLEFTEÅ</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903-2023</t>
        </is>
      </c>
      <c r="B1768" s="1" t="n">
        <v>44931</v>
      </c>
      <c r="C1768" s="1" t="n">
        <v>45832</v>
      </c>
      <c r="D1768" t="inlineStr">
        <is>
          <t>VÄSTERBOTTENS LÄN</t>
        </is>
      </c>
      <c r="E1768" t="inlineStr">
        <is>
          <t>SKELLEFTEÅ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1113-2023</t>
        </is>
      </c>
      <c r="B1769" s="1" t="n">
        <v>44935</v>
      </c>
      <c r="C1769" s="1" t="n">
        <v>45832</v>
      </c>
      <c r="D1769" t="inlineStr">
        <is>
          <t>VÄSTERBOTTENS LÄN</t>
        </is>
      </c>
      <c r="E1769" t="inlineStr">
        <is>
          <t>SKELLEFTEÅ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1134-2023</t>
        </is>
      </c>
      <c r="B1770" s="1" t="n">
        <v>44935</v>
      </c>
      <c r="C1770" s="1" t="n">
        <v>45832</v>
      </c>
      <c r="D1770" t="inlineStr">
        <is>
          <t>VÄSTERBOTTENS LÄN</t>
        </is>
      </c>
      <c r="E1770" t="inlineStr">
        <is>
          <t>SKELLEFTEÅ</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1111-2023</t>
        </is>
      </c>
      <c r="B1771" s="1" t="n">
        <v>44935</v>
      </c>
      <c r="C1771" s="1" t="n">
        <v>45832</v>
      </c>
      <c r="D1771" t="inlineStr">
        <is>
          <t>VÄSTERBOTTENS LÄN</t>
        </is>
      </c>
      <c r="E1771" t="inlineStr">
        <is>
          <t>SKELLEFTEÅ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1612-2023</t>
        </is>
      </c>
      <c r="B1772" s="1" t="n">
        <v>44935</v>
      </c>
      <c r="C1772" s="1" t="n">
        <v>45832</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1528-2023</t>
        </is>
      </c>
      <c r="B1773" s="1" t="n">
        <v>44935</v>
      </c>
      <c r="C1773" s="1" t="n">
        <v>45832</v>
      </c>
      <c r="D1773" t="inlineStr">
        <is>
          <t>VÄSTERBOTTENS LÄN</t>
        </is>
      </c>
      <c r="E1773" t="inlineStr">
        <is>
          <t>SKELLEFTEÅ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1419-2023</t>
        </is>
      </c>
      <c r="B1774" s="1" t="n">
        <v>44936</v>
      </c>
      <c r="C1774" s="1" t="n">
        <v>45832</v>
      </c>
      <c r="D1774" t="inlineStr">
        <is>
          <t>VÄSTERBOTTENS LÄN</t>
        </is>
      </c>
      <c r="E1774" t="inlineStr">
        <is>
          <t>SKELLEFTEÅ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1639-2023</t>
        </is>
      </c>
      <c r="B1775" s="1" t="n">
        <v>44937</v>
      </c>
      <c r="C1775" s="1" t="n">
        <v>45832</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1640-2023</t>
        </is>
      </c>
      <c r="B1776" s="1" t="n">
        <v>44937</v>
      </c>
      <c r="C1776" s="1" t="n">
        <v>45832</v>
      </c>
      <c r="D1776" t="inlineStr">
        <is>
          <t>VÄSTERBOTTENS LÄN</t>
        </is>
      </c>
      <c r="E1776" t="inlineStr">
        <is>
          <t>SKELLEFTEÅ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1978-2023</t>
        </is>
      </c>
      <c r="B1777" s="1" t="n">
        <v>44937</v>
      </c>
      <c r="C1777" s="1" t="n">
        <v>45832</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1988-2023</t>
        </is>
      </c>
      <c r="B1778" s="1" t="n">
        <v>44937</v>
      </c>
      <c r="C1778" s="1" t="n">
        <v>45832</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1666-2023</t>
        </is>
      </c>
      <c r="B1779" s="1" t="n">
        <v>44938</v>
      </c>
      <c r="C1779" s="1" t="n">
        <v>45832</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1858-2023</t>
        </is>
      </c>
      <c r="B1780" s="1" t="n">
        <v>44938</v>
      </c>
      <c r="C1780" s="1" t="n">
        <v>45832</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1933-2023</t>
        </is>
      </c>
      <c r="B1781" s="1" t="n">
        <v>44938</v>
      </c>
      <c r="C1781" s="1" t="n">
        <v>45832</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1853-2023</t>
        </is>
      </c>
      <c r="B1782" s="1" t="n">
        <v>44938</v>
      </c>
      <c r="C1782" s="1" t="n">
        <v>45832</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1859-2023</t>
        </is>
      </c>
      <c r="B1783" s="1" t="n">
        <v>44938</v>
      </c>
      <c r="C1783" s="1" t="n">
        <v>45832</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1854-2023</t>
        </is>
      </c>
      <c r="B1784" s="1" t="n">
        <v>44938</v>
      </c>
      <c r="C1784" s="1" t="n">
        <v>45832</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1860-2023</t>
        </is>
      </c>
      <c r="B1785" s="1" t="n">
        <v>44938</v>
      </c>
      <c r="C1785" s="1" t="n">
        <v>45832</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1942-2023</t>
        </is>
      </c>
      <c r="B1786" s="1" t="n">
        <v>44938</v>
      </c>
      <c r="C1786" s="1" t="n">
        <v>45832</v>
      </c>
      <c r="D1786" t="inlineStr">
        <is>
          <t>VÄSTERBOTTENS LÄN</t>
        </is>
      </c>
      <c r="E1786" t="inlineStr">
        <is>
          <t>SKELLEFTEÅ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2112-2023</t>
        </is>
      </c>
      <c r="B1787" s="1" t="n">
        <v>44939</v>
      </c>
      <c r="C1787" s="1" t="n">
        <v>45832</v>
      </c>
      <c r="D1787" t="inlineStr">
        <is>
          <t>VÄSTERBOTTENS LÄN</t>
        </is>
      </c>
      <c r="E1787" t="inlineStr">
        <is>
          <t>SKELLEFTEÅ</t>
        </is>
      </c>
      <c r="G1787" t="n">
        <v>14.7</v>
      </c>
      <c r="H1787" t="n">
        <v>0</v>
      </c>
      <c r="I1787" t="n">
        <v>0</v>
      </c>
      <c r="J1787" t="n">
        <v>0</v>
      </c>
      <c r="K1787" t="n">
        <v>0</v>
      </c>
      <c r="L1787" t="n">
        <v>0</v>
      </c>
      <c r="M1787" t="n">
        <v>0</v>
      </c>
      <c r="N1787" t="n">
        <v>0</v>
      </c>
      <c r="O1787" t="n">
        <v>0</v>
      </c>
      <c r="P1787" t="n">
        <v>0</v>
      </c>
      <c r="Q1787" t="n">
        <v>0</v>
      </c>
      <c r="R1787" s="2" t="inlineStr"/>
    </row>
    <row r="1788" ht="15" customHeight="1">
      <c r="A1788" t="inlineStr">
        <is>
          <t>A 2177-2023</t>
        </is>
      </c>
      <c r="B1788" s="1" t="n">
        <v>44942</v>
      </c>
      <c r="C1788" s="1" t="n">
        <v>45832</v>
      </c>
      <c r="D1788" t="inlineStr">
        <is>
          <t>VÄSTERBOTTENS LÄN</t>
        </is>
      </c>
      <c r="E1788" t="inlineStr">
        <is>
          <t>SKELLEFTEÅ</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2336-2023</t>
        </is>
      </c>
      <c r="B1789" s="1" t="n">
        <v>44942</v>
      </c>
      <c r="C1789" s="1" t="n">
        <v>45832</v>
      </c>
      <c r="D1789" t="inlineStr">
        <is>
          <t>VÄSTERBOTTENS LÄN</t>
        </is>
      </c>
      <c r="E1789" t="inlineStr">
        <is>
          <t>SKELLEFTEÅ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2395-2023</t>
        </is>
      </c>
      <c r="B1790" s="1" t="n">
        <v>44942</v>
      </c>
      <c r="C1790" s="1" t="n">
        <v>45832</v>
      </c>
      <c r="D1790" t="inlineStr">
        <is>
          <t>VÄSTERBOTTENS LÄN</t>
        </is>
      </c>
      <c r="E1790" t="inlineStr">
        <is>
          <t>SKELLEFTEÅ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2393-2023</t>
        </is>
      </c>
      <c r="B1791" s="1" t="n">
        <v>44942</v>
      </c>
      <c r="C1791" s="1" t="n">
        <v>45832</v>
      </c>
      <c r="D1791" t="inlineStr">
        <is>
          <t>VÄSTERBOTTENS LÄN</t>
        </is>
      </c>
      <c r="E1791" t="inlineStr">
        <is>
          <t>SKELLEFTEÅ</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2439-2023</t>
        </is>
      </c>
      <c r="B1792" s="1" t="n">
        <v>44942</v>
      </c>
      <c r="C1792" s="1" t="n">
        <v>45832</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2718-2023</t>
        </is>
      </c>
      <c r="B1793" s="1" t="n">
        <v>44942</v>
      </c>
      <c r="C1793" s="1" t="n">
        <v>45832</v>
      </c>
      <c r="D1793" t="inlineStr">
        <is>
          <t>VÄSTERBOTTENS LÄN</t>
        </is>
      </c>
      <c r="E1793" t="inlineStr">
        <is>
          <t>SKELLEFTEÅ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2496-2023</t>
        </is>
      </c>
      <c r="B1794" s="1" t="n">
        <v>44943</v>
      </c>
      <c r="C1794" s="1" t="n">
        <v>45832</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2444-2023</t>
        </is>
      </c>
      <c r="B1795" s="1" t="n">
        <v>44943</v>
      </c>
      <c r="C1795" s="1" t="n">
        <v>45832</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2720-2023</t>
        </is>
      </c>
      <c r="B1796" s="1" t="n">
        <v>44944</v>
      </c>
      <c r="C1796" s="1" t="n">
        <v>45832</v>
      </c>
      <c r="D1796" t="inlineStr">
        <is>
          <t>VÄSTERBOTTENS LÄN</t>
        </is>
      </c>
      <c r="E1796" t="inlineStr">
        <is>
          <t>SKELLEFTEÅ</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2895-2023</t>
        </is>
      </c>
      <c r="B1797" s="1" t="n">
        <v>44945</v>
      </c>
      <c r="C1797" s="1" t="n">
        <v>45832</v>
      </c>
      <c r="D1797" t="inlineStr">
        <is>
          <t>VÄSTERBOTTENS LÄN</t>
        </is>
      </c>
      <c r="E1797" t="inlineStr">
        <is>
          <t>SKELLEFTEÅ</t>
        </is>
      </c>
      <c r="F1797" t="inlineStr">
        <is>
          <t>Sveaskog</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3277-2023</t>
        </is>
      </c>
      <c r="B1798" s="1" t="n">
        <v>44945</v>
      </c>
      <c r="C1798" s="1" t="n">
        <v>45832</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3603-2023</t>
        </is>
      </c>
      <c r="B1799" s="1" t="n">
        <v>44946</v>
      </c>
      <c r="C1799" s="1" t="n">
        <v>45832</v>
      </c>
      <c r="D1799" t="inlineStr">
        <is>
          <t>VÄSTERBOTTENS LÄN</t>
        </is>
      </c>
      <c r="E1799" t="inlineStr">
        <is>
          <t>SKELLEFTEÅ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45832</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3852-2023</t>
        </is>
      </c>
      <c r="B1801" s="1" t="n">
        <v>44950</v>
      </c>
      <c r="C1801" s="1" t="n">
        <v>45832</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3848-2023</t>
        </is>
      </c>
      <c r="B1802" s="1" t="n">
        <v>44950</v>
      </c>
      <c r="C1802" s="1" t="n">
        <v>45832</v>
      </c>
      <c r="D1802" t="inlineStr">
        <is>
          <t>VÄSTERBOTTENS LÄN</t>
        </is>
      </c>
      <c r="E1802" t="inlineStr">
        <is>
          <t>SKELLEFTEÅ</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3744-2023</t>
        </is>
      </c>
      <c r="B1803" s="1" t="n">
        <v>44951</v>
      </c>
      <c r="C1803" s="1" t="n">
        <v>45832</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4447-2023</t>
        </is>
      </c>
      <c r="B1804" s="1" t="n">
        <v>44951</v>
      </c>
      <c r="C1804" s="1" t="n">
        <v>45832</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4104-2023</t>
        </is>
      </c>
      <c r="B1805" s="1" t="n">
        <v>44952</v>
      </c>
      <c r="C1805" s="1" t="n">
        <v>45832</v>
      </c>
      <c r="D1805" t="inlineStr">
        <is>
          <t>VÄSTERBOTTENS LÄN</t>
        </is>
      </c>
      <c r="E1805" t="inlineStr">
        <is>
          <t>SKELLEFTEÅ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4031-2023</t>
        </is>
      </c>
      <c r="B1806" s="1" t="n">
        <v>44952</v>
      </c>
      <c r="C1806" s="1" t="n">
        <v>45832</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4102-2023</t>
        </is>
      </c>
      <c r="B1807" s="1" t="n">
        <v>44952</v>
      </c>
      <c r="C1807" s="1" t="n">
        <v>45832</v>
      </c>
      <c r="D1807" t="inlineStr">
        <is>
          <t>VÄSTERBOTTENS LÄN</t>
        </is>
      </c>
      <c r="E1807" t="inlineStr">
        <is>
          <t>SKELLEFTEÅ</t>
        </is>
      </c>
      <c r="F1807" t="inlineStr">
        <is>
          <t>Sveaskog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4458-2023</t>
        </is>
      </c>
      <c r="B1808" s="1" t="n">
        <v>44952</v>
      </c>
      <c r="C1808" s="1" t="n">
        <v>45832</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4453-2023</t>
        </is>
      </c>
      <c r="B1809" s="1" t="n">
        <v>44956</v>
      </c>
      <c r="C1809" s="1" t="n">
        <v>45832</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4930-2023</t>
        </is>
      </c>
      <c r="B1810" s="1" t="n">
        <v>44956</v>
      </c>
      <c r="C1810" s="1" t="n">
        <v>45832</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4948-2023</t>
        </is>
      </c>
      <c r="B1811" s="1" t="n">
        <v>44956</v>
      </c>
      <c r="C1811" s="1" t="n">
        <v>45832</v>
      </c>
      <c r="D1811" t="inlineStr">
        <is>
          <t>VÄSTERBOTTENS LÄN</t>
        </is>
      </c>
      <c r="E1811" t="inlineStr">
        <is>
          <t>SKELLEFTEÅ</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4938-2023</t>
        </is>
      </c>
      <c r="B1812" s="1" t="n">
        <v>44956</v>
      </c>
      <c r="C1812" s="1" t="n">
        <v>45832</v>
      </c>
      <c r="D1812" t="inlineStr">
        <is>
          <t>VÄSTERBOTTENS LÄN</t>
        </is>
      </c>
      <c r="E1812" t="inlineStr">
        <is>
          <t>SKELLEFTEÅ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4943-2023</t>
        </is>
      </c>
      <c r="B1813" s="1" t="n">
        <v>44956</v>
      </c>
      <c r="C1813" s="1" t="n">
        <v>45832</v>
      </c>
      <c r="D1813" t="inlineStr">
        <is>
          <t>VÄSTERBOTTENS LÄN</t>
        </is>
      </c>
      <c r="E1813" t="inlineStr">
        <is>
          <t>SKELLEFTEÅ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4710-2023</t>
        </is>
      </c>
      <c r="B1814" s="1" t="n">
        <v>44957</v>
      </c>
      <c r="C1814" s="1" t="n">
        <v>45832</v>
      </c>
      <c r="D1814" t="inlineStr">
        <is>
          <t>VÄSTERBOTTENS LÄN</t>
        </is>
      </c>
      <c r="E1814" t="inlineStr">
        <is>
          <t>SKELLEFTEÅ</t>
        </is>
      </c>
      <c r="F1814" t="inlineStr">
        <is>
          <t>Holmen skog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5416-2023</t>
        </is>
      </c>
      <c r="B1815" s="1" t="n">
        <v>44957</v>
      </c>
      <c r="C1815" s="1" t="n">
        <v>45832</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5481-2023</t>
        </is>
      </c>
      <c r="B1816" s="1" t="n">
        <v>44957</v>
      </c>
      <c r="C1816" s="1" t="n">
        <v>45832</v>
      </c>
      <c r="D1816" t="inlineStr">
        <is>
          <t>VÄSTERBOTTENS LÄN</t>
        </is>
      </c>
      <c r="E1816" t="inlineStr">
        <is>
          <t>SKELLEFTEÅ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5495-2023</t>
        </is>
      </c>
      <c r="B1817" s="1" t="n">
        <v>44957</v>
      </c>
      <c r="C1817" s="1" t="n">
        <v>45832</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5515-2023</t>
        </is>
      </c>
      <c r="B1818" s="1" t="n">
        <v>44957</v>
      </c>
      <c r="C1818" s="1" t="n">
        <v>45832</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5490-2023</t>
        </is>
      </c>
      <c r="B1819" s="1" t="n">
        <v>44957</v>
      </c>
      <c r="C1819" s="1" t="n">
        <v>45832</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5373-2023</t>
        </is>
      </c>
      <c r="B1820" s="1" t="n">
        <v>44957</v>
      </c>
      <c r="C1820" s="1" t="n">
        <v>45832</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5973-2023</t>
        </is>
      </c>
      <c r="B1821" s="1" t="n">
        <v>44959</v>
      </c>
      <c r="C1821" s="1" t="n">
        <v>45832</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5996-2023</t>
        </is>
      </c>
      <c r="B1822" s="1" t="n">
        <v>44959</v>
      </c>
      <c r="C1822" s="1" t="n">
        <v>45832</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6016-2023</t>
        </is>
      </c>
      <c r="B1823" s="1" t="n">
        <v>44959</v>
      </c>
      <c r="C1823" s="1" t="n">
        <v>45832</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5986-2023</t>
        </is>
      </c>
      <c r="B1824" s="1" t="n">
        <v>44959</v>
      </c>
      <c r="C1824" s="1" t="n">
        <v>45832</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5991-2023</t>
        </is>
      </c>
      <c r="B1825" s="1" t="n">
        <v>44959</v>
      </c>
      <c r="C1825" s="1" t="n">
        <v>45832</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45832</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5687-2023</t>
        </is>
      </c>
      <c r="B1827" s="1" t="n">
        <v>44960</v>
      </c>
      <c r="C1827" s="1" t="n">
        <v>45832</v>
      </c>
      <c r="D1827" t="inlineStr">
        <is>
          <t>VÄSTERBOTTENS LÄN</t>
        </is>
      </c>
      <c r="E1827" t="inlineStr">
        <is>
          <t>SKELLEFTEÅ</t>
        </is>
      </c>
      <c r="F1827" t="inlineStr">
        <is>
          <t>Sveaskog</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5470-2023</t>
        </is>
      </c>
      <c r="B1828" s="1" t="n">
        <v>44960</v>
      </c>
      <c r="C1828" s="1" t="n">
        <v>45832</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5541-2023</t>
        </is>
      </c>
      <c r="B1829" s="1" t="n">
        <v>44960</v>
      </c>
      <c r="C1829" s="1" t="n">
        <v>45832</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5602-2023</t>
        </is>
      </c>
      <c r="B1830" s="1" t="n">
        <v>44960</v>
      </c>
      <c r="C1830" s="1" t="n">
        <v>45832</v>
      </c>
      <c r="D1830" t="inlineStr">
        <is>
          <t>VÄSTERBOTTENS LÄN</t>
        </is>
      </c>
      <c r="E1830" t="inlineStr">
        <is>
          <t>SKELLEFTEÅ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5740-2023</t>
        </is>
      </c>
      <c r="B1831" s="1" t="n">
        <v>44962</v>
      </c>
      <c r="C1831" s="1" t="n">
        <v>45832</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5744-2023</t>
        </is>
      </c>
      <c r="B1832" s="1" t="n">
        <v>44962</v>
      </c>
      <c r="C1832" s="1" t="n">
        <v>45832</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5743-2023</t>
        </is>
      </c>
      <c r="B1833" s="1" t="n">
        <v>44962</v>
      </c>
      <c r="C1833" s="1" t="n">
        <v>45832</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5929-2023</t>
        </is>
      </c>
      <c r="B1834" s="1" t="n">
        <v>44963</v>
      </c>
      <c r="C1834" s="1" t="n">
        <v>45832</v>
      </c>
      <c r="D1834" t="inlineStr">
        <is>
          <t>VÄSTERBOTTENS LÄN</t>
        </is>
      </c>
      <c r="E1834" t="inlineStr">
        <is>
          <t>SKELLEFTEÅ</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5959-2023</t>
        </is>
      </c>
      <c r="B1835" s="1" t="n">
        <v>44963</v>
      </c>
      <c r="C1835" s="1" t="n">
        <v>45832</v>
      </c>
      <c r="D1835" t="inlineStr">
        <is>
          <t>VÄSTERBOTTENS LÄN</t>
        </is>
      </c>
      <c r="E1835" t="inlineStr">
        <is>
          <t>SKELLEFTEÅ</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6596-2023</t>
        </is>
      </c>
      <c r="B1836" s="1" t="n">
        <v>44963</v>
      </c>
      <c r="C1836" s="1" t="n">
        <v>45832</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6656-2023</t>
        </is>
      </c>
      <c r="B1837" s="1" t="n">
        <v>44963</v>
      </c>
      <c r="C1837" s="1" t="n">
        <v>45832</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5965-2023</t>
        </is>
      </c>
      <c r="B1838" s="1" t="n">
        <v>44964</v>
      </c>
      <c r="C1838" s="1" t="n">
        <v>45832</v>
      </c>
      <c r="D1838" t="inlineStr">
        <is>
          <t>VÄSTERBOTTENS LÄN</t>
        </is>
      </c>
      <c r="E1838" t="inlineStr">
        <is>
          <t>SKELLEFTEÅ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6441-2023</t>
        </is>
      </c>
      <c r="B1839" s="1" t="n">
        <v>44965</v>
      </c>
      <c r="C1839" s="1" t="n">
        <v>45832</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6443-2023</t>
        </is>
      </c>
      <c r="B1840" s="1" t="n">
        <v>44965</v>
      </c>
      <c r="C1840" s="1" t="n">
        <v>45832</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6442-2023</t>
        </is>
      </c>
      <c r="B1841" s="1" t="n">
        <v>44965</v>
      </c>
      <c r="C1841" s="1" t="n">
        <v>45832</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6450-2023</t>
        </is>
      </c>
      <c r="B1842" s="1" t="n">
        <v>44965</v>
      </c>
      <c r="C1842" s="1" t="n">
        <v>45832</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6511-2023</t>
        </is>
      </c>
      <c r="B1843" s="1" t="n">
        <v>44966</v>
      </c>
      <c r="C1843" s="1" t="n">
        <v>45832</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7023-2023</t>
        </is>
      </c>
      <c r="B1844" s="1" t="n">
        <v>44968</v>
      </c>
      <c r="C1844" s="1" t="n">
        <v>45832</v>
      </c>
      <c r="D1844" t="inlineStr">
        <is>
          <t>VÄSTERBOTTENS LÄN</t>
        </is>
      </c>
      <c r="E1844" t="inlineStr">
        <is>
          <t>SKELLEFTEÅ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7022-2023</t>
        </is>
      </c>
      <c r="B1845" s="1" t="n">
        <v>44968</v>
      </c>
      <c r="C1845" s="1" t="n">
        <v>45832</v>
      </c>
      <c r="D1845" t="inlineStr">
        <is>
          <t>VÄSTERBOTTENS LÄN</t>
        </is>
      </c>
      <c r="E1845" t="inlineStr">
        <is>
          <t>SKELLEFTEÅ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7875-2023</t>
        </is>
      </c>
      <c r="B1846" s="1" t="n">
        <v>44967</v>
      </c>
      <c r="C1846" s="1" t="n">
        <v>45832</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7364-2023</t>
        </is>
      </c>
      <c r="B1847" s="1" t="n">
        <v>44971</v>
      </c>
      <c r="C1847" s="1" t="n">
        <v>45832</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7517-2023</t>
        </is>
      </c>
      <c r="B1848" s="1" t="n">
        <v>44971</v>
      </c>
      <c r="C1848" s="1" t="n">
        <v>45832</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7516-2023</t>
        </is>
      </c>
      <c r="B1849" s="1" t="n">
        <v>44971</v>
      </c>
      <c r="C1849" s="1" t="n">
        <v>45832</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8206-2023</t>
        </is>
      </c>
      <c r="B1850" s="1" t="n">
        <v>44971</v>
      </c>
      <c r="C1850" s="1" t="n">
        <v>45832</v>
      </c>
      <c r="D1850" t="inlineStr">
        <is>
          <t>VÄSTERBOTTENS LÄN</t>
        </is>
      </c>
      <c r="E1850" t="inlineStr">
        <is>
          <t>SKELLEFTEÅ</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8422-2023</t>
        </is>
      </c>
      <c r="B1851" s="1" t="n">
        <v>44972</v>
      </c>
      <c r="C1851" s="1" t="n">
        <v>45832</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8477-2023</t>
        </is>
      </c>
      <c r="B1852" s="1" t="n">
        <v>44972</v>
      </c>
      <c r="C1852" s="1" t="n">
        <v>45832</v>
      </c>
      <c r="D1852" t="inlineStr">
        <is>
          <t>VÄSTERBOTTENS LÄN</t>
        </is>
      </c>
      <c r="E1852" t="inlineStr">
        <is>
          <t>SKELLEFTEÅ</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8479-2023</t>
        </is>
      </c>
      <c r="B1853" s="1" t="n">
        <v>44972</v>
      </c>
      <c r="C1853" s="1" t="n">
        <v>45832</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8549-2023</t>
        </is>
      </c>
      <c r="B1854" s="1" t="n">
        <v>44972</v>
      </c>
      <c r="C1854" s="1" t="n">
        <v>45832</v>
      </c>
      <c r="D1854" t="inlineStr">
        <is>
          <t>VÄSTERBOTTENS LÄN</t>
        </is>
      </c>
      <c r="E1854" t="inlineStr">
        <is>
          <t>SKELLEFTEÅ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8480-2023</t>
        </is>
      </c>
      <c r="B1855" s="1" t="n">
        <v>44972</v>
      </c>
      <c r="C1855" s="1" t="n">
        <v>45832</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7712-2023</t>
        </is>
      </c>
      <c r="B1856" s="1" t="n">
        <v>44972</v>
      </c>
      <c r="C1856" s="1" t="n">
        <v>45832</v>
      </c>
      <c r="D1856" t="inlineStr">
        <is>
          <t>VÄSTERBOTTENS LÄN</t>
        </is>
      </c>
      <c r="E1856" t="inlineStr">
        <is>
          <t>SKELLEFTEÅ</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8478-2023</t>
        </is>
      </c>
      <c r="B1857" s="1" t="n">
        <v>44972</v>
      </c>
      <c r="C1857" s="1" t="n">
        <v>45832</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8563-2023</t>
        </is>
      </c>
      <c r="B1858" s="1" t="n">
        <v>44972</v>
      </c>
      <c r="C1858" s="1" t="n">
        <v>45832</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8028-2023</t>
        </is>
      </c>
      <c r="B1859" s="1" t="n">
        <v>44973</v>
      </c>
      <c r="C1859" s="1" t="n">
        <v>45832</v>
      </c>
      <c r="D1859" t="inlineStr">
        <is>
          <t>VÄSTERBOTTENS LÄN</t>
        </is>
      </c>
      <c r="E1859" t="inlineStr">
        <is>
          <t>SKELLEFTEÅ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8029-2023</t>
        </is>
      </c>
      <c r="B1860" s="1" t="n">
        <v>44973</v>
      </c>
      <c r="C1860" s="1" t="n">
        <v>45832</v>
      </c>
      <c r="D1860" t="inlineStr">
        <is>
          <t>VÄSTERBOTTENS LÄN</t>
        </is>
      </c>
      <c r="E1860" t="inlineStr">
        <is>
          <t>SKELLEFTEÅ</t>
        </is>
      </c>
      <c r="F1860" t="inlineStr">
        <is>
          <t>SCA</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8328-2023</t>
        </is>
      </c>
      <c r="B1861" s="1" t="n">
        <v>44974</v>
      </c>
      <c r="C1861" s="1" t="n">
        <v>45832</v>
      </c>
      <c r="D1861" t="inlineStr">
        <is>
          <t>VÄSTERBOTTENS LÄN</t>
        </is>
      </c>
      <c r="E1861" t="inlineStr">
        <is>
          <t>SKELLEFTEÅ</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8930-2023</t>
        </is>
      </c>
      <c r="B1862" s="1" t="n">
        <v>44974</v>
      </c>
      <c r="C1862" s="1" t="n">
        <v>45832</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8952-2023</t>
        </is>
      </c>
      <c r="B1863" s="1" t="n">
        <v>44974</v>
      </c>
      <c r="C1863" s="1" t="n">
        <v>45832</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8648-2023</t>
        </is>
      </c>
      <c r="B1864" s="1" t="n">
        <v>44978</v>
      </c>
      <c r="C1864" s="1" t="n">
        <v>45832</v>
      </c>
      <c r="D1864" t="inlineStr">
        <is>
          <t>VÄSTERBOTTENS LÄN</t>
        </is>
      </c>
      <c r="E1864" t="inlineStr">
        <is>
          <t>SKELLEFTEÅ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9624-2023</t>
        </is>
      </c>
      <c r="B1865" s="1" t="n">
        <v>44978</v>
      </c>
      <c r="C1865" s="1" t="n">
        <v>45832</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8801-2023</t>
        </is>
      </c>
      <c r="B1866" s="1" t="n">
        <v>44978</v>
      </c>
      <c r="C1866" s="1" t="n">
        <v>45832</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9619-2023</t>
        </is>
      </c>
      <c r="B1867" s="1" t="n">
        <v>44978</v>
      </c>
      <c r="C1867" s="1" t="n">
        <v>45832</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9740-2023</t>
        </is>
      </c>
      <c r="B1868" s="1" t="n">
        <v>44978</v>
      </c>
      <c r="C1868" s="1" t="n">
        <v>45832</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9027-2023</t>
        </is>
      </c>
      <c r="B1869" s="1" t="n">
        <v>44979</v>
      </c>
      <c r="C1869" s="1" t="n">
        <v>45832</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9078-2023</t>
        </is>
      </c>
      <c r="B1870" s="1" t="n">
        <v>44979</v>
      </c>
      <c r="C1870" s="1" t="n">
        <v>45832</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9080-2023</t>
        </is>
      </c>
      <c r="B1871" s="1" t="n">
        <v>44979</v>
      </c>
      <c r="C1871" s="1" t="n">
        <v>45832</v>
      </c>
      <c r="D1871" t="inlineStr">
        <is>
          <t>VÄSTERBOTTENS LÄN</t>
        </is>
      </c>
      <c r="E1871" t="inlineStr">
        <is>
          <t>SKELLEFTEÅ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9980-2023</t>
        </is>
      </c>
      <c r="B1872" s="1" t="n">
        <v>44979</v>
      </c>
      <c r="C1872" s="1" t="n">
        <v>45832</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9079-2023</t>
        </is>
      </c>
      <c r="B1873" s="1" t="n">
        <v>44979</v>
      </c>
      <c r="C1873" s="1" t="n">
        <v>45832</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9982-2023</t>
        </is>
      </c>
      <c r="B1874" s="1" t="n">
        <v>44979</v>
      </c>
      <c r="C1874" s="1" t="n">
        <v>45832</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10172-2023</t>
        </is>
      </c>
      <c r="B1875" s="1" t="n">
        <v>44979</v>
      </c>
      <c r="C1875" s="1" t="n">
        <v>45832</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9209-2023</t>
        </is>
      </c>
      <c r="B1876" s="1" t="n">
        <v>44980</v>
      </c>
      <c r="C1876" s="1" t="n">
        <v>45832</v>
      </c>
      <c r="D1876" t="inlineStr">
        <is>
          <t>VÄSTERBOTTENS LÄN</t>
        </is>
      </c>
      <c r="E1876" t="inlineStr">
        <is>
          <t>SKELLEFTEÅ</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9343-2023</t>
        </is>
      </c>
      <c r="B1877" s="1" t="n">
        <v>44980</v>
      </c>
      <c r="C1877" s="1" t="n">
        <v>45832</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9342-2023</t>
        </is>
      </c>
      <c r="B1878" s="1" t="n">
        <v>44980</v>
      </c>
      <c r="C1878" s="1" t="n">
        <v>45832</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9345-2023</t>
        </is>
      </c>
      <c r="B1879" s="1" t="n">
        <v>44980</v>
      </c>
      <c r="C1879" s="1" t="n">
        <v>45832</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9402-2023</t>
        </is>
      </c>
      <c r="B1880" s="1" t="n">
        <v>44981</v>
      </c>
      <c r="C1880" s="1" t="n">
        <v>45832</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9463-2023</t>
        </is>
      </c>
      <c r="B1881" s="1" t="n">
        <v>44981</v>
      </c>
      <c r="C1881" s="1" t="n">
        <v>45832</v>
      </c>
      <c r="D1881" t="inlineStr">
        <is>
          <t>VÄSTERBOTTENS LÄN</t>
        </is>
      </c>
      <c r="E1881" t="inlineStr">
        <is>
          <t>SKELLEFTEÅ</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45832</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10567-2023</t>
        </is>
      </c>
      <c r="B1883" s="1" t="n">
        <v>44981</v>
      </c>
      <c r="C1883" s="1" t="n">
        <v>45832</v>
      </c>
      <c r="D1883" t="inlineStr">
        <is>
          <t>VÄSTERBOTTENS LÄN</t>
        </is>
      </c>
      <c r="E1883" t="inlineStr">
        <is>
          <t>SKELLEFTEÅ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10570-2023</t>
        </is>
      </c>
      <c r="B1884" s="1" t="n">
        <v>44981</v>
      </c>
      <c r="C1884" s="1" t="n">
        <v>45832</v>
      </c>
      <c r="D1884" t="inlineStr">
        <is>
          <t>VÄSTERBOTTENS LÄN</t>
        </is>
      </c>
      <c r="E1884" t="inlineStr">
        <is>
          <t>SKELLEFTEÅ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10696-2023</t>
        </is>
      </c>
      <c r="B1885" s="1" t="n">
        <v>44984</v>
      </c>
      <c r="C1885" s="1" t="n">
        <v>45832</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10647-2023</t>
        </is>
      </c>
      <c r="B1886" s="1" t="n">
        <v>44984</v>
      </c>
      <c r="C1886" s="1" t="n">
        <v>45832</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10072-2023</t>
        </is>
      </c>
      <c r="B1887" s="1" t="n">
        <v>44985</v>
      </c>
      <c r="C1887" s="1" t="n">
        <v>45832</v>
      </c>
      <c r="D1887" t="inlineStr">
        <is>
          <t>VÄSTERBOTTENS LÄN</t>
        </is>
      </c>
      <c r="E1887" t="inlineStr">
        <is>
          <t>SKELLEFTEÅ</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10073-2023</t>
        </is>
      </c>
      <c r="B1888" s="1" t="n">
        <v>44985</v>
      </c>
      <c r="C1888" s="1" t="n">
        <v>45832</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10840-2023</t>
        </is>
      </c>
      <c r="B1889" s="1" t="n">
        <v>44985</v>
      </c>
      <c r="C1889" s="1" t="n">
        <v>45832</v>
      </c>
      <c r="D1889" t="inlineStr">
        <is>
          <t>VÄSTERBOTTENS LÄN</t>
        </is>
      </c>
      <c r="E1889" t="inlineStr">
        <is>
          <t>SKELLEFTEÅ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10846-2023</t>
        </is>
      </c>
      <c r="B1890" s="1" t="n">
        <v>44985</v>
      </c>
      <c r="C1890" s="1" t="n">
        <v>45832</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10852-2023</t>
        </is>
      </c>
      <c r="B1891" s="1" t="n">
        <v>44985</v>
      </c>
      <c r="C1891" s="1" t="n">
        <v>45832</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10291-2023</t>
        </is>
      </c>
      <c r="B1892" s="1" t="n">
        <v>44986</v>
      </c>
      <c r="C1892" s="1" t="n">
        <v>45832</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11030-2023</t>
        </is>
      </c>
      <c r="B1893" s="1" t="n">
        <v>44991</v>
      </c>
      <c r="C1893" s="1" t="n">
        <v>45832</v>
      </c>
      <c r="D1893" t="inlineStr">
        <is>
          <t>VÄSTERBOTTENS LÄN</t>
        </is>
      </c>
      <c r="E1893" t="inlineStr">
        <is>
          <t>SKELLEFTEÅ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11028-2023</t>
        </is>
      </c>
      <c r="B1894" s="1" t="n">
        <v>44991</v>
      </c>
      <c r="C1894" s="1" t="n">
        <v>45832</v>
      </c>
      <c r="D1894" t="inlineStr">
        <is>
          <t>VÄSTERBOTTENS LÄN</t>
        </is>
      </c>
      <c r="E1894" t="inlineStr">
        <is>
          <t>SKELLEFTEÅ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11031-2023</t>
        </is>
      </c>
      <c r="B1895" s="1" t="n">
        <v>44991</v>
      </c>
      <c r="C1895" s="1" t="n">
        <v>45832</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11029-2023</t>
        </is>
      </c>
      <c r="B1896" s="1" t="n">
        <v>44991</v>
      </c>
      <c r="C1896" s="1" t="n">
        <v>45832</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11707-2023</t>
        </is>
      </c>
      <c r="B1897" s="1" t="n">
        <v>44992</v>
      </c>
      <c r="C1897" s="1" t="n">
        <v>45832</v>
      </c>
      <c r="D1897" t="inlineStr">
        <is>
          <t>VÄSTERBOTTENS LÄN</t>
        </is>
      </c>
      <c r="E1897" t="inlineStr">
        <is>
          <t>SKELLEFTEÅ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11377-2023</t>
        </is>
      </c>
      <c r="B1898" s="1" t="n">
        <v>44993</v>
      </c>
      <c r="C1898" s="1" t="n">
        <v>45832</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11339-2023</t>
        </is>
      </c>
      <c r="B1899" s="1" t="n">
        <v>44993</v>
      </c>
      <c r="C1899" s="1" t="n">
        <v>45832</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11624-2023</t>
        </is>
      </c>
      <c r="B1900" s="1" t="n">
        <v>44994</v>
      </c>
      <c r="C1900" s="1" t="n">
        <v>45832</v>
      </c>
      <c r="D1900" t="inlineStr">
        <is>
          <t>VÄSTERBOTTENS LÄN</t>
        </is>
      </c>
      <c r="E1900" t="inlineStr">
        <is>
          <t>SKELLEFTEÅ</t>
        </is>
      </c>
      <c r="G1900" t="n">
        <v>47.6</v>
      </c>
      <c r="H1900" t="n">
        <v>0</v>
      </c>
      <c r="I1900" t="n">
        <v>0</v>
      </c>
      <c r="J1900" t="n">
        <v>0</v>
      </c>
      <c r="K1900" t="n">
        <v>0</v>
      </c>
      <c r="L1900" t="n">
        <v>0</v>
      </c>
      <c r="M1900" t="n">
        <v>0</v>
      </c>
      <c r="N1900" t="n">
        <v>0</v>
      </c>
      <c r="O1900" t="n">
        <v>0</v>
      </c>
      <c r="P1900" t="n">
        <v>0</v>
      </c>
      <c r="Q1900" t="n">
        <v>0</v>
      </c>
      <c r="R1900" s="2" t="inlineStr"/>
    </row>
    <row r="1901" ht="15" customHeight="1">
      <c r="A1901" t="inlineStr">
        <is>
          <t>A 11629-2023</t>
        </is>
      </c>
      <c r="B1901" s="1" t="n">
        <v>44994</v>
      </c>
      <c r="C1901" s="1" t="n">
        <v>45832</v>
      </c>
      <c r="D1901" t="inlineStr">
        <is>
          <t>VÄSTERBOTTENS LÄN</t>
        </is>
      </c>
      <c r="E1901" t="inlineStr">
        <is>
          <t>SKELLEFTEÅ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11638-2023</t>
        </is>
      </c>
      <c r="B1902" s="1" t="n">
        <v>44994</v>
      </c>
      <c r="C1902" s="1" t="n">
        <v>45832</v>
      </c>
      <c r="D1902" t="inlineStr">
        <is>
          <t>VÄSTERBOTTENS LÄN</t>
        </is>
      </c>
      <c r="E1902" t="inlineStr">
        <is>
          <t>SKELLEFTEÅ</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11642-2023</t>
        </is>
      </c>
      <c r="B1903" s="1" t="n">
        <v>44994</v>
      </c>
      <c r="C1903" s="1" t="n">
        <v>45832</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11771-2023</t>
        </is>
      </c>
      <c r="B1904" s="1" t="n">
        <v>44994</v>
      </c>
      <c r="C1904" s="1" t="n">
        <v>45832</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11973-2023</t>
        </is>
      </c>
      <c r="B1905" s="1" t="n">
        <v>44994</v>
      </c>
      <c r="C1905" s="1" t="n">
        <v>45832</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11963-2023</t>
        </is>
      </c>
      <c r="B1906" s="1" t="n">
        <v>44994</v>
      </c>
      <c r="C1906" s="1" t="n">
        <v>45832</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11989-2023</t>
        </is>
      </c>
      <c r="B1907" s="1" t="n">
        <v>44994</v>
      </c>
      <c r="C1907" s="1" t="n">
        <v>45832</v>
      </c>
      <c r="D1907" t="inlineStr">
        <is>
          <t>VÄSTERBOTTENS LÄN</t>
        </is>
      </c>
      <c r="E1907" t="inlineStr">
        <is>
          <t>SKELLEFTEÅ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11995-2023</t>
        </is>
      </c>
      <c r="B1908" s="1" t="n">
        <v>44994</v>
      </c>
      <c r="C1908" s="1" t="n">
        <v>45832</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11942-2023</t>
        </is>
      </c>
      <c r="B1909" s="1" t="n">
        <v>44995</v>
      </c>
      <c r="C1909" s="1" t="n">
        <v>45832</v>
      </c>
      <c r="D1909" t="inlineStr">
        <is>
          <t>VÄSTERBOTTENS LÄN</t>
        </is>
      </c>
      <c r="E1909" t="inlineStr">
        <is>
          <t>SKELLEFTEÅ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12017-2023</t>
        </is>
      </c>
      <c r="B1910" s="1" t="n">
        <v>44995</v>
      </c>
      <c r="C1910" s="1" t="n">
        <v>45832</v>
      </c>
      <c r="D1910" t="inlineStr">
        <is>
          <t>VÄSTERBOTTENS LÄN</t>
        </is>
      </c>
      <c r="E1910" t="inlineStr">
        <is>
          <t>SKELLEFTEÅ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11945-2023</t>
        </is>
      </c>
      <c r="B1911" s="1" t="n">
        <v>44995</v>
      </c>
      <c r="C1911" s="1" t="n">
        <v>45832</v>
      </c>
      <c r="D1911" t="inlineStr">
        <is>
          <t>VÄSTERBOTTENS LÄN</t>
        </is>
      </c>
      <c r="E1911" t="inlineStr">
        <is>
          <t>SKELLEFTEÅ</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12137-2023</t>
        </is>
      </c>
      <c r="B1912" s="1" t="n">
        <v>44995</v>
      </c>
      <c r="C1912" s="1" t="n">
        <v>45832</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12019-2023</t>
        </is>
      </c>
      <c r="B1913" s="1" t="n">
        <v>44995</v>
      </c>
      <c r="C1913" s="1" t="n">
        <v>45832</v>
      </c>
      <c r="D1913" t="inlineStr">
        <is>
          <t>VÄSTERBOTTENS LÄN</t>
        </is>
      </c>
      <c r="E1913" t="inlineStr">
        <is>
          <t>SKELLEFTEÅ</t>
        </is>
      </c>
      <c r="F1913" t="inlineStr">
        <is>
          <t>Sveaskog</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12033-2023</t>
        </is>
      </c>
      <c r="B1914" s="1" t="n">
        <v>44995</v>
      </c>
      <c r="C1914" s="1" t="n">
        <v>45832</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12032-2023</t>
        </is>
      </c>
      <c r="B1915" s="1" t="n">
        <v>44995</v>
      </c>
      <c r="C1915" s="1" t="n">
        <v>45832</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12366-2023</t>
        </is>
      </c>
      <c r="B1916" s="1" t="n">
        <v>44998</v>
      </c>
      <c r="C1916" s="1" t="n">
        <v>45832</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12392-2023</t>
        </is>
      </c>
      <c r="B1917" s="1" t="n">
        <v>44998</v>
      </c>
      <c r="C1917" s="1" t="n">
        <v>45832</v>
      </c>
      <c r="D1917" t="inlineStr">
        <is>
          <t>VÄSTERBOTTENS LÄN</t>
        </is>
      </c>
      <c r="E1917" t="inlineStr">
        <is>
          <t>SKELLEFTEÅ</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12728-2023</t>
        </is>
      </c>
      <c r="B1918" s="1" t="n">
        <v>45000</v>
      </c>
      <c r="C1918" s="1" t="n">
        <v>45832</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12601-2023</t>
        </is>
      </c>
      <c r="B1919" s="1" t="n">
        <v>45000</v>
      </c>
      <c r="C1919" s="1" t="n">
        <v>45832</v>
      </c>
      <c r="D1919" t="inlineStr">
        <is>
          <t>VÄSTERBOTTENS LÄN</t>
        </is>
      </c>
      <c r="E1919" t="inlineStr">
        <is>
          <t>SKELLEFTEÅ</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12648-2023</t>
        </is>
      </c>
      <c r="B1920" s="1" t="n">
        <v>45000</v>
      </c>
      <c r="C1920" s="1" t="n">
        <v>45832</v>
      </c>
      <c r="D1920" t="inlineStr">
        <is>
          <t>VÄSTERBOTTENS LÄN</t>
        </is>
      </c>
      <c r="E1920" t="inlineStr">
        <is>
          <t>SKELLEFTEÅ</t>
        </is>
      </c>
      <c r="F1920" t="inlineStr">
        <is>
          <t>Holmen skog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12803-2023</t>
        </is>
      </c>
      <c r="B1921" s="1" t="n">
        <v>45000</v>
      </c>
      <c r="C1921" s="1" t="n">
        <v>45832</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13149-2023</t>
        </is>
      </c>
      <c r="B1922" s="1" t="n">
        <v>45002</v>
      </c>
      <c r="C1922" s="1" t="n">
        <v>45832</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13312-2023</t>
        </is>
      </c>
      <c r="B1923" s="1" t="n">
        <v>45005</v>
      </c>
      <c r="C1923" s="1" t="n">
        <v>45832</v>
      </c>
      <c r="D1923" t="inlineStr">
        <is>
          <t>VÄSTERBOTTENS LÄN</t>
        </is>
      </c>
      <c r="E1923" t="inlineStr">
        <is>
          <t>SKELLEFTEÅ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13470-2023</t>
        </is>
      </c>
      <c r="B1924" s="1" t="n">
        <v>45005</v>
      </c>
      <c r="C1924" s="1" t="n">
        <v>45832</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13375-2023</t>
        </is>
      </c>
      <c r="B1925" s="1" t="n">
        <v>45005</v>
      </c>
      <c r="C1925" s="1" t="n">
        <v>45832</v>
      </c>
      <c r="D1925" t="inlineStr">
        <is>
          <t>VÄSTERBOTTENS LÄN</t>
        </is>
      </c>
      <c r="E1925" t="inlineStr">
        <is>
          <t>SKELLEFTEÅ</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13641-2023</t>
        </is>
      </c>
      <c r="B1926" s="1" t="n">
        <v>45006</v>
      </c>
      <c r="C1926" s="1" t="n">
        <v>45832</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14066-2023</t>
        </is>
      </c>
      <c r="B1927" s="1" t="n">
        <v>45008</v>
      </c>
      <c r="C1927" s="1" t="n">
        <v>45832</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14197-2023</t>
        </is>
      </c>
      <c r="B1928" s="1" t="n">
        <v>45009</v>
      </c>
      <c r="C1928" s="1" t="n">
        <v>45832</v>
      </c>
      <c r="D1928" t="inlineStr">
        <is>
          <t>VÄSTERBOTTENS LÄN</t>
        </is>
      </c>
      <c r="E1928" t="inlineStr">
        <is>
          <t>SKELLEFTEÅ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14089-2023</t>
        </is>
      </c>
      <c r="B1929" s="1" t="n">
        <v>45009</v>
      </c>
      <c r="C1929" s="1" t="n">
        <v>45832</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14332-2023</t>
        </is>
      </c>
      <c r="B1930" s="1" t="n">
        <v>45009</v>
      </c>
      <c r="C1930" s="1" t="n">
        <v>45832</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14341-2023</t>
        </is>
      </c>
      <c r="B1931" s="1" t="n">
        <v>45009</v>
      </c>
      <c r="C1931" s="1" t="n">
        <v>45832</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14351-2023</t>
        </is>
      </c>
      <c r="B1932" s="1" t="n">
        <v>45009</v>
      </c>
      <c r="C1932" s="1" t="n">
        <v>45832</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14458-2023</t>
        </is>
      </c>
      <c r="B1933" s="1" t="n">
        <v>45012</v>
      </c>
      <c r="C1933" s="1" t="n">
        <v>45832</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14697-2023</t>
        </is>
      </c>
      <c r="B1934" s="1" t="n">
        <v>45012</v>
      </c>
      <c r="C1934" s="1" t="n">
        <v>45832</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14705-2023</t>
        </is>
      </c>
      <c r="B1935" s="1" t="n">
        <v>45012</v>
      </c>
      <c r="C1935" s="1" t="n">
        <v>45832</v>
      </c>
      <c r="D1935" t="inlineStr">
        <is>
          <t>VÄSTERBOTTENS LÄN</t>
        </is>
      </c>
      <c r="E1935" t="inlineStr">
        <is>
          <t>SKELLEFTEÅ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14902-2023</t>
        </is>
      </c>
      <c r="B1936" s="1" t="n">
        <v>45014</v>
      </c>
      <c r="C1936" s="1" t="n">
        <v>45832</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14992-2023</t>
        </is>
      </c>
      <c r="B1937" s="1" t="n">
        <v>45014</v>
      </c>
      <c r="C1937" s="1" t="n">
        <v>45832</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14983-2023</t>
        </is>
      </c>
      <c r="B1938" s="1" t="n">
        <v>45014</v>
      </c>
      <c r="C1938" s="1" t="n">
        <v>45832</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14998-2023</t>
        </is>
      </c>
      <c r="B1939" s="1" t="n">
        <v>45015</v>
      </c>
      <c r="C1939" s="1" t="n">
        <v>45832</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15155-2023</t>
        </is>
      </c>
      <c r="B1940" s="1" t="n">
        <v>45016</v>
      </c>
      <c r="C1940" s="1" t="n">
        <v>45832</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15327-2023</t>
        </is>
      </c>
      <c r="B1941" s="1" t="n">
        <v>45016</v>
      </c>
      <c r="C1941" s="1" t="n">
        <v>45832</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15332-2023</t>
        </is>
      </c>
      <c r="B1942" s="1" t="n">
        <v>45016</v>
      </c>
      <c r="C1942" s="1" t="n">
        <v>45832</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15405-2023</t>
        </is>
      </c>
      <c r="B1943" s="1" t="n">
        <v>45019</v>
      </c>
      <c r="C1943" s="1" t="n">
        <v>45832</v>
      </c>
      <c r="D1943" t="inlineStr">
        <is>
          <t>VÄSTERBOTTENS LÄN</t>
        </is>
      </c>
      <c r="E1943" t="inlineStr">
        <is>
          <t>SKELLEFTEÅ</t>
        </is>
      </c>
      <c r="F1943" t="inlineStr">
        <is>
          <t>Holmen skog AB</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15593-2023</t>
        </is>
      </c>
      <c r="B1944" s="1" t="n">
        <v>45019</v>
      </c>
      <c r="C1944" s="1" t="n">
        <v>45832</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15536-2023</t>
        </is>
      </c>
      <c r="B1945" s="1" t="n">
        <v>45020</v>
      </c>
      <c r="C1945" s="1" t="n">
        <v>45832</v>
      </c>
      <c r="D1945" t="inlineStr">
        <is>
          <t>VÄSTERBOTTENS LÄN</t>
        </is>
      </c>
      <c r="E1945" t="inlineStr">
        <is>
          <t>SKELLEFTEÅ</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15479-2023</t>
        </is>
      </c>
      <c r="B1946" s="1" t="n">
        <v>45020</v>
      </c>
      <c r="C1946" s="1" t="n">
        <v>45832</v>
      </c>
      <c r="D1946" t="inlineStr">
        <is>
          <t>VÄSTERBOTTENS LÄN</t>
        </is>
      </c>
      <c r="E1946" t="inlineStr">
        <is>
          <t>SKELLEFTEÅ</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15709-2023</t>
        </is>
      </c>
      <c r="B1947" s="1" t="n">
        <v>45020</v>
      </c>
      <c r="C1947" s="1" t="n">
        <v>45832</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15732-2023</t>
        </is>
      </c>
      <c r="B1948" s="1" t="n">
        <v>45020</v>
      </c>
      <c r="C1948" s="1" t="n">
        <v>45832</v>
      </c>
      <c r="D1948" t="inlineStr">
        <is>
          <t>VÄSTERBOTTENS LÄN</t>
        </is>
      </c>
      <c r="E1948" t="inlineStr">
        <is>
          <t>SKELLEFTEÅ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15570-2023</t>
        </is>
      </c>
      <c r="B1949" s="1" t="n">
        <v>45020</v>
      </c>
      <c r="C1949" s="1" t="n">
        <v>45832</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15717-2023</t>
        </is>
      </c>
      <c r="B1950" s="1" t="n">
        <v>45020</v>
      </c>
      <c r="C1950" s="1" t="n">
        <v>45832</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15706-2023</t>
        </is>
      </c>
      <c r="B1951" s="1" t="n">
        <v>45020</v>
      </c>
      <c r="C1951" s="1" t="n">
        <v>45832</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15806-2023</t>
        </is>
      </c>
      <c r="B1952" s="1" t="n">
        <v>45021</v>
      </c>
      <c r="C1952" s="1" t="n">
        <v>45832</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15825-2023</t>
        </is>
      </c>
      <c r="B1953" s="1" t="n">
        <v>45022</v>
      </c>
      <c r="C1953" s="1" t="n">
        <v>45832</v>
      </c>
      <c r="D1953" t="inlineStr">
        <is>
          <t>VÄSTERBOTTENS LÄN</t>
        </is>
      </c>
      <c r="E1953" t="inlineStr">
        <is>
          <t>SKELLEFTEÅ</t>
        </is>
      </c>
      <c r="F1953" t="inlineStr">
        <is>
          <t>SCA</t>
        </is>
      </c>
      <c r="G1953" t="n">
        <v>16.8</v>
      </c>
      <c r="H1953" t="n">
        <v>0</v>
      </c>
      <c r="I1953" t="n">
        <v>0</v>
      </c>
      <c r="J1953" t="n">
        <v>0</v>
      </c>
      <c r="K1953" t="n">
        <v>0</v>
      </c>
      <c r="L1953" t="n">
        <v>0</v>
      </c>
      <c r="M1953" t="n">
        <v>0</v>
      </c>
      <c r="N1953" t="n">
        <v>0</v>
      </c>
      <c r="O1953" t="n">
        <v>0</v>
      </c>
      <c r="P1953" t="n">
        <v>0</v>
      </c>
      <c r="Q1953" t="n">
        <v>0</v>
      </c>
      <c r="R1953" s="2" t="inlineStr"/>
    </row>
    <row r="1954" ht="15" customHeight="1">
      <c r="A1954" t="inlineStr">
        <is>
          <t>A 15899-2023</t>
        </is>
      </c>
      <c r="B1954" s="1" t="n">
        <v>45021</v>
      </c>
      <c r="C1954" s="1" t="n">
        <v>45832</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15903-2023</t>
        </is>
      </c>
      <c r="B1955" s="1" t="n">
        <v>45021</v>
      </c>
      <c r="C1955" s="1" t="n">
        <v>45832</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15906-2023</t>
        </is>
      </c>
      <c r="B1956" s="1" t="n">
        <v>45021</v>
      </c>
      <c r="C1956" s="1" t="n">
        <v>45832</v>
      </c>
      <c r="D1956" t="inlineStr">
        <is>
          <t>VÄSTERBOTTENS LÄN</t>
        </is>
      </c>
      <c r="E1956" t="inlineStr">
        <is>
          <t>SKELLEFTEÅ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16027-2023</t>
        </is>
      </c>
      <c r="B1957" s="1" t="n">
        <v>45027</v>
      </c>
      <c r="C1957" s="1" t="n">
        <v>45832</v>
      </c>
      <c r="D1957" t="inlineStr">
        <is>
          <t>VÄSTERBOTTENS LÄN</t>
        </is>
      </c>
      <c r="E1957" t="inlineStr">
        <is>
          <t>SKELLEFTEÅ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16183-2023</t>
        </is>
      </c>
      <c r="B1958" s="1" t="n">
        <v>45027</v>
      </c>
      <c r="C1958" s="1" t="n">
        <v>45832</v>
      </c>
      <c r="D1958" t="inlineStr">
        <is>
          <t>VÄSTERBOTTENS LÄN</t>
        </is>
      </c>
      <c r="E1958" t="inlineStr">
        <is>
          <t>SKELLEFTEÅ</t>
        </is>
      </c>
      <c r="G1958" t="n">
        <v>24.7</v>
      </c>
      <c r="H1958" t="n">
        <v>0</v>
      </c>
      <c r="I1958" t="n">
        <v>0</v>
      </c>
      <c r="J1958" t="n">
        <v>0</v>
      </c>
      <c r="K1958" t="n">
        <v>0</v>
      </c>
      <c r="L1958" t="n">
        <v>0</v>
      </c>
      <c r="M1958" t="n">
        <v>0</v>
      </c>
      <c r="N1958" t="n">
        <v>0</v>
      </c>
      <c r="O1958" t="n">
        <v>0</v>
      </c>
      <c r="P1958" t="n">
        <v>0</v>
      </c>
      <c r="Q1958" t="n">
        <v>0</v>
      </c>
      <c r="R1958" s="2" t="inlineStr"/>
    </row>
    <row r="1959" ht="15" customHeight="1">
      <c r="A1959" t="inlineStr">
        <is>
          <t>A 16186-2023</t>
        </is>
      </c>
      <c r="B1959" s="1" t="n">
        <v>45028</v>
      </c>
      <c r="C1959" s="1" t="n">
        <v>45832</v>
      </c>
      <c r="D1959" t="inlineStr">
        <is>
          <t>VÄSTERBOTTENS LÄN</t>
        </is>
      </c>
      <c r="E1959" t="inlineStr">
        <is>
          <t>SKELLEFTEÅ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16239-2023</t>
        </is>
      </c>
      <c r="B1960" s="1" t="n">
        <v>45028</v>
      </c>
      <c r="C1960" s="1" t="n">
        <v>45832</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16237-2023</t>
        </is>
      </c>
      <c r="B1961" s="1" t="n">
        <v>45028</v>
      </c>
      <c r="C1961" s="1" t="n">
        <v>45832</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16494-2023</t>
        </is>
      </c>
      <c r="B1962" s="1" t="n">
        <v>45029</v>
      </c>
      <c r="C1962" s="1" t="n">
        <v>45832</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16753-2023</t>
        </is>
      </c>
      <c r="B1963" s="1" t="n">
        <v>45031</v>
      </c>
      <c r="C1963" s="1" t="n">
        <v>45832</v>
      </c>
      <c r="D1963" t="inlineStr">
        <is>
          <t>VÄSTERBOTTENS LÄN</t>
        </is>
      </c>
      <c r="E1963" t="inlineStr">
        <is>
          <t>SKELLEFTEÅ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17026-2023</t>
        </is>
      </c>
      <c r="B1964" s="1" t="n">
        <v>45030</v>
      </c>
      <c r="C1964" s="1" t="n">
        <v>45832</v>
      </c>
      <c r="D1964" t="inlineStr">
        <is>
          <t>VÄSTERBOTTENS LÄN</t>
        </is>
      </c>
      <c r="E1964" t="inlineStr">
        <is>
          <t>SKELLEFTEÅ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17086-2023</t>
        </is>
      </c>
      <c r="B1965" s="1" t="n">
        <v>45030</v>
      </c>
      <c r="C1965" s="1" t="n">
        <v>45832</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17071-2023</t>
        </is>
      </c>
      <c r="B1966" s="1" t="n">
        <v>45030</v>
      </c>
      <c r="C1966" s="1" t="n">
        <v>45832</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16858-2023</t>
        </is>
      </c>
      <c r="B1967" s="1" t="n">
        <v>45033</v>
      </c>
      <c r="C1967" s="1" t="n">
        <v>45832</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16998-2023</t>
        </is>
      </c>
      <c r="B1968" s="1" t="n">
        <v>45033</v>
      </c>
      <c r="C1968" s="1" t="n">
        <v>45832</v>
      </c>
      <c r="D1968" t="inlineStr">
        <is>
          <t>VÄSTERBOTTENS LÄN</t>
        </is>
      </c>
      <c r="E1968" t="inlineStr">
        <is>
          <t>SKELLEFTEÅ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17208-2023</t>
        </is>
      </c>
      <c r="B1969" s="1" t="n">
        <v>45035</v>
      </c>
      <c r="C1969" s="1" t="n">
        <v>45832</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17205-2023</t>
        </is>
      </c>
      <c r="B1970" s="1" t="n">
        <v>45035</v>
      </c>
      <c r="C1970" s="1" t="n">
        <v>45832</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17365-2023</t>
        </is>
      </c>
      <c r="B1971" s="1" t="n">
        <v>45034</v>
      </c>
      <c r="C1971" s="1" t="n">
        <v>45832</v>
      </c>
      <c r="D1971" t="inlineStr">
        <is>
          <t>VÄSTERBOTTENS LÄN</t>
        </is>
      </c>
      <c r="E1971" t="inlineStr">
        <is>
          <t>SKELLEFTEÅ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17482-2023</t>
        </is>
      </c>
      <c r="B1972" s="1" t="n">
        <v>45034</v>
      </c>
      <c r="C1972" s="1" t="n">
        <v>45832</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17478-2023</t>
        </is>
      </c>
      <c r="B1973" s="1" t="n">
        <v>45034</v>
      </c>
      <c r="C1973" s="1" t="n">
        <v>45832</v>
      </c>
      <c r="D1973" t="inlineStr">
        <is>
          <t>VÄSTERBOTTENS LÄN</t>
        </is>
      </c>
      <c r="E1973" t="inlineStr">
        <is>
          <t>SKELLEFTEÅ</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17487-2023</t>
        </is>
      </c>
      <c r="B1974" s="1" t="n">
        <v>45034</v>
      </c>
      <c r="C1974" s="1" t="n">
        <v>45832</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17483-2023</t>
        </is>
      </c>
      <c r="B1975" s="1" t="n">
        <v>45034</v>
      </c>
      <c r="C1975" s="1" t="n">
        <v>45832</v>
      </c>
      <c r="D1975" t="inlineStr">
        <is>
          <t>VÄSTERBOTTENS LÄN</t>
        </is>
      </c>
      <c r="E1975" t="inlineStr">
        <is>
          <t>SKELLEFTEÅ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17485-2023</t>
        </is>
      </c>
      <c r="B1976" s="1" t="n">
        <v>45034</v>
      </c>
      <c r="C1976" s="1" t="n">
        <v>45832</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17444-2023</t>
        </is>
      </c>
      <c r="B1977" s="1" t="n">
        <v>45036</v>
      </c>
      <c r="C1977" s="1" t="n">
        <v>45832</v>
      </c>
      <c r="D1977" t="inlineStr">
        <is>
          <t>VÄSTERBOTTENS LÄN</t>
        </is>
      </c>
      <c r="E1977" t="inlineStr">
        <is>
          <t>SKELLEFTEÅ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17446-2023</t>
        </is>
      </c>
      <c r="B1978" s="1" t="n">
        <v>45036</v>
      </c>
      <c r="C1978" s="1" t="n">
        <v>45832</v>
      </c>
      <c r="D1978" t="inlineStr">
        <is>
          <t>VÄSTERBOTTENS LÄN</t>
        </is>
      </c>
      <c r="E1978" t="inlineStr">
        <is>
          <t>SKELLEFTEÅ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17659-2023</t>
        </is>
      </c>
      <c r="B1979" s="1" t="n">
        <v>45037</v>
      </c>
      <c r="C1979" s="1" t="n">
        <v>45832</v>
      </c>
      <c r="D1979" t="inlineStr">
        <is>
          <t>VÄSTERBOTTENS LÄN</t>
        </is>
      </c>
      <c r="E1979" t="inlineStr">
        <is>
          <t>SKELLEFTEÅ</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17755-2023</t>
        </is>
      </c>
      <c r="B1980" s="1" t="n">
        <v>45036</v>
      </c>
      <c r="C1980" s="1" t="n">
        <v>45832</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17842-2023</t>
        </is>
      </c>
      <c r="B1981" s="1" t="n">
        <v>45037</v>
      </c>
      <c r="C1981" s="1" t="n">
        <v>45832</v>
      </c>
      <c r="D1981" t="inlineStr">
        <is>
          <t>VÄSTERBOTTENS LÄN</t>
        </is>
      </c>
      <c r="E1981" t="inlineStr">
        <is>
          <t>SKELLEFTEÅ</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18035-2023</t>
        </is>
      </c>
      <c r="B1982" s="1" t="n">
        <v>45037</v>
      </c>
      <c r="C1982" s="1" t="n">
        <v>45832</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18016-2023</t>
        </is>
      </c>
      <c r="B1983" s="1" t="n">
        <v>45040</v>
      </c>
      <c r="C1983" s="1" t="n">
        <v>45832</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18357-2023</t>
        </is>
      </c>
      <c r="B1984" s="1" t="n">
        <v>45041</v>
      </c>
      <c r="C1984" s="1" t="n">
        <v>45832</v>
      </c>
      <c r="D1984" t="inlineStr">
        <is>
          <t>VÄSTERBOTTENS LÄN</t>
        </is>
      </c>
      <c r="E1984" t="inlineStr">
        <is>
          <t>SKELLEFTEÅ</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18455-2023</t>
        </is>
      </c>
      <c r="B1985" s="1" t="n">
        <v>45041</v>
      </c>
      <c r="C1985" s="1" t="n">
        <v>45832</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18607-2023</t>
        </is>
      </c>
      <c r="B1986" s="1" t="n">
        <v>45041</v>
      </c>
      <c r="C1986" s="1" t="n">
        <v>45832</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18479-2023</t>
        </is>
      </c>
      <c r="B1987" s="1" t="n">
        <v>45042</v>
      </c>
      <c r="C1987" s="1" t="n">
        <v>45832</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18501-2023</t>
        </is>
      </c>
      <c r="B1988" s="1" t="n">
        <v>45042</v>
      </c>
      <c r="C1988" s="1" t="n">
        <v>45832</v>
      </c>
      <c r="D1988" t="inlineStr">
        <is>
          <t>VÄSTERBOTTENS LÄN</t>
        </is>
      </c>
      <c r="E1988" t="inlineStr">
        <is>
          <t>SKELLEFTEÅ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18478-2023</t>
        </is>
      </c>
      <c r="B1989" s="1" t="n">
        <v>45042</v>
      </c>
      <c r="C1989" s="1" t="n">
        <v>45832</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18701-2023</t>
        </is>
      </c>
      <c r="B1990" s="1" t="n">
        <v>45042</v>
      </c>
      <c r="C1990" s="1" t="n">
        <v>45832</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18709-2023</t>
        </is>
      </c>
      <c r="B1991" s="1" t="n">
        <v>45043</v>
      </c>
      <c r="C1991" s="1" t="n">
        <v>45832</v>
      </c>
      <c r="D1991" t="inlineStr">
        <is>
          <t>VÄSTERBOTTENS LÄN</t>
        </is>
      </c>
      <c r="E1991" t="inlineStr">
        <is>
          <t>SKELLEFTEÅ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19066-2023</t>
        </is>
      </c>
      <c r="B1992" s="1" t="n">
        <v>45043</v>
      </c>
      <c r="C1992" s="1" t="n">
        <v>45832</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18975-2023</t>
        </is>
      </c>
      <c r="B1993" s="1" t="n">
        <v>45044</v>
      </c>
      <c r="C1993" s="1" t="n">
        <v>45832</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18819-2023</t>
        </is>
      </c>
      <c r="B1994" s="1" t="n">
        <v>45044</v>
      </c>
      <c r="C1994" s="1" t="n">
        <v>45832</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19073-2023</t>
        </is>
      </c>
      <c r="B1995" s="1" t="n">
        <v>45048</v>
      </c>
      <c r="C1995" s="1" t="n">
        <v>45832</v>
      </c>
      <c r="D1995" t="inlineStr">
        <is>
          <t>VÄSTERBOTTENS LÄN</t>
        </is>
      </c>
      <c r="E1995" t="inlineStr">
        <is>
          <t>SKELLEFTEÅ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19349-2023</t>
        </is>
      </c>
      <c r="B1996" s="1" t="n">
        <v>45049</v>
      </c>
      <c r="C1996" s="1" t="n">
        <v>45832</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19424-2023</t>
        </is>
      </c>
      <c r="B1997" s="1" t="n">
        <v>45050</v>
      </c>
      <c r="C1997" s="1" t="n">
        <v>45832</v>
      </c>
      <c r="D1997" t="inlineStr">
        <is>
          <t>VÄSTERBOTTENS LÄN</t>
        </is>
      </c>
      <c r="E1997" t="inlineStr">
        <is>
          <t>SKELLEFTEÅ</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19422-2023</t>
        </is>
      </c>
      <c r="B1998" s="1" t="n">
        <v>45049</v>
      </c>
      <c r="C1998" s="1" t="n">
        <v>45832</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19428-2023</t>
        </is>
      </c>
      <c r="B1999" s="1" t="n">
        <v>45050</v>
      </c>
      <c r="C1999" s="1" t="n">
        <v>45832</v>
      </c>
      <c r="D1999" t="inlineStr">
        <is>
          <t>VÄSTERBOTTENS LÄN</t>
        </is>
      </c>
      <c r="E1999" t="inlineStr">
        <is>
          <t>SKELLEFTEÅ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19491-2023</t>
        </is>
      </c>
      <c r="B2000" s="1" t="n">
        <v>45049</v>
      </c>
      <c r="C2000" s="1" t="n">
        <v>45832</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19498-2023</t>
        </is>
      </c>
      <c r="B2001" s="1" t="n">
        <v>45049</v>
      </c>
      <c r="C2001" s="1" t="n">
        <v>45832</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20080-2023</t>
        </is>
      </c>
      <c r="B2002" s="1" t="n">
        <v>45055</v>
      </c>
      <c r="C2002" s="1" t="n">
        <v>45832</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20301-2023</t>
        </is>
      </c>
      <c r="B2003" s="1" t="n">
        <v>45056</v>
      </c>
      <c r="C2003" s="1" t="n">
        <v>45832</v>
      </c>
      <c r="D2003" t="inlineStr">
        <is>
          <t>VÄSTERBOTTENS LÄN</t>
        </is>
      </c>
      <c r="E2003" t="inlineStr">
        <is>
          <t>SKELLEFTEÅ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20290-2023</t>
        </is>
      </c>
      <c r="B2004" s="1" t="n">
        <v>45056</v>
      </c>
      <c r="C2004" s="1" t="n">
        <v>45832</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20499-2023</t>
        </is>
      </c>
      <c r="B2005" s="1" t="n">
        <v>45057</v>
      </c>
      <c r="C2005" s="1" t="n">
        <v>45832</v>
      </c>
      <c r="D2005" t="inlineStr">
        <is>
          <t>VÄSTERBOTTENS LÄN</t>
        </is>
      </c>
      <c r="E2005" t="inlineStr">
        <is>
          <t>SKELLEFTEÅ</t>
        </is>
      </c>
      <c r="F2005" t="inlineStr">
        <is>
          <t>Sveaskog</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21238-2023</t>
        </is>
      </c>
      <c r="B2006" s="1" t="n">
        <v>45058</v>
      </c>
      <c r="C2006" s="1" t="n">
        <v>45832</v>
      </c>
      <c r="D2006" t="inlineStr">
        <is>
          <t>VÄSTERBOTTENS LÄN</t>
        </is>
      </c>
      <c r="E2006" t="inlineStr">
        <is>
          <t>SKELLEFTEÅ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21336-2023</t>
        </is>
      </c>
      <c r="B2007" s="1" t="n">
        <v>45062</v>
      </c>
      <c r="C2007" s="1" t="n">
        <v>45832</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21565-2023</t>
        </is>
      </c>
      <c r="B2008" s="1" t="n">
        <v>45062</v>
      </c>
      <c r="C2008" s="1" t="n">
        <v>45832</v>
      </c>
      <c r="D2008" t="inlineStr">
        <is>
          <t>VÄSTERBOTTENS LÄN</t>
        </is>
      </c>
      <c r="E2008" t="inlineStr">
        <is>
          <t>SKELLEFTEÅ</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21463-2023</t>
        </is>
      </c>
      <c r="B2009" s="1" t="n">
        <v>45063</v>
      </c>
      <c r="C2009" s="1" t="n">
        <v>45832</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22341-2023</t>
        </is>
      </c>
      <c r="B2010" s="1" t="n">
        <v>45068</v>
      </c>
      <c r="C2010" s="1" t="n">
        <v>45832</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22351-2023</t>
        </is>
      </c>
      <c r="B2011" s="1" t="n">
        <v>45068</v>
      </c>
      <c r="C2011" s="1" t="n">
        <v>45832</v>
      </c>
      <c r="D2011" t="inlineStr">
        <is>
          <t>VÄSTERBOTTENS LÄN</t>
        </is>
      </c>
      <c r="E2011" t="inlineStr">
        <is>
          <t>SKELLEFTEÅ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22334-2023</t>
        </is>
      </c>
      <c r="B2012" s="1" t="n">
        <v>45068</v>
      </c>
      <c r="C2012" s="1" t="n">
        <v>45832</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22062-2023</t>
        </is>
      </c>
      <c r="B2013" s="1" t="n">
        <v>45069</v>
      </c>
      <c r="C2013" s="1" t="n">
        <v>45832</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22121-2023</t>
        </is>
      </c>
      <c r="B2014" s="1" t="n">
        <v>45069</v>
      </c>
      <c r="C2014" s="1" t="n">
        <v>45832</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22060-2023</t>
        </is>
      </c>
      <c r="B2015" s="1" t="n">
        <v>45069</v>
      </c>
      <c r="C2015" s="1" t="n">
        <v>45832</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22064-2023</t>
        </is>
      </c>
      <c r="B2016" s="1" t="n">
        <v>45069</v>
      </c>
      <c r="C2016" s="1" t="n">
        <v>45832</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22025-2023</t>
        </is>
      </c>
      <c r="B2017" s="1" t="n">
        <v>45069</v>
      </c>
      <c r="C2017" s="1" t="n">
        <v>45832</v>
      </c>
      <c r="D2017" t="inlineStr">
        <is>
          <t>VÄSTERBOTTENS LÄN</t>
        </is>
      </c>
      <c r="E2017" t="inlineStr">
        <is>
          <t>SKELLEFTEÅ</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22045-2023</t>
        </is>
      </c>
      <c r="B2018" s="1" t="n">
        <v>45069</v>
      </c>
      <c r="C2018" s="1" t="n">
        <v>45832</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22516-2023</t>
        </is>
      </c>
      <c r="B2019" s="1" t="n">
        <v>45069</v>
      </c>
      <c r="C2019" s="1" t="n">
        <v>45832</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22548-2023</t>
        </is>
      </c>
      <c r="B2020" s="1" t="n">
        <v>45069</v>
      </c>
      <c r="C2020" s="1" t="n">
        <v>45832</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22020-2023</t>
        </is>
      </c>
      <c r="B2021" s="1" t="n">
        <v>45069</v>
      </c>
      <c r="C2021" s="1" t="n">
        <v>45832</v>
      </c>
      <c r="D2021" t="inlineStr">
        <is>
          <t>VÄSTERBOTTENS LÄN</t>
        </is>
      </c>
      <c r="E2021" t="inlineStr">
        <is>
          <t>SKELLEFTEÅ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22344-2023</t>
        </is>
      </c>
      <c r="B2022" s="1" t="n">
        <v>45070</v>
      </c>
      <c r="C2022" s="1" t="n">
        <v>45832</v>
      </c>
      <c r="D2022" t="inlineStr">
        <is>
          <t>VÄSTERBOTTENS LÄN</t>
        </is>
      </c>
      <c r="E2022" t="inlineStr">
        <is>
          <t>SKELLEFTEÅ</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22461-2023</t>
        </is>
      </c>
      <c r="B2023" s="1" t="n">
        <v>45071</v>
      </c>
      <c r="C2023" s="1" t="n">
        <v>45832</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22579-2023</t>
        </is>
      </c>
      <c r="B2024" s="1" t="n">
        <v>45071</v>
      </c>
      <c r="C2024" s="1" t="n">
        <v>45832</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22735-2023</t>
        </is>
      </c>
      <c r="B2025" s="1" t="n">
        <v>45071</v>
      </c>
      <c r="C2025" s="1" t="n">
        <v>45832</v>
      </c>
      <c r="D2025" t="inlineStr">
        <is>
          <t>VÄSTERBOTTENS LÄN</t>
        </is>
      </c>
      <c r="E2025" t="inlineStr">
        <is>
          <t>SKELLEFTEÅ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23704-2023</t>
        </is>
      </c>
      <c r="B2026" s="1" t="n">
        <v>45075</v>
      </c>
      <c r="C2026" s="1" t="n">
        <v>45832</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23710-2023</t>
        </is>
      </c>
      <c r="B2027" s="1" t="n">
        <v>45075</v>
      </c>
      <c r="C2027" s="1" t="n">
        <v>45832</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23709-2023</t>
        </is>
      </c>
      <c r="B2028" s="1" t="n">
        <v>45075</v>
      </c>
      <c r="C2028" s="1" t="n">
        <v>45832</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23458-2023</t>
        </is>
      </c>
      <c r="B2029" s="1" t="n">
        <v>45076</v>
      </c>
      <c r="C2029" s="1" t="n">
        <v>45832</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23420-2023</t>
        </is>
      </c>
      <c r="B2030" s="1" t="n">
        <v>45076</v>
      </c>
      <c r="C2030" s="1" t="n">
        <v>45832</v>
      </c>
      <c r="D2030" t="inlineStr">
        <is>
          <t>VÄSTERBOTTENS LÄN</t>
        </is>
      </c>
      <c r="E2030" t="inlineStr">
        <is>
          <t>SKELLEFTEÅ</t>
        </is>
      </c>
      <c r="F2030" t="inlineStr">
        <is>
          <t>Holmen skog AB</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23430-2023</t>
        </is>
      </c>
      <c r="B2031" s="1" t="n">
        <v>45076</v>
      </c>
      <c r="C2031" s="1" t="n">
        <v>45832</v>
      </c>
      <c r="D2031" t="inlineStr">
        <is>
          <t>VÄSTERBOTTENS LÄN</t>
        </is>
      </c>
      <c r="E2031" t="inlineStr">
        <is>
          <t>SKELLEFTEÅ</t>
        </is>
      </c>
      <c r="F2031" t="inlineStr">
        <is>
          <t>Holmen skog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24430-2023</t>
        </is>
      </c>
      <c r="B2032" s="1" t="n">
        <v>45076</v>
      </c>
      <c r="C2032" s="1" t="n">
        <v>45832</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23714-2023</t>
        </is>
      </c>
      <c r="B2033" s="1" t="n">
        <v>45077</v>
      </c>
      <c r="C2033" s="1" t="n">
        <v>45832</v>
      </c>
      <c r="D2033" t="inlineStr">
        <is>
          <t>VÄSTERBOTTENS LÄN</t>
        </is>
      </c>
      <c r="E2033" t="inlineStr">
        <is>
          <t>SKELLEFTEÅ</t>
        </is>
      </c>
      <c r="F2033" t="inlineStr">
        <is>
          <t>Holmen skog AB</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23757-2023</t>
        </is>
      </c>
      <c r="B2034" s="1" t="n">
        <v>45077</v>
      </c>
      <c r="C2034" s="1" t="n">
        <v>45832</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45832</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23760-2023</t>
        </is>
      </c>
      <c r="B2036" s="1" t="n">
        <v>45077</v>
      </c>
      <c r="C2036" s="1" t="n">
        <v>45832</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23750-2023</t>
        </is>
      </c>
      <c r="B2037" s="1" t="n">
        <v>45077</v>
      </c>
      <c r="C2037" s="1" t="n">
        <v>45832</v>
      </c>
      <c r="D2037" t="inlineStr">
        <is>
          <t>VÄSTERBOTTENS LÄN</t>
        </is>
      </c>
      <c r="E2037" t="inlineStr">
        <is>
          <t>SKELLEFTEÅ</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23759-2023</t>
        </is>
      </c>
      <c r="B2038" s="1" t="n">
        <v>45077</v>
      </c>
      <c r="C2038" s="1" t="n">
        <v>45832</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25256-2023</t>
        </is>
      </c>
      <c r="B2039" s="1" t="n">
        <v>45079</v>
      </c>
      <c r="C2039" s="1" t="n">
        <v>45832</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25237-2023</t>
        </is>
      </c>
      <c r="B2040" s="1" t="n">
        <v>45079</v>
      </c>
      <c r="C2040" s="1" t="n">
        <v>45832</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24327-2023</t>
        </is>
      </c>
      <c r="B2041" s="1" t="n">
        <v>45080</v>
      </c>
      <c r="C2041" s="1" t="n">
        <v>45832</v>
      </c>
      <c r="D2041" t="inlineStr">
        <is>
          <t>VÄSTERBOTTENS LÄN</t>
        </is>
      </c>
      <c r="E2041" t="inlineStr">
        <is>
          <t>SKELLEFTEÅ</t>
        </is>
      </c>
      <c r="F2041" t="inlineStr">
        <is>
          <t>SCA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24320-2023</t>
        </is>
      </c>
      <c r="B2042" s="1" t="n">
        <v>45080</v>
      </c>
      <c r="C2042" s="1" t="n">
        <v>45832</v>
      </c>
      <c r="D2042" t="inlineStr">
        <is>
          <t>VÄSTERBOTTENS LÄN</t>
        </is>
      </c>
      <c r="E2042" t="inlineStr">
        <is>
          <t>SKELLEFTEÅ</t>
        </is>
      </c>
      <c r="F2042" t="inlineStr">
        <is>
          <t>Sveaskog</t>
        </is>
      </c>
      <c r="G2042" t="n">
        <v>27.5</v>
      </c>
      <c r="H2042" t="n">
        <v>0</v>
      </c>
      <c r="I2042" t="n">
        <v>0</v>
      </c>
      <c r="J2042" t="n">
        <v>0</v>
      </c>
      <c r="K2042" t="n">
        <v>0</v>
      </c>
      <c r="L2042" t="n">
        <v>0</v>
      </c>
      <c r="M2042" t="n">
        <v>0</v>
      </c>
      <c r="N2042" t="n">
        <v>0</v>
      </c>
      <c r="O2042" t="n">
        <v>0</v>
      </c>
      <c r="P2042" t="n">
        <v>0</v>
      </c>
      <c r="Q2042" t="n">
        <v>0</v>
      </c>
      <c r="R2042" s="2" t="inlineStr"/>
    </row>
    <row r="2043" ht="15" customHeight="1">
      <c r="A2043" t="inlineStr">
        <is>
          <t>A 24805-2023</t>
        </is>
      </c>
      <c r="B2043" s="1" t="n">
        <v>45084</v>
      </c>
      <c r="C2043" s="1" t="n">
        <v>45832</v>
      </c>
      <c r="D2043" t="inlineStr">
        <is>
          <t>VÄSTERBOTTENS LÄN</t>
        </is>
      </c>
      <c r="E2043" t="inlineStr">
        <is>
          <t>SKELLEFTEÅ</t>
        </is>
      </c>
      <c r="F2043" t="inlineStr">
        <is>
          <t>Sveaskog</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25632-2023</t>
        </is>
      </c>
      <c r="B2044" s="1" t="n">
        <v>45084</v>
      </c>
      <c r="C2044" s="1" t="n">
        <v>45832</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25634-2023</t>
        </is>
      </c>
      <c r="B2045" s="1" t="n">
        <v>45084</v>
      </c>
      <c r="C2045" s="1" t="n">
        <v>45832</v>
      </c>
      <c r="D2045" t="inlineStr">
        <is>
          <t>VÄSTERBOTTENS LÄN</t>
        </is>
      </c>
      <c r="E2045" t="inlineStr">
        <is>
          <t>SKELLEFTEÅ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25626-2023</t>
        </is>
      </c>
      <c r="B2046" s="1" t="n">
        <v>45084</v>
      </c>
      <c r="C2046" s="1" t="n">
        <v>45832</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25638-2023</t>
        </is>
      </c>
      <c r="B2047" s="1" t="n">
        <v>45084</v>
      </c>
      <c r="C2047" s="1" t="n">
        <v>45832</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24963-2023</t>
        </is>
      </c>
      <c r="B2048" s="1" t="n">
        <v>45085</v>
      </c>
      <c r="C2048" s="1" t="n">
        <v>45832</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25019-2023</t>
        </is>
      </c>
      <c r="B2049" s="1" t="n">
        <v>45085</v>
      </c>
      <c r="C2049" s="1" t="n">
        <v>45832</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25401-2023</t>
        </is>
      </c>
      <c r="B2050" s="1" t="n">
        <v>45089</v>
      </c>
      <c r="C2050" s="1" t="n">
        <v>45832</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25787-2023</t>
        </is>
      </c>
      <c r="B2051" s="1" t="n">
        <v>45090</v>
      </c>
      <c r="C2051" s="1" t="n">
        <v>45832</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26783-2023</t>
        </is>
      </c>
      <c r="B2052" s="1" t="n">
        <v>45090</v>
      </c>
      <c r="C2052" s="1" t="n">
        <v>45832</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26767-2023</t>
        </is>
      </c>
      <c r="B2053" s="1" t="n">
        <v>45090</v>
      </c>
      <c r="C2053" s="1" t="n">
        <v>45832</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26160-2023</t>
        </is>
      </c>
      <c r="B2054" s="1" t="n">
        <v>45091</v>
      </c>
      <c r="C2054" s="1" t="n">
        <v>45832</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26217-2023</t>
        </is>
      </c>
      <c r="B2055" s="1" t="n">
        <v>45091</v>
      </c>
      <c r="C2055" s="1" t="n">
        <v>45832</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26334-2023</t>
        </is>
      </c>
      <c r="B2056" s="1" t="n">
        <v>45091</v>
      </c>
      <c r="C2056" s="1" t="n">
        <v>45832</v>
      </c>
      <c r="D2056" t="inlineStr">
        <is>
          <t>VÄSTERBOTTENS LÄN</t>
        </is>
      </c>
      <c r="E2056" t="inlineStr">
        <is>
          <t>SKELLEFTEÅ</t>
        </is>
      </c>
      <c r="F2056" t="inlineStr">
        <is>
          <t>Sveaskog</t>
        </is>
      </c>
      <c r="G2056" t="n">
        <v>20.4</v>
      </c>
      <c r="H2056" t="n">
        <v>0</v>
      </c>
      <c r="I2056" t="n">
        <v>0</v>
      </c>
      <c r="J2056" t="n">
        <v>0</v>
      </c>
      <c r="K2056" t="n">
        <v>0</v>
      </c>
      <c r="L2056" t="n">
        <v>0</v>
      </c>
      <c r="M2056" t="n">
        <v>0</v>
      </c>
      <c r="N2056" t="n">
        <v>0</v>
      </c>
      <c r="O2056" t="n">
        <v>0</v>
      </c>
      <c r="P2056" t="n">
        <v>0</v>
      </c>
      <c r="Q2056" t="n">
        <v>0</v>
      </c>
      <c r="R2056" s="2" t="inlineStr"/>
    </row>
    <row r="2057" ht="15" customHeight="1">
      <c r="A2057" t="inlineStr">
        <is>
          <t>A 26019-2023</t>
        </is>
      </c>
      <c r="B2057" s="1" t="n">
        <v>45091</v>
      </c>
      <c r="C2057" s="1" t="n">
        <v>45832</v>
      </c>
      <c r="D2057" t="inlineStr">
        <is>
          <t>VÄSTERBOTTENS LÄN</t>
        </is>
      </c>
      <c r="E2057" t="inlineStr">
        <is>
          <t>SKELLEFTEÅ</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26062-2023</t>
        </is>
      </c>
      <c r="B2058" s="1" t="n">
        <v>45091</v>
      </c>
      <c r="C2058" s="1" t="n">
        <v>45832</v>
      </c>
      <c r="D2058" t="inlineStr">
        <is>
          <t>VÄSTERBOTTENS LÄN</t>
        </is>
      </c>
      <c r="E2058" t="inlineStr">
        <is>
          <t>SKELLEFTEÅ</t>
        </is>
      </c>
      <c r="F2058" t="inlineStr">
        <is>
          <t>Holmen skog AB</t>
        </is>
      </c>
      <c r="G2058" t="n">
        <v>16.2</v>
      </c>
      <c r="H2058" t="n">
        <v>0</v>
      </c>
      <c r="I2058" t="n">
        <v>0</v>
      </c>
      <c r="J2058" t="n">
        <v>0</v>
      </c>
      <c r="K2058" t="n">
        <v>0</v>
      </c>
      <c r="L2058" t="n">
        <v>0</v>
      </c>
      <c r="M2058" t="n">
        <v>0</v>
      </c>
      <c r="N2058" t="n">
        <v>0</v>
      </c>
      <c r="O2058" t="n">
        <v>0</v>
      </c>
      <c r="P2058" t="n">
        <v>0</v>
      </c>
      <c r="Q2058" t="n">
        <v>0</v>
      </c>
      <c r="R2058" s="2" t="inlineStr"/>
    </row>
    <row r="2059" ht="15" customHeight="1">
      <c r="A2059" t="inlineStr">
        <is>
          <t>A 26095-2023</t>
        </is>
      </c>
      <c r="B2059" s="1" t="n">
        <v>45091</v>
      </c>
      <c r="C2059" s="1" t="n">
        <v>45832</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26154-2023</t>
        </is>
      </c>
      <c r="B2060" s="1" t="n">
        <v>45091</v>
      </c>
      <c r="C2060" s="1" t="n">
        <v>45832</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26955-2023</t>
        </is>
      </c>
      <c r="B2061" s="1" t="n">
        <v>45091</v>
      </c>
      <c r="C2061" s="1" t="n">
        <v>45832</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26978-2023</t>
        </is>
      </c>
      <c r="B2062" s="1" t="n">
        <v>45091</v>
      </c>
      <c r="C2062" s="1" t="n">
        <v>45832</v>
      </c>
      <c r="D2062" t="inlineStr">
        <is>
          <t>VÄSTERBOTTENS LÄN</t>
        </is>
      </c>
      <c r="E2062" t="inlineStr">
        <is>
          <t>SKELLEFTEÅ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26462-2023</t>
        </is>
      </c>
      <c r="B2063" s="1" t="n">
        <v>45092</v>
      </c>
      <c r="C2063" s="1" t="n">
        <v>45832</v>
      </c>
      <c r="D2063" t="inlineStr">
        <is>
          <t>VÄSTERBOTTENS LÄN</t>
        </is>
      </c>
      <c r="E2063" t="inlineStr">
        <is>
          <t>SKELLEFTEÅ</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26632-2023</t>
        </is>
      </c>
      <c r="B2064" s="1" t="n">
        <v>45092</v>
      </c>
      <c r="C2064" s="1" t="n">
        <v>45832</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26648-2023</t>
        </is>
      </c>
      <c r="B2065" s="1" t="n">
        <v>45093</v>
      </c>
      <c r="C2065" s="1" t="n">
        <v>45832</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26649-2023</t>
        </is>
      </c>
      <c r="B2066" s="1" t="n">
        <v>45093</v>
      </c>
      <c r="C2066" s="1" t="n">
        <v>45832</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26645-2023</t>
        </is>
      </c>
      <c r="B2067" s="1" t="n">
        <v>45093</v>
      </c>
      <c r="C2067" s="1" t="n">
        <v>45832</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26631-2023</t>
        </is>
      </c>
      <c r="B2068" s="1" t="n">
        <v>45092</v>
      </c>
      <c r="C2068" s="1" t="n">
        <v>45832</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26686-2023</t>
        </is>
      </c>
      <c r="B2069" s="1" t="n">
        <v>45093</v>
      </c>
      <c r="C2069" s="1" t="n">
        <v>45832</v>
      </c>
      <c r="D2069" t="inlineStr">
        <is>
          <t>VÄSTERBOTTENS LÄN</t>
        </is>
      </c>
      <c r="E2069" t="inlineStr">
        <is>
          <t>SKELLEFTEÅ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26690-2023</t>
        </is>
      </c>
      <c r="B2070" s="1" t="n">
        <v>45093</v>
      </c>
      <c r="C2070" s="1" t="n">
        <v>45832</v>
      </c>
      <c r="D2070" t="inlineStr">
        <is>
          <t>VÄSTERBOTTENS LÄN</t>
        </is>
      </c>
      <c r="E2070" t="inlineStr">
        <is>
          <t>SKELLEFTEÅ</t>
        </is>
      </c>
      <c r="F2070" t="inlineStr">
        <is>
          <t>Kyrkan</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26869-2023</t>
        </is>
      </c>
      <c r="B2071" s="1" t="n">
        <v>45093</v>
      </c>
      <c r="C2071" s="1" t="n">
        <v>45832</v>
      </c>
      <c r="D2071" t="inlineStr">
        <is>
          <t>VÄSTERBOTTENS LÄN</t>
        </is>
      </c>
      <c r="E2071" t="inlineStr">
        <is>
          <t>SKELLEFTEÅ</t>
        </is>
      </c>
      <c r="F2071" t="inlineStr">
        <is>
          <t>Holmen skog AB</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26720-2023</t>
        </is>
      </c>
      <c r="B2072" s="1" t="n">
        <v>45093</v>
      </c>
      <c r="C2072" s="1" t="n">
        <v>45832</v>
      </c>
      <c r="D2072" t="inlineStr">
        <is>
          <t>VÄSTERBOTTENS LÄN</t>
        </is>
      </c>
      <c r="E2072" t="inlineStr">
        <is>
          <t>SKELLEFTEÅ</t>
        </is>
      </c>
      <c r="F2072" t="inlineStr">
        <is>
          <t>Kyrkan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26900-2023</t>
        </is>
      </c>
      <c r="B2073" s="1" t="n">
        <v>45093</v>
      </c>
      <c r="C2073" s="1" t="n">
        <v>45832</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26784-2023</t>
        </is>
      </c>
      <c r="B2074" s="1" t="n">
        <v>45093</v>
      </c>
      <c r="C2074" s="1" t="n">
        <v>45832</v>
      </c>
      <c r="D2074" t="inlineStr">
        <is>
          <t>VÄSTERBOTTENS LÄN</t>
        </is>
      </c>
      <c r="E2074" t="inlineStr">
        <is>
          <t>SKELLEFTEÅ</t>
        </is>
      </c>
      <c r="G2074" t="n">
        <v>19.5</v>
      </c>
      <c r="H2074" t="n">
        <v>0</v>
      </c>
      <c r="I2074" t="n">
        <v>0</v>
      </c>
      <c r="J2074" t="n">
        <v>0</v>
      </c>
      <c r="K2074" t="n">
        <v>0</v>
      </c>
      <c r="L2074" t="n">
        <v>0</v>
      </c>
      <c r="M2074" t="n">
        <v>0</v>
      </c>
      <c r="N2074" t="n">
        <v>0</v>
      </c>
      <c r="O2074" t="n">
        <v>0</v>
      </c>
      <c r="P2074" t="n">
        <v>0</v>
      </c>
      <c r="Q2074" t="n">
        <v>0</v>
      </c>
      <c r="R2074" s="2" t="inlineStr"/>
    </row>
    <row r="2075" ht="15" customHeight="1">
      <c r="A2075" t="inlineStr">
        <is>
          <t>A 27785-2023</t>
        </is>
      </c>
      <c r="B2075" s="1" t="n">
        <v>45093</v>
      </c>
      <c r="C2075" s="1" t="n">
        <v>45832</v>
      </c>
      <c r="D2075" t="inlineStr">
        <is>
          <t>VÄSTERBOTTENS LÄN</t>
        </is>
      </c>
      <c r="E2075" t="inlineStr">
        <is>
          <t>SKELLEFTEÅ</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27097-2023</t>
        </is>
      </c>
      <c r="B2076" s="1" t="n">
        <v>45096</v>
      </c>
      <c r="C2076" s="1" t="n">
        <v>45832</v>
      </c>
      <c r="D2076" t="inlineStr">
        <is>
          <t>VÄSTERBOTTENS LÄN</t>
        </is>
      </c>
      <c r="E2076" t="inlineStr">
        <is>
          <t>SKELLEFTEÅ</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27134-2023</t>
        </is>
      </c>
      <c r="B2077" s="1" t="n">
        <v>45096</v>
      </c>
      <c r="C2077" s="1" t="n">
        <v>45832</v>
      </c>
      <c r="D2077" t="inlineStr">
        <is>
          <t>VÄSTERBOTTENS LÄN</t>
        </is>
      </c>
      <c r="E2077" t="inlineStr">
        <is>
          <t>SKELLEFTEÅ</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27210-2023</t>
        </is>
      </c>
      <c r="B2078" s="1" t="n">
        <v>45096</v>
      </c>
      <c r="C2078" s="1" t="n">
        <v>45832</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27200-2023</t>
        </is>
      </c>
      <c r="B2079" s="1" t="n">
        <v>45096</v>
      </c>
      <c r="C2079" s="1" t="n">
        <v>45832</v>
      </c>
      <c r="D2079" t="inlineStr">
        <is>
          <t>VÄSTERBOTTENS LÄN</t>
        </is>
      </c>
      <c r="E2079" t="inlineStr">
        <is>
          <t>SKELLEFTEÅ</t>
        </is>
      </c>
      <c r="F2079" t="inlineStr">
        <is>
          <t>Holmen skog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27333-2023</t>
        </is>
      </c>
      <c r="B2080" s="1" t="n">
        <v>45096</v>
      </c>
      <c r="C2080" s="1" t="n">
        <v>45832</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27323-2023</t>
        </is>
      </c>
      <c r="B2081" s="1" t="n">
        <v>45096</v>
      </c>
      <c r="C2081" s="1" t="n">
        <v>45832</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28153-2023</t>
        </is>
      </c>
      <c r="B2082" s="1" t="n">
        <v>45096</v>
      </c>
      <c r="C2082" s="1" t="n">
        <v>45832</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28166-2023</t>
        </is>
      </c>
      <c r="B2083" s="1" t="n">
        <v>45096</v>
      </c>
      <c r="C2083" s="1" t="n">
        <v>45832</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28113-2023</t>
        </is>
      </c>
      <c r="B2084" s="1" t="n">
        <v>45096</v>
      </c>
      <c r="C2084" s="1" t="n">
        <v>45832</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28158-2023</t>
        </is>
      </c>
      <c r="B2085" s="1" t="n">
        <v>45096</v>
      </c>
      <c r="C2085" s="1" t="n">
        <v>45832</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28171-2023</t>
        </is>
      </c>
      <c r="B2086" s="1" t="n">
        <v>45096</v>
      </c>
      <c r="C2086" s="1" t="n">
        <v>45832</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28203-2023</t>
        </is>
      </c>
      <c r="B2087" s="1" t="n">
        <v>45096</v>
      </c>
      <c r="C2087" s="1" t="n">
        <v>45832</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27322-2023</t>
        </is>
      </c>
      <c r="B2088" s="1" t="n">
        <v>45096</v>
      </c>
      <c r="C2088" s="1" t="n">
        <v>45832</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28191-2023</t>
        </is>
      </c>
      <c r="B2089" s="1" t="n">
        <v>45096</v>
      </c>
      <c r="C2089" s="1" t="n">
        <v>45832</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28192-2023</t>
        </is>
      </c>
      <c r="B2090" s="1" t="n">
        <v>45096</v>
      </c>
      <c r="C2090" s="1" t="n">
        <v>45832</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28175-2023</t>
        </is>
      </c>
      <c r="B2091" s="1" t="n">
        <v>45096</v>
      </c>
      <c r="C2091" s="1" t="n">
        <v>45832</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27433-2023</t>
        </is>
      </c>
      <c r="B2092" s="1" t="n">
        <v>45097</v>
      </c>
      <c r="C2092" s="1" t="n">
        <v>45832</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27504-2023</t>
        </is>
      </c>
      <c r="B2093" s="1" t="n">
        <v>45097</v>
      </c>
      <c r="C2093" s="1" t="n">
        <v>45832</v>
      </c>
      <c r="D2093" t="inlineStr">
        <is>
          <t>VÄSTERBOTTENS LÄN</t>
        </is>
      </c>
      <c r="E2093" t="inlineStr">
        <is>
          <t>SKELLEFTEÅ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27508-2023</t>
        </is>
      </c>
      <c r="B2094" s="1" t="n">
        <v>45097</v>
      </c>
      <c r="C2094" s="1" t="n">
        <v>45832</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27614-2023</t>
        </is>
      </c>
      <c r="B2095" s="1" t="n">
        <v>45097</v>
      </c>
      <c r="C2095" s="1" t="n">
        <v>45832</v>
      </c>
      <c r="D2095" t="inlineStr">
        <is>
          <t>VÄSTERBOTTENS LÄN</t>
        </is>
      </c>
      <c r="E2095" t="inlineStr">
        <is>
          <t>SKELLEFTEÅ</t>
        </is>
      </c>
      <c r="F2095" t="inlineStr">
        <is>
          <t>Holmen skog AB</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27670-2023</t>
        </is>
      </c>
      <c r="B2096" s="1" t="n">
        <v>45097</v>
      </c>
      <c r="C2096" s="1" t="n">
        <v>45832</v>
      </c>
      <c r="D2096" t="inlineStr">
        <is>
          <t>VÄSTERBOTTENS LÄN</t>
        </is>
      </c>
      <c r="E2096" t="inlineStr">
        <is>
          <t>SKELLEFTEÅ</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27766-2023</t>
        </is>
      </c>
      <c r="B2097" s="1" t="n">
        <v>45098</v>
      </c>
      <c r="C2097" s="1" t="n">
        <v>45832</v>
      </c>
      <c r="D2097" t="inlineStr">
        <is>
          <t>VÄSTERBOTTENS LÄN</t>
        </is>
      </c>
      <c r="E2097" t="inlineStr">
        <is>
          <t>SKELLEFTEÅ</t>
        </is>
      </c>
      <c r="F2097" t="inlineStr">
        <is>
          <t>Holmen skog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27829-2023</t>
        </is>
      </c>
      <c r="B2098" s="1" t="n">
        <v>45098</v>
      </c>
      <c r="C2098" s="1" t="n">
        <v>45832</v>
      </c>
      <c r="D2098" t="inlineStr">
        <is>
          <t>VÄSTERBOTTENS LÄN</t>
        </is>
      </c>
      <c r="E2098" t="inlineStr">
        <is>
          <t>SKELLEFTEÅ</t>
        </is>
      </c>
      <c r="F2098" t="inlineStr">
        <is>
          <t>Holmen skog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27807-2023</t>
        </is>
      </c>
      <c r="B2099" s="1" t="n">
        <v>45098</v>
      </c>
      <c r="C2099" s="1" t="n">
        <v>45832</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27900-2023</t>
        </is>
      </c>
      <c r="B2100" s="1" t="n">
        <v>45098</v>
      </c>
      <c r="C2100" s="1" t="n">
        <v>45832</v>
      </c>
      <c r="D2100" t="inlineStr">
        <is>
          <t>VÄSTERBOTTENS LÄN</t>
        </is>
      </c>
      <c r="E2100" t="inlineStr">
        <is>
          <t>SKELLEFTEÅ</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27925-2023</t>
        </is>
      </c>
      <c r="B2101" s="1" t="n">
        <v>45098</v>
      </c>
      <c r="C2101" s="1" t="n">
        <v>45832</v>
      </c>
      <c r="D2101" t="inlineStr">
        <is>
          <t>VÄSTERBOTTENS LÄN</t>
        </is>
      </c>
      <c r="E2101" t="inlineStr">
        <is>
          <t>SKELLEFTEÅ</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27794-2023</t>
        </is>
      </c>
      <c r="B2102" s="1" t="n">
        <v>45098</v>
      </c>
      <c r="C2102" s="1" t="n">
        <v>45832</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29601-2023</t>
        </is>
      </c>
      <c r="B2103" s="1" t="n">
        <v>45098</v>
      </c>
      <c r="C2103" s="1" t="n">
        <v>45832</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28148-2023</t>
        </is>
      </c>
      <c r="B2104" s="1" t="n">
        <v>45099</v>
      </c>
      <c r="C2104" s="1" t="n">
        <v>45832</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28142-2023</t>
        </is>
      </c>
      <c r="B2105" s="1" t="n">
        <v>45099</v>
      </c>
      <c r="C2105" s="1" t="n">
        <v>45832</v>
      </c>
      <c r="D2105" t="inlineStr">
        <is>
          <t>VÄSTERBOTTENS LÄN</t>
        </is>
      </c>
      <c r="E2105" t="inlineStr">
        <is>
          <t>SKELLEFTEÅ</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28185-2023</t>
        </is>
      </c>
      <c r="B2106" s="1" t="n">
        <v>45099</v>
      </c>
      <c r="C2106" s="1" t="n">
        <v>45832</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28242-2023</t>
        </is>
      </c>
      <c r="B2107" s="1" t="n">
        <v>45099</v>
      </c>
      <c r="C2107" s="1" t="n">
        <v>45832</v>
      </c>
      <c r="D2107" t="inlineStr">
        <is>
          <t>VÄSTERBOTTENS LÄN</t>
        </is>
      </c>
      <c r="E2107" t="inlineStr">
        <is>
          <t>SKELLEFTEÅ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v>
      </c>
      <c r="C2108" s="1" t="n">
        <v>45832</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28199-2023</t>
        </is>
      </c>
      <c r="B2109" s="1" t="n">
        <v>45099</v>
      </c>
      <c r="C2109" s="1" t="n">
        <v>45832</v>
      </c>
      <c r="D2109" t="inlineStr">
        <is>
          <t>VÄSTERBOTTENS LÄN</t>
        </is>
      </c>
      <c r="E2109" t="inlineStr">
        <is>
          <t>SKELLEFTEÅ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28360-2023</t>
        </is>
      </c>
      <c r="B2110" s="1" t="n">
        <v>45100</v>
      </c>
      <c r="C2110" s="1" t="n">
        <v>45832</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28358-2023</t>
        </is>
      </c>
      <c r="B2111" s="1" t="n">
        <v>45100</v>
      </c>
      <c r="C2111" s="1" t="n">
        <v>45832</v>
      </c>
      <c r="D2111" t="inlineStr">
        <is>
          <t>VÄSTERBOTTENS LÄN</t>
        </is>
      </c>
      <c r="E2111" t="inlineStr">
        <is>
          <t>SKELLEFTEÅ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29921-2023</t>
        </is>
      </c>
      <c r="B2112" s="1" t="n">
        <v>45099</v>
      </c>
      <c r="C2112" s="1" t="n">
        <v>45832</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30097-2023</t>
        </is>
      </c>
      <c r="B2113" s="1" t="n">
        <v>45099</v>
      </c>
      <c r="C2113" s="1" t="n">
        <v>45832</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30103-2023</t>
        </is>
      </c>
      <c r="B2114" s="1" t="n">
        <v>45099</v>
      </c>
      <c r="C2114" s="1" t="n">
        <v>45832</v>
      </c>
      <c r="D2114" t="inlineStr">
        <is>
          <t>VÄSTERBOTTENS LÄN</t>
        </is>
      </c>
      <c r="E2114" t="inlineStr">
        <is>
          <t>SKELLEFTEÅ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30437-2023</t>
        </is>
      </c>
      <c r="B2115" s="1" t="n">
        <v>45099</v>
      </c>
      <c r="C2115" s="1" t="n">
        <v>45832</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30378-2023</t>
        </is>
      </c>
      <c r="B2116" s="1" t="n">
        <v>45099</v>
      </c>
      <c r="C2116" s="1" t="n">
        <v>45832</v>
      </c>
      <c r="D2116" t="inlineStr">
        <is>
          <t>VÄSTERBOTTENS LÄN</t>
        </is>
      </c>
      <c r="E2116" t="inlineStr">
        <is>
          <t>SKELLEFTEÅ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28431-2023</t>
        </is>
      </c>
      <c r="B2117" s="1" t="n">
        <v>45102</v>
      </c>
      <c r="C2117" s="1" t="n">
        <v>45832</v>
      </c>
      <c r="D2117" t="inlineStr">
        <is>
          <t>VÄSTERBOTTENS LÄN</t>
        </is>
      </c>
      <c r="E2117" t="inlineStr">
        <is>
          <t>SKELLEFTEÅ</t>
        </is>
      </c>
      <c r="G2117" t="n">
        <v>8.9</v>
      </c>
      <c r="H2117" t="n">
        <v>0</v>
      </c>
      <c r="I2117" t="n">
        <v>0</v>
      </c>
      <c r="J2117" t="n">
        <v>0</v>
      </c>
      <c r="K2117" t="n">
        <v>0</v>
      </c>
      <c r="L2117" t="n">
        <v>0</v>
      </c>
      <c r="M2117" t="n">
        <v>0</v>
      </c>
      <c r="N2117" t="n">
        <v>0</v>
      </c>
      <c r="O2117" t="n">
        <v>0</v>
      </c>
      <c r="P2117" t="n">
        <v>0</v>
      </c>
      <c r="Q2117" t="n">
        <v>0</v>
      </c>
      <c r="R2117" s="2" t="inlineStr"/>
      <c r="U2117">
        <f>HYPERLINK("https://klasma.github.io/Logging_2482/knärot/A 28431-2023 karta knärot.png", "A 28431-2023")</f>
        <v/>
      </c>
      <c r="V2117">
        <f>HYPERLINK("https://klasma.github.io/Logging_2482/klagomål/A 28431-2023 FSC-klagomål.docx", "A 28431-2023")</f>
        <v/>
      </c>
      <c r="W2117">
        <f>HYPERLINK("https://klasma.github.io/Logging_2482/klagomålsmail/A 28431-2023 FSC-klagomål mail.docx", "A 28431-2023")</f>
        <v/>
      </c>
      <c r="X2117">
        <f>HYPERLINK("https://klasma.github.io/Logging_2482/tillsyn/A 28431-2023 tillsynsbegäran.docx", "A 28431-2023")</f>
        <v/>
      </c>
      <c r="Y2117">
        <f>HYPERLINK("https://klasma.github.io/Logging_2482/tillsynsmail/A 28431-2023 tillsynsbegäran mail.docx", "A 28431-2023")</f>
        <v/>
      </c>
    </row>
    <row r="2118" ht="15" customHeight="1">
      <c r="A2118" t="inlineStr">
        <is>
          <t>A 28433-2023</t>
        </is>
      </c>
      <c r="B2118" s="1" t="n">
        <v>45102</v>
      </c>
      <c r="C2118" s="1" t="n">
        <v>45832</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28509-2023</t>
        </is>
      </c>
      <c r="B2119" s="1" t="n">
        <v>45103</v>
      </c>
      <c r="C2119" s="1" t="n">
        <v>45832</v>
      </c>
      <c r="D2119" t="inlineStr">
        <is>
          <t>VÄSTERBOTTENS LÄN</t>
        </is>
      </c>
      <c r="E2119" t="inlineStr">
        <is>
          <t>SKELLEFTEÅ</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28641-2023</t>
        </is>
      </c>
      <c r="B2120" s="1" t="n">
        <v>45103</v>
      </c>
      <c r="C2120" s="1" t="n">
        <v>45832</v>
      </c>
      <c r="D2120" t="inlineStr">
        <is>
          <t>VÄSTERBOTTENS LÄN</t>
        </is>
      </c>
      <c r="E2120" t="inlineStr">
        <is>
          <t>SKELLEFTEÅ</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28710-2023</t>
        </is>
      </c>
      <c r="B2121" s="1" t="n">
        <v>45103</v>
      </c>
      <c r="C2121" s="1" t="n">
        <v>45832</v>
      </c>
      <c r="D2121" t="inlineStr">
        <is>
          <t>VÄSTERBOTTENS LÄN</t>
        </is>
      </c>
      <c r="E2121" t="inlineStr">
        <is>
          <t>SKELLEFTEÅ</t>
        </is>
      </c>
      <c r="F2121" t="inlineStr">
        <is>
          <t>Sveaskog</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31006-2023</t>
        </is>
      </c>
      <c r="B2122" s="1" t="n">
        <v>45103</v>
      </c>
      <c r="C2122" s="1" t="n">
        <v>45832</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31555-2023</t>
        </is>
      </c>
      <c r="B2123" s="1" t="n">
        <v>45104</v>
      </c>
      <c r="C2123" s="1" t="n">
        <v>45832</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31558-2023</t>
        </is>
      </c>
      <c r="B2124" s="1" t="n">
        <v>45104</v>
      </c>
      <c r="C2124" s="1" t="n">
        <v>45832</v>
      </c>
      <c r="D2124" t="inlineStr">
        <is>
          <t>VÄSTERBOTTENS LÄN</t>
        </is>
      </c>
      <c r="E2124" t="inlineStr">
        <is>
          <t>SKELLEFTEÅ</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29152-2023</t>
        </is>
      </c>
      <c r="B2125" s="1" t="n">
        <v>45105</v>
      </c>
      <c r="C2125" s="1" t="n">
        <v>45832</v>
      </c>
      <c r="D2125" t="inlineStr">
        <is>
          <t>VÄSTERBOTTENS LÄN</t>
        </is>
      </c>
      <c r="E2125" t="inlineStr">
        <is>
          <t>SKELLEFTEÅ</t>
        </is>
      </c>
      <c r="F2125" t="inlineStr">
        <is>
          <t>Holmen skog AB</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29313-2023</t>
        </is>
      </c>
      <c r="B2126" s="1" t="n">
        <v>45106</v>
      </c>
      <c r="C2126" s="1" t="n">
        <v>45832</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29355-2023</t>
        </is>
      </c>
      <c r="B2127" s="1" t="n">
        <v>45106</v>
      </c>
      <c r="C2127" s="1" t="n">
        <v>45832</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29520-2023</t>
        </is>
      </c>
      <c r="B2128" s="1" t="n">
        <v>45106</v>
      </c>
      <c r="C2128" s="1" t="n">
        <v>45832</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29596-2023</t>
        </is>
      </c>
      <c r="B2129" s="1" t="n">
        <v>45107</v>
      </c>
      <c r="C2129" s="1" t="n">
        <v>45832</v>
      </c>
      <c r="D2129" t="inlineStr">
        <is>
          <t>VÄSTERBOTTENS LÄN</t>
        </is>
      </c>
      <c r="E2129" t="inlineStr">
        <is>
          <t>SKELLEFTEÅ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29595-2023</t>
        </is>
      </c>
      <c r="B2130" s="1" t="n">
        <v>45107</v>
      </c>
      <c r="C2130" s="1" t="n">
        <v>45832</v>
      </c>
      <c r="D2130" t="inlineStr">
        <is>
          <t>VÄSTERBOTTENS LÄN</t>
        </is>
      </c>
      <c r="E2130" t="inlineStr">
        <is>
          <t>SKELLEFTEÅ</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31760-2023</t>
        </is>
      </c>
      <c r="B2131" s="1" t="n">
        <v>45106</v>
      </c>
      <c r="C2131" s="1" t="n">
        <v>45832</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29887-2023</t>
        </is>
      </c>
      <c r="B2132" s="1" t="n">
        <v>45107</v>
      </c>
      <c r="C2132" s="1" t="n">
        <v>45832</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29891-2023</t>
        </is>
      </c>
      <c r="B2133" s="1" t="n">
        <v>45107</v>
      </c>
      <c r="C2133" s="1" t="n">
        <v>45832</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29890-2023</t>
        </is>
      </c>
      <c r="B2134" s="1" t="n">
        <v>45107</v>
      </c>
      <c r="C2134" s="1" t="n">
        <v>45832</v>
      </c>
      <c r="D2134" t="inlineStr">
        <is>
          <t>VÄSTERBOTTENS LÄN</t>
        </is>
      </c>
      <c r="E2134" t="inlineStr">
        <is>
          <t>SKELLEFTEÅ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29932-2023</t>
        </is>
      </c>
      <c r="B2135" s="1" t="n">
        <v>45107</v>
      </c>
      <c r="C2135" s="1" t="n">
        <v>45832</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29967-2023</t>
        </is>
      </c>
      <c r="B2136" s="1" t="n">
        <v>45108</v>
      </c>
      <c r="C2136" s="1" t="n">
        <v>45832</v>
      </c>
      <c r="D2136" t="inlineStr">
        <is>
          <t>VÄSTERBOTTENS LÄN</t>
        </is>
      </c>
      <c r="E2136" t="inlineStr">
        <is>
          <t>SKELLEFTEÅ</t>
        </is>
      </c>
      <c r="F2136" t="inlineStr">
        <is>
          <t>Holmen skog AB</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29968-2023</t>
        </is>
      </c>
      <c r="B2137" s="1" t="n">
        <v>45108</v>
      </c>
      <c r="C2137" s="1" t="n">
        <v>45832</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29976-2023</t>
        </is>
      </c>
      <c r="B2138" s="1" t="n">
        <v>45108</v>
      </c>
      <c r="C2138" s="1" t="n">
        <v>45832</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29970-2023</t>
        </is>
      </c>
      <c r="B2139" s="1" t="n">
        <v>45108</v>
      </c>
      <c r="C2139" s="1" t="n">
        <v>45832</v>
      </c>
      <c r="D2139" t="inlineStr">
        <is>
          <t>VÄSTERBOTTENS LÄN</t>
        </is>
      </c>
      <c r="E2139" t="inlineStr">
        <is>
          <t>SKELLEFTEÅ</t>
        </is>
      </c>
      <c r="F2139" t="inlineStr">
        <is>
          <t>Holmen skog AB</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29974-2023</t>
        </is>
      </c>
      <c r="B2140" s="1" t="n">
        <v>45108</v>
      </c>
      <c r="C2140" s="1" t="n">
        <v>45832</v>
      </c>
      <c r="D2140" t="inlineStr">
        <is>
          <t>VÄSTERBOTTENS LÄN</t>
        </is>
      </c>
      <c r="E2140" t="inlineStr">
        <is>
          <t>SKELLEFTEÅ</t>
        </is>
      </c>
      <c r="F2140" t="inlineStr">
        <is>
          <t>Holmen skog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30010-2023</t>
        </is>
      </c>
      <c r="B2141" s="1" t="n">
        <v>45109</v>
      </c>
      <c r="C2141" s="1" t="n">
        <v>45832</v>
      </c>
      <c r="D2141" t="inlineStr">
        <is>
          <t>VÄSTERBOTTENS LÄN</t>
        </is>
      </c>
      <c r="E2141" t="inlineStr">
        <is>
          <t>SKELLEFTEÅ</t>
        </is>
      </c>
      <c r="F2141" t="inlineStr">
        <is>
          <t>Sveaskog</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30212-2023</t>
        </is>
      </c>
      <c r="B2142" s="1" t="n">
        <v>45110</v>
      </c>
      <c r="C2142" s="1" t="n">
        <v>45832</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30485-2023</t>
        </is>
      </c>
      <c r="B2143" s="1" t="n">
        <v>45111</v>
      </c>
      <c r="C2143" s="1" t="n">
        <v>45832</v>
      </c>
      <c r="D2143" t="inlineStr">
        <is>
          <t>VÄSTERBOTTENS LÄN</t>
        </is>
      </c>
      <c r="E2143" t="inlineStr">
        <is>
          <t>SKELLEFTEÅ</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30329-2023</t>
        </is>
      </c>
      <c r="B2144" s="1" t="n">
        <v>45111</v>
      </c>
      <c r="C2144" s="1" t="n">
        <v>45832</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30540-2023</t>
        </is>
      </c>
      <c r="B2145" s="1" t="n">
        <v>45111</v>
      </c>
      <c r="C2145" s="1" t="n">
        <v>45832</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30369-2023</t>
        </is>
      </c>
      <c r="B2146" s="1" t="n">
        <v>45111</v>
      </c>
      <c r="C2146" s="1" t="n">
        <v>45832</v>
      </c>
      <c r="D2146" t="inlineStr">
        <is>
          <t>VÄSTERBOTTENS LÄN</t>
        </is>
      </c>
      <c r="E2146" t="inlineStr">
        <is>
          <t>SKELLEFTEÅ</t>
        </is>
      </c>
      <c r="F2146" t="inlineStr">
        <is>
          <t>Holmen skog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30686-2023</t>
        </is>
      </c>
      <c r="B2147" s="1" t="n">
        <v>45112</v>
      </c>
      <c r="C2147" s="1" t="n">
        <v>45832</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30698-2023</t>
        </is>
      </c>
      <c r="B2148" s="1" t="n">
        <v>45112</v>
      </c>
      <c r="C2148" s="1" t="n">
        <v>45832</v>
      </c>
      <c r="D2148" t="inlineStr">
        <is>
          <t>VÄSTERBOTTENS LÄN</t>
        </is>
      </c>
      <c r="E2148" t="inlineStr">
        <is>
          <t>SKELLEFTEÅ</t>
        </is>
      </c>
      <c r="F2148" t="inlineStr">
        <is>
          <t>Sveaskog</t>
        </is>
      </c>
      <c r="G2148" t="n">
        <v>20.9</v>
      </c>
      <c r="H2148" t="n">
        <v>0</v>
      </c>
      <c r="I2148" t="n">
        <v>0</v>
      </c>
      <c r="J2148" t="n">
        <v>0</v>
      </c>
      <c r="K2148" t="n">
        <v>0</v>
      </c>
      <c r="L2148" t="n">
        <v>0</v>
      </c>
      <c r="M2148" t="n">
        <v>0</v>
      </c>
      <c r="N2148" t="n">
        <v>0</v>
      </c>
      <c r="O2148" t="n">
        <v>0</v>
      </c>
      <c r="P2148" t="n">
        <v>0</v>
      </c>
      <c r="Q2148" t="n">
        <v>0</v>
      </c>
      <c r="R2148" s="2" t="inlineStr"/>
    </row>
    <row r="2149" ht="15" customHeight="1">
      <c r="A2149" t="inlineStr">
        <is>
          <t>A 30743-2023</t>
        </is>
      </c>
      <c r="B2149" s="1" t="n">
        <v>45112</v>
      </c>
      <c r="C2149" s="1" t="n">
        <v>45832</v>
      </c>
      <c r="D2149" t="inlineStr">
        <is>
          <t>VÄSTERBOTTENS LÄN</t>
        </is>
      </c>
      <c r="E2149" t="inlineStr">
        <is>
          <t>SKELLEFTEÅ</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30786-2023</t>
        </is>
      </c>
      <c r="B2150" s="1" t="n">
        <v>45112</v>
      </c>
      <c r="C2150" s="1" t="n">
        <v>45832</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32817-2023</t>
        </is>
      </c>
      <c r="B2151" s="1" t="n">
        <v>45112</v>
      </c>
      <c r="C2151" s="1" t="n">
        <v>45832</v>
      </c>
      <c r="D2151" t="inlineStr">
        <is>
          <t>VÄSTERBOTTENS LÄN</t>
        </is>
      </c>
      <c r="E2151" t="inlineStr">
        <is>
          <t>SKELLEFTEÅ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32820-2023</t>
        </is>
      </c>
      <c r="B2152" s="1" t="n">
        <v>45112</v>
      </c>
      <c r="C2152" s="1" t="n">
        <v>45832</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30953-2023</t>
        </is>
      </c>
      <c r="B2153" s="1" t="n">
        <v>45113</v>
      </c>
      <c r="C2153" s="1" t="n">
        <v>45832</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31027-2023</t>
        </is>
      </c>
      <c r="B2154" s="1" t="n">
        <v>45113</v>
      </c>
      <c r="C2154" s="1" t="n">
        <v>45832</v>
      </c>
      <c r="D2154" t="inlineStr">
        <is>
          <t>VÄSTERBOTTENS LÄN</t>
        </is>
      </c>
      <c r="E2154" t="inlineStr">
        <is>
          <t>SKELLEFTEÅ</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31035-2023</t>
        </is>
      </c>
      <c r="B2155" s="1" t="n">
        <v>45113</v>
      </c>
      <c r="C2155" s="1" t="n">
        <v>45832</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31033-2023</t>
        </is>
      </c>
      <c r="B2156" s="1" t="n">
        <v>45113</v>
      </c>
      <c r="C2156" s="1" t="n">
        <v>45832</v>
      </c>
      <c r="D2156" t="inlineStr">
        <is>
          <t>VÄSTERBOTTENS LÄN</t>
        </is>
      </c>
      <c r="E2156" t="inlineStr">
        <is>
          <t>SKELLEFTEÅ</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31028-2023</t>
        </is>
      </c>
      <c r="B2157" s="1" t="n">
        <v>45113</v>
      </c>
      <c r="C2157" s="1" t="n">
        <v>45832</v>
      </c>
      <c r="D2157" t="inlineStr">
        <is>
          <t>VÄSTERBOTTENS LÄN</t>
        </is>
      </c>
      <c r="E2157" t="inlineStr">
        <is>
          <t>SKELLEFTEÅ</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31155-2023</t>
        </is>
      </c>
      <c r="B2158" s="1" t="n">
        <v>45113</v>
      </c>
      <c r="C2158" s="1" t="n">
        <v>45832</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32969-2023</t>
        </is>
      </c>
      <c r="B2159" s="1" t="n">
        <v>45113</v>
      </c>
      <c r="C2159" s="1" t="n">
        <v>45832</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31257-2023</t>
        </is>
      </c>
      <c r="B2160" s="1" t="n">
        <v>45114</v>
      </c>
      <c r="C2160" s="1" t="n">
        <v>45832</v>
      </c>
      <c r="D2160" t="inlineStr">
        <is>
          <t>VÄSTERBOTTENS LÄN</t>
        </is>
      </c>
      <c r="E2160" t="inlineStr">
        <is>
          <t>SKELLEFTEÅ</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33184-2023</t>
        </is>
      </c>
      <c r="B2161" s="1" t="n">
        <v>45114</v>
      </c>
      <c r="C2161" s="1" t="n">
        <v>45832</v>
      </c>
      <c r="D2161" t="inlineStr">
        <is>
          <t>VÄSTERBOTTENS LÄN</t>
        </is>
      </c>
      <c r="E2161" t="inlineStr">
        <is>
          <t>SKELLEFTEÅ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33289-2023</t>
        </is>
      </c>
      <c r="B2162" s="1" t="n">
        <v>45116</v>
      </c>
      <c r="C2162" s="1" t="n">
        <v>45832</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31672-2023</t>
        </is>
      </c>
      <c r="B2163" s="1" t="n">
        <v>45117</v>
      </c>
      <c r="C2163" s="1" t="n">
        <v>45832</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32206-2023</t>
        </is>
      </c>
      <c r="B2164" s="1" t="n">
        <v>45119</v>
      </c>
      <c r="C2164" s="1" t="n">
        <v>45832</v>
      </c>
      <c r="D2164" t="inlineStr">
        <is>
          <t>VÄSTERBOTTENS LÄN</t>
        </is>
      </c>
      <c r="E2164" t="inlineStr">
        <is>
          <t>SKELLEFTEÅ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32205-2023</t>
        </is>
      </c>
      <c r="B2165" s="1" t="n">
        <v>45119</v>
      </c>
      <c r="C2165" s="1" t="n">
        <v>45832</v>
      </c>
      <c r="D2165" t="inlineStr">
        <is>
          <t>VÄSTERBOTTENS LÄN</t>
        </is>
      </c>
      <c r="E2165" t="inlineStr">
        <is>
          <t>SKELLEFTEÅ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33778-2023</t>
        </is>
      </c>
      <c r="B2166" s="1" t="n">
        <v>45120</v>
      </c>
      <c r="C2166" s="1" t="n">
        <v>45832</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32535-2023</t>
        </is>
      </c>
      <c r="B2167" s="1" t="n">
        <v>45121</v>
      </c>
      <c r="C2167" s="1" t="n">
        <v>45832</v>
      </c>
      <c r="D2167" t="inlineStr">
        <is>
          <t>VÄSTERBOTTENS LÄN</t>
        </is>
      </c>
      <c r="E2167" t="inlineStr">
        <is>
          <t>SKELLEFTEÅ</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32556-2023</t>
        </is>
      </c>
      <c r="B2168" s="1" t="n">
        <v>45121</v>
      </c>
      <c r="C2168" s="1" t="n">
        <v>45832</v>
      </c>
      <c r="D2168" t="inlineStr">
        <is>
          <t>VÄSTERBOTTENS LÄN</t>
        </is>
      </c>
      <c r="E2168" t="inlineStr">
        <is>
          <t>SKELLEFTEÅ</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32589-2023</t>
        </is>
      </c>
      <c r="B2169" s="1" t="n">
        <v>45121</v>
      </c>
      <c r="C2169" s="1" t="n">
        <v>45832</v>
      </c>
      <c r="D2169" t="inlineStr">
        <is>
          <t>VÄSTERBOTTENS LÄN</t>
        </is>
      </c>
      <c r="E2169" t="inlineStr">
        <is>
          <t>SKELLEFTEÅ</t>
        </is>
      </c>
      <c r="F2169" t="inlineStr">
        <is>
          <t>Holmen skog AB</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32575-2023</t>
        </is>
      </c>
      <c r="B2170" s="1" t="n">
        <v>45121</v>
      </c>
      <c r="C2170" s="1" t="n">
        <v>45832</v>
      </c>
      <c r="D2170" t="inlineStr">
        <is>
          <t>VÄSTERBOTTENS LÄN</t>
        </is>
      </c>
      <c r="E2170" t="inlineStr">
        <is>
          <t>SKELLEFTEÅ</t>
        </is>
      </c>
      <c r="F2170" t="inlineStr">
        <is>
          <t>Holmen skog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32590-2023</t>
        </is>
      </c>
      <c r="B2171" s="1" t="n">
        <v>45121</v>
      </c>
      <c r="C2171" s="1" t="n">
        <v>45832</v>
      </c>
      <c r="D2171" t="inlineStr">
        <is>
          <t>VÄSTERBOTTENS LÄN</t>
        </is>
      </c>
      <c r="E2171" t="inlineStr">
        <is>
          <t>SKELLEFTEÅ</t>
        </is>
      </c>
      <c r="F2171" t="inlineStr">
        <is>
          <t>Holmen skog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32746-2023</t>
        </is>
      </c>
      <c r="B2172" s="1" t="n">
        <v>45122</v>
      </c>
      <c r="C2172" s="1" t="n">
        <v>45832</v>
      </c>
      <c r="D2172" t="inlineStr">
        <is>
          <t>VÄSTERBOTTENS LÄN</t>
        </is>
      </c>
      <c r="E2172" t="inlineStr">
        <is>
          <t>SKELLEFTEÅ</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32743-2023</t>
        </is>
      </c>
      <c r="B2173" s="1" t="n">
        <v>45122</v>
      </c>
      <c r="C2173" s="1" t="n">
        <v>45832</v>
      </c>
      <c r="D2173" t="inlineStr">
        <is>
          <t>VÄSTERBOTTENS LÄN</t>
        </is>
      </c>
      <c r="E2173" t="inlineStr">
        <is>
          <t>SKELLEFTEÅ</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32747-2023</t>
        </is>
      </c>
      <c r="B2174" s="1" t="n">
        <v>45122</v>
      </c>
      <c r="C2174" s="1" t="n">
        <v>45832</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32745-2023</t>
        </is>
      </c>
      <c r="B2175" s="1" t="n">
        <v>45122</v>
      </c>
      <c r="C2175" s="1" t="n">
        <v>45832</v>
      </c>
      <c r="D2175" t="inlineStr">
        <is>
          <t>VÄSTERBOTTENS LÄN</t>
        </is>
      </c>
      <c r="E2175" t="inlineStr">
        <is>
          <t>SKELLEFTEÅ</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33911-2023</t>
        </is>
      </c>
      <c r="B2176" s="1" t="n">
        <v>45123</v>
      </c>
      <c r="C2176" s="1" t="n">
        <v>45832</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33027-2023</t>
        </is>
      </c>
      <c r="B2177" s="1" t="n">
        <v>45126</v>
      </c>
      <c r="C2177" s="1" t="n">
        <v>45832</v>
      </c>
      <c r="D2177" t="inlineStr">
        <is>
          <t>VÄSTERBOTTENS LÄN</t>
        </is>
      </c>
      <c r="E2177" t="inlineStr">
        <is>
          <t>SKELLEFTEÅ</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33078-2023</t>
        </is>
      </c>
      <c r="B2178" s="1" t="n">
        <v>45126</v>
      </c>
      <c r="C2178" s="1" t="n">
        <v>45832</v>
      </c>
      <c r="D2178" t="inlineStr">
        <is>
          <t>VÄSTERBOTTENS LÄN</t>
        </is>
      </c>
      <c r="E2178" t="inlineStr">
        <is>
          <t>SKELLEFTEÅ</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33129-2023</t>
        </is>
      </c>
      <c r="B2179" s="1" t="n">
        <v>45126</v>
      </c>
      <c r="C2179" s="1" t="n">
        <v>45832</v>
      </c>
      <c r="D2179" t="inlineStr">
        <is>
          <t>VÄSTERBOTTENS LÄN</t>
        </is>
      </c>
      <c r="E2179" t="inlineStr">
        <is>
          <t>SKELLEFTEÅ</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33274-2023</t>
        </is>
      </c>
      <c r="B2180" s="1" t="n">
        <v>45127</v>
      </c>
      <c r="C2180" s="1" t="n">
        <v>45832</v>
      </c>
      <c r="D2180" t="inlineStr">
        <is>
          <t>VÄSTERBOTTENS LÄN</t>
        </is>
      </c>
      <c r="E2180" t="inlineStr">
        <is>
          <t>SKELLEFTEÅ</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33710-2023</t>
        </is>
      </c>
      <c r="B2181" s="1" t="n">
        <v>45133</v>
      </c>
      <c r="C2181" s="1" t="n">
        <v>45832</v>
      </c>
      <c r="D2181" t="inlineStr">
        <is>
          <t>VÄSTERBOTTENS LÄN</t>
        </is>
      </c>
      <c r="E2181" t="inlineStr">
        <is>
          <t>SKELLEFTEÅ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33708-2023</t>
        </is>
      </c>
      <c r="B2182" s="1" t="n">
        <v>45133</v>
      </c>
      <c r="C2182" s="1" t="n">
        <v>45832</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33791-2023</t>
        </is>
      </c>
      <c r="B2183" s="1" t="n">
        <v>45133</v>
      </c>
      <c r="C2183" s="1" t="n">
        <v>45832</v>
      </c>
      <c r="D2183" t="inlineStr">
        <is>
          <t>VÄSTERBOTTENS LÄN</t>
        </is>
      </c>
      <c r="E2183" t="inlineStr">
        <is>
          <t>SKELLEFTEÅ</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33739-2023</t>
        </is>
      </c>
      <c r="B2184" s="1" t="n">
        <v>45133</v>
      </c>
      <c r="C2184" s="1" t="n">
        <v>45832</v>
      </c>
      <c r="D2184" t="inlineStr">
        <is>
          <t>VÄSTERBOTTENS LÄN</t>
        </is>
      </c>
      <c r="E2184" t="inlineStr">
        <is>
          <t>SKELLEFTEÅ</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33768-2023</t>
        </is>
      </c>
      <c r="B2185" s="1" t="n">
        <v>45133</v>
      </c>
      <c r="C2185" s="1" t="n">
        <v>45832</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33838-2023</t>
        </is>
      </c>
      <c r="B2186" s="1" t="n">
        <v>45133</v>
      </c>
      <c r="C2186" s="1" t="n">
        <v>45832</v>
      </c>
      <c r="D2186" t="inlineStr">
        <is>
          <t>VÄSTERBOTTENS LÄN</t>
        </is>
      </c>
      <c r="E2186" t="inlineStr">
        <is>
          <t>SKELLEFTEÅ</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33843-2023</t>
        </is>
      </c>
      <c r="B2187" s="1" t="n">
        <v>45133</v>
      </c>
      <c r="C2187" s="1" t="n">
        <v>45832</v>
      </c>
      <c r="D2187" t="inlineStr">
        <is>
          <t>VÄSTERBOTTENS LÄN</t>
        </is>
      </c>
      <c r="E2187" t="inlineStr">
        <is>
          <t>SKELLEFTEÅ</t>
        </is>
      </c>
      <c r="F2187" t="inlineStr">
        <is>
          <t>Holmen skog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33728-2023</t>
        </is>
      </c>
      <c r="B2188" s="1" t="n">
        <v>45133</v>
      </c>
      <c r="C2188" s="1" t="n">
        <v>45832</v>
      </c>
      <c r="D2188" t="inlineStr">
        <is>
          <t>VÄSTERBOTTENS LÄN</t>
        </is>
      </c>
      <c r="E2188" t="inlineStr">
        <is>
          <t>SKELLEFTEÅ</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34508-2023</t>
        </is>
      </c>
      <c r="B2189" s="1" t="n">
        <v>45133</v>
      </c>
      <c r="C2189" s="1" t="n">
        <v>45832</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33771-2023</t>
        </is>
      </c>
      <c r="B2190" s="1" t="n">
        <v>45133</v>
      </c>
      <c r="C2190" s="1" t="n">
        <v>45832</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33820-2023</t>
        </is>
      </c>
      <c r="B2191" s="1" t="n">
        <v>45133</v>
      </c>
      <c r="C2191" s="1" t="n">
        <v>45832</v>
      </c>
      <c r="D2191" t="inlineStr">
        <is>
          <t>VÄSTERBOTTENS LÄN</t>
        </is>
      </c>
      <c r="E2191" t="inlineStr">
        <is>
          <t>SKELLEFTEÅ</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34507-2023</t>
        </is>
      </c>
      <c r="B2192" s="1" t="n">
        <v>45133</v>
      </c>
      <c r="C2192" s="1" t="n">
        <v>45832</v>
      </c>
      <c r="D2192" t="inlineStr">
        <is>
          <t>VÄSTERBOTTENS LÄN</t>
        </is>
      </c>
      <c r="E2192" t="inlineStr">
        <is>
          <t>SKELLEFTEÅ</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33956-2023</t>
        </is>
      </c>
      <c r="B2193" s="1" t="n">
        <v>45134</v>
      </c>
      <c r="C2193" s="1" t="n">
        <v>45832</v>
      </c>
      <c r="D2193" t="inlineStr">
        <is>
          <t>VÄSTERBOTTENS LÄN</t>
        </is>
      </c>
      <c r="E2193" t="inlineStr">
        <is>
          <t>SKELLEFTEÅ</t>
        </is>
      </c>
      <c r="F2193" t="inlineStr">
        <is>
          <t>Holmen skog AB</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34036-2023</t>
        </is>
      </c>
      <c r="B2194" s="1" t="n">
        <v>45135</v>
      </c>
      <c r="C2194" s="1" t="n">
        <v>45832</v>
      </c>
      <c r="D2194" t="inlineStr">
        <is>
          <t>VÄSTERBOTTENS LÄN</t>
        </is>
      </c>
      <c r="E2194" t="inlineStr">
        <is>
          <t>SKELLEFTEÅ</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34051-2023</t>
        </is>
      </c>
      <c r="B2195" s="1" t="n">
        <v>45135</v>
      </c>
      <c r="C2195" s="1" t="n">
        <v>45832</v>
      </c>
      <c r="D2195" t="inlineStr">
        <is>
          <t>VÄSTERBOTTENS LÄN</t>
        </is>
      </c>
      <c r="E2195" t="inlineStr">
        <is>
          <t>SKELLEFTEÅ</t>
        </is>
      </c>
      <c r="F2195" t="inlineStr">
        <is>
          <t>Holmen skog AB</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34025-2023</t>
        </is>
      </c>
      <c r="B2196" s="1" t="n">
        <v>45135</v>
      </c>
      <c r="C2196" s="1" t="n">
        <v>45832</v>
      </c>
      <c r="D2196" t="inlineStr">
        <is>
          <t>VÄSTERBOTTENS LÄN</t>
        </is>
      </c>
      <c r="E2196" t="inlineStr">
        <is>
          <t>SKELLEFTEÅ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34063-2023</t>
        </is>
      </c>
      <c r="B2197" s="1" t="n">
        <v>45135</v>
      </c>
      <c r="C2197" s="1" t="n">
        <v>45832</v>
      </c>
      <c r="D2197" t="inlineStr">
        <is>
          <t>VÄSTERBOTTENS LÄN</t>
        </is>
      </c>
      <c r="E2197" t="inlineStr">
        <is>
          <t>SKELLEFTEÅ</t>
        </is>
      </c>
      <c r="F2197" t="inlineStr">
        <is>
          <t>Holmen skog AB</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34035-2023</t>
        </is>
      </c>
      <c r="B2198" s="1" t="n">
        <v>45135</v>
      </c>
      <c r="C2198" s="1" t="n">
        <v>45832</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34572-2023</t>
        </is>
      </c>
      <c r="B2199" s="1" t="n">
        <v>45135</v>
      </c>
      <c r="C2199" s="1" t="n">
        <v>45832</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34195-2023</t>
        </is>
      </c>
      <c r="B2200" s="1" t="n">
        <v>45135</v>
      </c>
      <c r="C2200" s="1" t="n">
        <v>45832</v>
      </c>
      <c r="D2200" t="inlineStr">
        <is>
          <t>VÄSTERBOTTENS LÄN</t>
        </is>
      </c>
      <c r="E2200" t="inlineStr">
        <is>
          <t>SKELLEFTEÅ</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34455-2023</t>
        </is>
      </c>
      <c r="B2201" s="1" t="n">
        <v>45139</v>
      </c>
      <c r="C2201" s="1" t="n">
        <v>45832</v>
      </c>
      <c r="D2201" t="inlineStr">
        <is>
          <t>VÄSTERBOTTENS LÄN</t>
        </is>
      </c>
      <c r="E2201" t="inlineStr">
        <is>
          <t>SKELLEFTEÅ</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34583-2023</t>
        </is>
      </c>
      <c r="B2202" s="1" t="n">
        <v>45140</v>
      </c>
      <c r="C2202" s="1" t="n">
        <v>45832</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34597-2023</t>
        </is>
      </c>
      <c r="B2203" s="1" t="n">
        <v>45140</v>
      </c>
      <c r="C2203" s="1" t="n">
        <v>45832</v>
      </c>
      <c r="D2203" t="inlineStr">
        <is>
          <t>VÄSTERBOTTENS LÄN</t>
        </is>
      </c>
      <c r="E2203" t="inlineStr">
        <is>
          <t>SKELLEFTEÅ</t>
        </is>
      </c>
      <c r="F2203" t="inlineStr">
        <is>
          <t>Holmen skog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34616-2023</t>
        </is>
      </c>
      <c r="B2204" s="1" t="n">
        <v>45140</v>
      </c>
      <c r="C2204" s="1" t="n">
        <v>45832</v>
      </c>
      <c r="D2204" t="inlineStr">
        <is>
          <t>VÄSTERBOTTENS LÄN</t>
        </is>
      </c>
      <c r="E2204" t="inlineStr">
        <is>
          <t>SKELLEFTEÅ</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34669-2023</t>
        </is>
      </c>
      <c r="B2205" s="1" t="n">
        <v>45140</v>
      </c>
      <c r="C2205" s="1" t="n">
        <v>45832</v>
      </c>
      <c r="D2205" t="inlineStr">
        <is>
          <t>VÄSTERBOTTENS LÄN</t>
        </is>
      </c>
      <c r="E2205" t="inlineStr">
        <is>
          <t>SKELLEFTEÅ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34670-2023</t>
        </is>
      </c>
      <c r="B2206" s="1" t="n">
        <v>45140</v>
      </c>
      <c r="C2206" s="1" t="n">
        <v>45832</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34638-2023</t>
        </is>
      </c>
      <c r="B2207" s="1" t="n">
        <v>45140</v>
      </c>
      <c r="C2207" s="1" t="n">
        <v>45832</v>
      </c>
      <c r="D2207" t="inlineStr">
        <is>
          <t>VÄSTERBOTTENS LÄN</t>
        </is>
      </c>
      <c r="E2207" t="inlineStr">
        <is>
          <t>SKELLEFTEÅ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34672-2023</t>
        </is>
      </c>
      <c r="B2208" s="1" t="n">
        <v>45140</v>
      </c>
      <c r="C2208" s="1" t="n">
        <v>45832</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34986-2023</t>
        </is>
      </c>
      <c r="B2209" s="1" t="n">
        <v>45142</v>
      </c>
      <c r="C2209" s="1" t="n">
        <v>45832</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35068-2023</t>
        </is>
      </c>
      <c r="B2210" s="1" t="n">
        <v>45142</v>
      </c>
      <c r="C2210" s="1" t="n">
        <v>45832</v>
      </c>
      <c r="D2210" t="inlineStr">
        <is>
          <t>VÄSTERBOTTENS LÄN</t>
        </is>
      </c>
      <c r="E2210" t="inlineStr">
        <is>
          <t>SKELLEFTEÅ</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35070-2023</t>
        </is>
      </c>
      <c r="B2211" s="1" t="n">
        <v>45142</v>
      </c>
      <c r="C2211" s="1" t="n">
        <v>45832</v>
      </c>
      <c r="D2211" t="inlineStr">
        <is>
          <t>VÄSTERBOTTENS LÄN</t>
        </is>
      </c>
      <c r="E2211" t="inlineStr">
        <is>
          <t>SKELLEFTEÅ</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35031-2023</t>
        </is>
      </c>
      <c r="B2212" s="1" t="n">
        <v>45145</v>
      </c>
      <c r="C2212" s="1" t="n">
        <v>45832</v>
      </c>
      <c r="D2212" t="inlineStr">
        <is>
          <t>VÄSTERBOTTENS LÄN</t>
        </is>
      </c>
      <c r="E2212" t="inlineStr">
        <is>
          <t>SKELLEFTEÅ</t>
        </is>
      </c>
      <c r="F2212" t="inlineStr">
        <is>
          <t>Holmen skog AB</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35102-2023</t>
        </is>
      </c>
      <c r="B2213" s="1" t="n">
        <v>45145</v>
      </c>
      <c r="C2213" s="1" t="n">
        <v>45832</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35032-2023</t>
        </is>
      </c>
      <c r="B2214" s="1" t="n">
        <v>45145</v>
      </c>
      <c r="C2214" s="1" t="n">
        <v>45832</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35331-2023</t>
        </is>
      </c>
      <c r="B2215" s="1" t="n">
        <v>45145</v>
      </c>
      <c r="C2215" s="1" t="n">
        <v>45832</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35206-2023</t>
        </is>
      </c>
      <c r="B2216" s="1" t="n">
        <v>45145</v>
      </c>
      <c r="C2216" s="1" t="n">
        <v>45832</v>
      </c>
      <c r="D2216" t="inlineStr">
        <is>
          <t>VÄSTERBOTTENS LÄN</t>
        </is>
      </c>
      <c r="E2216" t="inlineStr">
        <is>
          <t>SKELLEFTEÅ</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35338-2023</t>
        </is>
      </c>
      <c r="B2217" s="1" t="n">
        <v>45145</v>
      </c>
      <c r="C2217" s="1" t="n">
        <v>45832</v>
      </c>
      <c r="D2217" t="inlineStr">
        <is>
          <t>VÄSTERBOTTENS LÄN</t>
        </is>
      </c>
      <c r="E2217" t="inlineStr">
        <is>
          <t>SKELLEFTEÅ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35439-2023</t>
        </is>
      </c>
      <c r="B2218" s="1" t="n">
        <v>45146</v>
      </c>
      <c r="C2218" s="1" t="n">
        <v>45832</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35301-2023</t>
        </is>
      </c>
      <c r="B2219" s="1" t="n">
        <v>45146</v>
      </c>
      <c r="C2219" s="1" t="n">
        <v>45832</v>
      </c>
      <c r="D2219" t="inlineStr">
        <is>
          <t>VÄSTERBOTTENS LÄN</t>
        </is>
      </c>
      <c r="E2219" t="inlineStr">
        <is>
          <t>SKELLEFTEÅ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35401-2023</t>
        </is>
      </c>
      <c r="B2220" s="1" t="n">
        <v>45146</v>
      </c>
      <c r="C2220" s="1" t="n">
        <v>45832</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35437-2023</t>
        </is>
      </c>
      <c r="B2221" s="1" t="n">
        <v>45146</v>
      </c>
      <c r="C2221" s="1" t="n">
        <v>45832</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35430-2023</t>
        </is>
      </c>
      <c r="B2222" s="1" t="n">
        <v>45146</v>
      </c>
      <c r="C2222" s="1" t="n">
        <v>45832</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35731-2023</t>
        </is>
      </c>
      <c r="B2223" s="1" t="n">
        <v>45147</v>
      </c>
      <c r="C2223" s="1" t="n">
        <v>45832</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35732-2023</t>
        </is>
      </c>
      <c r="B2224" s="1" t="n">
        <v>45147</v>
      </c>
      <c r="C2224" s="1" t="n">
        <v>45832</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35736-2023</t>
        </is>
      </c>
      <c r="B2225" s="1" t="n">
        <v>45147</v>
      </c>
      <c r="C2225" s="1" t="n">
        <v>45832</v>
      </c>
      <c r="D2225" t="inlineStr">
        <is>
          <t>VÄSTERBOTTENS LÄN</t>
        </is>
      </c>
      <c r="E2225" t="inlineStr">
        <is>
          <t>SKELLEFTEÅ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35952-2023</t>
        </is>
      </c>
      <c r="B2226" s="1" t="n">
        <v>45148</v>
      </c>
      <c r="C2226" s="1" t="n">
        <v>45832</v>
      </c>
      <c r="D2226" t="inlineStr">
        <is>
          <t>VÄSTERBOTTENS LÄN</t>
        </is>
      </c>
      <c r="E2226" t="inlineStr">
        <is>
          <t>SKELLEFTEÅ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36078-2023</t>
        </is>
      </c>
      <c r="B2227" s="1" t="n">
        <v>45149</v>
      </c>
      <c r="C2227" s="1" t="n">
        <v>45832</v>
      </c>
      <c r="D2227" t="inlineStr">
        <is>
          <t>VÄSTERBOTTENS LÄN</t>
        </is>
      </c>
      <c r="E2227" t="inlineStr">
        <is>
          <t>SKELLEFTEÅ</t>
        </is>
      </c>
      <c r="F2227" t="inlineStr">
        <is>
          <t>Holmen skog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36113-2023</t>
        </is>
      </c>
      <c r="B2228" s="1" t="n">
        <v>45149</v>
      </c>
      <c r="C2228" s="1" t="n">
        <v>45832</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36091-2023</t>
        </is>
      </c>
      <c r="B2229" s="1" t="n">
        <v>45149</v>
      </c>
      <c r="C2229" s="1" t="n">
        <v>45832</v>
      </c>
      <c r="D2229" t="inlineStr">
        <is>
          <t>VÄSTERBOTTENS LÄN</t>
        </is>
      </c>
      <c r="E2229" t="inlineStr">
        <is>
          <t>SKELLEFTEÅ</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36099-2023</t>
        </is>
      </c>
      <c r="B2230" s="1" t="n">
        <v>45149</v>
      </c>
      <c r="C2230" s="1" t="n">
        <v>45832</v>
      </c>
      <c r="D2230" t="inlineStr">
        <is>
          <t>VÄSTERBOTTENS LÄN</t>
        </is>
      </c>
      <c r="E2230" t="inlineStr">
        <is>
          <t>SKELLEFTEÅ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36286-2023</t>
        </is>
      </c>
      <c r="B2231" s="1" t="n">
        <v>45152</v>
      </c>
      <c r="C2231" s="1" t="n">
        <v>45832</v>
      </c>
      <c r="D2231" t="inlineStr">
        <is>
          <t>VÄSTERBOTTENS LÄN</t>
        </is>
      </c>
      <c r="E2231" t="inlineStr">
        <is>
          <t>SKELLEFTEÅ</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36327-2023</t>
        </is>
      </c>
      <c r="B2232" s="1" t="n">
        <v>45152</v>
      </c>
      <c r="C2232" s="1" t="n">
        <v>45832</v>
      </c>
      <c r="D2232" t="inlineStr">
        <is>
          <t>VÄSTERBOTTENS LÄN</t>
        </is>
      </c>
      <c r="E2232" t="inlineStr">
        <is>
          <t>SKELLEFTEÅ</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36275-2023</t>
        </is>
      </c>
      <c r="B2233" s="1" t="n">
        <v>45152</v>
      </c>
      <c r="C2233" s="1" t="n">
        <v>45832</v>
      </c>
      <c r="D2233" t="inlineStr">
        <is>
          <t>VÄSTERBOTTENS LÄN</t>
        </is>
      </c>
      <c r="E2233" t="inlineStr">
        <is>
          <t>SKELLEFTEÅ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36495-2023</t>
        </is>
      </c>
      <c r="B2234" s="1" t="n">
        <v>45153</v>
      </c>
      <c r="C2234" s="1" t="n">
        <v>45832</v>
      </c>
      <c r="D2234" t="inlineStr">
        <is>
          <t>VÄSTERBOTTENS LÄN</t>
        </is>
      </c>
      <c r="E2234" t="inlineStr">
        <is>
          <t>SKELLEFTEÅ</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36404-2023</t>
        </is>
      </c>
      <c r="B2235" s="1" t="n">
        <v>45152</v>
      </c>
      <c r="C2235" s="1" t="n">
        <v>45832</v>
      </c>
      <c r="D2235" t="inlineStr">
        <is>
          <t>VÄSTERBOTTENS LÄN</t>
        </is>
      </c>
      <c r="E2235" t="inlineStr">
        <is>
          <t>SKELLEFTEÅ</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36493-2023</t>
        </is>
      </c>
      <c r="B2236" s="1" t="n">
        <v>45153</v>
      </c>
      <c r="C2236" s="1" t="n">
        <v>45832</v>
      </c>
      <c r="D2236" t="inlineStr">
        <is>
          <t>VÄSTERBOTTENS LÄN</t>
        </is>
      </c>
      <c r="E2236" t="inlineStr">
        <is>
          <t>SKELLEFTEÅ</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36556-2023</t>
        </is>
      </c>
      <c r="B2237" s="1" t="n">
        <v>45153</v>
      </c>
      <c r="C2237" s="1" t="n">
        <v>45832</v>
      </c>
      <c r="D2237" t="inlineStr">
        <is>
          <t>VÄSTERBOTTENS LÄN</t>
        </is>
      </c>
      <c r="E2237" t="inlineStr">
        <is>
          <t>SKELLEFTEÅ</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36804-2023</t>
        </is>
      </c>
      <c r="B2238" s="1" t="n">
        <v>45154</v>
      </c>
      <c r="C2238" s="1" t="n">
        <v>45832</v>
      </c>
      <c r="D2238" t="inlineStr">
        <is>
          <t>VÄSTERBOTTENS LÄN</t>
        </is>
      </c>
      <c r="E2238" t="inlineStr">
        <is>
          <t>SKELLEFTEÅ</t>
        </is>
      </c>
      <c r="F2238" t="inlineStr">
        <is>
          <t>Holmen skog AB</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37134-2023</t>
        </is>
      </c>
      <c r="B2239" s="1" t="n">
        <v>45155</v>
      </c>
      <c r="C2239" s="1" t="n">
        <v>45832</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37229-2023</t>
        </is>
      </c>
      <c r="B2240" s="1" t="n">
        <v>45155</v>
      </c>
      <c r="C2240" s="1" t="n">
        <v>45832</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37774-2023</t>
        </is>
      </c>
      <c r="B2241" s="1" t="n">
        <v>45156</v>
      </c>
      <c r="C2241" s="1" t="n">
        <v>45832</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37474-2023</t>
        </is>
      </c>
      <c r="B2242" s="1" t="n">
        <v>45157</v>
      </c>
      <c r="C2242" s="1" t="n">
        <v>45832</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37796-2023</t>
        </is>
      </c>
      <c r="B2243" s="1" t="n">
        <v>45160</v>
      </c>
      <c r="C2243" s="1" t="n">
        <v>45832</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38140-2023</t>
        </is>
      </c>
      <c r="B2244" s="1" t="n">
        <v>45159</v>
      </c>
      <c r="C2244" s="1" t="n">
        <v>45832</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38134-2023</t>
        </is>
      </c>
      <c r="B2245" s="1" t="n">
        <v>45159</v>
      </c>
      <c r="C2245" s="1" t="n">
        <v>45832</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37883-2023</t>
        </is>
      </c>
      <c r="B2246" s="1" t="n">
        <v>45160</v>
      </c>
      <c r="C2246" s="1" t="n">
        <v>45832</v>
      </c>
      <c r="D2246" t="inlineStr">
        <is>
          <t>VÄSTERBOTTENS LÄN</t>
        </is>
      </c>
      <c r="E2246" t="inlineStr">
        <is>
          <t>SKELLEFTEÅ</t>
        </is>
      </c>
      <c r="F2246" t="inlineStr">
        <is>
          <t>Holmen skog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37838-2023</t>
        </is>
      </c>
      <c r="B2247" s="1" t="n">
        <v>45160</v>
      </c>
      <c r="C2247" s="1" t="n">
        <v>45832</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37914-2023</t>
        </is>
      </c>
      <c r="B2248" s="1" t="n">
        <v>45160</v>
      </c>
      <c r="C2248" s="1" t="n">
        <v>45832</v>
      </c>
      <c r="D2248" t="inlineStr">
        <is>
          <t>VÄSTERBOTTENS LÄN</t>
        </is>
      </c>
      <c r="E2248" t="inlineStr">
        <is>
          <t>SKELLEFTEÅ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37855-2023</t>
        </is>
      </c>
      <c r="B2249" s="1" t="n">
        <v>45160</v>
      </c>
      <c r="C2249" s="1" t="n">
        <v>45832</v>
      </c>
      <c r="D2249" t="inlineStr">
        <is>
          <t>VÄSTERBOTTENS LÄN</t>
        </is>
      </c>
      <c r="E2249" t="inlineStr">
        <is>
          <t>SKELLEFTEÅ</t>
        </is>
      </c>
      <c r="F2249" t="inlineStr">
        <is>
          <t>Holmen skog AB</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38009-2023</t>
        </is>
      </c>
      <c r="B2250" s="1" t="n">
        <v>45160</v>
      </c>
      <c r="C2250" s="1" t="n">
        <v>45832</v>
      </c>
      <c r="D2250" t="inlineStr">
        <is>
          <t>VÄSTERBOTTENS LÄN</t>
        </is>
      </c>
      <c r="E2250" t="inlineStr">
        <is>
          <t>SKELLEFTEÅ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38013-2023</t>
        </is>
      </c>
      <c r="B2251" s="1" t="n">
        <v>45160</v>
      </c>
      <c r="C2251" s="1" t="n">
        <v>45832</v>
      </c>
      <c r="D2251" t="inlineStr">
        <is>
          <t>VÄSTERBOTTENS LÄN</t>
        </is>
      </c>
      <c r="E2251" t="inlineStr">
        <is>
          <t>SKELLEFTEÅ</t>
        </is>
      </c>
      <c r="F2251" t="inlineStr">
        <is>
          <t>Holmen skog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38301-2023</t>
        </is>
      </c>
      <c r="B2252" s="1" t="n">
        <v>45160</v>
      </c>
      <c r="C2252" s="1" t="n">
        <v>45832</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38314-2023</t>
        </is>
      </c>
      <c r="B2253" s="1" t="n">
        <v>45160</v>
      </c>
      <c r="C2253" s="1" t="n">
        <v>45832</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38309-2023</t>
        </is>
      </c>
      <c r="B2254" s="1" t="n">
        <v>45160</v>
      </c>
      <c r="C2254" s="1" t="n">
        <v>45832</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38031-2023</t>
        </is>
      </c>
      <c r="B2255" s="1" t="n">
        <v>45160</v>
      </c>
      <c r="C2255" s="1" t="n">
        <v>45832</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38258-2023</t>
        </is>
      </c>
      <c r="B2256" s="1" t="n">
        <v>45160</v>
      </c>
      <c r="C2256" s="1" t="n">
        <v>45832</v>
      </c>
      <c r="D2256" t="inlineStr">
        <is>
          <t>VÄSTERBOTTENS LÄN</t>
        </is>
      </c>
      <c r="E2256" t="inlineStr">
        <is>
          <t>SKELLEFTEÅ</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38311-2023</t>
        </is>
      </c>
      <c r="B2257" s="1" t="n">
        <v>45160</v>
      </c>
      <c r="C2257" s="1" t="n">
        <v>45832</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38253-2023</t>
        </is>
      </c>
      <c r="B2258" s="1" t="n">
        <v>45160</v>
      </c>
      <c r="C2258" s="1" t="n">
        <v>45832</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38305-2023</t>
        </is>
      </c>
      <c r="B2259" s="1" t="n">
        <v>45160</v>
      </c>
      <c r="C2259" s="1" t="n">
        <v>45832</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38717-2023</t>
        </is>
      </c>
      <c r="B2260" s="1" t="n">
        <v>45160</v>
      </c>
      <c r="C2260" s="1" t="n">
        <v>45832</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38826-2023</t>
        </is>
      </c>
      <c r="B2261" s="1" t="n">
        <v>45161</v>
      </c>
      <c r="C2261" s="1" t="n">
        <v>45832</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38304-2023</t>
        </is>
      </c>
      <c r="B2262" s="1" t="n">
        <v>45161</v>
      </c>
      <c r="C2262" s="1" t="n">
        <v>45832</v>
      </c>
      <c r="D2262" t="inlineStr">
        <is>
          <t>VÄSTERBOTTENS LÄN</t>
        </is>
      </c>
      <c r="E2262" t="inlineStr">
        <is>
          <t>SKELLEFTEÅ</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38356-2023</t>
        </is>
      </c>
      <c r="B2263" s="1" t="n">
        <v>45161</v>
      </c>
      <c r="C2263" s="1" t="n">
        <v>45832</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38574-2023</t>
        </is>
      </c>
      <c r="B2264" s="1" t="n">
        <v>45161</v>
      </c>
      <c r="C2264" s="1" t="n">
        <v>45832</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38811-2023</t>
        </is>
      </c>
      <c r="B2265" s="1" t="n">
        <v>45161</v>
      </c>
      <c r="C2265" s="1" t="n">
        <v>45832</v>
      </c>
      <c r="D2265" t="inlineStr">
        <is>
          <t>VÄSTERBOTTENS LÄN</t>
        </is>
      </c>
      <c r="E2265" t="inlineStr">
        <is>
          <t>SKELLEFTEÅ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38577-2023</t>
        </is>
      </c>
      <c r="B2266" s="1" t="n">
        <v>45161</v>
      </c>
      <c r="C2266" s="1" t="n">
        <v>45832</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38809-2023</t>
        </is>
      </c>
      <c r="B2267" s="1" t="n">
        <v>45161</v>
      </c>
      <c r="C2267" s="1" t="n">
        <v>45832</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38805-2023</t>
        </is>
      </c>
      <c r="B2268" s="1" t="n">
        <v>45161</v>
      </c>
      <c r="C2268" s="1" t="n">
        <v>45832</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38818-2023</t>
        </is>
      </c>
      <c r="B2269" s="1" t="n">
        <v>45161</v>
      </c>
      <c r="C2269" s="1" t="n">
        <v>45832</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38396-2023</t>
        </is>
      </c>
      <c r="B2270" s="1" t="n">
        <v>45162</v>
      </c>
      <c r="C2270" s="1" t="n">
        <v>45832</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38421-2023</t>
        </is>
      </c>
      <c r="B2271" s="1" t="n">
        <v>45162</v>
      </c>
      <c r="C2271" s="1" t="n">
        <v>45832</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38395-2023</t>
        </is>
      </c>
      <c r="B2272" s="1" t="n">
        <v>45162</v>
      </c>
      <c r="C2272" s="1" t="n">
        <v>45832</v>
      </c>
      <c r="D2272" t="inlineStr">
        <is>
          <t>VÄSTERBOTTENS LÄN</t>
        </is>
      </c>
      <c r="E2272" t="inlineStr">
        <is>
          <t>SKELLEFTEÅ</t>
        </is>
      </c>
      <c r="F2272" t="inlineStr">
        <is>
          <t>Sveaskog</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38450-2023</t>
        </is>
      </c>
      <c r="B2273" s="1" t="n">
        <v>45162</v>
      </c>
      <c r="C2273" s="1" t="n">
        <v>45832</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38393-2023</t>
        </is>
      </c>
      <c r="B2274" s="1" t="n">
        <v>45162</v>
      </c>
      <c r="C2274" s="1" t="n">
        <v>45832</v>
      </c>
      <c r="D2274" t="inlineStr">
        <is>
          <t>VÄSTERBOTTENS LÄN</t>
        </is>
      </c>
      <c r="E2274" t="inlineStr">
        <is>
          <t>SKELLEFTEÅ</t>
        </is>
      </c>
      <c r="F2274" t="inlineStr">
        <is>
          <t>Holmen skog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38397-2023</t>
        </is>
      </c>
      <c r="B2275" s="1" t="n">
        <v>45162</v>
      </c>
      <c r="C2275" s="1" t="n">
        <v>45832</v>
      </c>
      <c r="D2275" t="inlineStr">
        <is>
          <t>VÄSTERBOTTENS LÄN</t>
        </is>
      </c>
      <c r="E2275" t="inlineStr">
        <is>
          <t>SKELLEFTEÅ</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38445-2023</t>
        </is>
      </c>
      <c r="B2276" s="1" t="n">
        <v>45162</v>
      </c>
      <c r="C2276" s="1" t="n">
        <v>45832</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38473-2023</t>
        </is>
      </c>
      <c r="B2277" s="1" t="n">
        <v>45162</v>
      </c>
      <c r="C2277" s="1" t="n">
        <v>45832</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38952-2023</t>
        </is>
      </c>
      <c r="B2278" s="1" t="n">
        <v>45163</v>
      </c>
      <c r="C2278" s="1" t="n">
        <v>45832</v>
      </c>
      <c r="D2278" t="inlineStr">
        <is>
          <t>VÄSTERBOTTENS LÄN</t>
        </is>
      </c>
      <c r="E2278" t="inlineStr">
        <is>
          <t>SKELLEFTEÅ</t>
        </is>
      </c>
      <c r="F2278" t="inlineStr">
        <is>
          <t>Sveaskog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38830-2023</t>
        </is>
      </c>
      <c r="B2279" s="1" t="n">
        <v>45163</v>
      </c>
      <c r="C2279" s="1" t="n">
        <v>45832</v>
      </c>
      <c r="D2279" t="inlineStr">
        <is>
          <t>VÄSTERBOTTENS LÄN</t>
        </is>
      </c>
      <c r="E2279" t="inlineStr">
        <is>
          <t>SKELLEFTEÅ</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38833-2023</t>
        </is>
      </c>
      <c r="B2280" s="1" t="n">
        <v>45163</v>
      </c>
      <c r="C2280" s="1" t="n">
        <v>45832</v>
      </c>
      <c r="D2280" t="inlineStr">
        <is>
          <t>VÄSTERBOTTENS LÄN</t>
        </is>
      </c>
      <c r="E2280" t="inlineStr">
        <is>
          <t>SKELLEFTEÅ</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38837-2023</t>
        </is>
      </c>
      <c r="B2281" s="1" t="n">
        <v>45163</v>
      </c>
      <c r="C2281" s="1" t="n">
        <v>45832</v>
      </c>
      <c r="D2281" t="inlineStr">
        <is>
          <t>VÄSTERBOTTENS LÄN</t>
        </is>
      </c>
      <c r="E2281" t="inlineStr">
        <is>
          <t>SKELLEFTEÅ</t>
        </is>
      </c>
      <c r="F2281" t="inlineStr">
        <is>
          <t>Sveaskog</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38949-2023</t>
        </is>
      </c>
      <c r="B2282" s="1" t="n">
        <v>45163</v>
      </c>
      <c r="C2282" s="1" t="n">
        <v>45832</v>
      </c>
      <c r="D2282" t="inlineStr">
        <is>
          <t>VÄSTERBOTTENS LÄN</t>
        </is>
      </c>
      <c r="E2282" t="inlineStr">
        <is>
          <t>SKELLEFTEÅ</t>
        </is>
      </c>
      <c r="F2282" t="inlineStr">
        <is>
          <t>Sveaskog</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39018-2023</t>
        </is>
      </c>
      <c r="B2283" s="1" t="n">
        <v>45163</v>
      </c>
      <c r="C2283" s="1" t="n">
        <v>45832</v>
      </c>
      <c r="D2283" t="inlineStr">
        <is>
          <t>VÄSTERBOTTENS LÄN</t>
        </is>
      </c>
      <c r="E2283" t="inlineStr">
        <is>
          <t>SKELLEFTEÅ</t>
        </is>
      </c>
      <c r="F2283" t="inlineStr">
        <is>
          <t>Sveaskog</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39026-2023</t>
        </is>
      </c>
      <c r="B2284" s="1" t="n">
        <v>45163</v>
      </c>
      <c r="C2284" s="1" t="n">
        <v>45832</v>
      </c>
      <c r="D2284" t="inlineStr">
        <is>
          <t>VÄSTERBOTTENS LÄN</t>
        </is>
      </c>
      <c r="E2284" t="inlineStr">
        <is>
          <t>SKELLEFTEÅ</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39034-2023</t>
        </is>
      </c>
      <c r="B2285" s="1" t="n">
        <v>45163</v>
      </c>
      <c r="C2285" s="1" t="n">
        <v>45832</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39412-2023</t>
        </is>
      </c>
      <c r="B2286" s="1" t="n">
        <v>45163</v>
      </c>
      <c r="C2286" s="1" t="n">
        <v>45832</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39420-2023</t>
        </is>
      </c>
      <c r="B2287" s="1" t="n">
        <v>45163</v>
      </c>
      <c r="C2287" s="1" t="n">
        <v>45832</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38790-2023</t>
        </is>
      </c>
      <c r="B2288" s="1" t="n">
        <v>45163</v>
      </c>
      <c r="C2288" s="1" t="n">
        <v>45832</v>
      </c>
      <c r="D2288" t="inlineStr">
        <is>
          <t>VÄSTERBOTTENS LÄN</t>
        </is>
      </c>
      <c r="E2288" t="inlineStr">
        <is>
          <t>SKELLEFTEÅ</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39132-2023</t>
        </is>
      </c>
      <c r="B2289" s="1" t="n">
        <v>45165</v>
      </c>
      <c r="C2289" s="1" t="n">
        <v>45832</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39135-2023</t>
        </is>
      </c>
      <c r="B2290" s="1" t="n">
        <v>45165</v>
      </c>
      <c r="C2290" s="1" t="n">
        <v>45832</v>
      </c>
      <c r="D2290" t="inlineStr">
        <is>
          <t>VÄSTERBOTTENS LÄN</t>
        </is>
      </c>
      <c r="E2290" t="inlineStr">
        <is>
          <t>SKELLEFTEÅ</t>
        </is>
      </c>
      <c r="F2290" t="inlineStr">
        <is>
          <t>Holmen skog AB</t>
        </is>
      </c>
      <c r="G2290" t="n">
        <v>20.5</v>
      </c>
      <c r="H2290" t="n">
        <v>0</v>
      </c>
      <c r="I2290" t="n">
        <v>0</v>
      </c>
      <c r="J2290" t="n">
        <v>0</v>
      </c>
      <c r="K2290" t="n">
        <v>0</v>
      </c>
      <c r="L2290" t="n">
        <v>0</v>
      </c>
      <c r="M2290" t="n">
        <v>0</v>
      </c>
      <c r="N2290" t="n">
        <v>0</v>
      </c>
      <c r="O2290" t="n">
        <v>0</v>
      </c>
      <c r="P2290" t="n">
        <v>0</v>
      </c>
      <c r="Q2290" t="n">
        <v>0</v>
      </c>
      <c r="R2290" s="2" t="inlineStr"/>
    </row>
    <row r="2291" ht="15" customHeight="1">
      <c r="A2291" t="inlineStr">
        <is>
          <t>A 39147-2023</t>
        </is>
      </c>
      <c r="B2291" s="1" t="n">
        <v>45166</v>
      </c>
      <c r="C2291" s="1" t="n">
        <v>45832</v>
      </c>
      <c r="D2291" t="inlineStr">
        <is>
          <t>VÄSTERBOTTENS LÄN</t>
        </is>
      </c>
      <c r="E2291" t="inlineStr">
        <is>
          <t>SKELLEFTEÅ</t>
        </is>
      </c>
      <c r="F2291" t="inlineStr">
        <is>
          <t>Holmen skog AB</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39156-2023</t>
        </is>
      </c>
      <c r="B2292" s="1" t="n">
        <v>45166</v>
      </c>
      <c r="C2292" s="1" t="n">
        <v>45832</v>
      </c>
      <c r="D2292" t="inlineStr">
        <is>
          <t>VÄSTERBOTTENS LÄN</t>
        </is>
      </c>
      <c r="E2292" t="inlineStr">
        <is>
          <t>SKELLEFTEÅ</t>
        </is>
      </c>
      <c r="F2292" t="inlineStr">
        <is>
          <t>Sveaskog</t>
        </is>
      </c>
      <c r="G2292" t="n">
        <v>43.7</v>
      </c>
      <c r="H2292" t="n">
        <v>0</v>
      </c>
      <c r="I2292" t="n">
        <v>0</v>
      </c>
      <c r="J2292" t="n">
        <v>0</v>
      </c>
      <c r="K2292" t="n">
        <v>0</v>
      </c>
      <c r="L2292" t="n">
        <v>0</v>
      </c>
      <c r="M2292" t="n">
        <v>0</v>
      </c>
      <c r="N2292" t="n">
        <v>0</v>
      </c>
      <c r="O2292" t="n">
        <v>0</v>
      </c>
      <c r="P2292" t="n">
        <v>0</v>
      </c>
      <c r="Q2292" t="n">
        <v>0</v>
      </c>
      <c r="R2292" s="2" t="inlineStr"/>
    </row>
    <row r="2293" ht="15" customHeight="1">
      <c r="A2293" t="inlineStr">
        <is>
          <t>A 39695-2023</t>
        </is>
      </c>
      <c r="B2293" s="1" t="n">
        <v>45166</v>
      </c>
      <c r="C2293" s="1" t="n">
        <v>45832</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39513-2023</t>
        </is>
      </c>
      <c r="B2294" s="1" t="n">
        <v>45167</v>
      </c>
      <c r="C2294" s="1" t="n">
        <v>45832</v>
      </c>
      <c r="D2294" t="inlineStr">
        <is>
          <t>VÄSTERBOTTENS LÄN</t>
        </is>
      </c>
      <c r="E2294" t="inlineStr">
        <is>
          <t>SKELLEFTEÅ</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39553-2023</t>
        </is>
      </c>
      <c r="B2295" s="1" t="n">
        <v>45167</v>
      </c>
      <c r="C2295" s="1" t="n">
        <v>45832</v>
      </c>
      <c r="D2295" t="inlineStr">
        <is>
          <t>VÄSTERBOTTENS LÄN</t>
        </is>
      </c>
      <c r="E2295" t="inlineStr">
        <is>
          <t>SKELLEFTEÅ</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39589-2023</t>
        </is>
      </c>
      <c r="B2296" s="1" t="n">
        <v>45167</v>
      </c>
      <c r="C2296" s="1" t="n">
        <v>45832</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39544-2023</t>
        </is>
      </c>
      <c r="B2297" s="1" t="n">
        <v>45167</v>
      </c>
      <c r="C2297" s="1" t="n">
        <v>45832</v>
      </c>
      <c r="D2297" t="inlineStr">
        <is>
          <t>VÄSTERBOTTENS LÄN</t>
        </is>
      </c>
      <c r="E2297" t="inlineStr">
        <is>
          <t>SKELLEFTEÅ</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39846-2023</t>
        </is>
      </c>
      <c r="B2298" s="1" t="n">
        <v>45168</v>
      </c>
      <c r="C2298" s="1" t="n">
        <v>45832</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40189-2023</t>
        </is>
      </c>
      <c r="B2299" s="1" t="n">
        <v>45169</v>
      </c>
      <c r="C2299" s="1" t="n">
        <v>45832</v>
      </c>
      <c r="D2299" t="inlineStr">
        <is>
          <t>VÄSTERBOTTENS LÄN</t>
        </is>
      </c>
      <c r="E2299" t="inlineStr">
        <is>
          <t>SKELLEFTEÅ</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40373-2023</t>
        </is>
      </c>
      <c r="B2300" s="1" t="n">
        <v>45169</v>
      </c>
      <c r="C2300" s="1" t="n">
        <v>45832</v>
      </c>
      <c r="D2300" t="inlineStr">
        <is>
          <t>VÄSTERBOTTENS LÄN</t>
        </is>
      </c>
      <c r="E2300" t="inlineStr">
        <is>
          <t>SKELLEFTEÅ</t>
        </is>
      </c>
      <c r="F2300" t="inlineStr">
        <is>
          <t>Sveaskog</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40132-2023</t>
        </is>
      </c>
      <c r="B2301" s="1" t="n">
        <v>45169</v>
      </c>
      <c r="C2301" s="1" t="n">
        <v>45832</v>
      </c>
      <c r="D2301" t="inlineStr">
        <is>
          <t>VÄSTERBOTTENS LÄN</t>
        </is>
      </c>
      <c r="E2301" t="inlineStr">
        <is>
          <t>SKELLEFTEÅ</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40274-2023</t>
        </is>
      </c>
      <c r="B2302" s="1" t="n">
        <v>45169</v>
      </c>
      <c r="C2302" s="1" t="n">
        <v>45832</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40393-2023</t>
        </is>
      </c>
      <c r="B2303" s="1" t="n">
        <v>45169</v>
      </c>
      <c r="C2303" s="1" t="n">
        <v>45832</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40442-2023</t>
        </is>
      </c>
      <c r="B2304" s="1" t="n">
        <v>45170</v>
      </c>
      <c r="C2304" s="1" t="n">
        <v>45832</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41109-2023</t>
        </is>
      </c>
      <c r="B2305" s="1" t="n">
        <v>45170</v>
      </c>
      <c r="C2305" s="1" t="n">
        <v>45832</v>
      </c>
      <c r="D2305" t="inlineStr">
        <is>
          <t>VÄSTERBOTTENS LÄN</t>
        </is>
      </c>
      <c r="E2305" t="inlineStr">
        <is>
          <t>SKELLEFTEÅ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41006-2023</t>
        </is>
      </c>
      <c r="B2306" s="1" t="n">
        <v>45173</v>
      </c>
      <c r="C2306" s="1" t="n">
        <v>45832</v>
      </c>
      <c r="D2306" t="inlineStr">
        <is>
          <t>VÄSTERBOTTENS LÄN</t>
        </is>
      </c>
      <c r="E2306" t="inlineStr">
        <is>
          <t>SKELLEFTEÅ</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41092-2023</t>
        </is>
      </c>
      <c r="B2307" s="1" t="n">
        <v>45173</v>
      </c>
      <c r="C2307" s="1" t="n">
        <v>45832</v>
      </c>
      <c r="D2307" t="inlineStr">
        <is>
          <t>VÄSTERBOTTENS LÄN</t>
        </is>
      </c>
      <c r="E2307" t="inlineStr">
        <is>
          <t>SKELLEFTEÅ</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41397-2023</t>
        </is>
      </c>
      <c r="B2308" s="1" t="n">
        <v>45174</v>
      </c>
      <c r="C2308" s="1" t="n">
        <v>45832</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41645-2023</t>
        </is>
      </c>
      <c r="B2309" s="1" t="n">
        <v>45175</v>
      </c>
      <c r="C2309" s="1" t="n">
        <v>45832</v>
      </c>
      <c r="D2309" t="inlineStr">
        <is>
          <t>VÄSTERBOTTENS LÄN</t>
        </is>
      </c>
      <c r="E2309" t="inlineStr">
        <is>
          <t>SKELLEFTEÅ</t>
        </is>
      </c>
      <c r="G2309" t="n">
        <v>26.4</v>
      </c>
      <c r="H2309" t="n">
        <v>0</v>
      </c>
      <c r="I2309" t="n">
        <v>0</v>
      </c>
      <c r="J2309" t="n">
        <v>0</v>
      </c>
      <c r="K2309" t="n">
        <v>0</v>
      </c>
      <c r="L2309" t="n">
        <v>0</v>
      </c>
      <c r="M2309" t="n">
        <v>0</v>
      </c>
      <c r="N2309" t="n">
        <v>0</v>
      </c>
      <c r="O2309" t="n">
        <v>0</v>
      </c>
      <c r="P2309" t="n">
        <v>0</v>
      </c>
      <c r="Q2309" t="n">
        <v>0</v>
      </c>
      <c r="R2309" s="2" t="inlineStr"/>
    </row>
    <row r="2310" ht="15" customHeight="1">
      <c r="A2310" t="inlineStr">
        <is>
          <t>A 41617-2023</t>
        </is>
      </c>
      <c r="B2310" s="1" t="n">
        <v>45175</v>
      </c>
      <c r="C2310" s="1" t="n">
        <v>45832</v>
      </c>
      <c r="D2310" t="inlineStr">
        <is>
          <t>VÄSTERBOTTENS LÄN</t>
        </is>
      </c>
      <c r="E2310" t="inlineStr">
        <is>
          <t>SKELLEFTEÅ</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42329-2023</t>
        </is>
      </c>
      <c r="B2311" s="1" t="n">
        <v>45175</v>
      </c>
      <c r="C2311" s="1" t="n">
        <v>45832</v>
      </c>
      <c r="D2311" t="inlineStr">
        <is>
          <t>VÄSTERBOTTENS LÄN</t>
        </is>
      </c>
      <c r="E2311" t="inlineStr">
        <is>
          <t>SKELLEFTEÅ</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42433-2023</t>
        </is>
      </c>
      <c r="B2312" s="1" t="n">
        <v>45175</v>
      </c>
      <c r="C2312" s="1" t="n">
        <v>45832</v>
      </c>
      <c r="D2312" t="inlineStr">
        <is>
          <t>VÄSTERBOTTENS LÄN</t>
        </is>
      </c>
      <c r="E2312" t="inlineStr">
        <is>
          <t>SKELLEFTEÅ</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41904-2023</t>
        </is>
      </c>
      <c r="B2313" s="1" t="n">
        <v>45177</v>
      </c>
      <c r="C2313" s="1" t="n">
        <v>45832</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42587-2023</t>
        </is>
      </c>
      <c r="B2314" s="1" t="n">
        <v>45176</v>
      </c>
      <c r="C2314" s="1" t="n">
        <v>45832</v>
      </c>
      <c r="D2314" t="inlineStr">
        <is>
          <t>VÄSTERBOTTENS LÄN</t>
        </is>
      </c>
      <c r="E2314" t="inlineStr">
        <is>
          <t>SKELLEFTEÅ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42595-2023</t>
        </is>
      </c>
      <c r="B2315" s="1" t="n">
        <v>45176</v>
      </c>
      <c r="C2315" s="1" t="n">
        <v>45832</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42138-2023</t>
        </is>
      </c>
      <c r="B2316" s="1" t="n">
        <v>45177</v>
      </c>
      <c r="C2316" s="1" t="n">
        <v>45832</v>
      </c>
      <c r="D2316" t="inlineStr">
        <is>
          <t>VÄSTERBOTTENS LÄN</t>
        </is>
      </c>
      <c r="E2316" t="inlineStr">
        <is>
          <t>SKELLEFTEÅ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42822-2023</t>
        </is>
      </c>
      <c r="B2317" s="1" t="n">
        <v>45177</v>
      </c>
      <c r="C2317" s="1" t="n">
        <v>45832</v>
      </c>
      <c r="D2317" t="inlineStr">
        <is>
          <t>VÄSTERBOTTENS LÄN</t>
        </is>
      </c>
      <c r="E2317" t="inlineStr">
        <is>
          <t>SKELLEFTEÅ</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42136-2023</t>
        </is>
      </c>
      <c r="B2318" s="1" t="n">
        <v>45177</v>
      </c>
      <c r="C2318" s="1" t="n">
        <v>45832</v>
      </c>
      <c r="D2318" t="inlineStr">
        <is>
          <t>VÄSTERBOTTENS LÄN</t>
        </is>
      </c>
      <c r="E2318" t="inlineStr">
        <is>
          <t>SKELLEFTEÅ</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42144-2023</t>
        </is>
      </c>
      <c r="B2319" s="1" t="n">
        <v>45177</v>
      </c>
      <c r="C2319" s="1" t="n">
        <v>45832</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42137-2023</t>
        </is>
      </c>
      <c r="B2320" s="1" t="n">
        <v>45177</v>
      </c>
      <c r="C2320" s="1" t="n">
        <v>45832</v>
      </c>
      <c r="D2320" t="inlineStr">
        <is>
          <t>VÄSTERBOTTENS LÄN</t>
        </is>
      </c>
      <c r="E2320" t="inlineStr">
        <is>
          <t>SKELLEFTEÅ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42842-2023</t>
        </is>
      </c>
      <c r="B2321" s="1" t="n">
        <v>45177</v>
      </c>
      <c r="C2321" s="1" t="n">
        <v>45832</v>
      </c>
      <c r="D2321" t="inlineStr">
        <is>
          <t>VÄSTERBOTTENS LÄN</t>
        </is>
      </c>
      <c r="E2321" t="inlineStr">
        <is>
          <t>SKELLEFTEÅ</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42421-2023</t>
        </is>
      </c>
      <c r="B2322" s="1" t="n">
        <v>45180</v>
      </c>
      <c r="C2322" s="1" t="n">
        <v>45832</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42982-2023</t>
        </is>
      </c>
      <c r="B2323" s="1" t="n">
        <v>45180</v>
      </c>
      <c r="C2323" s="1" t="n">
        <v>45832</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43060-2023</t>
        </is>
      </c>
      <c r="B2324" s="1" t="n">
        <v>45180</v>
      </c>
      <c r="C2324" s="1" t="n">
        <v>45832</v>
      </c>
      <c r="D2324" t="inlineStr">
        <is>
          <t>VÄSTERBOTTENS LÄN</t>
        </is>
      </c>
      <c r="E2324" t="inlineStr">
        <is>
          <t>SKELLEFTEÅ</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43568-2023</t>
        </is>
      </c>
      <c r="B2325" s="1" t="n">
        <v>45181</v>
      </c>
      <c r="C2325" s="1" t="n">
        <v>45832</v>
      </c>
      <c r="D2325" t="inlineStr">
        <is>
          <t>VÄSTERBOTTENS LÄN</t>
        </is>
      </c>
      <c r="E2325" t="inlineStr">
        <is>
          <t>SKELLEFTEÅ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43563-2023</t>
        </is>
      </c>
      <c r="B2326" s="1" t="n">
        <v>45181</v>
      </c>
      <c r="C2326" s="1" t="n">
        <v>45832</v>
      </c>
      <c r="D2326" t="inlineStr">
        <is>
          <t>VÄSTERBOTTENS LÄN</t>
        </is>
      </c>
      <c r="E2326" t="inlineStr">
        <is>
          <t>SKELLEFTEÅ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43598-2023</t>
        </is>
      </c>
      <c r="B2327" s="1" t="n">
        <v>45181</v>
      </c>
      <c r="C2327" s="1" t="n">
        <v>45832</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43603-2023</t>
        </is>
      </c>
      <c r="B2328" s="1" t="n">
        <v>45181</v>
      </c>
      <c r="C2328" s="1" t="n">
        <v>45832</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42640-2023</t>
        </is>
      </c>
      <c r="B2329" s="1" t="n">
        <v>45181</v>
      </c>
      <c r="C2329" s="1" t="n">
        <v>45832</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42650-2023</t>
        </is>
      </c>
      <c r="B2330" s="1" t="n">
        <v>45181</v>
      </c>
      <c r="C2330" s="1" t="n">
        <v>45832</v>
      </c>
      <c r="D2330" t="inlineStr">
        <is>
          <t>VÄSTERBOTTENS LÄN</t>
        </is>
      </c>
      <c r="E2330" t="inlineStr">
        <is>
          <t>SKELLEFTEÅ</t>
        </is>
      </c>
      <c r="F2330" t="inlineStr">
        <is>
          <t>Holmen skog AB</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42787-2023</t>
        </is>
      </c>
      <c r="B2331" s="1" t="n">
        <v>45181</v>
      </c>
      <c r="C2331" s="1" t="n">
        <v>45832</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42789-2023</t>
        </is>
      </c>
      <c r="B2332" s="1" t="n">
        <v>45181</v>
      </c>
      <c r="C2332" s="1" t="n">
        <v>45832</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43057-2023</t>
        </is>
      </c>
      <c r="B2333" s="1" t="n">
        <v>45182</v>
      </c>
      <c r="C2333" s="1" t="n">
        <v>45832</v>
      </c>
      <c r="D2333" t="inlineStr">
        <is>
          <t>VÄSTERBOTTENS LÄN</t>
        </is>
      </c>
      <c r="E2333" t="inlineStr">
        <is>
          <t>SKELLEFTEÅ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43059-2023</t>
        </is>
      </c>
      <c r="B2334" s="1" t="n">
        <v>45182</v>
      </c>
      <c r="C2334" s="1" t="n">
        <v>45832</v>
      </c>
      <c r="D2334" t="inlineStr">
        <is>
          <t>VÄSTERBOTTENS LÄN</t>
        </is>
      </c>
      <c r="E2334" t="inlineStr">
        <is>
          <t>SKELLEFTEÅ</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44025-2023</t>
        </is>
      </c>
      <c r="B2335" s="1" t="n">
        <v>45182</v>
      </c>
      <c r="C2335" s="1" t="n">
        <v>45832</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43435-2023</t>
        </is>
      </c>
      <c r="B2336" s="1" t="n">
        <v>45184</v>
      </c>
      <c r="C2336" s="1" t="n">
        <v>45832</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43439-2023</t>
        </is>
      </c>
      <c r="B2337" s="1" t="n">
        <v>45184</v>
      </c>
      <c r="C2337" s="1" t="n">
        <v>45832</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43438-2023</t>
        </is>
      </c>
      <c r="B2338" s="1" t="n">
        <v>45184</v>
      </c>
      <c r="C2338" s="1" t="n">
        <v>45832</v>
      </c>
      <c r="D2338" t="inlineStr">
        <is>
          <t>VÄSTERBOTTENS LÄN</t>
        </is>
      </c>
      <c r="E2338" t="inlineStr">
        <is>
          <t>SKELLEFTEÅ</t>
        </is>
      </c>
      <c r="F2338" t="inlineStr">
        <is>
          <t>Holmen skog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43474-2023</t>
        </is>
      </c>
      <c r="B2339" s="1" t="n">
        <v>45184</v>
      </c>
      <c r="C2339" s="1" t="n">
        <v>45832</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43578-2023</t>
        </is>
      </c>
      <c r="B2340" s="1" t="n">
        <v>45184</v>
      </c>
      <c r="C2340" s="1" t="n">
        <v>45832</v>
      </c>
      <c r="D2340" t="inlineStr">
        <is>
          <t>VÄSTERBOTTENS LÄN</t>
        </is>
      </c>
      <c r="E2340" t="inlineStr">
        <is>
          <t>SKELLEFTEÅ</t>
        </is>
      </c>
      <c r="F2340" t="inlineStr">
        <is>
          <t>Holmen skog AB</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43631-2023</t>
        </is>
      </c>
      <c r="B2341" s="1" t="n">
        <v>45185</v>
      </c>
      <c r="C2341" s="1" t="n">
        <v>45832</v>
      </c>
      <c r="D2341" t="inlineStr">
        <is>
          <t>VÄSTERBOTTENS LÄN</t>
        </is>
      </c>
      <c r="E2341" t="inlineStr">
        <is>
          <t>SKELLEFTEÅ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43751-2023</t>
        </is>
      </c>
      <c r="B2342" s="1" t="n">
        <v>45187</v>
      </c>
      <c r="C2342" s="1" t="n">
        <v>45832</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43686-2023</t>
        </is>
      </c>
      <c r="B2343" s="1" t="n">
        <v>45187</v>
      </c>
      <c r="C2343" s="1" t="n">
        <v>45832</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45079-2023</t>
        </is>
      </c>
      <c r="B2344" s="1" t="n">
        <v>45187</v>
      </c>
      <c r="C2344" s="1" t="n">
        <v>45832</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44145-2023</t>
        </is>
      </c>
      <c r="B2345" s="1" t="n">
        <v>45188</v>
      </c>
      <c r="C2345" s="1" t="n">
        <v>45832</v>
      </c>
      <c r="D2345" t="inlineStr">
        <is>
          <t>VÄSTERBOTTENS LÄN</t>
        </is>
      </c>
      <c r="E2345" t="inlineStr">
        <is>
          <t>SKELLEFTEÅ</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44225-2023</t>
        </is>
      </c>
      <c r="B2346" s="1" t="n">
        <v>45188</v>
      </c>
      <c r="C2346" s="1" t="n">
        <v>45832</v>
      </c>
      <c r="D2346" t="inlineStr">
        <is>
          <t>VÄSTERBOTTENS LÄN</t>
        </is>
      </c>
      <c r="E2346" t="inlineStr">
        <is>
          <t>SKELLEFTEÅ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44078-2023</t>
        </is>
      </c>
      <c r="B2347" s="1" t="n">
        <v>45188</v>
      </c>
      <c r="C2347" s="1" t="n">
        <v>45832</v>
      </c>
      <c r="D2347" t="inlineStr">
        <is>
          <t>VÄSTERBOTTENS LÄN</t>
        </is>
      </c>
      <c r="E2347" t="inlineStr">
        <is>
          <t>SKELLEFTEÅ</t>
        </is>
      </c>
      <c r="F2347" t="inlineStr">
        <is>
          <t>Holmen skog AB</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44250-2023</t>
        </is>
      </c>
      <c r="B2348" s="1" t="n">
        <v>45188</v>
      </c>
      <c r="C2348" s="1" t="n">
        <v>45832</v>
      </c>
      <c r="D2348" t="inlineStr">
        <is>
          <t>VÄSTERBOTTENS LÄN</t>
        </is>
      </c>
      <c r="E2348" t="inlineStr">
        <is>
          <t>SKELLEFTEÅ</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44263-2023</t>
        </is>
      </c>
      <c r="B2349" s="1" t="n">
        <v>45188</v>
      </c>
      <c r="C2349" s="1" t="n">
        <v>45832</v>
      </c>
      <c r="D2349" t="inlineStr">
        <is>
          <t>VÄSTERBOTTENS LÄN</t>
        </is>
      </c>
      <c r="E2349" t="inlineStr">
        <is>
          <t>SKELLEFTEÅ</t>
        </is>
      </c>
      <c r="F2349" t="inlineStr">
        <is>
          <t>Holmen skog AB</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44296-2023</t>
        </is>
      </c>
      <c r="B2350" s="1" t="n">
        <v>45188</v>
      </c>
      <c r="C2350" s="1" t="n">
        <v>45832</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44301-2023</t>
        </is>
      </c>
      <c r="B2351" s="1" t="n">
        <v>45188</v>
      </c>
      <c r="C2351" s="1" t="n">
        <v>45832</v>
      </c>
      <c r="D2351" t="inlineStr">
        <is>
          <t>VÄSTERBOTTENS LÄN</t>
        </is>
      </c>
      <c r="E2351" t="inlineStr">
        <is>
          <t>SKELLEFTEÅ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44335-2023</t>
        </is>
      </c>
      <c r="B2352" s="1" t="n">
        <v>45188</v>
      </c>
      <c r="C2352" s="1" t="n">
        <v>45832</v>
      </c>
      <c r="D2352" t="inlineStr">
        <is>
          <t>VÄSTERBOTTENS LÄN</t>
        </is>
      </c>
      <c r="E2352" t="inlineStr">
        <is>
          <t>SKELLEFTEÅ</t>
        </is>
      </c>
      <c r="F2352" t="inlineStr">
        <is>
          <t>Holmen skog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45581-2023</t>
        </is>
      </c>
      <c r="B2353" s="1" t="n">
        <v>45188</v>
      </c>
      <c r="C2353" s="1" t="n">
        <v>45832</v>
      </c>
      <c r="D2353" t="inlineStr">
        <is>
          <t>VÄSTERBOTTENS LÄN</t>
        </is>
      </c>
      <c r="E2353" t="inlineStr">
        <is>
          <t>SKELLEFTEÅ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45576-2023</t>
        </is>
      </c>
      <c r="B2354" s="1" t="n">
        <v>45188</v>
      </c>
      <c r="C2354" s="1" t="n">
        <v>45832</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44483-2023</t>
        </is>
      </c>
      <c r="B2355" s="1" t="n">
        <v>45189</v>
      </c>
      <c r="C2355" s="1" t="n">
        <v>45832</v>
      </c>
      <c r="D2355" t="inlineStr">
        <is>
          <t>VÄSTERBOTTENS LÄN</t>
        </is>
      </c>
      <c r="E2355" t="inlineStr">
        <is>
          <t>SKELLEFTEÅ</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44545-2023</t>
        </is>
      </c>
      <c r="B2356" s="1" t="n">
        <v>45189</v>
      </c>
      <c r="C2356" s="1" t="n">
        <v>45832</v>
      </c>
      <c r="D2356" t="inlineStr">
        <is>
          <t>VÄSTERBOTTENS LÄN</t>
        </is>
      </c>
      <c r="E2356" t="inlineStr">
        <is>
          <t>SKELLEFTEÅ</t>
        </is>
      </c>
      <c r="F2356" t="inlineStr">
        <is>
          <t>Holmen skog AB</t>
        </is>
      </c>
      <c r="G2356" t="n">
        <v>16.9</v>
      </c>
      <c r="H2356" t="n">
        <v>0</v>
      </c>
      <c r="I2356" t="n">
        <v>0</v>
      </c>
      <c r="J2356" t="n">
        <v>0</v>
      </c>
      <c r="K2356" t="n">
        <v>0</v>
      </c>
      <c r="L2356" t="n">
        <v>0</v>
      </c>
      <c r="M2356" t="n">
        <v>0</v>
      </c>
      <c r="N2356" t="n">
        <v>0</v>
      </c>
      <c r="O2356" t="n">
        <v>0</v>
      </c>
      <c r="P2356" t="n">
        <v>0</v>
      </c>
      <c r="Q2356" t="n">
        <v>0</v>
      </c>
      <c r="R2356" s="2" t="inlineStr"/>
    </row>
    <row r="2357" ht="15" customHeight="1">
      <c r="A2357" t="inlineStr">
        <is>
          <t>A 44561-2023</t>
        </is>
      </c>
      <c r="B2357" s="1" t="n">
        <v>45189</v>
      </c>
      <c r="C2357" s="1" t="n">
        <v>45832</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45727-2023</t>
        </is>
      </c>
      <c r="B2358" s="1" t="n">
        <v>45189</v>
      </c>
      <c r="C2358" s="1" t="n">
        <v>45832</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44567-2023</t>
        </is>
      </c>
      <c r="B2359" s="1" t="n">
        <v>45189</v>
      </c>
      <c r="C2359" s="1" t="n">
        <v>45832</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44745-2023</t>
        </is>
      </c>
      <c r="B2360" s="1" t="n">
        <v>45190</v>
      </c>
      <c r="C2360" s="1" t="n">
        <v>45832</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44912-2023</t>
        </is>
      </c>
      <c r="B2361" s="1" t="n">
        <v>45190</v>
      </c>
      <c r="C2361" s="1" t="n">
        <v>45832</v>
      </c>
      <c r="D2361" t="inlineStr">
        <is>
          <t>VÄSTERBOTTENS LÄN</t>
        </is>
      </c>
      <c r="E2361" t="inlineStr">
        <is>
          <t>SKELLEFTEÅ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44959-2023</t>
        </is>
      </c>
      <c r="B2362" s="1" t="n">
        <v>45190</v>
      </c>
      <c r="C2362" s="1" t="n">
        <v>45832</v>
      </c>
      <c r="D2362" t="inlineStr">
        <is>
          <t>VÄSTERBOTTENS LÄN</t>
        </is>
      </c>
      <c r="E2362" t="inlineStr">
        <is>
          <t>SKELLEFTEÅ</t>
        </is>
      </c>
      <c r="F2362" t="inlineStr">
        <is>
          <t>Sveaskog</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44856-2023</t>
        </is>
      </c>
      <c r="B2363" s="1" t="n">
        <v>45190</v>
      </c>
      <c r="C2363" s="1" t="n">
        <v>45832</v>
      </c>
      <c r="D2363" t="inlineStr">
        <is>
          <t>VÄSTERBOTTENS LÄN</t>
        </is>
      </c>
      <c r="E2363" t="inlineStr">
        <is>
          <t>SKELLEFTEÅ</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44872-2023</t>
        </is>
      </c>
      <c r="B2364" s="1" t="n">
        <v>45190</v>
      </c>
      <c r="C2364" s="1" t="n">
        <v>45832</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44877-2023</t>
        </is>
      </c>
      <c r="B2365" s="1" t="n">
        <v>45190</v>
      </c>
      <c r="C2365" s="1" t="n">
        <v>45832</v>
      </c>
      <c r="D2365" t="inlineStr">
        <is>
          <t>VÄSTERBOTTENS LÄN</t>
        </is>
      </c>
      <c r="E2365" t="inlineStr">
        <is>
          <t>SKELLEFTEÅ</t>
        </is>
      </c>
      <c r="F2365" t="inlineStr">
        <is>
          <t>Holmen skog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44775-2023</t>
        </is>
      </c>
      <c r="B2366" s="1" t="n">
        <v>45190</v>
      </c>
      <c r="C2366" s="1" t="n">
        <v>45832</v>
      </c>
      <c r="D2366" t="inlineStr">
        <is>
          <t>VÄSTERBOTTENS LÄN</t>
        </is>
      </c>
      <c r="E2366" t="inlineStr">
        <is>
          <t>SKELLEFTEÅ</t>
        </is>
      </c>
      <c r="F2366" t="inlineStr">
        <is>
          <t>Sveaskog</t>
        </is>
      </c>
      <c r="G2366" t="n">
        <v>20.4</v>
      </c>
      <c r="H2366" t="n">
        <v>0</v>
      </c>
      <c r="I2366" t="n">
        <v>0</v>
      </c>
      <c r="J2366" t="n">
        <v>0</v>
      </c>
      <c r="K2366" t="n">
        <v>0</v>
      </c>
      <c r="L2366" t="n">
        <v>0</v>
      </c>
      <c r="M2366" t="n">
        <v>0</v>
      </c>
      <c r="N2366" t="n">
        <v>0</v>
      </c>
      <c r="O2366" t="n">
        <v>0</v>
      </c>
      <c r="P2366" t="n">
        <v>0</v>
      </c>
      <c r="Q2366" t="n">
        <v>0</v>
      </c>
      <c r="R2366" s="2" t="inlineStr"/>
    </row>
    <row r="2367" ht="15" customHeight="1">
      <c r="A2367" t="inlineStr">
        <is>
          <t>A 44825-2023</t>
        </is>
      </c>
      <c r="B2367" s="1" t="n">
        <v>45190</v>
      </c>
      <c r="C2367" s="1" t="n">
        <v>45832</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46191-2023</t>
        </is>
      </c>
      <c r="B2368" s="1" t="n">
        <v>45190</v>
      </c>
      <c r="C2368" s="1" t="n">
        <v>45832</v>
      </c>
      <c r="D2368" t="inlineStr">
        <is>
          <t>VÄSTERBOTTENS LÄN</t>
        </is>
      </c>
      <c r="E2368" t="inlineStr">
        <is>
          <t>SKELLEFTEÅ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46084-2023</t>
        </is>
      </c>
      <c r="B2369" s="1" t="n">
        <v>45190</v>
      </c>
      <c r="C2369" s="1" t="n">
        <v>45832</v>
      </c>
      <c r="D2369" t="inlineStr">
        <is>
          <t>VÄSTERBOTTENS LÄN</t>
        </is>
      </c>
      <c r="E2369" t="inlineStr">
        <is>
          <t>SKELLEFTEÅ</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46107-2023</t>
        </is>
      </c>
      <c r="B2370" s="1" t="n">
        <v>45190</v>
      </c>
      <c r="C2370" s="1" t="n">
        <v>45832</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45039-2023</t>
        </is>
      </c>
      <c r="B2371" s="1" t="n">
        <v>45191</v>
      </c>
      <c r="C2371" s="1" t="n">
        <v>45832</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46302-2023</t>
        </is>
      </c>
      <c r="B2372" s="1" t="n">
        <v>45191</v>
      </c>
      <c r="C2372" s="1" t="n">
        <v>45832</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45552-2023</t>
        </is>
      </c>
      <c r="B2373" s="1" t="n">
        <v>45194</v>
      </c>
      <c r="C2373" s="1" t="n">
        <v>45832</v>
      </c>
      <c r="D2373" t="inlineStr">
        <is>
          <t>VÄSTERBOTTENS LÄN</t>
        </is>
      </c>
      <c r="E2373" t="inlineStr">
        <is>
          <t>SKELLEFTEÅ</t>
        </is>
      </c>
      <c r="G2373" t="n">
        <v>18.3</v>
      </c>
      <c r="H2373" t="n">
        <v>0</v>
      </c>
      <c r="I2373" t="n">
        <v>0</v>
      </c>
      <c r="J2373" t="n">
        <v>0</v>
      </c>
      <c r="K2373" t="n">
        <v>0</v>
      </c>
      <c r="L2373" t="n">
        <v>0</v>
      </c>
      <c r="M2373" t="n">
        <v>0</v>
      </c>
      <c r="N2373" t="n">
        <v>0</v>
      </c>
      <c r="O2373" t="n">
        <v>0</v>
      </c>
      <c r="P2373" t="n">
        <v>0</v>
      </c>
      <c r="Q2373" t="n">
        <v>0</v>
      </c>
      <c r="R2373" s="2" t="inlineStr"/>
    </row>
    <row r="2374" ht="15" customHeight="1">
      <c r="A2374" t="inlineStr">
        <is>
          <t>A 46504-2023</t>
        </is>
      </c>
      <c r="B2374" s="1" t="n">
        <v>45194</v>
      </c>
      <c r="C2374" s="1" t="n">
        <v>45832</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45498-2023</t>
        </is>
      </c>
      <c r="B2375" s="1" t="n">
        <v>45194</v>
      </c>
      <c r="C2375" s="1" t="n">
        <v>45832</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46492-2023</t>
        </is>
      </c>
      <c r="B2376" s="1" t="n">
        <v>45194</v>
      </c>
      <c r="C2376" s="1" t="n">
        <v>45832</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46440-2023</t>
        </is>
      </c>
      <c r="B2377" s="1" t="n">
        <v>45197</v>
      </c>
      <c r="C2377" s="1" t="n">
        <v>45832</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46540-2023</t>
        </is>
      </c>
      <c r="B2378" s="1" t="n">
        <v>45198</v>
      </c>
      <c r="C2378" s="1" t="n">
        <v>45832</v>
      </c>
      <c r="D2378" t="inlineStr">
        <is>
          <t>VÄSTERBOTTENS LÄN</t>
        </is>
      </c>
      <c r="E2378" t="inlineStr">
        <is>
          <t>SKELLEFTEÅ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46539-2023</t>
        </is>
      </c>
      <c r="B2379" s="1" t="n">
        <v>45198</v>
      </c>
      <c r="C2379" s="1" t="n">
        <v>45832</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46541-2023</t>
        </is>
      </c>
      <c r="B2380" s="1" t="n">
        <v>45198</v>
      </c>
      <c r="C2380" s="1" t="n">
        <v>45832</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46448-2023</t>
        </is>
      </c>
      <c r="B2381" s="1" t="n">
        <v>45197</v>
      </c>
      <c r="C2381" s="1" t="n">
        <v>45832</v>
      </c>
      <c r="D2381" t="inlineStr">
        <is>
          <t>VÄSTERBOTTENS LÄN</t>
        </is>
      </c>
      <c r="E2381" t="inlineStr">
        <is>
          <t>SKELLEFTEÅ</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46538-2023</t>
        </is>
      </c>
      <c r="B2382" s="1" t="n">
        <v>45198</v>
      </c>
      <c r="C2382" s="1" t="n">
        <v>45832</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47447-2023</t>
        </is>
      </c>
      <c r="B2383" s="1" t="n">
        <v>45197</v>
      </c>
      <c r="C2383" s="1" t="n">
        <v>45832</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46584-2023</t>
        </is>
      </c>
      <c r="B2384" s="1" t="n">
        <v>45198</v>
      </c>
      <c r="C2384" s="1" t="n">
        <v>45832</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46590-2023</t>
        </is>
      </c>
      <c r="B2385" s="1" t="n">
        <v>45198</v>
      </c>
      <c r="C2385" s="1" t="n">
        <v>45832</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47924-2023</t>
        </is>
      </c>
      <c r="B2386" s="1" t="n">
        <v>45198</v>
      </c>
      <c r="C2386" s="1" t="n">
        <v>45832</v>
      </c>
      <c r="D2386" t="inlineStr">
        <is>
          <t>VÄSTERBOTTENS LÄN</t>
        </is>
      </c>
      <c r="E2386" t="inlineStr">
        <is>
          <t>SKELLEFTEÅ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47923-2023</t>
        </is>
      </c>
      <c r="B2387" s="1" t="n">
        <v>45198</v>
      </c>
      <c r="C2387" s="1" t="n">
        <v>45832</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47925-2023</t>
        </is>
      </c>
      <c r="B2388" s="1" t="n">
        <v>45198</v>
      </c>
      <c r="C2388" s="1" t="n">
        <v>45832</v>
      </c>
      <c r="D2388" t="inlineStr">
        <is>
          <t>VÄSTERBOTTENS LÄN</t>
        </is>
      </c>
      <c r="E2388" t="inlineStr">
        <is>
          <t>SKELLEFTEÅ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47155-2023</t>
        </is>
      </c>
      <c r="B2389" s="1" t="n">
        <v>45202</v>
      </c>
      <c r="C2389" s="1" t="n">
        <v>45832</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47154-2023</t>
        </is>
      </c>
      <c r="B2390" s="1" t="n">
        <v>45202</v>
      </c>
      <c r="C2390" s="1" t="n">
        <v>45832</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47139-2023</t>
        </is>
      </c>
      <c r="B2391" s="1" t="n">
        <v>45201</v>
      </c>
      <c r="C2391" s="1" t="n">
        <v>45832</v>
      </c>
      <c r="D2391" t="inlineStr">
        <is>
          <t>VÄSTERBOTTENS LÄN</t>
        </is>
      </c>
      <c r="E2391" t="inlineStr">
        <is>
          <t>SKELLEFTEÅ</t>
        </is>
      </c>
      <c r="F2391" t="inlineStr">
        <is>
          <t>Sveaskog</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46965-2023</t>
        </is>
      </c>
      <c r="B2392" s="1" t="n">
        <v>45201</v>
      </c>
      <c r="C2392" s="1" t="n">
        <v>45832</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48392-2023</t>
        </is>
      </c>
      <c r="B2393" s="1" t="n">
        <v>45201</v>
      </c>
      <c r="C2393" s="1" t="n">
        <v>45832</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48394-2023</t>
        </is>
      </c>
      <c r="B2394" s="1" t="n">
        <v>45201</v>
      </c>
      <c r="C2394" s="1" t="n">
        <v>45832</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47312-2023</t>
        </is>
      </c>
      <c r="B2395" s="1" t="n">
        <v>45202</v>
      </c>
      <c r="C2395" s="1" t="n">
        <v>45832</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47406-2023</t>
        </is>
      </c>
      <c r="B2396" s="1" t="n">
        <v>45202</v>
      </c>
      <c r="C2396" s="1" t="n">
        <v>45832</v>
      </c>
      <c r="D2396" t="inlineStr">
        <is>
          <t>VÄSTERBOTTENS LÄN</t>
        </is>
      </c>
      <c r="E2396" t="inlineStr">
        <is>
          <t>SKELLEFTEÅ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47468-2023</t>
        </is>
      </c>
      <c r="B2397" s="1" t="n">
        <v>45202</v>
      </c>
      <c r="C2397" s="1" t="n">
        <v>45832</v>
      </c>
      <c r="D2397" t="inlineStr">
        <is>
          <t>VÄSTERBOTTENS LÄN</t>
        </is>
      </c>
      <c r="E2397" t="inlineStr">
        <is>
          <t>SKELLEFTEÅ</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47716-2023</t>
        </is>
      </c>
      <c r="B2398" s="1" t="n">
        <v>45203</v>
      </c>
      <c r="C2398" s="1" t="n">
        <v>45832</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47531-2023</t>
        </is>
      </c>
      <c r="B2399" s="1" t="n">
        <v>45203</v>
      </c>
      <c r="C2399" s="1" t="n">
        <v>45832</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47534-2023</t>
        </is>
      </c>
      <c r="B2400" s="1" t="n">
        <v>45203</v>
      </c>
      <c r="C2400" s="1" t="n">
        <v>45832</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47910-2023</t>
        </is>
      </c>
      <c r="B2401" s="1" t="n">
        <v>45204</v>
      </c>
      <c r="C2401" s="1" t="n">
        <v>45832</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48062-2023</t>
        </is>
      </c>
      <c r="B2402" s="1" t="n">
        <v>45205</v>
      </c>
      <c r="C2402" s="1" t="n">
        <v>45832</v>
      </c>
      <c r="D2402" t="inlineStr">
        <is>
          <t>VÄSTERBOTTENS LÄN</t>
        </is>
      </c>
      <c r="E2402" t="inlineStr">
        <is>
          <t>SKELLEFTEÅ</t>
        </is>
      </c>
      <c r="G2402" t="n">
        <v>12.4</v>
      </c>
      <c r="H2402" t="n">
        <v>0</v>
      </c>
      <c r="I2402" t="n">
        <v>0</v>
      </c>
      <c r="J2402" t="n">
        <v>0</v>
      </c>
      <c r="K2402" t="n">
        <v>0</v>
      </c>
      <c r="L2402" t="n">
        <v>0</v>
      </c>
      <c r="M2402" t="n">
        <v>0</v>
      </c>
      <c r="N2402" t="n">
        <v>0</v>
      </c>
      <c r="O2402" t="n">
        <v>0</v>
      </c>
      <c r="P2402" t="n">
        <v>0</v>
      </c>
      <c r="Q2402" t="n">
        <v>0</v>
      </c>
      <c r="R2402" s="2" t="inlineStr"/>
    </row>
    <row r="2403" ht="15" customHeight="1">
      <c r="A2403" t="inlineStr">
        <is>
          <t>A 48160-2023</t>
        </is>
      </c>
      <c r="B2403" s="1" t="n">
        <v>45205</v>
      </c>
      <c r="C2403" s="1" t="n">
        <v>45832</v>
      </c>
      <c r="D2403" t="inlineStr">
        <is>
          <t>VÄSTERBOTTENS LÄN</t>
        </is>
      </c>
      <c r="E2403" t="inlineStr">
        <is>
          <t>SKELLEFTEÅ</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48316-2023</t>
        </is>
      </c>
      <c r="B2404" s="1" t="n">
        <v>45205</v>
      </c>
      <c r="C2404" s="1" t="n">
        <v>45832</v>
      </c>
      <c r="D2404" t="inlineStr">
        <is>
          <t>VÄSTERBOTTENS LÄN</t>
        </is>
      </c>
      <c r="E2404" t="inlineStr">
        <is>
          <t>SKELLEFTEÅ</t>
        </is>
      </c>
      <c r="F2404" t="inlineStr">
        <is>
          <t>Holmen skog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48264-2023</t>
        </is>
      </c>
      <c r="B2405" s="1" t="n">
        <v>45205</v>
      </c>
      <c r="C2405" s="1" t="n">
        <v>45832</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48361-2023</t>
        </is>
      </c>
      <c r="B2406" s="1" t="n">
        <v>45205</v>
      </c>
      <c r="C2406" s="1" t="n">
        <v>45832</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49573-2023</t>
        </is>
      </c>
      <c r="B2407" s="1" t="n">
        <v>45205</v>
      </c>
      <c r="C2407" s="1" t="n">
        <v>45832</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49587-2023</t>
        </is>
      </c>
      <c r="B2408" s="1" t="n">
        <v>45206</v>
      </c>
      <c r="C2408" s="1" t="n">
        <v>45832</v>
      </c>
      <c r="D2408" t="inlineStr">
        <is>
          <t>VÄSTERBOTTENS LÄN</t>
        </is>
      </c>
      <c r="E2408" t="inlineStr">
        <is>
          <t>SKELLEFTEÅ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49594-2023</t>
        </is>
      </c>
      <c r="B2409" s="1" t="n">
        <v>45206</v>
      </c>
      <c r="C2409" s="1" t="n">
        <v>45832</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48454-2023</t>
        </is>
      </c>
      <c r="B2410" s="1" t="n">
        <v>45206</v>
      </c>
      <c r="C2410" s="1" t="n">
        <v>45832</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48501-2023</t>
        </is>
      </c>
      <c r="B2411" s="1" t="n">
        <v>45207</v>
      </c>
      <c r="C2411" s="1" t="n">
        <v>45832</v>
      </c>
      <c r="D2411" t="inlineStr">
        <is>
          <t>VÄSTERBOTTENS LÄN</t>
        </is>
      </c>
      <c r="E2411" t="inlineStr">
        <is>
          <t>SKELLEFTEÅ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48517-2023</t>
        </is>
      </c>
      <c r="B2412" s="1" t="n">
        <v>45208</v>
      </c>
      <c r="C2412" s="1" t="n">
        <v>45832</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48518-2023</t>
        </is>
      </c>
      <c r="B2413" s="1" t="n">
        <v>45208</v>
      </c>
      <c r="C2413" s="1" t="n">
        <v>45832</v>
      </c>
      <c r="D2413" t="inlineStr">
        <is>
          <t>VÄSTERBOTTENS LÄN</t>
        </is>
      </c>
      <c r="E2413" t="inlineStr">
        <is>
          <t>SKELLEFTEÅ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48573-2023</t>
        </is>
      </c>
      <c r="B2414" s="1" t="n">
        <v>45208</v>
      </c>
      <c r="C2414" s="1" t="n">
        <v>45832</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48516-2023</t>
        </is>
      </c>
      <c r="B2415" s="1" t="n">
        <v>45208</v>
      </c>
      <c r="C2415" s="1" t="n">
        <v>45832</v>
      </c>
      <c r="D2415" t="inlineStr">
        <is>
          <t>VÄSTERBOTTENS LÄN</t>
        </is>
      </c>
      <c r="E2415" t="inlineStr">
        <is>
          <t>SKELLEFTEÅ</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48802-2023</t>
        </is>
      </c>
      <c r="B2416" s="1" t="n">
        <v>45209</v>
      </c>
      <c r="C2416" s="1" t="n">
        <v>45832</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50185-2023</t>
        </is>
      </c>
      <c r="B2417" s="1" t="n">
        <v>45209</v>
      </c>
      <c r="C2417" s="1" t="n">
        <v>45832</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49161-2023</t>
        </is>
      </c>
      <c r="B2418" s="1" t="n">
        <v>45210</v>
      </c>
      <c r="C2418" s="1" t="n">
        <v>45832</v>
      </c>
      <c r="D2418" t="inlineStr">
        <is>
          <t>VÄSTERBOTTENS LÄN</t>
        </is>
      </c>
      <c r="E2418" t="inlineStr">
        <is>
          <t>SKELLEFTEÅ</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49130-2023</t>
        </is>
      </c>
      <c r="B2419" s="1" t="n">
        <v>45210</v>
      </c>
      <c r="C2419" s="1" t="n">
        <v>45832</v>
      </c>
      <c r="D2419" t="inlineStr">
        <is>
          <t>VÄSTERBOTTENS LÄN</t>
        </is>
      </c>
      <c r="E2419" t="inlineStr">
        <is>
          <t>SKELLEFTEÅ</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49055-2023</t>
        </is>
      </c>
      <c r="B2420" s="1" t="n">
        <v>45210</v>
      </c>
      <c r="C2420" s="1" t="n">
        <v>45832</v>
      </c>
      <c r="D2420" t="inlineStr">
        <is>
          <t>VÄSTERBOTTENS LÄN</t>
        </is>
      </c>
      <c r="E2420" t="inlineStr">
        <is>
          <t>SKELLEFTEÅ</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49241-2023</t>
        </is>
      </c>
      <c r="B2421" s="1" t="n">
        <v>45210</v>
      </c>
      <c r="C2421" s="1" t="n">
        <v>45832</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49243-2023</t>
        </is>
      </c>
      <c r="B2422" s="1" t="n">
        <v>45210</v>
      </c>
      <c r="C2422" s="1" t="n">
        <v>45832</v>
      </c>
      <c r="D2422" t="inlineStr">
        <is>
          <t>VÄSTERBOTTENS LÄN</t>
        </is>
      </c>
      <c r="E2422" t="inlineStr">
        <is>
          <t>SKELLEFTEÅ</t>
        </is>
      </c>
      <c r="F2422" t="inlineStr">
        <is>
          <t>Holmen skog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50378-2023</t>
        </is>
      </c>
      <c r="B2423" s="1" t="n">
        <v>45210</v>
      </c>
      <c r="C2423" s="1" t="n">
        <v>45832</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49283-2023</t>
        </is>
      </c>
      <c r="B2424" s="1" t="n">
        <v>45210</v>
      </c>
      <c r="C2424" s="1" t="n">
        <v>45832</v>
      </c>
      <c r="D2424" t="inlineStr">
        <is>
          <t>VÄSTERBOTTENS LÄN</t>
        </is>
      </c>
      <c r="E2424" t="inlineStr">
        <is>
          <t>SKELLEFTEÅ</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49688-2023</t>
        </is>
      </c>
      <c r="B2425" s="1" t="n">
        <v>45212</v>
      </c>
      <c r="C2425" s="1" t="n">
        <v>45832</v>
      </c>
      <c r="D2425" t="inlineStr">
        <is>
          <t>VÄSTERBOTTENS LÄN</t>
        </is>
      </c>
      <c r="E2425" t="inlineStr">
        <is>
          <t>SKELLEFTEÅ</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49730-2023</t>
        </is>
      </c>
      <c r="B2426" s="1" t="n">
        <v>45212</v>
      </c>
      <c r="C2426" s="1" t="n">
        <v>45832</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49728-2023</t>
        </is>
      </c>
      <c r="B2427" s="1" t="n">
        <v>45212</v>
      </c>
      <c r="C2427" s="1" t="n">
        <v>45832</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51342-2023</t>
        </is>
      </c>
      <c r="B2428" s="1" t="n">
        <v>45212</v>
      </c>
      <c r="C2428" s="1" t="n">
        <v>45832</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49901-2023</t>
        </is>
      </c>
      <c r="B2429" s="1" t="n">
        <v>45213</v>
      </c>
      <c r="C2429" s="1" t="n">
        <v>45832</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49900-2023</t>
        </is>
      </c>
      <c r="B2430" s="1" t="n">
        <v>45213</v>
      </c>
      <c r="C2430" s="1" t="n">
        <v>45832</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49949-2023</t>
        </is>
      </c>
      <c r="B2431" s="1" t="n">
        <v>45215</v>
      </c>
      <c r="C2431" s="1" t="n">
        <v>45832</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50081-2023</t>
        </is>
      </c>
      <c r="B2432" s="1" t="n">
        <v>45215</v>
      </c>
      <c r="C2432" s="1" t="n">
        <v>45832</v>
      </c>
      <c r="D2432" t="inlineStr">
        <is>
          <t>VÄSTERBOTTENS LÄN</t>
        </is>
      </c>
      <c r="E2432" t="inlineStr">
        <is>
          <t>SKELLEFTEÅ</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50108-2023</t>
        </is>
      </c>
      <c r="B2433" s="1" t="n">
        <v>45215</v>
      </c>
      <c r="C2433" s="1" t="n">
        <v>45832</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51590-2023</t>
        </is>
      </c>
      <c r="B2434" s="1" t="n">
        <v>45215</v>
      </c>
      <c r="C2434" s="1" t="n">
        <v>45832</v>
      </c>
      <c r="D2434" t="inlineStr">
        <is>
          <t>VÄSTERBOTTENS LÄN</t>
        </is>
      </c>
      <c r="E2434" t="inlineStr">
        <is>
          <t>SKELLEFTEÅ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51611-2023</t>
        </is>
      </c>
      <c r="B2435" s="1" t="n">
        <v>45215</v>
      </c>
      <c r="C2435" s="1" t="n">
        <v>45832</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51683-2023</t>
        </is>
      </c>
      <c r="B2436" s="1" t="n">
        <v>45215</v>
      </c>
      <c r="C2436" s="1" t="n">
        <v>45832</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45832</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50474-2023</t>
        </is>
      </c>
      <c r="B2438" s="1" t="n">
        <v>45217</v>
      </c>
      <c r="C2438" s="1" t="n">
        <v>45832</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50462-2023</t>
        </is>
      </c>
      <c r="B2439" s="1" t="n">
        <v>45216</v>
      </c>
      <c r="C2439" s="1" t="n">
        <v>45832</v>
      </c>
      <c r="D2439" t="inlineStr">
        <is>
          <t>VÄSTERBOTTENS LÄN</t>
        </is>
      </c>
      <c r="E2439" t="inlineStr">
        <is>
          <t>SKELLEFTEÅ</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50477-2023</t>
        </is>
      </c>
      <c r="B2440" s="1" t="n">
        <v>45217</v>
      </c>
      <c r="C2440" s="1" t="n">
        <v>45832</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50338-2023</t>
        </is>
      </c>
      <c r="B2441" s="1" t="n">
        <v>45216</v>
      </c>
      <c r="C2441" s="1" t="n">
        <v>45832</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52062-2023</t>
        </is>
      </c>
      <c r="B2442" s="1" t="n">
        <v>45216</v>
      </c>
      <c r="C2442" s="1" t="n">
        <v>45832</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52037-2023</t>
        </is>
      </c>
      <c r="B2443" s="1" t="n">
        <v>45216</v>
      </c>
      <c r="C2443" s="1" t="n">
        <v>45832</v>
      </c>
      <c r="D2443" t="inlineStr">
        <is>
          <t>VÄSTERBOTTENS LÄN</t>
        </is>
      </c>
      <c r="E2443" t="inlineStr">
        <is>
          <t>SKELLEFTEÅ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51926-2023</t>
        </is>
      </c>
      <c r="B2444" s="1" t="n">
        <v>45216</v>
      </c>
      <c r="C2444" s="1" t="n">
        <v>45832</v>
      </c>
      <c r="D2444" t="inlineStr">
        <is>
          <t>VÄSTERBOTTENS LÄN</t>
        </is>
      </c>
      <c r="E2444" t="inlineStr">
        <is>
          <t>SKELLEFTEÅ</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50475-2023</t>
        </is>
      </c>
      <c r="B2445" s="1" t="n">
        <v>45217</v>
      </c>
      <c r="C2445" s="1" t="n">
        <v>45832</v>
      </c>
      <c r="D2445" t="inlineStr">
        <is>
          <t>VÄSTERBOTTENS LÄN</t>
        </is>
      </c>
      <c r="E2445" t="inlineStr">
        <is>
          <t>SKELLEFTEÅ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51970-2023</t>
        </is>
      </c>
      <c r="B2446" s="1" t="n">
        <v>45216</v>
      </c>
      <c r="C2446" s="1" t="n">
        <v>45832</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51928-2023</t>
        </is>
      </c>
      <c r="B2447" s="1" t="n">
        <v>45216</v>
      </c>
      <c r="C2447" s="1" t="n">
        <v>45832</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51960-2023</t>
        </is>
      </c>
      <c r="B2448" s="1" t="n">
        <v>45216</v>
      </c>
      <c r="C2448" s="1" t="n">
        <v>45832</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51963-2023</t>
        </is>
      </c>
      <c r="B2449" s="1" t="n">
        <v>45216</v>
      </c>
      <c r="C2449" s="1" t="n">
        <v>45832</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50488-2023</t>
        </is>
      </c>
      <c r="B2450" s="1" t="n">
        <v>45217</v>
      </c>
      <c r="C2450" s="1" t="n">
        <v>45832</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50476-2023</t>
        </is>
      </c>
      <c r="B2451" s="1" t="n">
        <v>45217</v>
      </c>
      <c r="C2451" s="1" t="n">
        <v>45832</v>
      </c>
      <c r="D2451" t="inlineStr">
        <is>
          <t>VÄSTERBOTTENS LÄN</t>
        </is>
      </c>
      <c r="E2451" t="inlineStr">
        <is>
          <t>SKELLEFTEÅ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50464-2023</t>
        </is>
      </c>
      <c r="B2452" s="1" t="n">
        <v>45216</v>
      </c>
      <c r="C2452" s="1" t="n">
        <v>45832</v>
      </c>
      <c r="D2452" t="inlineStr">
        <is>
          <t>VÄSTERBOTTENS LÄN</t>
        </is>
      </c>
      <c r="E2452" t="inlineStr">
        <is>
          <t>SKELLEFTEÅ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50549-2023</t>
        </is>
      </c>
      <c r="B2453" s="1" t="n">
        <v>45217</v>
      </c>
      <c r="C2453" s="1" t="n">
        <v>45832</v>
      </c>
      <c r="D2453" t="inlineStr">
        <is>
          <t>VÄSTERBOTTENS LÄN</t>
        </is>
      </c>
      <c r="E2453" t="inlineStr">
        <is>
          <t>SKELLEFTEÅ</t>
        </is>
      </c>
      <c r="F2453" t="inlineStr">
        <is>
          <t>Holmen skog AB</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50821-2023</t>
        </is>
      </c>
      <c r="B2454" s="1" t="n">
        <v>45218</v>
      </c>
      <c r="C2454" s="1" t="n">
        <v>45832</v>
      </c>
      <c r="D2454" t="inlineStr">
        <is>
          <t>VÄSTERBOTTENS LÄN</t>
        </is>
      </c>
      <c r="E2454" t="inlineStr">
        <is>
          <t>SKELLEFTEÅ</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52228-2023</t>
        </is>
      </c>
      <c r="B2455" s="1" t="n">
        <v>45217</v>
      </c>
      <c r="C2455" s="1" t="n">
        <v>45832</v>
      </c>
      <c r="D2455" t="inlineStr">
        <is>
          <t>VÄSTERBOTTENS LÄN</t>
        </is>
      </c>
      <c r="E2455" t="inlineStr">
        <is>
          <t>SKELLEFTEÅ</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52305-2023</t>
        </is>
      </c>
      <c r="B2456" s="1" t="n">
        <v>45217</v>
      </c>
      <c r="C2456" s="1" t="n">
        <v>45832</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52300-2023</t>
        </is>
      </c>
      <c r="B2457" s="1" t="n">
        <v>45217</v>
      </c>
      <c r="C2457" s="1" t="n">
        <v>45832</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52287-2023</t>
        </is>
      </c>
      <c r="B2458" s="1" t="n">
        <v>45217</v>
      </c>
      <c r="C2458" s="1" t="n">
        <v>45832</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52239-2023</t>
        </is>
      </c>
      <c r="B2459" s="1" t="n">
        <v>45217</v>
      </c>
      <c r="C2459" s="1" t="n">
        <v>45832</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52792-2023</t>
        </is>
      </c>
      <c r="B2460" s="1" t="n">
        <v>45219</v>
      </c>
      <c r="C2460" s="1" t="n">
        <v>45832</v>
      </c>
      <c r="D2460" t="inlineStr">
        <is>
          <t>VÄSTERBOTTENS LÄN</t>
        </is>
      </c>
      <c r="E2460" t="inlineStr">
        <is>
          <t>SKELLEFTEÅ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52809-2023</t>
        </is>
      </c>
      <c r="B2461" s="1" t="n">
        <v>45219</v>
      </c>
      <c r="C2461" s="1" t="n">
        <v>45832</v>
      </c>
      <c r="D2461" t="inlineStr">
        <is>
          <t>VÄSTERBOTTENS LÄN</t>
        </is>
      </c>
      <c r="E2461" t="inlineStr">
        <is>
          <t>SKELLEFTEÅ</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51339-2023</t>
        </is>
      </c>
      <c r="B2462" s="1" t="n">
        <v>45219</v>
      </c>
      <c r="C2462" s="1" t="n">
        <v>45832</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51396-2023</t>
        </is>
      </c>
      <c r="B2463" s="1" t="n">
        <v>45219</v>
      </c>
      <c r="C2463" s="1" t="n">
        <v>45832</v>
      </c>
      <c r="D2463" t="inlineStr">
        <is>
          <t>VÄSTERBOTTENS LÄN</t>
        </is>
      </c>
      <c r="E2463" t="inlineStr">
        <is>
          <t>SKELLEFTEÅ</t>
        </is>
      </c>
      <c r="F2463" t="inlineStr">
        <is>
          <t>Holmen skog AB</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51418-2023</t>
        </is>
      </c>
      <c r="B2464" s="1" t="n">
        <v>45219</v>
      </c>
      <c r="C2464" s="1" t="n">
        <v>45832</v>
      </c>
      <c r="D2464" t="inlineStr">
        <is>
          <t>VÄSTERBOTTENS LÄN</t>
        </is>
      </c>
      <c r="E2464" t="inlineStr">
        <is>
          <t>SKELLEFTEÅ</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51455-2023</t>
        </is>
      </c>
      <c r="B2465" s="1" t="n">
        <v>45221</v>
      </c>
      <c r="C2465" s="1" t="n">
        <v>45832</v>
      </c>
      <c r="D2465" t="inlineStr">
        <is>
          <t>VÄSTERBOTTENS LÄN</t>
        </is>
      </c>
      <c r="E2465" t="inlineStr">
        <is>
          <t>SKELLEFTEÅ</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51470-2023</t>
        </is>
      </c>
      <c r="B2466" s="1" t="n">
        <v>45221</v>
      </c>
      <c r="C2466" s="1" t="n">
        <v>45832</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51478-2023</t>
        </is>
      </c>
      <c r="B2467" s="1" t="n">
        <v>45221</v>
      </c>
      <c r="C2467" s="1" t="n">
        <v>45832</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51526-2023</t>
        </is>
      </c>
      <c r="B2468" s="1" t="n">
        <v>45222</v>
      </c>
      <c r="C2468" s="1" t="n">
        <v>45832</v>
      </c>
      <c r="D2468" t="inlineStr">
        <is>
          <t>VÄSTERBOTTENS LÄN</t>
        </is>
      </c>
      <c r="E2468" t="inlineStr">
        <is>
          <t>SKELLEFTEÅ</t>
        </is>
      </c>
      <c r="F2468" t="inlineStr">
        <is>
          <t>Holmen skog AB</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51644-2023</t>
        </is>
      </c>
      <c r="B2469" s="1" t="n">
        <v>45222</v>
      </c>
      <c r="C2469" s="1" t="n">
        <v>45832</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51703-2023</t>
        </is>
      </c>
      <c r="B2470" s="1" t="n">
        <v>45222</v>
      </c>
      <c r="C2470" s="1" t="n">
        <v>45832</v>
      </c>
      <c r="D2470" t="inlineStr">
        <is>
          <t>VÄSTERBOTTENS LÄN</t>
        </is>
      </c>
      <c r="E2470" t="inlineStr">
        <is>
          <t>SKELLEFTEÅ</t>
        </is>
      </c>
      <c r="F2470" t="inlineStr">
        <is>
          <t>Kommuner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51667-2023</t>
        </is>
      </c>
      <c r="B2471" s="1" t="n">
        <v>45222</v>
      </c>
      <c r="C2471" s="1" t="n">
        <v>45832</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53215-2023</t>
        </is>
      </c>
      <c r="B2472" s="1" t="n">
        <v>45222</v>
      </c>
      <c r="C2472" s="1" t="n">
        <v>45832</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51502-2023</t>
        </is>
      </c>
      <c r="B2473" s="1" t="n">
        <v>45222</v>
      </c>
      <c r="C2473" s="1" t="n">
        <v>45832</v>
      </c>
      <c r="D2473" t="inlineStr">
        <is>
          <t>VÄSTERBOTTENS LÄN</t>
        </is>
      </c>
      <c r="E2473" t="inlineStr">
        <is>
          <t>SKELLEFTEÅ</t>
        </is>
      </c>
      <c r="F2473" t="inlineStr">
        <is>
          <t>Kommuner</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51507-2023</t>
        </is>
      </c>
      <c r="B2474" s="1" t="n">
        <v>45222</v>
      </c>
      <c r="C2474" s="1" t="n">
        <v>45832</v>
      </c>
      <c r="D2474" t="inlineStr">
        <is>
          <t>VÄSTERBOTTENS LÄN</t>
        </is>
      </c>
      <c r="E2474" t="inlineStr">
        <is>
          <t>SKELLEFTEÅ</t>
        </is>
      </c>
      <c r="F2474" t="inlineStr">
        <is>
          <t>Kommuner</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52107-2023</t>
        </is>
      </c>
      <c r="B2475" s="1" t="n">
        <v>45224</v>
      </c>
      <c r="C2475" s="1" t="n">
        <v>45832</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52007-2023</t>
        </is>
      </c>
      <c r="B2476" s="1" t="n">
        <v>45223</v>
      </c>
      <c r="C2476" s="1" t="n">
        <v>45832</v>
      </c>
      <c r="D2476" t="inlineStr">
        <is>
          <t>VÄSTERBOTTENS LÄN</t>
        </is>
      </c>
      <c r="E2476" t="inlineStr">
        <is>
          <t>SKELLEFTEÅ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52082-2023</t>
        </is>
      </c>
      <c r="B2477" s="1" t="n">
        <v>45223</v>
      </c>
      <c r="C2477" s="1" t="n">
        <v>45832</v>
      </c>
      <c r="D2477" t="inlineStr">
        <is>
          <t>VÄSTERBOTTENS LÄN</t>
        </is>
      </c>
      <c r="E2477" t="inlineStr">
        <is>
          <t>SKELLEFTEÅ</t>
        </is>
      </c>
      <c r="F2477" t="inlineStr">
        <is>
          <t>Sveaskog</t>
        </is>
      </c>
      <c r="G2477" t="n">
        <v>15.5</v>
      </c>
      <c r="H2477" t="n">
        <v>0</v>
      </c>
      <c r="I2477" t="n">
        <v>0</v>
      </c>
      <c r="J2477" t="n">
        <v>0</v>
      </c>
      <c r="K2477" t="n">
        <v>0</v>
      </c>
      <c r="L2477" t="n">
        <v>0</v>
      </c>
      <c r="M2477" t="n">
        <v>0</v>
      </c>
      <c r="N2477" t="n">
        <v>0</v>
      </c>
      <c r="O2477" t="n">
        <v>0</v>
      </c>
      <c r="P2477" t="n">
        <v>0</v>
      </c>
      <c r="Q2477" t="n">
        <v>0</v>
      </c>
      <c r="R2477" s="2" t="inlineStr"/>
    </row>
    <row r="2478" ht="15" customHeight="1">
      <c r="A2478" t="inlineStr">
        <is>
          <t>A 52106-2023</t>
        </is>
      </c>
      <c r="B2478" s="1" t="n">
        <v>45224</v>
      </c>
      <c r="C2478" s="1" t="n">
        <v>45832</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51958-2023</t>
        </is>
      </c>
      <c r="B2479" s="1" t="n">
        <v>45223</v>
      </c>
      <c r="C2479" s="1" t="n">
        <v>45832</v>
      </c>
      <c r="D2479" t="inlineStr">
        <is>
          <t>VÄSTERBOTTENS LÄN</t>
        </is>
      </c>
      <c r="E2479" t="inlineStr">
        <is>
          <t>SKELLEFTEÅ</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51969-2023</t>
        </is>
      </c>
      <c r="B2480" s="1" t="n">
        <v>45223</v>
      </c>
      <c r="C2480" s="1" t="n">
        <v>45832</v>
      </c>
      <c r="D2480" t="inlineStr">
        <is>
          <t>VÄSTERBOTTENS LÄN</t>
        </is>
      </c>
      <c r="E2480" t="inlineStr">
        <is>
          <t>SKELLEFTEÅ</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52105-2023</t>
        </is>
      </c>
      <c r="B2481" s="1" t="n">
        <v>45224</v>
      </c>
      <c r="C2481" s="1" t="n">
        <v>45832</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53500-2023</t>
        </is>
      </c>
      <c r="B2482" s="1" t="n">
        <v>45223</v>
      </c>
      <c r="C2482" s="1" t="n">
        <v>45832</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52364-2023</t>
        </is>
      </c>
      <c r="B2483" s="1" t="n">
        <v>45224</v>
      </c>
      <c r="C2483" s="1" t="n">
        <v>45832</v>
      </c>
      <c r="D2483" t="inlineStr">
        <is>
          <t>VÄSTERBOTTENS LÄN</t>
        </is>
      </c>
      <c r="E2483" t="inlineStr">
        <is>
          <t>SKELLEFTEÅ</t>
        </is>
      </c>
      <c r="F2483" t="inlineStr">
        <is>
          <t>Sveaskog</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52185-2023</t>
        </is>
      </c>
      <c r="B2484" s="1" t="n">
        <v>45224</v>
      </c>
      <c r="C2484" s="1" t="n">
        <v>45832</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52203-2023</t>
        </is>
      </c>
      <c r="B2485" s="1" t="n">
        <v>45224</v>
      </c>
      <c r="C2485" s="1" t="n">
        <v>45832</v>
      </c>
      <c r="D2485" t="inlineStr">
        <is>
          <t>VÄSTERBOTTENS LÄN</t>
        </is>
      </c>
      <c r="E2485" t="inlineStr">
        <is>
          <t>SKELLEFTEÅ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53656-2023</t>
        </is>
      </c>
      <c r="B2486" s="1" t="n">
        <v>45224</v>
      </c>
      <c r="C2486" s="1" t="n">
        <v>45832</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53680-2023</t>
        </is>
      </c>
      <c r="B2487" s="1" t="n">
        <v>45224</v>
      </c>
      <c r="C2487" s="1" t="n">
        <v>45832</v>
      </c>
      <c r="D2487" t="inlineStr">
        <is>
          <t>VÄSTERBOTTENS LÄN</t>
        </is>
      </c>
      <c r="E2487" t="inlineStr">
        <is>
          <t>SKELLEFTEÅ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52384-2023</t>
        </is>
      </c>
      <c r="B2488" s="1" t="n">
        <v>45224</v>
      </c>
      <c r="C2488" s="1" t="n">
        <v>45832</v>
      </c>
      <c r="D2488" t="inlineStr">
        <is>
          <t>VÄSTERBOTTENS LÄN</t>
        </is>
      </c>
      <c r="E2488" t="inlineStr">
        <is>
          <t>SKELLEFTEÅ</t>
        </is>
      </c>
      <c r="F2488" t="inlineStr">
        <is>
          <t>Sveaskog</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52419-2023</t>
        </is>
      </c>
      <c r="B2489" s="1" t="n">
        <v>45225</v>
      </c>
      <c r="C2489" s="1" t="n">
        <v>45832</v>
      </c>
      <c r="D2489" t="inlineStr">
        <is>
          <t>VÄSTERBOTTENS LÄN</t>
        </is>
      </c>
      <c r="E2489" t="inlineStr">
        <is>
          <t>SKELLEFTEÅ</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52425-2023</t>
        </is>
      </c>
      <c r="B2490" s="1" t="n">
        <v>45225</v>
      </c>
      <c r="C2490" s="1" t="n">
        <v>45832</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52444-2023</t>
        </is>
      </c>
      <c r="B2491" s="1" t="n">
        <v>45225</v>
      </c>
      <c r="C2491" s="1" t="n">
        <v>45832</v>
      </c>
      <c r="D2491" t="inlineStr">
        <is>
          <t>VÄSTERBOTTENS LÄN</t>
        </is>
      </c>
      <c r="E2491" t="inlineStr">
        <is>
          <t>SKELLEFTEÅ</t>
        </is>
      </c>
      <c r="F2491" t="inlineStr">
        <is>
          <t>Sveaskog</t>
        </is>
      </c>
      <c r="G2491" t="n">
        <v>28.5</v>
      </c>
      <c r="H2491" t="n">
        <v>0</v>
      </c>
      <c r="I2491" t="n">
        <v>0</v>
      </c>
      <c r="J2491" t="n">
        <v>0</v>
      </c>
      <c r="K2491" t="n">
        <v>0</v>
      </c>
      <c r="L2491" t="n">
        <v>0</v>
      </c>
      <c r="M2491" t="n">
        <v>0</v>
      </c>
      <c r="N2491" t="n">
        <v>0</v>
      </c>
      <c r="O2491" t="n">
        <v>0</v>
      </c>
      <c r="P2491" t="n">
        <v>0</v>
      </c>
      <c r="Q2491" t="n">
        <v>0</v>
      </c>
      <c r="R2491" s="2" t="inlineStr"/>
    </row>
    <row r="2492" ht="15" customHeight="1">
      <c r="A2492" t="inlineStr">
        <is>
          <t>A 52441-2023</t>
        </is>
      </c>
      <c r="B2492" s="1" t="n">
        <v>45225</v>
      </c>
      <c r="C2492" s="1" t="n">
        <v>45832</v>
      </c>
      <c r="D2492" t="inlineStr">
        <is>
          <t>VÄSTERBOTTENS LÄN</t>
        </is>
      </c>
      <c r="E2492" t="inlineStr">
        <is>
          <t>SKELLEFTEÅ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52489-2023</t>
        </is>
      </c>
      <c r="B2493" s="1" t="n">
        <v>45225</v>
      </c>
      <c r="C2493" s="1" t="n">
        <v>45832</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52493-2023</t>
        </is>
      </c>
      <c r="B2494" s="1" t="n">
        <v>45225</v>
      </c>
      <c r="C2494" s="1" t="n">
        <v>45832</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52442-2023</t>
        </is>
      </c>
      <c r="B2495" s="1" t="n">
        <v>45225</v>
      </c>
      <c r="C2495" s="1" t="n">
        <v>45832</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52447-2023</t>
        </is>
      </c>
      <c r="B2496" s="1" t="n">
        <v>45225</v>
      </c>
      <c r="C2496" s="1" t="n">
        <v>45832</v>
      </c>
      <c r="D2496" t="inlineStr">
        <is>
          <t>VÄSTERBOTTENS LÄN</t>
        </is>
      </c>
      <c r="E2496" t="inlineStr">
        <is>
          <t>SKELLEFTEÅ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52686-2023</t>
        </is>
      </c>
      <c r="B2497" s="1" t="n">
        <v>45225</v>
      </c>
      <c r="C2497" s="1" t="n">
        <v>45832</v>
      </c>
      <c r="D2497" t="inlineStr">
        <is>
          <t>VÄSTERBOTTENS LÄN</t>
        </is>
      </c>
      <c r="E2497" t="inlineStr">
        <is>
          <t>SKELLEFTEÅ</t>
        </is>
      </c>
      <c r="F2497" t="inlineStr">
        <is>
          <t>Sveaskog</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54399-2023</t>
        </is>
      </c>
      <c r="B2498" s="1" t="n">
        <v>45226</v>
      </c>
      <c r="C2498" s="1" t="n">
        <v>45832</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54394-2023</t>
        </is>
      </c>
      <c r="B2499" s="1" t="n">
        <v>45226</v>
      </c>
      <c r="C2499" s="1" t="n">
        <v>45832</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54411-2023</t>
        </is>
      </c>
      <c r="B2500" s="1" t="n">
        <v>45226</v>
      </c>
      <c r="C2500" s="1" t="n">
        <v>45832</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54449-2023</t>
        </is>
      </c>
      <c r="B2501" s="1" t="n">
        <v>45226</v>
      </c>
      <c r="C2501" s="1" t="n">
        <v>45832</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54469-2023</t>
        </is>
      </c>
      <c r="B2502" s="1" t="n">
        <v>45226</v>
      </c>
      <c r="C2502" s="1" t="n">
        <v>45832</v>
      </c>
      <c r="D2502" t="inlineStr">
        <is>
          <t>VÄSTERBOTTENS LÄN</t>
        </is>
      </c>
      <c r="E2502" t="inlineStr">
        <is>
          <t>SKELLEFTEÅ</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54497-2023</t>
        </is>
      </c>
      <c r="B2503" s="1" t="n">
        <v>45226</v>
      </c>
      <c r="C2503" s="1" t="n">
        <v>45832</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54499-2023</t>
        </is>
      </c>
      <c r="B2504" s="1" t="n">
        <v>45226</v>
      </c>
      <c r="C2504" s="1" t="n">
        <v>45832</v>
      </c>
      <c r="D2504" t="inlineStr">
        <is>
          <t>VÄSTERBOTTENS LÄN</t>
        </is>
      </c>
      <c r="E2504" t="inlineStr">
        <is>
          <t>SKELLEFTEÅ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54401-2023</t>
        </is>
      </c>
      <c r="B2505" s="1" t="n">
        <v>45226</v>
      </c>
      <c r="C2505" s="1" t="n">
        <v>45832</v>
      </c>
      <c r="D2505" t="inlineStr">
        <is>
          <t>VÄSTERBOTTENS LÄN</t>
        </is>
      </c>
      <c r="E2505" t="inlineStr">
        <is>
          <t>SKELLEFTEÅ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52993-2023</t>
        </is>
      </c>
      <c r="B2506" s="1" t="n">
        <v>45226</v>
      </c>
      <c r="C2506" s="1" t="n">
        <v>45832</v>
      </c>
      <c r="D2506" t="inlineStr">
        <is>
          <t>VÄSTERBOTTENS LÄN</t>
        </is>
      </c>
      <c r="E2506" t="inlineStr">
        <is>
          <t>SKELLEFTEÅ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52829-2023</t>
        </is>
      </c>
      <c r="B2507" s="1" t="n">
        <v>45226</v>
      </c>
      <c r="C2507" s="1" t="n">
        <v>45832</v>
      </c>
      <c r="D2507" t="inlineStr">
        <is>
          <t>VÄSTERBOTTENS LÄN</t>
        </is>
      </c>
      <c r="E2507" t="inlineStr">
        <is>
          <t>SKELLEFTEÅ</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53028-2023</t>
        </is>
      </c>
      <c r="B2508" s="1" t="n">
        <v>45226</v>
      </c>
      <c r="C2508" s="1" t="n">
        <v>45832</v>
      </c>
      <c r="D2508" t="inlineStr">
        <is>
          <t>VÄSTERBOTTENS LÄN</t>
        </is>
      </c>
      <c r="E2508" t="inlineStr">
        <is>
          <t>SKELLEFTEÅ</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53020-2023</t>
        </is>
      </c>
      <c r="B2509" s="1" t="n">
        <v>45226</v>
      </c>
      <c r="C2509" s="1" t="n">
        <v>45832</v>
      </c>
      <c r="D2509" t="inlineStr">
        <is>
          <t>VÄSTERBOTTENS LÄN</t>
        </is>
      </c>
      <c r="E2509" t="inlineStr">
        <is>
          <t>SKELLEFTEÅ</t>
        </is>
      </c>
      <c r="F2509" t="inlineStr">
        <is>
          <t>Sveaskog</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53183-2023</t>
        </is>
      </c>
      <c r="B2510" s="1" t="n">
        <v>45229</v>
      </c>
      <c r="C2510" s="1" t="n">
        <v>45832</v>
      </c>
      <c r="D2510" t="inlineStr">
        <is>
          <t>VÄSTERBOTTENS LÄN</t>
        </is>
      </c>
      <c r="E2510" t="inlineStr">
        <is>
          <t>SKELLEFTEÅ</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53311-2023</t>
        </is>
      </c>
      <c r="B2511" s="1" t="n">
        <v>45229</v>
      </c>
      <c r="C2511" s="1" t="n">
        <v>45832</v>
      </c>
      <c r="D2511" t="inlineStr">
        <is>
          <t>VÄSTERBOTTENS LÄN</t>
        </is>
      </c>
      <c r="E2511" t="inlineStr">
        <is>
          <t>SKELLEFTEÅ</t>
        </is>
      </c>
      <c r="F2511" t="inlineStr">
        <is>
          <t>Holmen skog AB</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53255-2023</t>
        </is>
      </c>
      <c r="B2512" s="1" t="n">
        <v>45229</v>
      </c>
      <c r="C2512" s="1" t="n">
        <v>45832</v>
      </c>
      <c r="D2512" t="inlineStr">
        <is>
          <t>VÄSTERBOTTENS LÄN</t>
        </is>
      </c>
      <c r="E2512" t="inlineStr">
        <is>
          <t>SKELLEFTEÅ</t>
        </is>
      </c>
      <c r="F2512" t="inlineStr">
        <is>
          <t>Sveaskog</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53426-2023</t>
        </is>
      </c>
      <c r="B2513" s="1" t="n">
        <v>45229</v>
      </c>
      <c r="C2513" s="1" t="n">
        <v>45832</v>
      </c>
      <c r="D2513" t="inlineStr">
        <is>
          <t>VÄSTERBOTTENS LÄN</t>
        </is>
      </c>
      <c r="E2513" t="inlineStr">
        <is>
          <t>SKELLEFTEÅ</t>
        </is>
      </c>
      <c r="F2513" t="inlineStr">
        <is>
          <t>Holmen skog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55077-2023</t>
        </is>
      </c>
      <c r="B2514" s="1" t="n">
        <v>45230</v>
      </c>
      <c r="C2514" s="1" t="n">
        <v>45832</v>
      </c>
      <c r="D2514" t="inlineStr">
        <is>
          <t>VÄSTERBOTTENS LÄN</t>
        </is>
      </c>
      <c r="E2514" t="inlineStr">
        <is>
          <t>SKELLEFTEÅ</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55081-2023</t>
        </is>
      </c>
      <c r="B2515" s="1" t="n">
        <v>45230</v>
      </c>
      <c r="C2515" s="1" t="n">
        <v>45832</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55409-2023</t>
        </is>
      </c>
      <c r="B2516" s="1" t="n">
        <v>45231</v>
      </c>
      <c r="C2516" s="1" t="n">
        <v>45832</v>
      </c>
      <c r="D2516" t="inlineStr">
        <is>
          <t>VÄSTERBOTTENS LÄN</t>
        </is>
      </c>
      <c r="E2516" t="inlineStr">
        <is>
          <t>SKELLEFTEÅ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55414-2023</t>
        </is>
      </c>
      <c r="B2517" s="1" t="n">
        <v>45231</v>
      </c>
      <c r="C2517" s="1" t="n">
        <v>45832</v>
      </c>
      <c r="D2517" t="inlineStr">
        <is>
          <t>VÄSTERBOTTENS LÄN</t>
        </is>
      </c>
      <c r="E2517" t="inlineStr">
        <is>
          <t>SKELLEFTEÅ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45832</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54024-2023</t>
        </is>
      </c>
      <c r="B2519" s="1" t="n">
        <v>45231</v>
      </c>
      <c r="C2519" s="1" t="n">
        <v>45832</v>
      </c>
      <c r="D2519" t="inlineStr">
        <is>
          <t>VÄSTERBOTTENS LÄN</t>
        </is>
      </c>
      <c r="E2519" t="inlineStr">
        <is>
          <t>SKELLEFTEÅ</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55413-2023</t>
        </is>
      </c>
      <c r="B2520" s="1" t="n">
        <v>45231</v>
      </c>
      <c r="C2520" s="1" t="n">
        <v>45832</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54087-2023</t>
        </is>
      </c>
      <c r="B2521" s="1" t="n">
        <v>45232</v>
      </c>
      <c r="C2521" s="1" t="n">
        <v>45832</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54111-2023</t>
        </is>
      </c>
      <c r="B2522" s="1" t="n">
        <v>45232</v>
      </c>
      <c r="C2522" s="1" t="n">
        <v>45832</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54113-2023</t>
        </is>
      </c>
      <c r="B2523" s="1" t="n">
        <v>45232</v>
      </c>
      <c r="C2523" s="1" t="n">
        <v>45832</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55783-2023</t>
        </is>
      </c>
      <c r="B2524" s="1" t="n">
        <v>45232</v>
      </c>
      <c r="C2524" s="1" t="n">
        <v>45832</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54596-2023</t>
        </is>
      </c>
      <c r="B2525" s="1" t="n">
        <v>45233</v>
      </c>
      <c r="C2525" s="1" t="n">
        <v>45832</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54476-2023</t>
        </is>
      </c>
      <c r="B2526" s="1" t="n">
        <v>45233</v>
      </c>
      <c r="C2526" s="1" t="n">
        <v>45832</v>
      </c>
      <c r="D2526" t="inlineStr">
        <is>
          <t>VÄSTERBOTTENS LÄN</t>
        </is>
      </c>
      <c r="E2526" t="inlineStr">
        <is>
          <t>SKELLEFTEÅ</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54361-2023</t>
        </is>
      </c>
      <c r="B2527" s="1" t="n">
        <v>45233</v>
      </c>
      <c r="C2527" s="1" t="n">
        <v>45832</v>
      </c>
      <c r="D2527" t="inlineStr">
        <is>
          <t>VÄSTERBOTTENS LÄN</t>
        </is>
      </c>
      <c r="E2527" t="inlineStr">
        <is>
          <t>SKELLEFTEÅ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56114-2023</t>
        </is>
      </c>
      <c r="B2528" s="1" t="n">
        <v>45235</v>
      </c>
      <c r="C2528" s="1" t="n">
        <v>45832</v>
      </c>
      <c r="D2528" t="inlineStr">
        <is>
          <t>VÄSTERBOTTENS LÄN</t>
        </is>
      </c>
      <c r="E2528" t="inlineStr">
        <is>
          <t>SKELLEFTEÅ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56111-2023</t>
        </is>
      </c>
      <c r="B2529" s="1" t="n">
        <v>45235</v>
      </c>
      <c r="C2529" s="1" t="n">
        <v>45832</v>
      </c>
      <c r="D2529" t="inlineStr">
        <is>
          <t>VÄSTERBOTTENS LÄN</t>
        </is>
      </c>
      <c r="E2529" t="inlineStr">
        <is>
          <t>SKELLEFTEÅ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56108-2023</t>
        </is>
      </c>
      <c r="B2530" s="1" t="n">
        <v>45235</v>
      </c>
      <c r="C2530" s="1" t="n">
        <v>45832</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56104-2023</t>
        </is>
      </c>
      <c r="B2531" s="1" t="n">
        <v>45235</v>
      </c>
      <c r="C2531" s="1" t="n">
        <v>45832</v>
      </c>
      <c r="D2531" t="inlineStr">
        <is>
          <t>VÄSTERBOTTENS LÄN</t>
        </is>
      </c>
      <c r="E2531" t="inlineStr">
        <is>
          <t>SKELLEFTEÅ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54813-2023</t>
        </is>
      </c>
      <c r="B2532" s="1" t="n">
        <v>45236</v>
      </c>
      <c r="C2532" s="1" t="n">
        <v>45832</v>
      </c>
      <c r="D2532" t="inlineStr">
        <is>
          <t>VÄSTERBOTTENS LÄN</t>
        </is>
      </c>
      <c r="E2532" t="inlineStr">
        <is>
          <t>SKELLEFTEÅ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45832</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56185-2023</t>
        </is>
      </c>
      <c r="B2534" s="1" t="n">
        <v>45236</v>
      </c>
      <c r="C2534" s="1" t="n">
        <v>45832</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54700-2023</t>
        </is>
      </c>
      <c r="B2535" s="1" t="n">
        <v>45236</v>
      </c>
      <c r="C2535" s="1" t="n">
        <v>45832</v>
      </c>
      <c r="D2535" t="inlineStr">
        <is>
          <t>VÄSTERBOTTENS LÄN</t>
        </is>
      </c>
      <c r="E2535" t="inlineStr">
        <is>
          <t>SKELLEFTEÅ</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56323-2023</t>
        </is>
      </c>
      <c r="B2536" s="1" t="n">
        <v>45236</v>
      </c>
      <c r="C2536" s="1" t="n">
        <v>45832</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54811-2023</t>
        </is>
      </c>
      <c r="B2537" s="1" t="n">
        <v>45236</v>
      </c>
      <c r="C2537" s="1" t="n">
        <v>45832</v>
      </c>
      <c r="D2537" t="inlineStr">
        <is>
          <t>VÄSTERBOTTENS LÄN</t>
        </is>
      </c>
      <c r="E2537" t="inlineStr">
        <is>
          <t>SKELLEFTEÅ</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55095-2023</t>
        </is>
      </c>
      <c r="B2538" s="1" t="n">
        <v>45237</v>
      </c>
      <c r="C2538" s="1" t="n">
        <v>45832</v>
      </c>
      <c r="D2538" t="inlineStr">
        <is>
          <t>VÄSTERBOTTENS LÄN</t>
        </is>
      </c>
      <c r="E2538" t="inlineStr">
        <is>
          <t>SKELLEFTEÅ</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56404-2023</t>
        </is>
      </c>
      <c r="B2539" s="1" t="n">
        <v>45237</v>
      </c>
      <c r="C2539" s="1" t="n">
        <v>45832</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55528-2023</t>
        </is>
      </c>
      <c r="B2540" s="1" t="n">
        <v>45238</v>
      </c>
      <c r="C2540" s="1" t="n">
        <v>45832</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55613-2023</t>
        </is>
      </c>
      <c r="B2541" s="1" t="n">
        <v>45238</v>
      </c>
      <c r="C2541" s="1" t="n">
        <v>45832</v>
      </c>
      <c r="D2541" t="inlineStr">
        <is>
          <t>VÄSTERBOTTENS LÄN</t>
        </is>
      </c>
      <c r="E2541" t="inlineStr">
        <is>
          <t>SKELLEFTEÅ</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55532-2023</t>
        </is>
      </c>
      <c r="B2542" s="1" t="n">
        <v>45238</v>
      </c>
      <c r="C2542" s="1" t="n">
        <v>45832</v>
      </c>
      <c r="D2542" t="inlineStr">
        <is>
          <t>VÄSTERBOTTENS LÄN</t>
        </is>
      </c>
      <c r="E2542" t="inlineStr">
        <is>
          <t>SKELLEFTEÅ</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56509-2023</t>
        </is>
      </c>
      <c r="B2543" s="1" t="n">
        <v>45238</v>
      </c>
      <c r="C2543" s="1" t="n">
        <v>45832</v>
      </c>
      <c r="D2543" t="inlineStr">
        <is>
          <t>VÄSTERBOTTENS LÄN</t>
        </is>
      </c>
      <c r="E2543" t="inlineStr">
        <is>
          <t>SKELLEFTEÅ</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56528-2023</t>
        </is>
      </c>
      <c r="B2544" s="1" t="n">
        <v>45238</v>
      </c>
      <c r="C2544" s="1" t="n">
        <v>45832</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55739-2023</t>
        </is>
      </c>
      <c r="B2545" s="1" t="n">
        <v>45239</v>
      </c>
      <c r="C2545" s="1" t="n">
        <v>45832</v>
      </c>
      <c r="D2545" t="inlineStr">
        <is>
          <t>VÄSTERBOTTENS LÄN</t>
        </is>
      </c>
      <c r="E2545" t="inlineStr">
        <is>
          <t>SKELLEFTEÅ</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55718-2023</t>
        </is>
      </c>
      <c r="B2546" s="1" t="n">
        <v>45239</v>
      </c>
      <c r="C2546" s="1" t="n">
        <v>45832</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55730-2023</t>
        </is>
      </c>
      <c r="B2547" s="1" t="n">
        <v>45239</v>
      </c>
      <c r="C2547" s="1" t="n">
        <v>45832</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55744-2023</t>
        </is>
      </c>
      <c r="B2548" s="1" t="n">
        <v>45239</v>
      </c>
      <c r="C2548" s="1" t="n">
        <v>45832</v>
      </c>
      <c r="D2548" t="inlineStr">
        <is>
          <t>VÄSTERBOTTENS LÄN</t>
        </is>
      </c>
      <c r="E2548" t="inlineStr">
        <is>
          <t>SKELLEFTEÅ</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55873-2023</t>
        </is>
      </c>
      <c r="B2549" s="1" t="n">
        <v>45239</v>
      </c>
      <c r="C2549" s="1" t="n">
        <v>45832</v>
      </c>
      <c r="D2549" t="inlineStr">
        <is>
          <t>VÄSTERBOTTENS LÄN</t>
        </is>
      </c>
      <c r="E2549" t="inlineStr">
        <is>
          <t>SKELLEFTEÅ</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55750-2023</t>
        </is>
      </c>
      <c r="B2550" s="1" t="n">
        <v>45239</v>
      </c>
      <c r="C2550" s="1" t="n">
        <v>45832</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55895-2023</t>
        </is>
      </c>
      <c r="B2551" s="1" t="n">
        <v>45239</v>
      </c>
      <c r="C2551" s="1" t="n">
        <v>45832</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55907-2023</t>
        </is>
      </c>
      <c r="B2552" s="1" t="n">
        <v>45239</v>
      </c>
      <c r="C2552" s="1" t="n">
        <v>45832</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57440-2023</t>
        </is>
      </c>
      <c r="B2553" s="1" t="n">
        <v>45240</v>
      </c>
      <c r="C2553" s="1" t="n">
        <v>45832</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56265-2023</t>
        </is>
      </c>
      <c r="B2554" s="1" t="n">
        <v>45240</v>
      </c>
      <c r="C2554" s="1" t="n">
        <v>45832</v>
      </c>
      <c r="D2554" t="inlineStr">
        <is>
          <t>VÄSTERBOTTENS LÄN</t>
        </is>
      </c>
      <c r="E2554" t="inlineStr">
        <is>
          <t>SKELLEFTEÅ</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56153-2023</t>
        </is>
      </c>
      <c r="B2555" s="1" t="n">
        <v>45240</v>
      </c>
      <c r="C2555" s="1" t="n">
        <v>45832</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56264-2023</t>
        </is>
      </c>
      <c r="B2556" s="1" t="n">
        <v>45240</v>
      </c>
      <c r="C2556" s="1" t="n">
        <v>45832</v>
      </c>
      <c r="D2556" t="inlineStr">
        <is>
          <t>VÄSTERBOTTENS LÄN</t>
        </is>
      </c>
      <c r="E2556" t="inlineStr">
        <is>
          <t>SKELLEFTEÅ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56163-2023</t>
        </is>
      </c>
      <c r="B2557" s="1" t="n">
        <v>45240</v>
      </c>
      <c r="C2557" s="1" t="n">
        <v>45832</v>
      </c>
      <c r="D2557" t="inlineStr">
        <is>
          <t>VÄSTERBOTTENS LÄN</t>
        </is>
      </c>
      <c r="E2557" t="inlineStr">
        <is>
          <t>SKELLEFTEÅ</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57437-2023</t>
        </is>
      </c>
      <c r="B2558" s="1" t="n">
        <v>45240</v>
      </c>
      <c r="C2558" s="1" t="n">
        <v>45832</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56263-2023</t>
        </is>
      </c>
      <c r="B2559" s="1" t="n">
        <v>45240</v>
      </c>
      <c r="C2559" s="1" t="n">
        <v>45832</v>
      </c>
      <c r="D2559" t="inlineStr">
        <is>
          <t>VÄSTERBOTTENS LÄN</t>
        </is>
      </c>
      <c r="E2559" t="inlineStr">
        <is>
          <t>SKELLEFTEÅ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56203-2023</t>
        </is>
      </c>
      <c r="B2560" s="1" t="n">
        <v>45240</v>
      </c>
      <c r="C2560" s="1" t="n">
        <v>45832</v>
      </c>
      <c r="D2560" t="inlineStr">
        <is>
          <t>VÄSTERBOTTENS LÄN</t>
        </is>
      </c>
      <c r="E2560" t="inlineStr">
        <is>
          <t>SKELLEFTEÅ</t>
        </is>
      </c>
      <c r="F2560" t="inlineStr">
        <is>
          <t>Holmen skog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55986-2023</t>
        </is>
      </c>
      <c r="B2561" s="1" t="n">
        <v>45240</v>
      </c>
      <c r="C2561" s="1" t="n">
        <v>45832</v>
      </c>
      <c r="D2561" t="inlineStr">
        <is>
          <t>VÄSTERBOTTENS LÄN</t>
        </is>
      </c>
      <c r="E2561" t="inlineStr">
        <is>
          <t>SKELLEFTEÅ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56143-2023</t>
        </is>
      </c>
      <c r="B2562" s="1" t="n">
        <v>45240</v>
      </c>
      <c r="C2562" s="1" t="n">
        <v>45832</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56291-2023</t>
        </is>
      </c>
      <c r="B2563" s="1" t="n">
        <v>45242</v>
      </c>
      <c r="C2563" s="1" t="n">
        <v>45832</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56463-2023</t>
        </is>
      </c>
      <c r="B2564" s="1" t="n">
        <v>45243</v>
      </c>
      <c r="C2564" s="1" t="n">
        <v>45832</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56450-2023</t>
        </is>
      </c>
      <c r="B2565" s="1" t="n">
        <v>45243</v>
      </c>
      <c r="C2565" s="1" t="n">
        <v>45832</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56548-2023</t>
        </is>
      </c>
      <c r="B2566" s="1" t="n">
        <v>45243</v>
      </c>
      <c r="C2566" s="1" t="n">
        <v>45832</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56653-2023</t>
        </is>
      </c>
      <c r="B2567" s="1" t="n">
        <v>45243</v>
      </c>
      <c r="C2567" s="1" t="n">
        <v>45832</v>
      </c>
      <c r="D2567" t="inlineStr">
        <is>
          <t>VÄSTERBOTTENS LÄN</t>
        </is>
      </c>
      <c r="E2567" t="inlineStr">
        <is>
          <t>SKELLEFTEÅ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57558-2023</t>
        </is>
      </c>
      <c r="B2568" s="1" t="n">
        <v>45243</v>
      </c>
      <c r="C2568" s="1" t="n">
        <v>45832</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56375-2023</t>
        </is>
      </c>
      <c r="B2569" s="1" t="n">
        <v>45243</v>
      </c>
      <c r="C2569" s="1" t="n">
        <v>45832</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56471-2023</t>
        </is>
      </c>
      <c r="B2570" s="1" t="n">
        <v>45243</v>
      </c>
      <c r="C2570" s="1" t="n">
        <v>45832</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56839-2023</t>
        </is>
      </c>
      <c r="B2571" s="1" t="n">
        <v>45244</v>
      </c>
      <c r="C2571" s="1" t="n">
        <v>45832</v>
      </c>
      <c r="D2571" t="inlineStr">
        <is>
          <t>VÄSTERBOTTENS LÄN</t>
        </is>
      </c>
      <c r="E2571" t="inlineStr">
        <is>
          <t>SKELLEFTEÅ</t>
        </is>
      </c>
      <c r="F2571" t="inlineStr">
        <is>
          <t>Holmen skog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57985-2023</t>
        </is>
      </c>
      <c r="B2572" s="1" t="n">
        <v>45244</v>
      </c>
      <c r="C2572" s="1" t="n">
        <v>45832</v>
      </c>
      <c r="D2572" t="inlineStr">
        <is>
          <t>VÄSTERBOTTENS LÄN</t>
        </is>
      </c>
      <c r="E2572" t="inlineStr">
        <is>
          <t>SKELLEFTEÅ</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58012-2023</t>
        </is>
      </c>
      <c r="B2573" s="1" t="n">
        <v>45244</v>
      </c>
      <c r="C2573" s="1" t="n">
        <v>45832</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57085-2023</t>
        </is>
      </c>
      <c r="B2574" s="1" t="n">
        <v>45245</v>
      </c>
      <c r="C2574" s="1" t="n">
        <v>45832</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57191-2023</t>
        </is>
      </c>
      <c r="B2575" s="1" t="n">
        <v>45245</v>
      </c>
      <c r="C2575" s="1" t="n">
        <v>45832</v>
      </c>
      <c r="D2575" t="inlineStr">
        <is>
          <t>VÄSTERBOTTENS LÄN</t>
        </is>
      </c>
      <c r="E2575" t="inlineStr">
        <is>
          <t>SKELLEFTEÅ</t>
        </is>
      </c>
      <c r="F2575" t="inlineStr">
        <is>
          <t>Sveaskog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57453-2023</t>
        </is>
      </c>
      <c r="B2576" s="1" t="n">
        <v>45246</v>
      </c>
      <c r="C2576" s="1" t="n">
        <v>45832</v>
      </c>
      <c r="D2576" t="inlineStr">
        <is>
          <t>VÄSTERBOTTENS LÄN</t>
        </is>
      </c>
      <c r="E2576" t="inlineStr">
        <is>
          <t>SKELLEFTEÅ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58581-2023</t>
        </is>
      </c>
      <c r="B2577" s="1" t="n">
        <v>45246</v>
      </c>
      <c r="C2577" s="1" t="n">
        <v>45832</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57838-2023</t>
        </is>
      </c>
      <c r="B2578" s="1" t="n">
        <v>45247</v>
      </c>
      <c r="C2578" s="1" t="n">
        <v>45832</v>
      </c>
      <c r="D2578" t="inlineStr">
        <is>
          <t>VÄSTERBOTTENS LÄN</t>
        </is>
      </c>
      <c r="E2578" t="inlineStr">
        <is>
          <t>SKELLEFTEÅ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58043-2023</t>
        </is>
      </c>
      <c r="B2579" s="1" t="n">
        <v>45247</v>
      </c>
      <c r="C2579" s="1" t="n">
        <v>45832</v>
      </c>
      <c r="D2579" t="inlineStr">
        <is>
          <t>VÄSTERBOTTENS LÄN</t>
        </is>
      </c>
      <c r="E2579" t="inlineStr">
        <is>
          <t>SKELLEFTEÅ</t>
        </is>
      </c>
      <c r="F2579" t="inlineStr">
        <is>
          <t>Sveaskog</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58058-2023</t>
        </is>
      </c>
      <c r="B2580" s="1" t="n">
        <v>45247</v>
      </c>
      <c r="C2580" s="1" t="n">
        <v>45832</v>
      </c>
      <c r="D2580" t="inlineStr">
        <is>
          <t>VÄSTERBOTTENS LÄN</t>
        </is>
      </c>
      <c r="E2580" t="inlineStr">
        <is>
          <t>SKELLEFTEÅ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58069-2023</t>
        </is>
      </c>
      <c r="B2581" s="1" t="n">
        <v>45247</v>
      </c>
      <c r="C2581" s="1" t="n">
        <v>45832</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58059-2023</t>
        </is>
      </c>
      <c r="B2582" s="1" t="n">
        <v>45247</v>
      </c>
      <c r="C2582" s="1" t="n">
        <v>45832</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58072-2023</t>
        </is>
      </c>
      <c r="B2583" s="1" t="n">
        <v>45247</v>
      </c>
      <c r="C2583" s="1" t="n">
        <v>45832</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58680-2023</t>
        </is>
      </c>
      <c r="B2584" s="1" t="n">
        <v>45247</v>
      </c>
      <c r="C2584" s="1" t="n">
        <v>45832</v>
      </c>
      <c r="D2584" t="inlineStr">
        <is>
          <t>VÄSTERBOTTENS LÄN</t>
        </is>
      </c>
      <c r="E2584" t="inlineStr">
        <is>
          <t>SKELLEFTEÅ</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58701-2023</t>
        </is>
      </c>
      <c r="B2585" s="1" t="n">
        <v>45247</v>
      </c>
      <c r="C2585" s="1" t="n">
        <v>45832</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58821-2023</t>
        </is>
      </c>
      <c r="B2586" s="1" t="n">
        <v>45247</v>
      </c>
      <c r="C2586" s="1" t="n">
        <v>45832</v>
      </c>
      <c r="D2586" t="inlineStr">
        <is>
          <t>VÄSTERBOTTENS LÄN</t>
        </is>
      </c>
      <c r="E2586" t="inlineStr">
        <is>
          <t>SKELLEFTEÅ</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58060-2023</t>
        </is>
      </c>
      <c r="B2587" s="1" t="n">
        <v>45247</v>
      </c>
      <c r="C2587" s="1" t="n">
        <v>45832</v>
      </c>
      <c r="D2587" t="inlineStr">
        <is>
          <t>VÄSTERBOTTENS LÄN</t>
        </is>
      </c>
      <c r="E2587" t="inlineStr">
        <is>
          <t>SKELLEFTEÅ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58008-2023</t>
        </is>
      </c>
      <c r="B2588" s="1" t="n">
        <v>45247</v>
      </c>
      <c r="C2588" s="1" t="n">
        <v>45832</v>
      </c>
      <c r="D2588" t="inlineStr">
        <is>
          <t>VÄSTERBOTTENS LÄN</t>
        </is>
      </c>
      <c r="E2588" t="inlineStr">
        <is>
          <t>SKELLEFTEÅ</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57958-2023</t>
        </is>
      </c>
      <c r="B2589" s="1" t="n">
        <v>45247</v>
      </c>
      <c r="C2589" s="1" t="n">
        <v>45832</v>
      </c>
      <c r="D2589" t="inlineStr">
        <is>
          <t>VÄSTERBOTTENS LÄN</t>
        </is>
      </c>
      <c r="E2589" t="inlineStr">
        <is>
          <t>SKELLEFTEÅ</t>
        </is>
      </c>
      <c r="F2589" t="inlineStr">
        <is>
          <t>Holmen skog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57926-2023</t>
        </is>
      </c>
      <c r="B2590" s="1" t="n">
        <v>45247</v>
      </c>
      <c r="C2590" s="1" t="n">
        <v>45832</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58117-2023</t>
        </is>
      </c>
      <c r="B2591" s="1" t="n">
        <v>45249</v>
      </c>
      <c r="C2591" s="1" t="n">
        <v>45832</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58194-2023</t>
        </is>
      </c>
      <c r="B2592" s="1" t="n">
        <v>45250</v>
      </c>
      <c r="C2592" s="1" t="n">
        <v>45832</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58940-2023</t>
        </is>
      </c>
      <c r="B2593" s="1" t="n">
        <v>45250</v>
      </c>
      <c r="C2593" s="1" t="n">
        <v>45832</v>
      </c>
      <c r="D2593" t="inlineStr">
        <is>
          <t>VÄSTERBOTTENS LÄN</t>
        </is>
      </c>
      <c r="E2593" t="inlineStr">
        <is>
          <t>SKELLEFTEÅ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58503-2023</t>
        </is>
      </c>
      <c r="B2594" s="1" t="n">
        <v>45251</v>
      </c>
      <c r="C2594" s="1" t="n">
        <v>45832</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58517-2023</t>
        </is>
      </c>
      <c r="B2595" s="1" t="n">
        <v>45251</v>
      </c>
      <c r="C2595" s="1" t="n">
        <v>45832</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58525-2023</t>
        </is>
      </c>
      <c r="B2596" s="1" t="n">
        <v>45251</v>
      </c>
      <c r="C2596" s="1" t="n">
        <v>45832</v>
      </c>
      <c r="D2596" t="inlineStr">
        <is>
          <t>VÄSTERBOTTENS LÄN</t>
        </is>
      </c>
      <c r="E2596" t="inlineStr">
        <is>
          <t>SKELLEFTEÅ</t>
        </is>
      </c>
      <c r="F2596" t="inlineStr">
        <is>
          <t>Holmen skog AB</t>
        </is>
      </c>
      <c r="G2596" t="n">
        <v>19.1</v>
      </c>
      <c r="H2596" t="n">
        <v>0</v>
      </c>
      <c r="I2596" t="n">
        <v>0</v>
      </c>
      <c r="J2596" t="n">
        <v>0</v>
      </c>
      <c r="K2596" t="n">
        <v>0</v>
      </c>
      <c r="L2596" t="n">
        <v>0</v>
      </c>
      <c r="M2596" t="n">
        <v>0</v>
      </c>
      <c r="N2596" t="n">
        <v>0</v>
      </c>
      <c r="O2596" t="n">
        <v>0</v>
      </c>
      <c r="P2596" t="n">
        <v>0</v>
      </c>
      <c r="Q2596" t="n">
        <v>0</v>
      </c>
      <c r="R2596" s="2" t="inlineStr"/>
    </row>
    <row r="2597" ht="15" customHeight="1">
      <c r="A2597" t="inlineStr">
        <is>
          <t>A 58546-2023</t>
        </is>
      </c>
      <c r="B2597" s="1" t="n">
        <v>45251</v>
      </c>
      <c r="C2597" s="1" t="n">
        <v>45832</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58560-2023</t>
        </is>
      </c>
      <c r="B2598" s="1" t="n">
        <v>45251</v>
      </c>
      <c r="C2598" s="1" t="n">
        <v>45832</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58566-2023</t>
        </is>
      </c>
      <c r="B2599" s="1" t="n">
        <v>45251</v>
      </c>
      <c r="C2599" s="1" t="n">
        <v>45832</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58555-2023</t>
        </is>
      </c>
      <c r="B2600" s="1" t="n">
        <v>45251</v>
      </c>
      <c r="C2600" s="1" t="n">
        <v>45832</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58575-2023</t>
        </is>
      </c>
      <c r="B2601" s="1" t="n">
        <v>45251</v>
      </c>
      <c r="C2601" s="1" t="n">
        <v>45832</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58750-2023</t>
        </is>
      </c>
      <c r="B2602" s="1" t="n">
        <v>45251</v>
      </c>
      <c r="C2602" s="1" t="n">
        <v>45832</v>
      </c>
      <c r="D2602" t="inlineStr">
        <is>
          <t>VÄSTERBOTTENS LÄN</t>
        </is>
      </c>
      <c r="E2602" t="inlineStr">
        <is>
          <t>SKELLEFTEÅ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58754-2023</t>
        </is>
      </c>
      <c r="B2603" s="1" t="n">
        <v>45251</v>
      </c>
      <c r="C2603" s="1" t="n">
        <v>45832</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58752-2023</t>
        </is>
      </c>
      <c r="B2604" s="1" t="n">
        <v>45251</v>
      </c>
      <c r="C2604" s="1" t="n">
        <v>45832</v>
      </c>
      <c r="D2604" t="inlineStr">
        <is>
          <t>VÄSTERBOTTENS LÄN</t>
        </is>
      </c>
      <c r="E2604" t="inlineStr">
        <is>
          <t>SKELLEFTEÅ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58672-2023</t>
        </is>
      </c>
      <c r="B2605" s="1" t="n">
        <v>45251</v>
      </c>
      <c r="C2605" s="1" t="n">
        <v>45832</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58751-2023</t>
        </is>
      </c>
      <c r="B2606" s="1" t="n">
        <v>45251</v>
      </c>
      <c r="C2606" s="1" t="n">
        <v>45832</v>
      </c>
      <c r="D2606" t="inlineStr">
        <is>
          <t>VÄSTERBOTTENS LÄN</t>
        </is>
      </c>
      <c r="E2606" t="inlineStr">
        <is>
          <t>SKELLEFTEÅ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58755-2023</t>
        </is>
      </c>
      <c r="B2607" s="1" t="n">
        <v>45251</v>
      </c>
      <c r="C2607" s="1" t="n">
        <v>45832</v>
      </c>
      <c r="D2607" t="inlineStr">
        <is>
          <t>VÄSTERBOTTENS LÄN</t>
        </is>
      </c>
      <c r="E2607" t="inlineStr">
        <is>
          <t>SKELLEFTEÅ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59127-2023</t>
        </is>
      </c>
      <c r="B2608" s="1" t="n">
        <v>45251</v>
      </c>
      <c r="C2608" s="1" t="n">
        <v>45832</v>
      </c>
      <c r="D2608" t="inlineStr">
        <is>
          <t>VÄSTERBOTTENS LÄN</t>
        </is>
      </c>
      <c r="E2608" t="inlineStr">
        <is>
          <t>SKELLEFTEÅ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59165-2023</t>
        </is>
      </c>
      <c r="B2609" s="1" t="n">
        <v>45251</v>
      </c>
      <c r="C2609" s="1" t="n">
        <v>45832</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58838-2023</t>
        </is>
      </c>
      <c r="B2610" s="1" t="n">
        <v>45252</v>
      </c>
      <c r="C2610" s="1" t="n">
        <v>45832</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59242-2023</t>
        </is>
      </c>
      <c r="B2611" s="1" t="n">
        <v>45252</v>
      </c>
      <c r="C2611" s="1" t="n">
        <v>45832</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59245-2023</t>
        </is>
      </c>
      <c r="B2612" s="1" t="n">
        <v>45252</v>
      </c>
      <c r="C2612" s="1" t="n">
        <v>45832</v>
      </c>
      <c r="D2612" t="inlineStr">
        <is>
          <t>VÄSTERBOTTENS LÄN</t>
        </is>
      </c>
      <c r="E2612" t="inlineStr">
        <is>
          <t>SKELLEFTEÅ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59404-2023</t>
        </is>
      </c>
      <c r="B2613" s="1" t="n">
        <v>45253</v>
      </c>
      <c r="C2613" s="1" t="n">
        <v>45832</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59648-2023</t>
        </is>
      </c>
      <c r="B2614" s="1" t="n">
        <v>45253</v>
      </c>
      <c r="C2614" s="1" t="n">
        <v>45832</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59406-2023</t>
        </is>
      </c>
      <c r="B2615" s="1" t="n">
        <v>45253</v>
      </c>
      <c r="C2615" s="1" t="n">
        <v>45832</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59405-2023</t>
        </is>
      </c>
      <c r="B2616" s="1" t="n">
        <v>45253</v>
      </c>
      <c r="C2616" s="1" t="n">
        <v>45832</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59647-2023</t>
        </is>
      </c>
      <c r="B2617" s="1" t="n">
        <v>45253</v>
      </c>
      <c r="C2617" s="1" t="n">
        <v>45832</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59653-2023</t>
        </is>
      </c>
      <c r="B2618" s="1" t="n">
        <v>45254</v>
      </c>
      <c r="C2618" s="1" t="n">
        <v>45832</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59945-2023</t>
        </is>
      </c>
      <c r="B2619" s="1" t="n">
        <v>45254</v>
      </c>
      <c r="C2619" s="1" t="n">
        <v>45832</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59793-2023</t>
        </is>
      </c>
      <c r="B2620" s="1" t="n">
        <v>45257</v>
      </c>
      <c r="C2620" s="1" t="n">
        <v>45832</v>
      </c>
      <c r="D2620" t="inlineStr">
        <is>
          <t>VÄSTERBOTTENS LÄN</t>
        </is>
      </c>
      <c r="E2620" t="inlineStr">
        <is>
          <t>SKELLEFTEÅ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59791-2023</t>
        </is>
      </c>
      <c r="B2621" s="1" t="n">
        <v>45257</v>
      </c>
      <c r="C2621" s="1" t="n">
        <v>45832</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59919-2023</t>
        </is>
      </c>
      <c r="B2622" s="1" t="n">
        <v>45257</v>
      </c>
      <c r="C2622" s="1" t="n">
        <v>45832</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59907-2023</t>
        </is>
      </c>
      <c r="B2623" s="1" t="n">
        <v>45257</v>
      </c>
      <c r="C2623" s="1" t="n">
        <v>45832</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59788-2023</t>
        </is>
      </c>
      <c r="B2624" s="1" t="n">
        <v>45257</v>
      </c>
      <c r="C2624" s="1" t="n">
        <v>45832</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60109-2023</t>
        </is>
      </c>
      <c r="B2625" s="1" t="n">
        <v>45257</v>
      </c>
      <c r="C2625" s="1" t="n">
        <v>45832</v>
      </c>
      <c r="D2625" t="inlineStr">
        <is>
          <t>VÄSTERBOTTENS LÄN</t>
        </is>
      </c>
      <c r="E2625" t="inlineStr">
        <is>
          <t>SKELLEFTEÅ</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59798-2023</t>
        </is>
      </c>
      <c r="B2626" s="1" t="n">
        <v>45257</v>
      </c>
      <c r="C2626" s="1" t="n">
        <v>45832</v>
      </c>
      <c r="D2626" t="inlineStr">
        <is>
          <t>VÄSTERBOTTENS LÄN</t>
        </is>
      </c>
      <c r="E2626" t="inlineStr">
        <is>
          <t>SKELLEFTEÅ</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60130-2023</t>
        </is>
      </c>
      <c r="B2627" s="1" t="n">
        <v>45257</v>
      </c>
      <c r="C2627" s="1" t="n">
        <v>45832</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60305-2023</t>
        </is>
      </c>
      <c r="B2628" s="1" t="n">
        <v>45258</v>
      </c>
      <c r="C2628" s="1" t="n">
        <v>45832</v>
      </c>
      <c r="D2628" t="inlineStr">
        <is>
          <t>VÄSTERBOTTENS LÄN</t>
        </is>
      </c>
      <c r="E2628" t="inlineStr">
        <is>
          <t>SKELLEFTEÅ</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60451-2023</t>
        </is>
      </c>
      <c r="B2629" s="1" t="n">
        <v>45258</v>
      </c>
      <c r="C2629" s="1" t="n">
        <v>45832</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60479-2023</t>
        </is>
      </c>
      <c r="B2630" s="1" t="n">
        <v>45258</v>
      </c>
      <c r="C2630" s="1" t="n">
        <v>45832</v>
      </c>
      <c r="D2630" t="inlineStr">
        <is>
          <t>VÄSTERBOTTENS LÄN</t>
        </is>
      </c>
      <c r="E2630" t="inlineStr">
        <is>
          <t>SKELLEFTEÅ</t>
        </is>
      </c>
      <c r="G2630" t="n">
        <v>21.5</v>
      </c>
      <c r="H2630" t="n">
        <v>0</v>
      </c>
      <c r="I2630" t="n">
        <v>0</v>
      </c>
      <c r="J2630" t="n">
        <v>0</v>
      </c>
      <c r="K2630" t="n">
        <v>0</v>
      </c>
      <c r="L2630" t="n">
        <v>0</v>
      </c>
      <c r="M2630" t="n">
        <v>0</v>
      </c>
      <c r="N2630" t="n">
        <v>0</v>
      </c>
      <c r="O2630" t="n">
        <v>0</v>
      </c>
      <c r="P2630" t="n">
        <v>0</v>
      </c>
      <c r="Q2630" t="n">
        <v>0</v>
      </c>
      <c r="R2630" s="2" t="inlineStr"/>
    </row>
    <row r="2631" ht="15" customHeight="1">
      <c r="A2631" t="inlineStr">
        <is>
          <t>A 60412-2023</t>
        </is>
      </c>
      <c r="B2631" s="1" t="n">
        <v>45258</v>
      </c>
      <c r="C2631" s="1" t="n">
        <v>45832</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60339-2023</t>
        </is>
      </c>
      <c r="B2632" s="1" t="n">
        <v>45259</v>
      </c>
      <c r="C2632" s="1" t="n">
        <v>45832</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60569-2023</t>
        </is>
      </c>
      <c r="B2633" s="1" t="n">
        <v>45259</v>
      </c>
      <c r="C2633" s="1" t="n">
        <v>45832</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61064-2023</t>
        </is>
      </c>
      <c r="B2634" s="1" t="n">
        <v>45259</v>
      </c>
      <c r="C2634" s="1" t="n">
        <v>45832</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61069-2023</t>
        </is>
      </c>
      <c r="B2635" s="1" t="n">
        <v>45259</v>
      </c>
      <c r="C2635" s="1" t="n">
        <v>45832</v>
      </c>
      <c r="D2635" t="inlineStr">
        <is>
          <t>VÄSTERBOTTENS LÄN</t>
        </is>
      </c>
      <c r="E2635" t="inlineStr">
        <is>
          <t>SKELLEFTEÅ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61049-2023</t>
        </is>
      </c>
      <c r="B2636" s="1" t="n">
        <v>45259</v>
      </c>
      <c r="C2636" s="1" t="n">
        <v>45832</v>
      </c>
      <c r="D2636" t="inlineStr">
        <is>
          <t>VÄSTERBOTTENS LÄN</t>
        </is>
      </c>
      <c r="E2636" t="inlineStr">
        <is>
          <t>SKELLEFTEÅ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60614-2023</t>
        </is>
      </c>
      <c r="B2637" s="1" t="n">
        <v>45260</v>
      </c>
      <c r="C2637" s="1" t="n">
        <v>45832</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60612-2023</t>
        </is>
      </c>
      <c r="B2638" s="1" t="n">
        <v>45260</v>
      </c>
      <c r="C2638" s="1" t="n">
        <v>45832</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60785-2023</t>
        </is>
      </c>
      <c r="B2639" s="1" t="n">
        <v>45260</v>
      </c>
      <c r="C2639" s="1" t="n">
        <v>45832</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60601-2023</t>
        </is>
      </c>
      <c r="B2640" s="1" t="n">
        <v>45260</v>
      </c>
      <c r="C2640" s="1" t="n">
        <v>45832</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61089-2023</t>
        </is>
      </c>
      <c r="B2641" s="1" t="n">
        <v>45260</v>
      </c>
      <c r="C2641" s="1" t="n">
        <v>45832</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61239-2023</t>
        </is>
      </c>
      <c r="B2642" s="1" t="n">
        <v>45260</v>
      </c>
      <c r="C2642" s="1" t="n">
        <v>45832</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61087-2023</t>
        </is>
      </c>
      <c r="B2643" s="1" t="n">
        <v>45260</v>
      </c>
      <c r="C2643" s="1" t="n">
        <v>45832</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60896-2023</t>
        </is>
      </c>
      <c r="B2644" s="1" t="n">
        <v>45261</v>
      </c>
      <c r="C2644" s="1" t="n">
        <v>45832</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45832</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60898-2023</t>
        </is>
      </c>
      <c r="B2646" s="1" t="n">
        <v>45261</v>
      </c>
      <c r="C2646" s="1" t="n">
        <v>45832</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61130-2023</t>
        </is>
      </c>
      <c r="B2647" s="1" t="n">
        <v>45261</v>
      </c>
      <c r="C2647" s="1" t="n">
        <v>45832</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61147-2023</t>
        </is>
      </c>
      <c r="B2648" s="1" t="n">
        <v>45262</v>
      </c>
      <c r="C2648" s="1" t="n">
        <v>45832</v>
      </c>
      <c r="D2648" t="inlineStr">
        <is>
          <t>VÄSTERBOTTENS LÄN</t>
        </is>
      </c>
      <c r="E2648" t="inlineStr">
        <is>
          <t>SKELLEFTEÅ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61145-2023</t>
        </is>
      </c>
      <c r="B2649" s="1" t="n">
        <v>45262</v>
      </c>
      <c r="C2649" s="1" t="n">
        <v>45832</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61146-2023</t>
        </is>
      </c>
      <c r="B2650" s="1" t="n">
        <v>45262</v>
      </c>
      <c r="C2650" s="1" t="n">
        <v>45832</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61292-2023</t>
        </is>
      </c>
      <c r="B2651" s="1" t="n">
        <v>45264</v>
      </c>
      <c r="C2651" s="1" t="n">
        <v>45832</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61186-2023</t>
        </is>
      </c>
      <c r="B2652" s="1" t="n">
        <v>45264</v>
      </c>
      <c r="C2652" s="1" t="n">
        <v>45832</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61242-2023</t>
        </is>
      </c>
      <c r="B2653" s="1" t="n">
        <v>45264</v>
      </c>
      <c r="C2653" s="1" t="n">
        <v>45832</v>
      </c>
      <c r="D2653" t="inlineStr">
        <is>
          <t>VÄSTERBOTTENS LÄN</t>
        </is>
      </c>
      <c r="E2653" t="inlineStr">
        <is>
          <t>SKELLEFTEÅ</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61188-2023</t>
        </is>
      </c>
      <c r="B2654" s="1" t="n">
        <v>45264</v>
      </c>
      <c r="C2654" s="1" t="n">
        <v>45832</v>
      </c>
      <c r="D2654" t="inlineStr">
        <is>
          <t>VÄSTERBOTTENS LÄN</t>
        </is>
      </c>
      <c r="E2654" t="inlineStr">
        <is>
          <t>SKELLEFTEÅ</t>
        </is>
      </c>
      <c r="F2654" t="inlineStr">
        <is>
          <t>Sveaskog</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61457-2023</t>
        </is>
      </c>
      <c r="B2655" s="1" t="n">
        <v>45264</v>
      </c>
      <c r="C2655" s="1" t="n">
        <v>45832</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61733-2023</t>
        </is>
      </c>
      <c r="B2656" s="1" t="n">
        <v>45264</v>
      </c>
      <c r="C2656" s="1" t="n">
        <v>45832</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61730-2023</t>
        </is>
      </c>
      <c r="B2657" s="1" t="n">
        <v>45264</v>
      </c>
      <c r="C2657" s="1" t="n">
        <v>45832</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61723-2023</t>
        </is>
      </c>
      <c r="B2658" s="1" t="n">
        <v>45264</v>
      </c>
      <c r="C2658" s="1" t="n">
        <v>45832</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61808-2023</t>
        </is>
      </c>
      <c r="B2659" s="1" t="n">
        <v>45264</v>
      </c>
      <c r="C2659" s="1" t="n">
        <v>45832</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61928-2023</t>
        </is>
      </c>
      <c r="B2660" s="1" t="n">
        <v>45265</v>
      </c>
      <c r="C2660" s="1" t="n">
        <v>45832</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61927-2023</t>
        </is>
      </c>
      <c r="B2661" s="1" t="n">
        <v>45265</v>
      </c>
      <c r="C2661" s="1" t="n">
        <v>45832</v>
      </c>
      <c r="D2661" t="inlineStr">
        <is>
          <t>VÄSTERBOTTENS LÄN</t>
        </is>
      </c>
      <c r="E2661" t="inlineStr">
        <is>
          <t>SKELLEFTEÅ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62300-2023</t>
        </is>
      </c>
      <c r="B2662" s="1" t="n">
        <v>45266</v>
      </c>
      <c r="C2662" s="1" t="n">
        <v>45832</v>
      </c>
      <c r="D2662" t="inlineStr">
        <is>
          <t>VÄSTERBOTTENS LÄN</t>
        </is>
      </c>
      <c r="E2662" t="inlineStr">
        <is>
          <t>SKELLEFTEÅ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62141-2023</t>
        </is>
      </c>
      <c r="B2663" s="1" t="n">
        <v>45267</v>
      </c>
      <c r="C2663" s="1" t="n">
        <v>45832</v>
      </c>
      <c r="D2663" t="inlineStr">
        <is>
          <t>VÄSTERBOTTENS LÄN</t>
        </is>
      </c>
      <c r="E2663" t="inlineStr">
        <is>
          <t>SKELLEFTEÅ</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62345-2023</t>
        </is>
      </c>
      <c r="B2664" s="1" t="n">
        <v>45267</v>
      </c>
      <c r="C2664" s="1" t="n">
        <v>45832</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62336-2023</t>
        </is>
      </c>
      <c r="B2665" s="1" t="n">
        <v>45267</v>
      </c>
      <c r="C2665" s="1" t="n">
        <v>45832</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62344-2023</t>
        </is>
      </c>
      <c r="B2666" s="1" t="n">
        <v>45267</v>
      </c>
      <c r="C2666" s="1" t="n">
        <v>45832</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62347-2023</t>
        </is>
      </c>
      <c r="B2667" s="1" t="n">
        <v>45267</v>
      </c>
      <c r="C2667" s="1" t="n">
        <v>45832</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62599-2023</t>
        </is>
      </c>
      <c r="B2668" s="1" t="n">
        <v>45267</v>
      </c>
      <c r="C2668" s="1" t="n">
        <v>45832</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62601-2023</t>
        </is>
      </c>
      <c r="B2669" s="1" t="n">
        <v>45267</v>
      </c>
      <c r="C2669" s="1" t="n">
        <v>45832</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62547-2023</t>
        </is>
      </c>
      <c r="B2670" s="1" t="n">
        <v>45268</v>
      </c>
      <c r="C2670" s="1" t="n">
        <v>45832</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62504-2023</t>
        </is>
      </c>
      <c r="B2671" s="1" t="n">
        <v>45268</v>
      </c>
      <c r="C2671" s="1" t="n">
        <v>45832</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v>
      </c>
      <c r="C2672" s="1" t="n">
        <v>45832</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62885-2023</t>
        </is>
      </c>
      <c r="B2673" s="1" t="n">
        <v>45271</v>
      </c>
      <c r="C2673" s="1" t="n">
        <v>45832</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63010-2023</t>
        </is>
      </c>
      <c r="B2674" s="1" t="n">
        <v>45272</v>
      </c>
      <c r="C2674" s="1" t="n">
        <v>45832</v>
      </c>
      <c r="D2674" t="inlineStr">
        <is>
          <t>VÄSTERBOTTENS LÄN</t>
        </is>
      </c>
      <c r="E2674" t="inlineStr">
        <is>
          <t>SKELLEFTEÅ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62961-2023</t>
        </is>
      </c>
      <c r="B2675" s="1" t="n">
        <v>45272</v>
      </c>
      <c r="C2675" s="1" t="n">
        <v>45832</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63525-2023</t>
        </is>
      </c>
      <c r="B2676" s="1" t="n">
        <v>45274</v>
      </c>
      <c r="C2676" s="1" t="n">
        <v>45832</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63704-2023</t>
        </is>
      </c>
      <c r="B2677" s="1" t="n">
        <v>45275</v>
      </c>
      <c r="C2677" s="1" t="n">
        <v>45832</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63757-2023</t>
        </is>
      </c>
      <c r="B2678" s="1" t="n">
        <v>45278</v>
      </c>
      <c r="C2678" s="1" t="n">
        <v>45832</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63759-2023</t>
        </is>
      </c>
      <c r="B2679" s="1" t="n">
        <v>45278</v>
      </c>
      <c r="C2679" s="1" t="n">
        <v>45832</v>
      </c>
      <c r="D2679" t="inlineStr">
        <is>
          <t>VÄSTERBOTTENS LÄN</t>
        </is>
      </c>
      <c r="E2679" t="inlineStr">
        <is>
          <t>SKELLEFTEÅ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63935-2023</t>
        </is>
      </c>
      <c r="B2680" s="1" t="n">
        <v>45278</v>
      </c>
      <c r="C2680" s="1" t="n">
        <v>45832</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64009-2023</t>
        </is>
      </c>
      <c r="B2681" s="1" t="n">
        <v>45278</v>
      </c>
      <c r="C2681" s="1" t="n">
        <v>45832</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64006-2023</t>
        </is>
      </c>
      <c r="B2682" s="1" t="n">
        <v>45278</v>
      </c>
      <c r="C2682" s="1" t="n">
        <v>45832</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64008-2023</t>
        </is>
      </c>
      <c r="B2683" s="1" t="n">
        <v>45278</v>
      </c>
      <c r="C2683" s="1" t="n">
        <v>45832</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64258-2023</t>
        </is>
      </c>
      <c r="B2684" s="1" t="n">
        <v>45279</v>
      </c>
      <c r="C2684" s="1" t="n">
        <v>45832</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64257-2023</t>
        </is>
      </c>
      <c r="B2685" s="1" t="n">
        <v>45279</v>
      </c>
      <c r="C2685" s="1" t="n">
        <v>45832</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64183-2023</t>
        </is>
      </c>
      <c r="B2686" s="1" t="n">
        <v>45279</v>
      </c>
      <c r="C2686" s="1" t="n">
        <v>45832</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1815-2024</t>
        </is>
      </c>
      <c r="B2687" s="1" t="n">
        <v>45279</v>
      </c>
      <c r="C2687" s="1" t="n">
        <v>45832</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64323-2023</t>
        </is>
      </c>
      <c r="B2688" s="1" t="n">
        <v>45280</v>
      </c>
      <c r="C2688" s="1" t="n">
        <v>45832</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64340-2023</t>
        </is>
      </c>
      <c r="B2689" s="1" t="n">
        <v>45280</v>
      </c>
      <c r="C2689" s="1" t="n">
        <v>45832</v>
      </c>
      <c r="D2689" t="inlineStr">
        <is>
          <t>VÄSTERBOTTENS LÄN</t>
        </is>
      </c>
      <c r="E2689" t="inlineStr">
        <is>
          <t>SKELLEFTEÅ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64370-2023</t>
        </is>
      </c>
      <c r="B2690" s="1" t="n">
        <v>45280</v>
      </c>
      <c r="C2690" s="1" t="n">
        <v>45832</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64598-2023</t>
        </is>
      </c>
      <c r="B2691" s="1" t="n">
        <v>45281</v>
      </c>
      <c r="C2691" s="1" t="n">
        <v>45832</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64682-2023</t>
        </is>
      </c>
      <c r="B2692" s="1" t="n">
        <v>45281</v>
      </c>
      <c r="C2692" s="1" t="n">
        <v>45832</v>
      </c>
      <c r="D2692" t="inlineStr">
        <is>
          <t>VÄSTERBOTTENS LÄN</t>
        </is>
      </c>
      <c r="E2692" t="inlineStr">
        <is>
          <t>SKELLEFTEÅ</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64720-2023</t>
        </is>
      </c>
      <c r="B2693" s="1" t="n">
        <v>45281</v>
      </c>
      <c r="C2693" s="1" t="n">
        <v>45832</v>
      </c>
      <c r="D2693" t="inlineStr">
        <is>
          <t>VÄSTERBOTTENS LÄN</t>
        </is>
      </c>
      <c r="E2693" t="inlineStr">
        <is>
          <t>SKELLEFTEÅ</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64716-2023</t>
        </is>
      </c>
      <c r="B2694" s="1" t="n">
        <v>45281</v>
      </c>
      <c r="C2694" s="1" t="n">
        <v>45832</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64723-2023</t>
        </is>
      </c>
      <c r="B2695" s="1" t="n">
        <v>45281</v>
      </c>
      <c r="C2695" s="1" t="n">
        <v>45832</v>
      </c>
      <c r="D2695" t="inlineStr">
        <is>
          <t>VÄSTERBOTTENS LÄN</t>
        </is>
      </c>
      <c r="E2695" t="inlineStr">
        <is>
          <t>SKELLEFTEÅ</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64726-2023</t>
        </is>
      </c>
      <c r="B2696" s="1" t="n">
        <v>45281</v>
      </c>
      <c r="C2696" s="1" t="n">
        <v>45832</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64750-2023</t>
        </is>
      </c>
      <c r="B2697" s="1" t="n">
        <v>45281</v>
      </c>
      <c r="C2697" s="1" t="n">
        <v>45832</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64920-2023</t>
        </is>
      </c>
      <c r="B2698" s="1" t="n">
        <v>45282</v>
      </c>
      <c r="C2698" s="1" t="n">
        <v>45832</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64942-2023</t>
        </is>
      </c>
      <c r="B2699" s="1" t="n">
        <v>45282</v>
      </c>
      <c r="C2699" s="1" t="n">
        <v>45832</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65010-2023</t>
        </is>
      </c>
      <c r="B2700" s="1" t="n">
        <v>45282</v>
      </c>
      <c r="C2700" s="1" t="n">
        <v>45832</v>
      </c>
      <c r="D2700" t="inlineStr">
        <is>
          <t>VÄSTERBOTTENS LÄN</t>
        </is>
      </c>
      <c r="E2700" t="inlineStr">
        <is>
          <t>SKELLEFTEÅ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64941-2023</t>
        </is>
      </c>
      <c r="B2701" s="1" t="n">
        <v>45282</v>
      </c>
      <c r="C2701" s="1" t="n">
        <v>45832</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65009-2023</t>
        </is>
      </c>
      <c r="B2702" s="1" t="n">
        <v>45287</v>
      </c>
      <c r="C2702" s="1" t="n">
        <v>45832</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65011-2023</t>
        </is>
      </c>
      <c r="B2703" s="1" t="n">
        <v>45287</v>
      </c>
      <c r="C2703" s="1" t="n">
        <v>45832</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65128-2023</t>
        </is>
      </c>
      <c r="B2704" s="1" t="n">
        <v>45288</v>
      </c>
      <c r="C2704" s="1" t="n">
        <v>45832</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65165-2023</t>
        </is>
      </c>
      <c r="B2705" s="1" t="n">
        <v>45288</v>
      </c>
      <c r="C2705" s="1" t="n">
        <v>45832</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65178-2023</t>
        </is>
      </c>
      <c r="B2706" s="1" t="n">
        <v>45288</v>
      </c>
      <c r="C2706" s="1" t="n">
        <v>45832</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65191-2023</t>
        </is>
      </c>
      <c r="B2707" s="1" t="n">
        <v>45288</v>
      </c>
      <c r="C2707" s="1" t="n">
        <v>45832</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65206-2023</t>
        </is>
      </c>
      <c r="B2708" s="1" t="n">
        <v>45289</v>
      </c>
      <c r="C2708" s="1" t="n">
        <v>45832</v>
      </c>
      <c r="D2708" t="inlineStr">
        <is>
          <t>VÄSTERBOTTENS LÄN</t>
        </is>
      </c>
      <c r="E2708" t="inlineStr">
        <is>
          <t>SKELLEFTEÅ</t>
        </is>
      </c>
      <c r="G2708" t="n">
        <v>19.2</v>
      </c>
      <c r="H2708" t="n">
        <v>0</v>
      </c>
      <c r="I2708" t="n">
        <v>0</v>
      </c>
      <c r="J2708" t="n">
        <v>0</v>
      </c>
      <c r="K2708" t="n">
        <v>0</v>
      </c>
      <c r="L2708" t="n">
        <v>0</v>
      </c>
      <c r="M2708" t="n">
        <v>0</v>
      </c>
      <c r="N2708" t="n">
        <v>0</v>
      </c>
      <c r="O2708" t="n">
        <v>0</v>
      </c>
      <c r="P2708" t="n">
        <v>0</v>
      </c>
      <c r="Q2708" t="n">
        <v>0</v>
      </c>
      <c r="R2708" s="2" t="inlineStr"/>
    </row>
    <row r="2709" ht="15" customHeight="1">
      <c r="A2709" t="inlineStr">
        <is>
          <t>A 65243-2023</t>
        </is>
      </c>
      <c r="B2709" s="1" t="n">
        <v>45289</v>
      </c>
      <c r="C2709" s="1" t="n">
        <v>45832</v>
      </c>
      <c r="D2709" t="inlineStr">
        <is>
          <t>VÄSTERBOTTENS LÄN</t>
        </is>
      </c>
      <c r="E2709" t="inlineStr">
        <is>
          <t>SKELLEFTEÅ</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27-2024</t>
        </is>
      </c>
      <c r="B2710" s="1" t="n">
        <v>45293</v>
      </c>
      <c r="C2710" s="1" t="n">
        <v>45832</v>
      </c>
      <c r="D2710" t="inlineStr">
        <is>
          <t>VÄSTERBOTTENS LÄN</t>
        </is>
      </c>
      <c r="E2710" t="inlineStr">
        <is>
          <t>SKELLEFTEÅ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207-2024</t>
        </is>
      </c>
      <c r="B2711" s="1" t="n">
        <v>45293</v>
      </c>
      <c r="C2711" s="1" t="n">
        <v>45832</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381-2024</t>
        </is>
      </c>
      <c r="B2712" s="1" t="n">
        <v>45296</v>
      </c>
      <c r="C2712" s="1" t="n">
        <v>45832</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418-2024</t>
        </is>
      </c>
      <c r="B2713" s="1" t="n">
        <v>45296</v>
      </c>
      <c r="C2713" s="1" t="n">
        <v>45832</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671-2024</t>
        </is>
      </c>
      <c r="B2714" s="1" t="n">
        <v>45299</v>
      </c>
      <c r="C2714" s="1" t="n">
        <v>45832</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668-2024</t>
        </is>
      </c>
      <c r="B2715" s="1" t="n">
        <v>45300</v>
      </c>
      <c r="C2715" s="1" t="n">
        <v>45832</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1114-2024</t>
        </is>
      </c>
      <c r="B2716" s="1" t="n">
        <v>45302</v>
      </c>
      <c r="C2716" s="1" t="n">
        <v>45832</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1255-2024</t>
        </is>
      </c>
      <c r="B2717" s="1" t="n">
        <v>45302</v>
      </c>
      <c r="C2717" s="1" t="n">
        <v>45832</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1250-2024</t>
        </is>
      </c>
      <c r="B2718" s="1" t="n">
        <v>45302</v>
      </c>
      <c r="C2718" s="1" t="n">
        <v>45832</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1257-2024</t>
        </is>
      </c>
      <c r="B2719" s="1" t="n">
        <v>45302</v>
      </c>
      <c r="C2719" s="1" t="n">
        <v>45832</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1256-2024</t>
        </is>
      </c>
      <c r="B2720" s="1" t="n">
        <v>45302</v>
      </c>
      <c r="C2720" s="1" t="n">
        <v>45832</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1280-2024</t>
        </is>
      </c>
      <c r="B2721" s="1" t="n">
        <v>45303</v>
      </c>
      <c r="C2721" s="1" t="n">
        <v>45832</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1419-2024</t>
        </is>
      </c>
      <c r="B2722" s="1" t="n">
        <v>45303</v>
      </c>
      <c r="C2722" s="1" t="n">
        <v>45832</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1507-2024</t>
        </is>
      </c>
      <c r="B2723" s="1" t="n">
        <v>45306</v>
      </c>
      <c r="C2723" s="1" t="n">
        <v>45832</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1498-2024</t>
        </is>
      </c>
      <c r="B2724" s="1" t="n">
        <v>45306</v>
      </c>
      <c r="C2724" s="1" t="n">
        <v>45832</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1564-2024</t>
        </is>
      </c>
      <c r="B2725" s="1" t="n">
        <v>45306</v>
      </c>
      <c r="C2725" s="1" t="n">
        <v>45832</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1829-2024</t>
        </is>
      </c>
      <c r="B2726" s="1" t="n">
        <v>45307</v>
      </c>
      <c r="C2726" s="1" t="n">
        <v>45832</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1827-2024</t>
        </is>
      </c>
      <c r="B2727" s="1" t="n">
        <v>45307</v>
      </c>
      <c r="C2727" s="1" t="n">
        <v>45832</v>
      </c>
      <c r="D2727" t="inlineStr">
        <is>
          <t>VÄSTERBOTTENS LÄN</t>
        </is>
      </c>
      <c r="E2727" t="inlineStr">
        <is>
          <t>SKELLEFTEÅ</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1809-2024</t>
        </is>
      </c>
      <c r="B2728" s="1" t="n">
        <v>45307</v>
      </c>
      <c r="C2728" s="1" t="n">
        <v>45832</v>
      </c>
      <c r="D2728" t="inlineStr">
        <is>
          <t>VÄSTERBOTTENS LÄN</t>
        </is>
      </c>
      <c r="E2728" t="inlineStr">
        <is>
          <t>SKELLEFTEÅ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1826-2024</t>
        </is>
      </c>
      <c r="B2729" s="1" t="n">
        <v>45307</v>
      </c>
      <c r="C2729" s="1" t="n">
        <v>45832</v>
      </c>
      <c r="D2729" t="inlineStr">
        <is>
          <t>VÄSTERBOTTENS LÄN</t>
        </is>
      </c>
      <c r="E2729" t="inlineStr">
        <is>
          <t>SKELLEFTEÅ</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2050-2024</t>
        </is>
      </c>
      <c r="B2730" s="1" t="n">
        <v>45308</v>
      </c>
      <c r="C2730" s="1" t="n">
        <v>45832</v>
      </c>
      <c r="D2730" t="inlineStr">
        <is>
          <t>VÄSTERBOTTENS LÄN</t>
        </is>
      </c>
      <c r="E2730" t="inlineStr">
        <is>
          <t>SKELLEFTEÅ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2058-2024</t>
        </is>
      </c>
      <c r="B2731" s="1" t="n">
        <v>45308</v>
      </c>
      <c r="C2731" s="1" t="n">
        <v>45832</v>
      </c>
      <c r="D2731" t="inlineStr">
        <is>
          <t>VÄSTERBOTTENS LÄN</t>
        </is>
      </c>
      <c r="E2731" t="inlineStr">
        <is>
          <t>SKELLEFTEÅ</t>
        </is>
      </c>
      <c r="G2731" t="n">
        <v>29.4</v>
      </c>
      <c r="H2731" t="n">
        <v>0</v>
      </c>
      <c r="I2731" t="n">
        <v>0</v>
      </c>
      <c r="J2731" t="n">
        <v>0</v>
      </c>
      <c r="K2731" t="n">
        <v>0</v>
      </c>
      <c r="L2731" t="n">
        <v>0</v>
      </c>
      <c r="M2731" t="n">
        <v>0</v>
      </c>
      <c r="N2731" t="n">
        <v>0</v>
      </c>
      <c r="O2731" t="n">
        <v>0</v>
      </c>
      <c r="P2731" t="n">
        <v>0</v>
      </c>
      <c r="Q2731" t="n">
        <v>0</v>
      </c>
      <c r="R2731" s="2" t="inlineStr"/>
    </row>
    <row r="2732" ht="15" customHeight="1">
      <c r="A2732" t="inlineStr">
        <is>
          <t>A 2043-2024</t>
        </is>
      </c>
      <c r="B2732" s="1" t="n">
        <v>45308</v>
      </c>
      <c r="C2732" s="1" t="n">
        <v>45832</v>
      </c>
      <c r="D2732" t="inlineStr">
        <is>
          <t>VÄSTERBOTTENS LÄN</t>
        </is>
      </c>
      <c r="E2732" t="inlineStr">
        <is>
          <t>SKELLEFTEÅ</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2051-2024</t>
        </is>
      </c>
      <c r="B2733" s="1" t="n">
        <v>45308</v>
      </c>
      <c r="C2733" s="1" t="n">
        <v>45832</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2055-2024</t>
        </is>
      </c>
      <c r="B2734" s="1" t="n">
        <v>45308</v>
      </c>
      <c r="C2734" s="1" t="n">
        <v>45832</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2059-2024</t>
        </is>
      </c>
      <c r="B2735" s="1" t="n">
        <v>45308</v>
      </c>
      <c r="C2735" s="1" t="n">
        <v>45832</v>
      </c>
      <c r="D2735" t="inlineStr">
        <is>
          <t>VÄSTERBOTTENS LÄN</t>
        </is>
      </c>
      <c r="E2735" t="inlineStr">
        <is>
          <t>SKELLEFTEÅ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2045-2024</t>
        </is>
      </c>
      <c r="B2736" s="1" t="n">
        <v>45308</v>
      </c>
      <c r="C2736" s="1" t="n">
        <v>45832</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2052-2024</t>
        </is>
      </c>
      <c r="B2737" s="1" t="n">
        <v>45308</v>
      </c>
      <c r="C2737" s="1" t="n">
        <v>45832</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2170-2024</t>
        </is>
      </c>
      <c r="B2738" s="1" t="n">
        <v>45309</v>
      </c>
      <c r="C2738" s="1" t="n">
        <v>45832</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2090-2024</t>
        </is>
      </c>
      <c r="B2739" s="1" t="n">
        <v>45309</v>
      </c>
      <c r="C2739" s="1" t="n">
        <v>45832</v>
      </c>
      <c r="D2739" t="inlineStr">
        <is>
          <t>VÄSTERBOTTENS LÄN</t>
        </is>
      </c>
      <c r="E2739" t="inlineStr">
        <is>
          <t>SKELLEFTEÅ</t>
        </is>
      </c>
      <c r="F2739" t="inlineStr">
        <is>
          <t>Sveaskog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2417-2024</t>
        </is>
      </c>
      <c r="B2740" s="1" t="n">
        <v>45310</v>
      </c>
      <c r="C2740" s="1" t="n">
        <v>45832</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2579-2024</t>
        </is>
      </c>
      <c r="B2741" s="1" t="n">
        <v>45313</v>
      </c>
      <c r="C2741" s="1" t="n">
        <v>45832</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2526-2024</t>
        </is>
      </c>
      <c r="B2742" s="1" t="n">
        <v>45313</v>
      </c>
      <c r="C2742" s="1" t="n">
        <v>45832</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2562-2024</t>
        </is>
      </c>
      <c r="B2743" s="1" t="n">
        <v>45313</v>
      </c>
      <c r="C2743" s="1" t="n">
        <v>45832</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2572-2024</t>
        </is>
      </c>
      <c r="B2744" s="1" t="n">
        <v>45313</v>
      </c>
      <c r="C2744" s="1" t="n">
        <v>45832</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2641-2024</t>
        </is>
      </c>
      <c r="B2745" s="1" t="n">
        <v>45314</v>
      </c>
      <c r="C2745" s="1" t="n">
        <v>45832</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2773-2024</t>
        </is>
      </c>
      <c r="B2746" s="1" t="n">
        <v>45314</v>
      </c>
      <c r="C2746" s="1" t="n">
        <v>45832</v>
      </c>
      <c r="D2746" t="inlineStr">
        <is>
          <t>VÄSTERBOTTENS LÄN</t>
        </is>
      </c>
      <c r="E2746" t="inlineStr">
        <is>
          <t>SKELLEFTEÅ</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2811-2024</t>
        </is>
      </c>
      <c r="B2747" s="1" t="n">
        <v>45314</v>
      </c>
      <c r="C2747" s="1" t="n">
        <v>45832</v>
      </c>
      <c r="D2747" t="inlineStr">
        <is>
          <t>VÄSTERBOTTENS LÄN</t>
        </is>
      </c>
      <c r="E2747" t="inlineStr">
        <is>
          <t>SKELLEFTEÅ</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2840-2024</t>
        </is>
      </c>
      <c r="B2748" s="1" t="n">
        <v>45315</v>
      </c>
      <c r="C2748" s="1" t="n">
        <v>45832</v>
      </c>
      <c r="D2748" t="inlineStr">
        <is>
          <t>VÄSTERBOTTENS LÄN</t>
        </is>
      </c>
      <c r="E2748" t="inlineStr">
        <is>
          <t>SKELLEFTEÅ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2848-2024</t>
        </is>
      </c>
      <c r="B2749" s="1" t="n">
        <v>45315</v>
      </c>
      <c r="C2749" s="1" t="n">
        <v>45832</v>
      </c>
      <c r="D2749" t="inlineStr">
        <is>
          <t>VÄSTERBOTTENS LÄN</t>
        </is>
      </c>
      <c r="E2749" t="inlineStr">
        <is>
          <t>SKELLEFTEÅ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2845-2024</t>
        </is>
      </c>
      <c r="B2750" s="1" t="n">
        <v>45315</v>
      </c>
      <c r="C2750" s="1" t="n">
        <v>45832</v>
      </c>
      <c r="D2750" t="inlineStr">
        <is>
          <t>VÄSTERBOTTENS LÄN</t>
        </is>
      </c>
      <c r="E2750" t="inlineStr">
        <is>
          <t>SKELLEFTEÅ</t>
        </is>
      </c>
      <c r="F2750" t="inlineStr">
        <is>
          <t>Sveaskog</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2955-2024</t>
        </is>
      </c>
      <c r="B2751" s="1" t="n">
        <v>45315</v>
      </c>
      <c r="C2751" s="1" t="n">
        <v>45832</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2987-2024</t>
        </is>
      </c>
      <c r="B2752" s="1" t="n">
        <v>45315</v>
      </c>
      <c r="C2752" s="1" t="n">
        <v>45832</v>
      </c>
      <c r="D2752" t="inlineStr">
        <is>
          <t>VÄSTERBOTTENS LÄN</t>
        </is>
      </c>
      <c r="E2752" t="inlineStr">
        <is>
          <t>SKELLEFTEÅ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2976-2024</t>
        </is>
      </c>
      <c r="B2753" s="1" t="n">
        <v>45315</v>
      </c>
      <c r="C2753" s="1" t="n">
        <v>45832</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3045-2024</t>
        </is>
      </c>
      <c r="B2754" s="1" t="n">
        <v>45316</v>
      </c>
      <c r="C2754" s="1" t="n">
        <v>45832</v>
      </c>
      <c r="D2754" t="inlineStr">
        <is>
          <t>VÄSTERBOTTENS LÄN</t>
        </is>
      </c>
      <c r="E2754" t="inlineStr">
        <is>
          <t>SKELLEFTEÅ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3143-2024</t>
        </is>
      </c>
      <c r="B2755" s="1" t="n">
        <v>45316</v>
      </c>
      <c r="C2755" s="1" t="n">
        <v>45832</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3142-2024</t>
        </is>
      </c>
      <c r="B2756" s="1" t="n">
        <v>45316</v>
      </c>
      <c r="C2756" s="1" t="n">
        <v>45832</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3141-2024</t>
        </is>
      </c>
      <c r="B2757" s="1" t="n">
        <v>45316</v>
      </c>
      <c r="C2757" s="1" t="n">
        <v>45832</v>
      </c>
      <c r="D2757" t="inlineStr">
        <is>
          <t>VÄSTERBOTTENS LÄN</t>
        </is>
      </c>
      <c r="E2757" t="inlineStr">
        <is>
          <t>SKELLEFTEÅ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3358-2024</t>
        </is>
      </c>
      <c r="B2758" s="1" t="n">
        <v>45317</v>
      </c>
      <c r="C2758" s="1" t="n">
        <v>45832</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3445-2024</t>
        </is>
      </c>
      <c r="B2759" s="1" t="n">
        <v>45320</v>
      </c>
      <c r="C2759" s="1" t="n">
        <v>45832</v>
      </c>
      <c r="D2759" t="inlineStr">
        <is>
          <t>VÄSTERBOTTENS LÄN</t>
        </is>
      </c>
      <c r="E2759" t="inlineStr">
        <is>
          <t>SKELLEFTEÅ</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3451-2024</t>
        </is>
      </c>
      <c r="B2760" s="1" t="n">
        <v>45320</v>
      </c>
      <c r="C2760" s="1" t="n">
        <v>45832</v>
      </c>
      <c r="D2760" t="inlineStr">
        <is>
          <t>VÄSTERBOTTENS LÄN</t>
        </is>
      </c>
      <c r="E2760" t="inlineStr">
        <is>
          <t>SKELLEFTEÅ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3465-2024</t>
        </is>
      </c>
      <c r="B2761" s="1" t="n">
        <v>45320</v>
      </c>
      <c r="C2761" s="1" t="n">
        <v>45832</v>
      </c>
      <c r="D2761" t="inlineStr">
        <is>
          <t>VÄSTERBOTTENS LÄN</t>
        </is>
      </c>
      <c r="E2761" t="inlineStr">
        <is>
          <t>SKELLEFTEÅ</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3571-2024</t>
        </is>
      </c>
      <c r="B2762" s="1" t="n">
        <v>45320</v>
      </c>
      <c r="C2762" s="1" t="n">
        <v>45832</v>
      </c>
      <c r="D2762" t="inlineStr">
        <is>
          <t>VÄSTERBOTTENS LÄN</t>
        </is>
      </c>
      <c r="E2762" t="inlineStr">
        <is>
          <t>SKELLEFTEÅ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3453-2024</t>
        </is>
      </c>
      <c r="B2763" s="1" t="n">
        <v>45320</v>
      </c>
      <c r="C2763" s="1" t="n">
        <v>45832</v>
      </c>
      <c r="D2763" t="inlineStr">
        <is>
          <t>VÄSTERBOTTENS LÄN</t>
        </is>
      </c>
      <c r="E2763" t="inlineStr">
        <is>
          <t>SKELLEFTEÅ</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3458-2024</t>
        </is>
      </c>
      <c r="B2764" s="1" t="n">
        <v>45320</v>
      </c>
      <c r="C2764" s="1" t="n">
        <v>45832</v>
      </c>
      <c r="D2764" t="inlineStr">
        <is>
          <t>VÄSTERBOTTENS LÄN</t>
        </is>
      </c>
      <c r="E2764" t="inlineStr">
        <is>
          <t>SKELLEFTEÅ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3611-2024</t>
        </is>
      </c>
      <c r="B2765" s="1" t="n">
        <v>45320</v>
      </c>
      <c r="C2765" s="1" t="n">
        <v>45832</v>
      </c>
      <c r="D2765" t="inlineStr">
        <is>
          <t>VÄSTERBOTTENS LÄN</t>
        </is>
      </c>
      <c r="E2765" t="inlineStr">
        <is>
          <t>SKELLEFTEÅ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3947-2024</t>
        </is>
      </c>
      <c r="B2766" s="1" t="n">
        <v>45322</v>
      </c>
      <c r="C2766" s="1" t="n">
        <v>45832</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3983-2024</t>
        </is>
      </c>
      <c r="B2767" s="1" t="n">
        <v>45322</v>
      </c>
      <c r="C2767" s="1" t="n">
        <v>45832</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3962-2024</t>
        </is>
      </c>
      <c r="B2768" s="1" t="n">
        <v>45322</v>
      </c>
      <c r="C2768" s="1" t="n">
        <v>45832</v>
      </c>
      <c r="D2768" t="inlineStr">
        <is>
          <t>VÄSTERBOTTENS LÄN</t>
        </is>
      </c>
      <c r="E2768" t="inlineStr">
        <is>
          <t>SKELLEFTEÅ</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4022-2024</t>
        </is>
      </c>
      <c r="B2769" s="1" t="n">
        <v>45323</v>
      </c>
      <c r="C2769" s="1" t="n">
        <v>45832</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4034-2024</t>
        </is>
      </c>
      <c r="B2770" s="1" t="n">
        <v>45323</v>
      </c>
      <c r="C2770" s="1" t="n">
        <v>45832</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4106-2024</t>
        </is>
      </c>
      <c r="B2771" s="1" t="n">
        <v>45323</v>
      </c>
      <c r="C2771" s="1" t="n">
        <v>45832</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4118-2024</t>
        </is>
      </c>
      <c r="B2772" s="1" t="n">
        <v>45323</v>
      </c>
      <c r="C2772" s="1" t="n">
        <v>45832</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4138-2024</t>
        </is>
      </c>
      <c r="B2773" s="1" t="n">
        <v>45323</v>
      </c>
      <c r="C2773" s="1" t="n">
        <v>45832</v>
      </c>
      <c r="D2773" t="inlineStr">
        <is>
          <t>VÄSTERBOTTENS LÄN</t>
        </is>
      </c>
      <c r="E2773" t="inlineStr">
        <is>
          <t>SKELLEFTEÅ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4008-2024</t>
        </is>
      </c>
      <c r="B2774" s="1" t="n">
        <v>45323</v>
      </c>
      <c r="C2774" s="1" t="n">
        <v>45832</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4032-2024</t>
        </is>
      </c>
      <c r="B2775" s="1" t="n">
        <v>45323</v>
      </c>
      <c r="C2775" s="1" t="n">
        <v>45832</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4019-2024</t>
        </is>
      </c>
      <c r="B2776" s="1" t="n">
        <v>45323</v>
      </c>
      <c r="C2776" s="1" t="n">
        <v>45832</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4084-2024</t>
        </is>
      </c>
      <c r="B2777" s="1" t="n">
        <v>45323</v>
      </c>
      <c r="C2777" s="1" t="n">
        <v>45832</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4124-2024</t>
        </is>
      </c>
      <c r="B2778" s="1" t="n">
        <v>45323</v>
      </c>
      <c r="C2778" s="1" t="n">
        <v>45832</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4292-2024</t>
        </is>
      </c>
      <c r="B2779" s="1" t="n">
        <v>45324</v>
      </c>
      <c r="C2779" s="1" t="n">
        <v>45832</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4617-2024</t>
        </is>
      </c>
      <c r="B2780" s="1" t="n">
        <v>45327</v>
      </c>
      <c r="C2780" s="1" t="n">
        <v>45832</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4656-2024</t>
        </is>
      </c>
      <c r="B2781" s="1" t="n">
        <v>45327</v>
      </c>
      <c r="C2781" s="1" t="n">
        <v>45832</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4777-2024</t>
        </is>
      </c>
      <c r="B2782" s="1" t="n">
        <v>45328</v>
      </c>
      <c r="C2782" s="1" t="n">
        <v>45832</v>
      </c>
      <c r="D2782" t="inlineStr">
        <is>
          <t>VÄSTERBOTTENS LÄN</t>
        </is>
      </c>
      <c r="E2782" t="inlineStr">
        <is>
          <t>SKELLEFTEÅ</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4900-2024</t>
        </is>
      </c>
      <c r="B2783" s="1" t="n">
        <v>45329</v>
      </c>
      <c r="C2783" s="1" t="n">
        <v>45832</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5220-2024</t>
        </is>
      </c>
      <c r="B2784" s="1" t="n">
        <v>45330</v>
      </c>
      <c r="C2784" s="1" t="n">
        <v>45832</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5236-2024</t>
        </is>
      </c>
      <c r="B2785" s="1" t="n">
        <v>45330</v>
      </c>
      <c r="C2785" s="1" t="n">
        <v>45832</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5252-2024</t>
        </is>
      </c>
      <c r="B2786" s="1" t="n">
        <v>45330</v>
      </c>
      <c r="C2786" s="1" t="n">
        <v>45832</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5239-2024</t>
        </is>
      </c>
      <c r="B2787" s="1" t="n">
        <v>45330</v>
      </c>
      <c r="C2787" s="1" t="n">
        <v>45832</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5237-2024</t>
        </is>
      </c>
      <c r="B2788" s="1" t="n">
        <v>45330</v>
      </c>
      <c r="C2788" s="1" t="n">
        <v>45832</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5603-2024</t>
        </is>
      </c>
      <c r="B2789" s="1" t="n">
        <v>45334</v>
      </c>
      <c r="C2789" s="1" t="n">
        <v>45832</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5636-2024</t>
        </is>
      </c>
      <c r="B2790" s="1" t="n">
        <v>45334</v>
      </c>
      <c r="C2790" s="1" t="n">
        <v>45832</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5660-2024</t>
        </is>
      </c>
      <c r="B2791" s="1" t="n">
        <v>45334</v>
      </c>
      <c r="C2791" s="1" t="n">
        <v>45832</v>
      </c>
      <c r="D2791" t="inlineStr">
        <is>
          <t>VÄSTERBOTTENS LÄN</t>
        </is>
      </c>
      <c r="E2791" t="inlineStr">
        <is>
          <t>SKELLEFTEÅ</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5639-2024</t>
        </is>
      </c>
      <c r="B2792" s="1" t="n">
        <v>45334</v>
      </c>
      <c r="C2792" s="1" t="n">
        <v>45832</v>
      </c>
      <c r="D2792" t="inlineStr">
        <is>
          <t>VÄSTERBOTTENS LÄN</t>
        </is>
      </c>
      <c r="E2792" t="inlineStr">
        <is>
          <t>SKELLEFTEÅ</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5596-2024</t>
        </is>
      </c>
      <c r="B2793" s="1" t="n">
        <v>45334</v>
      </c>
      <c r="C2793" s="1" t="n">
        <v>45832</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6018-2024</t>
        </is>
      </c>
      <c r="B2794" s="1" t="n">
        <v>45336</v>
      </c>
      <c r="C2794" s="1" t="n">
        <v>45832</v>
      </c>
      <c r="D2794" t="inlineStr">
        <is>
          <t>VÄSTERBOTTENS LÄN</t>
        </is>
      </c>
      <c r="E2794" t="inlineStr">
        <is>
          <t>SKELLEFTEÅ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6078-2024</t>
        </is>
      </c>
      <c r="B2795" s="1" t="n">
        <v>45336</v>
      </c>
      <c r="C2795" s="1" t="n">
        <v>45832</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6244-2024</t>
        </is>
      </c>
      <c r="B2796" s="1" t="n">
        <v>45337</v>
      </c>
      <c r="C2796" s="1" t="n">
        <v>45832</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6398-2024</t>
        </is>
      </c>
      <c r="B2797" s="1" t="n">
        <v>45338</v>
      </c>
      <c r="C2797" s="1" t="n">
        <v>45832</v>
      </c>
      <c r="D2797" t="inlineStr">
        <is>
          <t>VÄSTERBOTTENS LÄN</t>
        </is>
      </c>
      <c r="E2797" t="inlineStr">
        <is>
          <t>SKELLEFTEÅ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6420-2024</t>
        </is>
      </c>
      <c r="B2798" s="1" t="n">
        <v>45338</v>
      </c>
      <c r="C2798" s="1" t="n">
        <v>45832</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6428-2024</t>
        </is>
      </c>
      <c r="B2799" s="1" t="n">
        <v>45338</v>
      </c>
      <c r="C2799" s="1" t="n">
        <v>45832</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6422-2024</t>
        </is>
      </c>
      <c r="B2800" s="1" t="n">
        <v>45338</v>
      </c>
      <c r="C2800" s="1" t="n">
        <v>45832</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6448-2024</t>
        </is>
      </c>
      <c r="B2801" s="1" t="n">
        <v>45338</v>
      </c>
      <c r="C2801" s="1" t="n">
        <v>45832</v>
      </c>
      <c r="D2801" t="inlineStr">
        <is>
          <t>VÄSTERBOTTENS LÄN</t>
        </is>
      </c>
      <c r="E2801" t="inlineStr">
        <is>
          <t>SKELLEFTEÅ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6435-2024</t>
        </is>
      </c>
      <c r="B2802" s="1" t="n">
        <v>45338</v>
      </c>
      <c r="C2802" s="1" t="n">
        <v>45832</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6710-2024</t>
        </is>
      </c>
      <c r="B2803" s="1" t="n">
        <v>45341</v>
      </c>
      <c r="C2803" s="1" t="n">
        <v>45832</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6723-2024</t>
        </is>
      </c>
      <c r="B2804" s="1" t="n">
        <v>45342</v>
      </c>
      <c r="C2804" s="1" t="n">
        <v>45832</v>
      </c>
      <c r="D2804" t="inlineStr">
        <is>
          <t>VÄSTERBOTTENS LÄN</t>
        </is>
      </c>
      <c r="E2804" t="inlineStr">
        <is>
          <t>SKELLEFTEÅ</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6720-2024</t>
        </is>
      </c>
      <c r="B2805" s="1" t="n">
        <v>45342</v>
      </c>
      <c r="C2805" s="1" t="n">
        <v>45832</v>
      </c>
      <c r="D2805" t="inlineStr">
        <is>
          <t>VÄSTERBOTTENS LÄN</t>
        </is>
      </c>
      <c r="E2805" t="inlineStr">
        <is>
          <t>SKELLEFTEÅ</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6704-2024</t>
        </is>
      </c>
      <c r="B2806" s="1" t="n">
        <v>45342</v>
      </c>
      <c r="C2806" s="1" t="n">
        <v>45832</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6931-2024</t>
        </is>
      </c>
      <c r="B2807" s="1" t="n">
        <v>45343</v>
      </c>
      <c r="C2807" s="1" t="n">
        <v>45832</v>
      </c>
      <c r="D2807" t="inlineStr">
        <is>
          <t>VÄSTERBOTTENS LÄN</t>
        </is>
      </c>
      <c r="E2807" t="inlineStr">
        <is>
          <t>SKELLEFTEÅ</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7225-2024</t>
        </is>
      </c>
      <c r="B2808" s="1" t="n">
        <v>45344</v>
      </c>
      <c r="C2808" s="1" t="n">
        <v>45832</v>
      </c>
      <c r="D2808" t="inlineStr">
        <is>
          <t>VÄSTERBOTTENS LÄN</t>
        </is>
      </c>
      <c r="E2808" t="inlineStr">
        <is>
          <t>SKELLEFTEÅ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7255-2024</t>
        </is>
      </c>
      <c r="B2809" s="1" t="n">
        <v>45344</v>
      </c>
      <c r="C2809" s="1" t="n">
        <v>45832</v>
      </c>
      <c r="D2809" t="inlineStr">
        <is>
          <t>VÄSTERBOTTENS LÄN</t>
        </is>
      </c>
      <c r="E2809" t="inlineStr">
        <is>
          <t>SKELLEFTEÅ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7256-2024</t>
        </is>
      </c>
      <c r="B2810" s="1" t="n">
        <v>45344</v>
      </c>
      <c r="C2810" s="1" t="n">
        <v>45832</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7668-2024</t>
        </is>
      </c>
      <c r="B2811" s="1" t="n">
        <v>45348</v>
      </c>
      <c r="C2811" s="1" t="n">
        <v>45832</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7742-2024</t>
        </is>
      </c>
      <c r="B2812" s="1" t="n">
        <v>45348</v>
      </c>
      <c r="C2812" s="1" t="n">
        <v>45832</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7767-2024</t>
        </is>
      </c>
      <c r="B2813" s="1" t="n">
        <v>45348</v>
      </c>
      <c r="C2813" s="1" t="n">
        <v>45832</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7766-2024</t>
        </is>
      </c>
      <c r="B2814" s="1" t="n">
        <v>45348</v>
      </c>
      <c r="C2814" s="1" t="n">
        <v>45832</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7745-2024</t>
        </is>
      </c>
      <c r="B2815" s="1" t="n">
        <v>45348</v>
      </c>
      <c r="C2815" s="1" t="n">
        <v>45832</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7800-2024</t>
        </is>
      </c>
      <c r="B2816" s="1" t="n">
        <v>45348</v>
      </c>
      <c r="C2816" s="1" t="n">
        <v>45832</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7832-2024</t>
        </is>
      </c>
      <c r="B2817" s="1" t="n">
        <v>45349</v>
      </c>
      <c r="C2817" s="1" t="n">
        <v>45832</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7872-2024</t>
        </is>
      </c>
      <c r="B2818" s="1" t="n">
        <v>45349</v>
      </c>
      <c r="C2818" s="1" t="n">
        <v>45832</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7831-2024</t>
        </is>
      </c>
      <c r="B2819" s="1" t="n">
        <v>45349</v>
      </c>
      <c r="C2819" s="1" t="n">
        <v>45832</v>
      </c>
      <c r="D2819" t="inlineStr">
        <is>
          <t>VÄSTERBOTTENS LÄN</t>
        </is>
      </c>
      <c r="E2819" t="inlineStr">
        <is>
          <t>SKELLEFTEÅ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7884-2024</t>
        </is>
      </c>
      <c r="B2820" s="1" t="n">
        <v>45349</v>
      </c>
      <c r="C2820" s="1" t="n">
        <v>45832</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7943-2024</t>
        </is>
      </c>
      <c r="B2821" s="1" t="n">
        <v>45350</v>
      </c>
      <c r="C2821" s="1" t="n">
        <v>45832</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8532-2024</t>
        </is>
      </c>
      <c r="B2822" s="1" t="n">
        <v>45351</v>
      </c>
      <c r="C2822" s="1" t="n">
        <v>45832</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8341-2024</t>
        </is>
      </c>
      <c r="B2823" s="1" t="n">
        <v>45351</v>
      </c>
      <c r="C2823" s="1" t="n">
        <v>45832</v>
      </c>
      <c r="D2823" t="inlineStr">
        <is>
          <t>VÄSTERBOTTENS LÄN</t>
        </is>
      </c>
      <c r="E2823" t="inlineStr">
        <is>
          <t>SKELLEFTEÅ</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8569-2024</t>
        </is>
      </c>
      <c r="B2824" s="1" t="n">
        <v>45351</v>
      </c>
      <c r="C2824" s="1" t="n">
        <v>45832</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8566-2024</t>
        </is>
      </c>
      <c r="B2825" s="1" t="n">
        <v>45355</v>
      </c>
      <c r="C2825" s="1" t="n">
        <v>45832</v>
      </c>
      <c r="D2825" t="inlineStr">
        <is>
          <t>VÄSTERBOTTENS LÄN</t>
        </is>
      </c>
      <c r="E2825" t="inlineStr">
        <is>
          <t>SKELLEFTEÅ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8920-2024</t>
        </is>
      </c>
      <c r="B2826" s="1" t="n">
        <v>45357</v>
      </c>
      <c r="C2826" s="1" t="n">
        <v>45832</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8927-2024</t>
        </is>
      </c>
      <c r="B2827" s="1" t="n">
        <v>45357</v>
      </c>
      <c r="C2827" s="1" t="n">
        <v>45832</v>
      </c>
      <c r="D2827" t="inlineStr">
        <is>
          <t>VÄSTERBOTTENS LÄN</t>
        </is>
      </c>
      <c r="E2827" t="inlineStr">
        <is>
          <t>SKELLEFTEÅ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8924-2024</t>
        </is>
      </c>
      <c r="B2828" s="1" t="n">
        <v>45357</v>
      </c>
      <c r="C2828" s="1" t="n">
        <v>45832</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8928-2024</t>
        </is>
      </c>
      <c r="B2829" s="1" t="n">
        <v>45357</v>
      </c>
      <c r="C2829" s="1" t="n">
        <v>45832</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8932-2024</t>
        </is>
      </c>
      <c r="B2830" s="1" t="n">
        <v>45357</v>
      </c>
      <c r="C2830" s="1" t="n">
        <v>45832</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8919-2024</t>
        </is>
      </c>
      <c r="B2831" s="1" t="n">
        <v>45357</v>
      </c>
      <c r="C2831" s="1" t="n">
        <v>45832</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9233-2024</t>
        </is>
      </c>
      <c r="B2832" s="1" t="n">
        <v>45358</v>
      </c>
      <c r="C2832" s="1" t="n">
        <v>45832</v>
      </c>
      <c r="D2832" t="inlineStr">
        <is>
          <t>VÄSTERBOTTENS LÄN</t>
        </is>
      </c>
      <c r="E2832" t="inlineStr">
        <is>
          <t>SKELLEFTEÅ</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9228-2024</t>
        </is>
      </c>
      <c r="B2833" s="1" t="n">
        <v>45358</v>
      </c>
      <c r="C2833" s="1" t="n">
        <v>45832</v>
      </c>
      <c r="D2833" t="inlineStr">
        <is>
          <t>VÄSTERBOTTENS LÄN</t>
        </is>
      </c>
      <c r="E2833" t="inlineStr">
        <is>
          <t>SKELLEFTEÅ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9207-2024</t>
        </is>
      </c>
      <c r="B2834" s="1" t="n">
        <v>45358</v>
      </c>
      <c r="C2834" s="1" t="n">
        <v>45832</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9466-2024</t>
        </is>
      </c>
      <c r="B2835" s="1" t="n">
        <v>45359</v>
      </c>
      <c r="C2835" s="1" t="n">
        <v>45832</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9364-2024</t>
        </is>
      </c>
      <c r="B2836" s="1" t="n">
        <v>45359</v>
      </c>
      <c r="C2836" s="1" t="n">
        <v>45832</v>
      </c>
      <c r="D2836" t="inlineStr">
        <is>
          <t>VÄSTERBOTTENS LÄN</t>
        </is>
      </c>
      <c r="E2836" t="inlineStr">
        <is>
          <t>SKELLEFTEÅ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9425-2024</t>
        </is>
      </c>
      <c r="B2837" s="1" t="n">
        <v>45359</v>
      </c>
      <c r="C2837" s="1" t="n">
        <v>45832</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v>
      </c>
      <c r="C2838" s="1" t="n">
        <v>45832</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9470-2024</t>
        </is>
      </c>
      <c r="B2839" s="1" t="n">
        <v>45359</v>
      </c>
      <c r="C2839" s="1" t="n">
        <v>45832</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9717-2024</t>
        </is>
      </c>
      <c r="B2840" s="1" t="n">
        <v>45362</v>
      </c>
      <c r="C2840" s="1" t="n">
        <v>45832</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9711-2024</t>
        </is>
      </c>
      <c r="B2841" s="1" t="n">
        <v>45362</v>
      </c>
      <c r="C2841" s="1" t="n">
        <v>45832</v>
      </c>
      <c r="D2841" t="inlineStr">
        <is>
          <t>VÄSTERBOTTENS LÄN</t>
        </is>
      </c>
      <c r="E2841" t="inlineStr">
        <is>
          <t>SKELLEFTEÅ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9807-2024</t>
        </is>
      </c>
      <c r="B2842" s="1" t="n">
        <v>45362</v>
      </c>
      <c r="C2842" s="1" t="n">
        <v>45832</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9897-2024</t>
        </is>
      </c>
      <c r="B2843" s="1" t="n">
        <v>45363</v>
      </c>
      <c r="C2843" s="1" t="n">
        <v>45832</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9983-2024</t>
        </is>
      </c>
      <c r="B2844" s="1" t="n">
        <v>45363</v>
      </c>
      <c r="C2844" s="1" t="n">
        <v>45832</v>
      </c>
      <c r="D2844" t="inlineStr">
        <is>
          <t>VÄSTERBOTTENS LÄN</t>
        </is>
      </c>
      <c r="E2844" t="inlineStr">
        <is>
          <t>SKELLEFTEÅ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10340-2024</t>
        </is>
      </c>
      <c r="B2845" s="1" t="n">
        <v>45365</v>
      </c>
      <c r="C2845" s="1" t="n">
        <v>45832</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10250-2024</t>
        </is>
      </c>
      <c r="B2846" s="1" t="n">
        <v>45365</v>
      </c>
      <c r="C2846" s="1" t="n">
        <v>45832</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10343-2024</t>
        </is>
      </c>
      <c r="B2847" s="1" t="n">
        <v>45365</v>
      </c>
      <c r="C2847" s="1" t="n">
        <v>45832</v>
      </c>
      <c r="D2847" t="inlineStr">
        <is>
          <t>VÄSTERBOTTENS LÄN</t>
        </is>
      </c>
      <c r="E2847" t="inlineStr">
        <is>
          <t>SKELLEFTEÅ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10604-2024</t>
        </is>
      </c>
      <c r="B2848" s="1" t="n">
        <v>45366</v>
      </c>
      <c r="C2848" s="1" t="n">
        <v>45832</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10655-2024</t>
        </is>
      </c>
      <c r="B2849" s="1" t="n">
        <v>45368</v>
      </c>
      <c r="C2849" s="1" t="n">
        <v>45832</v>
      </c>
      <c r="D2849" t="inlineStr">
        <is>
          <t>VÄSTERBOTTENS LÄN</t>
        </is>
      </c>
      <c r="E2849" t="inlineStr">
        <is>
          <t>SKELLEFTEÅ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10719-2024</t>
        </is>
      </c>
      <c r="B2850" s="1" t="n">
        <v>45369</v>
      </c>
      <c r="C2850" s="1" t="n">
        <v>45832</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10825-2024</t>
        </is>
      </c>
      <c r="B2851" s="1" t="n">
        <v>45369</v>
      </c>
      <c r="C2851" s="1" t="n">
        <v>45832</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10693-2024</t>
        </is>
      </c>
      <c r="B2852" s="1" t="n">
        <v>45369</v>
      </c>
      <c r="C2852" s="1" t="n">
        <v>45832</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10659-2024</t>
        </is>
      </c>
      <c r="B2853" s="1" t="n">
        <v>45369</v>
      </c>
      <c r="C2853" s="1" t="n">
        <v>45832</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10879-2024</t>
        </is>
      </c>
      <c r="B2854" s="1" t="n">
        <v>45370</v>
      </c>
      <c r="C2854" s="1" t="n">
        <v>45832</v>
      </c>
      <c r="D2854" t="inlineStr">
        <is>
          <t>VÄSTERBOTTENS LÄN</t>
        </is>
      </c>
      <c r="E2854" t="inlineStr">
        <is>
          <t>SKELLEFTEÅ</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10883-2024</t>
        </is>
      </c>
      <c r="B2855" s="1" t="n">
        <v>45370</v>
      </c>
      <c r="C2855" s="1" t="n">
        <v>45832</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10893-2024</t>
        </is>
      </c>
      <c r="B2856" s="1" t="n">
        <v>45370</v>
      </c>
      <c r="C2856" s="1" t="n">
        <v>45832</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10886-2024</t>
        </is>
      </c>
      <c r="B2857" s="1" t="n">
        <v>45370</v>
      </c>
      <c r="C2857" s="1" t="n">
        <v>45832</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10892-2024</t>
        </is>
      </c>
      <c r="B2858" s="1" t="n">
        <v>45370</v>
      </c>
      <c r="C2858" s="1" t="n">
        <v>45832</v>
      </c>
      <c r="D2858" t="inlineStr">
        <is>
          <t>VÄSTERBOTTENS LÄN</t>
        </is>
      </c>
      <c r="E2858" t="inlineStr">
        <is>
          <t>SKELLEFTEÅ</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10900-2024</t>
        </is>
      </c>
      <c r="B2859" s="1" t="n">
        <v>45370</v>
      </c>
      <c r="C2859" s="1" t="n">
        <v>45832</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11027-2024</t>
        </is>
      </c>
      <c r="B2860" s="1" t="n">
        <v>45370</v>
      </c>
      <c r="C2860" s="1" t="n">
        <v>45832</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11025-2024</t>
        </is>
      </c>
      <c r="B2861" s="1" t="n">
        <v>45370</v>
      </c>
      <c r="C2861" s="1" t="n">
        <v>45832</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11082-2024</t>
        </is>
      </c>
      <c r="B2862" s="1" t="n">
        <v>45370</v>
      </c>
      <c r="C2862" s="1" t="n">
        <v>45832</v>
      </c>
      <c r="D2862" t="inlineStr">
        <is>
          <t>VÄSTERBOTTENS LÄN</t>
        </is>
      </c>
      <c r="E2862" t="inlineStr">
        <is>
          <t>SKELLEFTEÅ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11078-2024</t>
        </is>
      </c>
      <c r="B2863" s="1" t="n">
        <v>45370</v>
      </c>
      <c r="C2863" s="1" t="n">
        <v>45832</v>
      </c>
      <c r="D2863" t="inlineStr">
        <is>
          <t>VÄSTERBOTTENS LÄN</t>
        </is>
      </c>
      <c r="E2863" t="inlineStr">
        <is>
          <t>SKELLEFTEÅ</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10911-2024</t>
        </is>
      </c>
      <c r="B2864" s="1" t="n">
        <v>45370</v>
      </c>
      <c r="C2864" s="1" t="n">
        <v>45832</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11079-2024</t>
        </is>
      </c>
      <c r="B2865" s="1" t="n">
        <v>45370</v>
      </c>
      <c r="C2865" s="1" t="n">
        <v>45832</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11081-2024</t>
        </is>
      </c>
      <c r="B2866" s="1" t="n">
        <v>45370</v>
      </c>
      <c r="C2866" s="1" t="n">
        <v>45832</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45832</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11077-2024</t>
        </is>
      </c>
      <c r="B2868" s="1" t="n">
        <v>45370</v>
      </c>
      <c r="C2868" s="1" t="n">
        <v>45832</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11130-2024</t>
        </is>
      </c>
      <c r="B2869" s="1" t="n">
        <v>45371</v>
      </c>
      <c r="C2869" s="1" t="n">
        <v>45832</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11313-2024</t>
        </is>
      </c>
      <c r="B2870" s="1" t="n">
        <v>45371</v>
      </c>
      <c r="C2870" s="1" t="n">
        <v>45832</v>
      </c>
      <c r="D2870" t="inlineStr">
        <is>
          <t>VÄSTERBOTTENS LÄN</t>
        </is>
      </c>
      <c r="E2870" t="inlineStr">
        <is>
          <t>SKELLEFTEÅ</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11490-2024</t>
        </is>
      </c>
      <c r="B2871" s="1" t="n">
        <v>45372</v>
      </c>
      <c r="C2871" s="1" t="n">
        <v>45832</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11527-2024</t>
        </is>
      </c>
      <c r="B2872" s="1" t="n">
        <v>45372</v>
      </c>
      <c r="C2872" s="1" t="n">
        <v>45832</v>
      </c>
      <c r="D2872" t="inlineStr">
        <is>
          <t>VÄSTERBOTTENS LÄN</t>
        </is>
      </c>
      <c r="E2872" t="inlineStr">
        <is>
          <t>SKELLEFTEÅ</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11528-2024</t>
        </is>
      </c>
      <c r="B2873" s="1" t="n">
        <v>45372</v>
      </c>
      <c r="C2873" s="1" t="n">
        <v>45832</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11526-2024</t>
        </is>
      </c>
      <c r="B2874" s="1" t="n">
        <v>45372</v>
      </c>
      <c r="C2874" s="1" t="n">
        <v>45832</v>
      </c>
      <c r="D2874" t="inlineStr">
        <is>
          <t>VÄSTERBOTTENS LÄN</t>
        </is>
      </c>
      <c r="E2874" t="inlineStr">
        <is>
          <t>SKELLEFTEÅ</t>
        </is>
      </c>
      <c r="G2874" t="n">
        <v>21.4</v>
      </c>
      <c r="H2874" t="n">
        <v>0</v>
      </c>
      <c r="I2874" t="n">
        <v>0</v>
      </c>
      <c r="J2874" t="n">
        <v>0</v>
      </c>
      <c r="K2874" t="n">
        <v>0</v>
      </c>
      <c r="L2874" t="n">
        <v>0</v>
      </c>
      <c r="M2874" t="n">
        <v>0</v>
      </c>
      <c r="N2874" t="n">
        <v>0</v>
      </c>
      <c r="O2874" t="n">
        <v>0</v>
      </c>
      <c r="P2874" t="n">
        <v>0</v>
      </c>
      <c r="Q2874" t="n">
        <v>0</v>
      </c>
      <c r="R2874" s="2" t="inlineStr"/>
    </row>
    <row r="2875" ht="15" customHeight="1">
      <c r="A2875" t="inlineStr">
        <is>
          <t>A 11525-2024</t>
        </is>
      </c>
      <c r="B2875" s="1" t="n">
        <v>45372</v>
      </c>
      <c r="C2875" s="1" t="n">
        <v>45832</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11529-2024</t>
        </is>
      </c>
      <c r="B2876" s="1" t="n">
        <v>45372</v>
      </c>
      <c r="C2876" s="1" t="n">
        <v>45832</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11875-2024</t>
        </is>
      </c>
      <c r="B2877" s="1" t="n">
        <v>45376</v>
      </c>
      <c r="C2877" s="1" t="n">
        <v>45832</v>
      </c>
      <c r="D2877" t="inlineStr">
        <is>
          <t>VÄSTERBOTTENS LÄN</t>
        </is>
      </c>
      <c r="E2877" t="inlineStr">
        <is>
          <t>SKELLEFTEÅ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12073-2024</t>
        </is>
      </c>
      <c r="B2878" s="1" t="n">
        <v>45376</v>
      </c>
      <c r="C2878" s="1" t="n">
        <v>45832</v>
      </c>
      <c r="D2878" t="inlineStr">
        <is>
          <t>VÄSTERBOTTENS LÄN</t>
        </is>
      </c>
      <c r="E2878" t="inlineStr">
        <is>
          <t>SKELLEFTEÅ</t>
        </is>
      </c>
      <c r="G2878" t="n">
        <v>41.5</v>
      </c>
      <c r="H2878" t="n">
        <v>0</v>
      </c>
      <c r="I2878" t="n">
        <v>0</v>
      </c>
      <c r="J2878" t="n">
        <v>0</v>
      </c>
      <c r="K2878" t="n">
        <v>0</v>
      </c>
      <c r="L2878" t="n">
        <v>0</v>
      </c>
      <c r="M2878" t="n">
        <v>0</v>
      </c>
      <c r="N2878" t="n">
        <v>0</v>
      </c>
      <c r="O2878" t="n">
        <v>0</v>
      </c>
      <c r="P2878" t="n">
        <v>0</v>
      </c>
      <c r="Q2878" t="n">
        <v>0</v>
      </c>
      <c r="R2878" s="2" t="inlineStr"/>
    </row>
    <row r="2879" ht="15" customHeight="1">
      <c r="A2879" t="inlineStr">
        <is>
          <t>A 12112-2024</t>
        </is>
      </c>
      <c r="B2879" s="1" t="n">
        <v>45376</v>
      </c>
      <c r="C2879" s="1" t="n">
        <v>45832</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12007-2024</t>
        </is>
      </c>
      <c r="B2880" s="1" t="n">
        <v>45377</v>
      </c>
      <c r="C2880" s="1" t="n">
        <v>45832</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12045-2024</t>
        </is>
      </c>
      <c r="B2881" s="1" t="n">
        <v>45377</v>
      </c>
      <c r="C2881" s="1" t="n">
        <v>45832</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12004-2024</t>
        </is>
      </c>
      <c r="B2882" s="1" t="n">
        <v>45377</v>
      </c>
      <c r="C2882" s="1" t="n">
        <v>45832</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12537-2024</t>
        </is>
      </c>
      <c r="B2883" s="1" t="n">
        <v>45379</v>
      </c>
      <c r="C2883" s="1" t="n">
        <v>45832</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12515-2024</t>
        </is>
      </c>
      <c r="B2884" s="1" t="n">
        <v>45379</v>
      </c>
      <c r="C2884" s="1" t="n">
        <v>45832</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12763-2024</t>
        </is>
      </c>
      <c r="B2885" s="1" t="n">
        <v>45384</v>
      </c>
      <c r="C2885" s="1" t="n">
        <v>45832</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12771-2024</t>
        </is>
      </c>
      <c r="B2886" s="1" t="n">
        <v>45384</v>
      </c>
      <c r="C2886" s="1" t="n">
        <v>45832</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12804-2024</t>
        </is>
      </c>
      <c r="B2887" s="1" t="n">
        <v>45384</v>
      </c>
      <c r="C2887" s="1" t="n">
        <v>45832</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12798-2024</t>
        </is>
      </c>
      <c r="B2888" s="1" t="n">
        <v>45384</v>
      </c>
      <c r="C2888" s="1" t="n">
        <v>45832</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12759-2024</t>
        </is>
      </c>
      <c r="B2889" s="1" t="n">
        <v>45384</v>
      </c>
      <c r="C2889" s="1" t="n">
        <v>45832</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12772-2024</t>
        </is>
      </c>
      <c r="B2890" s="1" t="n">
        <v>45384</v>
      </c>
      <c r="C2890" s="1" t="n">
        <v>45832</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12801-2024</t>
        </is>
      </c>
      <c r="B2891" s="1" t="n">
        <v>45384</v>
      </c>
      <c r="C2891" s="1" t="n">
        <v>45832</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13270-2024</t>
        </is>
      </c>
      <c r="B2892" s="1" t="n">
        <v>45386</v>
      </c>
      <c r="C2892" s="1" t="n">
        <v>45832</v>
      </c>
      <c r="D2892" t="inlineStr">
        <is>
          <t>VÄSTERBOTTENS LÄN</t>
        </is>
      </c>
      <c r="E2892" t="inlineStr">
        <is>
          <t>SKELLEFTEÅ</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13267-2024</t>
        </is>
      </c>
      <c r="B2893" s="1" t="n">
        <v>45386</v>
      </c>
      <c r="C2893" s="1" t="n">
        <v>45832</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13257-2024</t>
        </is>
      </c>
      <c r="B2894" s="1" t="n">
        <v>45386</v>
      </c>
      <c r="C2894" s="1" t="n">
        <v>45832</v>
      </c>
      <c r="D2894" t="inlineStr">
        <is>
          <t>VÄSTERBOTTENS LÄN</t>
        </is>
      </c>
      <c r="E2894" t="inlineStr">
        <is>
          <t>SKELLEFTEÅ</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13298-2024</t>
        </is>
      </c>
      <c r="B2895" s="1" t="n">
        <v>45386</v>
      </c>
      <c r="C2895" s="1" t="n">
        <v>45832</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13330-2024</t>
        </is>
      </c>
      <c r="B2896" s="1" t="n">
        <v>45386</v>
      </c>
      <c r="C2896" s="1" t="n">
        <v>45832</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13920-2024</t>
        </is>
      </c>
      <c r="B2897" s="1" t="n">
        <v>45391</v>
      </c>
      <c r="C2897" s="1" t="n">
        <v>45832</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14227-2024</t>
        </is>
      </c>
      <c r="B2898" s="1" t="n">
        <v>45393</v>
      </c>
      <c r="C2898" s="1" t="n">
        <v>45832</v>
      </c>
      <c r="D2898" t="inlineStr">
        <is>
          <t>VÄSTERBOTTENS LÄN</t>
        </is>
      </c>
      <c r="E2898" t="inlineStr">
        <is>
          <t>SKELLEFTEÅ</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14232-2024</t>
        </is>
      </c>
      <c r="B2899" s="1" t="n">
        <v>45393</v>
      </c>
      <c r="C2899" s="1" t="n">
        <v>45832</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14342-2024</t>
        </is>
      </c>
      <c r="B2900" s="1" t="n">
        <v>45393</v>
      </c>
      <c r="C2900" s="1" t="n">
        <v>45832</v>
      </c>
      <c r="D2900" t="inlineStr">
        <is>
          <t>VÄSTERBOTTENS LÄN</t>
        </is>
      </c>
      <c r="E2900" t="inlineStr">
        <is>
          <t>SKELLEFTEÅ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14653-2024</t>
        </is>
      </c>
      <c r="B2901" s="1" t="n">
        <v>45397</v>
      </c>
      <c r="C2901" s="1" t="n">
        <v>45832</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14663-2024</t>
        </is>
      </c>
      <c r="B2902" s="1" t="n">
        <v>45397</v>
      </c>
      <c r="C2902" s="1" t="n">
        <v>45832</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14650-2024</t>
        </is>
      </c>
      <c r="B2903" s="1" t="n">
        <v>45397</v>
      </c>
      <c r="C2903" s="1" t="n">
        <v>45832</v>
      </c>
      <c r="D2903" t="inlineStr">
        <is>
          <t>VÄSTERBOTTENS LÄN</t>
        </is>
      </c>
      <c r="E2903" t="inlineStr">
        <is>
          <t>SKELLEFTEÅ</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14962-2024</t>
        </is>
      </c>
      <c r="B2904" s="1" t="n">
        <v>45399</v>
      </c>
      <c r="C2904" s="1" t="n">
        <v>45832</v>
      </c>
      <c r="D2904" t="inlineStr">
        <is>
          <t>VÄSTERBOTTENS LÄN</t>
        </is>
      </c>
      <c r="E2904" t="inlineStr">
        <is>
          <t>SKELLEFTEÅ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14963-2024</t>
        </is>
      </c>
      <c r="B2905" s="1" t="n">
        <v>45398</v>
      </c>
      <c r="C2905" s="1" t="n">
        <v>45832</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15137-2024</t>
        </is>
      </c>
      <c r="B2906" s="1" t="n">
        <v>45399</v>
      </c>
      <c r="C2906" s="1" t="n">
        <v>45832</v>
      </c>
      <c r="D2906" t="inlineStr">
        <is>
          <t>VÄSTERBOTTENS LÄN</t>
        </is>
      </c>
      <c r="E2906" t="inlineStr">
        <is>
          <t>SKELLEFTEÅ</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15136-2024</t>
        </is>
      </c>
      <c r="B2907" s="1" t="n">
        <v>45399</v>
      </c>
      <c r="C2907" s="1" t="n">
        <v>45832</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15424-2024</t>
        </is>
      </c>
      <c r="B2908" s="1" t="n">
        <v>45400</v>
      </c>
      <c r="C2908" s="1" t="n">
        <v>45832</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15467-2024</t>
        </is>
      </c>
      <c r="B2909" s="1" t="n">
        <v>45400</v>
      </c>
      <c r="C2909" s="1" t="n">
        <v>45832</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15473-2024</t>
        </is>
      </c>
      <c r="B2910" s="1" t="n">
        <v>45400</v>
      </c>
      <c r="C2910" s="1" t="n">
        <v>45832</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15460-2024</t>
        </is>
      </c>
      <c r="B2911" s="1" t="n">
        <v>45400</v>
      </c>
      <c r="C2911" s="1" t="n">
        <v>45832</v>
      </c>
      <c r="D2911" t="inlineStr">
        <is>
          <t>VÄSTERBOTTENS LÄN</t>
        </is>
      </c>
      <c r="E2911" t="inlineStr">
        <is>
          <t>SKELLEFTEÅ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15625-2024</t>
        </is>
      </c>
      <c r="B2912" s="1" t="n">
        <v>45402</v>
      </c>
      <c r="C2912" s="1" t="n">
        <v>45832</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15728-2024</t>
        </is>
      </c>
      <c r="B2913" s="1" t="n">
        <v>45404</v>
      </c>
      <c r="C2913" s="1" t="n">
        <v>45832</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15801-2024</t>
        </is>
      </c>
      <c r="B2914" s="1" t="n">
        <v>45404</v>
      </c>
      <c r="C2914" s="1" t="n">
        <v>45832</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15846-2024</t>
        </is>
      </c>
      <c r="B2915" s="1" t="n">
        <v>45404</v>
      </c>
      <c r="C2915" s="1" t="n">
        <v>45832</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15848-2024</t>
        </is>
      </c>
      <c r="B2916" s="1" t="n">
        <v>45404</v>
      </c>
      <c r="C2916" s="1" t="n">
        <v>45832</v>
      </c>
      <c r="D2916" t="inlineStr">
        <is>
          <t>VÄSTERBOTTENS LÄN</t>
        </is>
      </c>
      <c r="E2916" t="inlineStr">
        <is>
          <t>SKELLEFTEÅ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15856-2024</t>
        </is>
      </c>
      <c r="B2917" s="1" t="n">
        <v>45404</v>
      </c>
      <c r="C2917" s="1" t="n">
        <v>45832</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15855-2024</t>
        </is>
      </c>
      <c r="B2918" s="1" t="n">
        <v>45405</v>
      </c>
      <c r="C2918" s="1" t="n">
        <v>45832</v>
      </c>
      <c r="D2918" t="inlineStr">
        <is>
          <t>VÄSTERBOTTENS LÄN</t>
        </is>
      </c>
      <c r="E2918" t="inlineStr">
        <is>
          <t>SKELLEFTEÅ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15927-2024</t>
        </is>
      </c>
      <c r="B2919" s="1" t="n">
        <v>45405</v>
      </c>
      <c r="C2919" s="1" t="n">
        <v>45832</v>
      </c>
      <c r="D2919" t="inlineStr">
        <is>
          <t>VÄSTERBOTTENS LÄN</t>
        </is>
      </c>
      <c r="E2919" t="inlineStr">
        <is>
          <t>SKELLEFTEÅ</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16037-2024</t>
        </is>
      </c>
      <c r="B2920" s="1" t="n">
        <v>45405</v>
      </c>
      <c r="C2920" s="1" t="n">
        <v>45832</v>
      </c>
      <c r="D2920" t="inlineStr">
        <is>
          <t>VÄSTERBOTTENS LÄN</t>
        </is>
      </c>
      <c r="E2920" t="inlineStr">
        <is>
          <t>SKELLEFTEÅ</t>
        </is>
      </c>
      <c r="F2920" t="inlineStr">
        <is>
          <t>Holmen skog AB</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16096-2024</t>
        </is>
      </c>
      <c r="B2921" s="1" t="n">
        <v>45406</v>
      </c>
      <c r="C2921" s="1" t="n">
        <v>45832</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16501-2024</t>
        </is>
      </c>
      <c r="B2922" s="1" t="n">
        <v>45408</v>
      </c>
      <c r="C2922" s="1" t="n">
        <v>45832</v>
      </c>
      <c r="D2922" t="inlineStr">
        <is>
          <t>VÄSTERBOTTENS LÄN</t>
        </is>
      </c>
      <c r="E2922" t="inlineStr">
        <is>
          <t>SKELLEFTEÅ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16519-2024</t>
        </is>
      </c>
      <c r="B2923" s="1" t="n">
        <v>45408</v>
      </c>
      <c r="C2923" s="1" t="n">
        <v>45832</v>
      </c>
      <c r="D2923" t="inlineStr">
        <is>
          <t>VÄSTERBOTTENS LÄN</t>
        </is>
      </c>
      <c r="E2923" t="inlineStr">
        <is>
          <t>SKELLEFTEÅ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16711-2024</t>
        </is>
      </c>
      <c r="B2924" s="1" t="n">
        <v>45409</v>
      </c>
      <c r="C2924" s="1" t="n">
        <v>45832</v>
      </c>
      <c r="D2924" t="inlineStr">
        <is>
          <t>VÄSTERBOTTENS LÄN</t>
        </is>
      </c>
      <c r="E2924" t="inlineStr">
        <is>
          <t>SKELLEFTEÅ</t>
        </is>
      </c>
      <c r="F2924" t="inlineStr">
        <is>
          <t>SCA</t>
        </is>
      </c>
      <c r="G2924" t="n">
        <v>30.4</v>
      </c>
      <c r="H2924" t="n">
        <v>0</v>
      </c>
      <c r="I2924" t="n">
        <v>0</v>
      </c>
      <c r="J2924" t="n">
        <v>0</v>
      </c>
      <c r="K2924" t="n">
        <v>0</v>
      </c>
      <c r="L2924" t="n">
        <v>0</v>
      </c>
      <c r="M2924" t="n">
        <v>0</v>
      </c>
      <c r="N2924" t="n">
        <v>0</v>
      </c>
      <c r="O2924" t="n">
        <v>0</v>
      </c>
      <c r="P2924" t="n">
        <v>0</v>
      </c>
      <c r="Q2924" t="n">
        <v>0</v>
      </c>
      <c r="R2924" s="2" t="inlineStr"/>
      <c r="U2924">
        <f>HYPERLINK("https://klasma.github.io/Logging_2482/knärot/A 16711-2024 karta knärot.png", "A 16711-2024")</f>
        <v/>
      </c>
      <c r="V2924">
        <f>HYPERLINK("https://klasma.github.io/Logging_2482/klagomål/A 16711-2024 FSC-klagomål.docx", "A 16711-2024")</f>
        <v/>
      </c>
      <c r="W2924">
        <f>HYPERLINK("https://klasma.github.io/Logging_2482/klagomålsmail/A 16711-2024 FSC-klagomål mail.docx", "A 16711-2024")</f>
        <v/>
      </c>
      <c r="X2924">
        <f>HYPERLINK("https://klasma.github.io/Logging_2482/tillsyn/A 16711-2024 tillsynsbegäran.docx", "A 16711-2024")</f>
        <v/>
      </c>
      <c r="Y2924">
        <f>HYPERLINK("https://klasma.github.io/Logging_2482/tillsynsmail/A 16711-2024 tillsynsbegäran mail.docx", "A 16711-2024")</f>
        <v/>
      </c>
    </row>
    <row r="2925" ht="15" customHeight="1">
      <c r="A2925" t="inlineStr">
        <is>
          <t>A 16959-2024</t>
        </is>
      </c>
      <c r="B2925" s="1" t="n">
        <v>45411</v>
      </c>
      <c r="C2925" s="1" t="n">
        <v>45832</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17005-2024</t>
        </is>
      </c>
      <c r="B2926" s="1" t="n">
        <v>45411</v>
      </c>
      <c r="C2926" s="1" t="n">
        <v>45832</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16977-2024</t>
        </is>
      </c>
      <c r="B2927" s="1" t="n">
        <v>45412</v>
      </c>
      <c r="C2927" s="1" t="n">
        <v>45832</v>
      </c>
      <c r="D2927" t="inlineStr">
        <is>
          <t>VÄSTERBOTTENS LÄN</t>
        </is>
      </c>
      <c r="E2927" t="inlineStr">
        <is>
          <t>SKELLEFTEÅ</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17509-2024</t>
        </is>
      </c>
      <c r="B2928" s="1" t="n">
        <v>45415</v>
      </c>
      <c r="C2928" s="1" t="n">
        <v>45832</v>
      </c>
      <c r="D2928" t="inlineStr">
        <is>
          <t>VÄSTERBOTTENS LÄN</t>
        </is>
      </c>
      <c r="E2928" t="inlineStr">
        <is>
          <t>SKELLEFTEÅ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17542-2024</t>
        </is>
      </c>
      <c r="B2929" s="1" t="n">
        <v>45415</v>
      </c>
      <c r="C2929" s="1" t="n">
        <v>45832</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17550-2024</t>
        </is>
      </c>
      <c r="B2930" s="1" t="n">
        <v>45415</v>
      </c>
      <c r="C2930" s="1" t="n">
        <v>45832</v>
      </c>
      <c r="D2930" t="inlineStr">
        <is>
          <t>VÄSTERBOTTENS LÄN</t>
        </is>
      </c>
      <c r="E2930" t="inlineStr">
        <is>
          <t>SKELLEFTEÅ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17506-2024</t>
        </is>
      </c>
      <c r="B2931" s="1" t="n">
        <v>45415</v>
      </c>
      <c r="C2931" s="1" t="n">
        <v>45832</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17568-2024</t>
        </is>
      </c>
      <c r="B2932" s="1" t="n">
        <v>45415</v>
      </c>
      <c r="C2932" s="1" t="n">
        <v>45832</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18595-2024</t>
        </is>
      </c>
      <c r="B2933" s="1" t="n">
        <v>45415</v>
      </c>
      <c r="C2933" s="1" t="n">
        <v>45832</v>
      </c>
      <c r="D2933" t="inlineStr">
        <is>
          <t>VÄSTERBOTTENS LÄN</t>
        </is>
      </c>
      <c r="E2933" t="inlineStr">
        <is>
          <t>SKELLEFTEÅ</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17751-2024</t>
        </is>
      </c>
      <c r="B2934" s="1" t="n">
        <v>45418</v>
      </c>
      <c r="C2934" s="1" t="n">
        <v>45832</v>
      </c>
      <c r="D2934" t="inlineStr">
        <is>
          <t>VÄSTERBOTTENS LÄN</t>
        </is>
      </c>
      <c r="E2934" t="inlineStr">
        <is>
          <t>SKELLEFTEÅ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17880-2024</t>
        </is>
      </c>
      <c r="B2935" s="1" t="n">
        <v>45419</v>
      </c>
      <c r="C2935" s="1" t="n">
        <v>45832</v>
      </c>
      <c r="D2935" t="inlineStr">
        <is>
          <t>VÄSTERBOTTENS LÄN</t>
        </is>
      </c>
      <c r="E2935" t="inlineStr">
        <is>
          <t>SKELLEFTEÅ</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17884-2024</t>
        </is>
      </c>
      <c r="B2936" s="1" t="n">
        <v>45419</v>
      </c>
      <c r="C2936" s="1" t="n">
        <v>45832</v>
      </c>
      <c r="D2936" t="inlineStr">
        <is>
          <t>VÄSTERBOTTENS LÄN</t>
        </is>
      </c>
      <c r="E2936" t="inlineStr">
        <is>
          <t>SKELLEFTEÅ</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18367-2024</t>
        </is>
      </c>
      <c r="B2937" s="1" t="n">
        <v>45422</v>
      </c>
      <c r="C2937" s="1" t="n">
        <v>45832</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18368-2024</t>
        </is>
      </c>
      <c r="B2938" s="1" t="n">
        <v>45422</v>
      </c>
      <c r="C2938" s="1" t="n">
        <v>45832</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18578-2024</t>
        </is>
      </c>
      <c r="B2939" s="1" t="n">
        <v>45425</v>
      </c>
      <c r="C2939" s="1" t="n">
        <v>45832</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18564-2024</t>
        </is>
      </c>
      <c r="B2940" s="1" t="n">
        <v>45425</v>
      </c>
      <c r="C2940" s="1" t="n">
        <v>45832</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18580-2024</t>
        </is>
      </c>
      <c r="B2941" s="1" t="n">
        <v>45425</v>
      </c>
      <c r="C2941" s="1" t="n">
        <v>45832</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18681-2024</t>
        </is>
      </c>
      <c r="B2942" s="1" t="n">
        <v>45426</v>
      </c>
      <c r="C2942" s="1" t="n">
        <v>45832</v>
      </c>
      <c r="D2942" t="inlineStr">
        <is>
          <t>VÄSTERBOTTENS LÄN</t>
        </is>
      </c>
      <c r="E2942" t="inlineStr">
        <is>
          <t>SKELLEFTEÅ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18979-2024</t>
        </is>
      </c>
      <c r="B2943" s="1" t="n">
        <v>45427</v>
      </c>
      <c r="C2943" s="1" t="n">
        <v>45832</v>
      </c>
      <c r="D2943" t="inlineStr">
        <is>
          <t>VÄSTERBOTTENS LÄN</t>
        </is>
      </c>
      <c r="E2943" t="inlineStr">
        <is>
          <t>SKELLEFTEÅ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19405-2024</t>
        </is>
      </c>
      <c r="B2944" s="1" t="n">
        <v>45428</v>
      </c>
      <c r="C2944" s="1" t="n">
        <v>45832</v>
      </c>
      <c r="D2944" t="inlineStr">
        <is>
          <t>VÄSTERBOTTENS LÄN</t>
        </is>
      </c>
      <c r="E2944" t="inlineStr">
        <is>
          <t>SKELLEFTEÅ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19582-2024</t>
        </is>
      </c>
      <c r="B2945" s="1" t="n">
        <v>45430</v>
      </c>
      <c r="C2945" s="1" t="n">
        <v>45832</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19576-2024</t>
        </is>
      </c>
      <c r="B2946" s="1" t="n">
        <v>45430</v>
      </c>
      <c r="C2946" s="1" t="n">
        <v>45832</v>
      </c>
      <c r="D2946" t="inlineStr">
        <is>
          <t>VÄSTERBOTTENS LÄN</t>
        </is>
      </c>
      <c r="E2946" t="inlineStr">
        <is>
          <t>SKELLEFTEÅ</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45832</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19784-2024</t>
        </is>
      </c>
      <c r="B2948" s="1" t="n">
        <v>45432</v>
      </c>
      <c r="C2948" s="1" t="n">
        <v>45832</v>
      </c>
      <c r="D2948" t="inlineStr">
        <is>
          <t>VÄSTERBOTTENS LÄN</t>
        </is>
      </c>
      <c r="E2948" t="inlineStr">
        <is>
          <t>SKELLEFTEÅ</t>
        </is>
      </c>
      <c r="F2948" t="inlineStr">
        <is>
          <t>Sveaskog</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19801-2024</t>
        </is>
      </c>
      <c r="B2949" s="1" t="n">
        <v>45432</v>
      </c>
      <c r="C2949" s="1" t="n">
        <v>45832</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19808-2024</t>
        </is>
      </c>
      <c r="B2950" s="1" t="n">
        <v>45432</v>
      </c>
      <c r="C2950" s="1" t="n">
        <v>45832</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19809-2024</t>
        </is>
      </c>
      <c r="B2951" s="1" t="n">
        <v>45432</v>
      </c>
      <c r="C2951" s="1" t="n">
        <v>45832</v>
      </c>
      <c r="D2951" t="inlineStr">
        <is>
          <t>VÄSTERBOTTENS LÄN</t>
        </is>
      </c>
      <c r="E2951" t="inlineStr">
        <is>
          <t>SKELLEFTEÅ</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45832</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19905-2024</t>
        </is>
      </c>
      <c r="B2953" s="1" t="n">
        <v>45433</v>
      </c>
      <c r="C2953" s="1" t="n">
        <v>45832</v>
      </c>
      <c r="D2953" t="inlineStr">
        <is>
          <t>VÄSTERBOTTENS LÄN</t>
        </is>
      </c>
      <c r="E2953" t="inlineStr">
        <is>
          <t>SKELLEFTEÅ</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19957-2024</t>
        </is>
      </c>
      <c r="B2954" s="1" t="n">
        <v>45433</v>
      </c>
      <c r="C2954" s="1" t="n">
        <v>45832</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19975-2024</t>
        </is>
      </c>
      <c r="B2955" s="1" t="n">
        <v>45433</v>
      </c>
      <c r="C2955" s="1" t="n">
        <v>45832</v>
      </c>
      <c r="D2955" t="inlineStr">
        <is>
          <t>VÄSTERBOTTENS LÄN</t>
        </is>
      </c>
      <c r="E2955" t="inlineStr">
        <is>
          <t>SKELLEFTEÅ</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20153-2024</t>
        </is>
      </c>
      <c r="B2956" s="1" t="n">
        <v>45434</v>
      </c>
      <c r="C2956" s="1" t="n">
        <v>45832</v>
      </c>
      <c r="D2956" t="inlineStr">
        <is>
          <t>VÄSTERBOTTENS LÄN</t>
        </is>
      </c>
      <c r="E2956" t="inlineStr">
        <is>
          <t>SKELLEFTEÅ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20205-2024</t>
        </is>
      </c>
      <c r="B2957" s="1" t="n">
        <v>45434</v>
      </c>
      <c r="C2957" s="1" t="n">
        <v>45832</v>
      </c>
      <c r="D2957" t="inlineStr">
        <is>
          <t>VÄSTERBOTTENS LÄN</t>
        </is>
      </c>
      <c r="E2957" t="inlineStr">
        <is>
          <t>SKELLEFTEÅ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20209-2024</t>
        </is>
      </c>
      <c r="B2958" s="1" t="n">
        <v>45434</v>
      </c>
      <c r="C2958" s="1" t="n">
        <v>45832</v>
      </c>
      <c r="D2958" t="inlineStr">
        <is>
          <t>VÄSTERBOTTENS LÄN</t>
        </is>
      </c>
      <c r="E2958" t="inlineStr">
        <is>
          <t>SKELLEFTEÅ</t>
        </is>
      </c>
      <c r="F2958" t="inlineStr">
        <is>
          <t>Holmen skog AB</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20320-2024</t>
        </is>
      </c>
      <c r="B2959" s="1" t="n">
        <v>45435</v>
      </c>
      <c r="C2959" s="1" t="n">
        <v>45832</v>
      </c>
      <c r="D2959" t="inlineStr">
        <is>
          <t>VÄSTERBOTTENS LÄN</t>
        </is>
      </c>
      <c r="E2959" t="inlineStr">
        <is>
          <t>SKELLEFTEÅ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45832</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20498-2024</t>
        </is>
      </c>
      <c r="B2961" s="1" t="n">
        <v>45435</v>
      </c>
      <c r="C2961" s="1" t="n">
        <v>45832</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20429-2024</t>
        </is>
      </c>
      <c r="B2962" s="1" t="n">
        <v>45435</v>
      </c>
      <c r="C2962" s="1" t="n">
        <v>45832</v>
      </c>
      <c r="D2962" t="inlineStr">
        <is>
          <t>VÄSTERBOTTENS LÄN</t>
        </is>
      </c>
      <c r="E2962" t="inlineStr">
        <is>
          <t>SKELLEFTEÅ</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20497-2024</t>
        </is>
      </c>
      <c r="B2963" s="1" t="n">
        <v>45435</v>
      </c>
      <c r="C2963" s="1" t="n">
        <v>45832</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20448-2024</t>
        </is>
      </c>
      <c r="B2964" s="1" t="n">
        <v>45435</v>
      </c>
      <c r="C2964" s="1" t="n">
        <v>45832</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20500-2024</t>
        </is>
      </c>
      <c r="B2965" s="1" t="n">
        <v>45436</v>
      </c>
      <c r="C2965" s="1" t="n">
        <v>45832</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20479-2024</t>
        </is>
      </c>
      <c r="B2966" s="1" t="n">
        <v>45435</v>
      </c>
      <c r="C2966" s="1" t="n">
        <v>45832</v>
      </c>
      <c r="D2966" t="inlineStr">
        <is>
          <t>VÄSTERBOTTENS LÄN</t>
        </is>
      </c>
      <c r="E2966" t="inlineStr">
        <is>
          <t>SKELLEFTEÅ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20499-2024</t>
        </is>
      </c>
      <c r="B2967" s="1" t="n">
        <v>45435</v>
      </c>
      <c r="C2967" s="1" t="n">
        <v>45832</v>
      </c>
      <c r="D2967" t="inlineStr">
        <is>
          <t>VÄSTERBOTTENS LÄN</t>
        </is>
      </c>
      <c r="E2967" t="inlineStr">
        <is>
          <t>SKELLEFTEÅ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20592-2024</t>
        </is>
      </c>
      <c r="B2968" s="1" t="n">
        <v>45436</v>
      </c>
      <c r="C2968" s="1" t="n">
        <v>45832</v>
      </c>
      <c r="D2968" t="inlineStr">
        <is>
          <t>VÄSTERBOTTENS LÄN</t>
        </is>
      </c>
      <c r="E2968" t="inlineStr">
        <is>
          <t>SKELLEFTEÅ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20596-2024</t>
        </is>
      </c>
      <c r="B2969" s="1" t="n">
        <v>45436</v>
      </c>
      <c r="C2969" s="1" t="n">
        <v>45832</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20723-2024</t>
        </is>
      </c>
      <c r="B2970" s="1" t="n">
        <v>45436</v>
      </c>
      <c r="C2970" s="1" t="n">
        <v>45832</v>
      </c>
      <c r="D2970" t="inlineStr">
        <is>
          <t>VÄSTERBOTTENS LÄN</t>
        </is>
      </c>
      <c r="E2970" t="inlineStr">
        <is>
          <t>SKELLEFTEÅ</t>
        </is>
      </c>
      <c r="F2970" t="inlineStr">
        <is>
          <t>Holmen skog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20637-2024</t>
        </is>
      </c>
      <c r="B2971" s="1" t="n">
        <v>45436</v>
      </c>
      <c r="C2971" s="1" t="n">
        <v>45832</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20559-2024</t>
        </is>
      </c>
      <c r="B2972" s="1" t="n">
        <v>45436</v>
      </c>
      <c r="C2972" s="1" t="n">
        <v>45832</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20900-2024</t>
        </is>
      </c>
      <c r="B2973" s="1" t="n">
        <v>45439</v>
      </c>
      <c r="C2973" s="1" t="n">
        <v>45832</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21078-2024</t>
        </is>
      </c>
      <c r="B2974" s="1" t="n">
        <v>45440</v>
      </c>
      <c r="C2974" s="1" t="n">
        <v>45832</v>
      </c>
      <c r="D2974" t="inlineStr">
        <is>
          <t>VÄSTERBOTTENS LÄN</t>
        </is>
      </c>
      <c r="E2974" t="inlineStr">
        <is>
          <t>SKELLEFTEÅ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21057-2024</t>
        </is>
      </c>
      <c r="B2975" s="1" t="n">
        <v>45439</v>
      </c>
      <c r="C2975" s="1" t="n">
        <v>45832</v>
      </c>
      <c r="D2975" t="inlineStr">
        <is>
          <t>VÄSTERBOTTENS LÄN</t>
        </is>
      </c>
      <c r="E2975" t="inlineStr">
        <is>
          <t>SKELLEFTEÅ</t>
        </is>
      </c>
      <c r="F2975" t="inlineStr">
        <is>
          <t>Sveaskog</t>
        </is>
      </c>
      <c r="G2975" t="n">
        <v>18.8</v>
      </c>
      <c r="H2975" t="n">
        <v>0</v>
      </c>
      <c r="I2975" t="n">
        <v>0</v>
      </c>
      <c r="J2975" t="n">
        <v>0</v>
      </c>
      <c r="K2975" t="n">
        <v>0</v>
      </c>
      <c r="L2975" t="n">
        <v>0</v>
      </c>
      <c r="M2975" t="n">
        <v>0</v>
      </c>
      <c r="N2975" t="n">
        <v>0</v>
      </c>
      <c r="O2975" t="n">
        <v>0</v>
      </c>
      <c r="P2975" t="n">
        <v>0</v>
      </c>
      <c r="Q2975" t="n">
        <v>0</v>
      </c>
      <c r="R2975" s="2" t="inlineStr"/>
    </row>
    <row r="2976" ht="15" customHeight="1">
      <c r="A2976" t="inlineStr">
        <is>
          <t>A 21076-2024</t>
        </is>
      </c>
      <c r="B2976" s="1" t="n">
        <v>45440</v>
      </c>
      <c r="C2976" s="1" t="n">
        <v>45832</v>
      </c>
      <c r="D2976" t="inlineStr">
        <is>
          <t>VÄSTERBOTTENS LÄN</t>
        </is>
      </c>
      <c r="E2976" t="inlineStr">
        <is>
          <t>SKELLEFTEÅ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20924-2024</t>
        </is>
      </c>
      <c r="B2977" s="1" t="n">
        <v>45439</v>
      </c>
      <c r="C2977" s="1" t="n">
        <v>45832</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21077-2024</t>
        </is>
      </c>
      <c r="B2978" s="1" t="n">
        <v>45440</v>
      </c>
      <c r="C2978" s="1" t="n">
        <v>45832</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21152-2024</t>
        </is>
      </c>
      <c r="B2979" s="1" t="n">
        <v>45440</v>
      </c>
      <c r="C2979" s="1" t="n">
        <v>45832</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21146-2024</t>
        </is>
      </c>
      <c r="B2980" s="1" t="n">
        <v>45440</v>
      </c>
      <c r="C2980" s="1" t="n">
        <v>45832</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21426-2024</t>
        </is>
      </c>
      <c r="B2981" s="1" t="n">
        <v>45441</v>
      </c>
      <c r="C2981" s="1" t="n">
        <v>45832</v>
      </c>
      <c r="D2981" t="inlineStr">
        <is>
          <t>VÄSTERBOTTENS LÄN</t>
        </is>
      </c>
      <c r="E2981" t="inlineStr">
        <is>
          <t>SKELLEFTEÅ</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21438-2024</t>
        </is>
      </c>
      <c r="B2982" s="1" t="n">
        <v>45441</v>
      </c>
      <c r="C2982" s="1" t="n">
        <v>45832</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21495-2024</t>
        </is>
      </c>
      <c r="B2983" s="1" t="n">
        <v>45441</v>
      </c>
      <c r="C2983" s="1" t="n">
        <v>45832</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21593-2024</t>
        </is>
      </c>
      <c r="B2984" s="1" t="n">
        <v>45441</v>
      </c>
      <c r="C2984" s="1" t="n">
        <v>45832</v>
      </c>
      <c r="D2984" t="inlineStr">
        <is>
          <t>VÄSTERBOTTENS LÄN</t>
        </is>
      </c>
      <c r="E2984" t="inlineStr">
        <is>
          <t>SKELLEFTEÅ</t>
        </is>
      </c>
      <c r="F2984" t="inlineStr">
        <is>
          <t>Sveaskog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21730-2024</t>
        </is>
      </c>
      <c r="B2985" s="1" t="n">
        <v>45442</v>
      </c>
      <c r="C2985" s="1" t="n">
        <v>45832</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21737-2024</t>
        </is>
      </c>
      <c r="B2986" s="1" t="n">
        <v>45442</v>
      </c>
      <c r="C2986" s="1" t="n">
        <v>45832</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21765-2024</t>
        </is>
      </c>
      <c r="B2987" s="1" t="n">
        <v>45442</v>
      </c>
      <c r="C2987" s="1" t="n">
        <v>45832</v>
      </c>
      <c r="D2987" t="inlineStr">
        <is>
          <t>VÄSTERBOTTENS LÄN</t>
        </is>
      </c>
      <c r="E2987" t="inlineStr">
        <is>
          <t>SKELLEFTEÅ</t>
        </is>
      </c>
      <c r="F2987" t="inlineStr">
        <is>
          <t>Holmen skog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21785-2024</t>
        </is>
      </c>
      <c r="B2988" s="1" t="n">
        <v>45442</v>
      </c>
      <c r="C2988" s="1" t="n">
        <v>45832</v>
      </c>
      <c r="D2988" t="inlineStr">
        <is>
          <t>VÄSTERBOTTENS LÄN</t>
        </is>
      </c>
      <c r="E2988" t="inlineStr">
        <is>
          <t>SKELLEFTEÅ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21812-2024</t>
        </is>
      </c>
      <c r="B2989" s="1" t="n">
        <v>45442</v>
      </c>
      <c r="C2989" s="1" t="n">
        <v>45832</v>
      </c>
      <c r="D2989" t="inlineStr">
        <is>
          <t>VÄSTERBOTTENS LÄN</t>
        </is>
      </c>
      <c r="E2989" t="inlineStr">
        <is>
          <t>SKELLEFTEÅ</t>
        </is>
      </c>
      <c r="F2989" t="inlineStr">
        <is>
          <t>Holmen skog AB</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21854-2024</t>
        </is>
      </c>
      <c r="B2990" s="1" t="n">
        <v>45442</v>
      </c>
      <c r="C2990" s="1" t="n">
        <v>45832</v>
      </c>
      <c r="D2990" t="inlineStr">
        <is>
          <t>VÄSTERBOTTENS LÄN</t>
        </is>
      </c>
      <c r="E2990" t="inlineStr">
        <is>
          <t>SKELLEFTEÅ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21836-2024</t>
        </is>
      </c>
      <c r="B2991" s="1" t="n">
        <v>45443</v>
      </c>
      <c r="C2991" s="1" t="n">
        <v>45832</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22044-2024</t>
        </is>
      </c>
      <c r="B2992" s="1" t="n">
        <v>45443</v>
      </c>
      <c r="C2992" s="1" t="n">
        <v>45832</v>
      </c>
      <c r="D2992" t="inlineStr">
        <is>
          <t>VÄSTERBOTTENS LÄN</t>
        </is>
      </c>
      <c r="E2992" t="inlineStr">
        <is>
          <t>SKELLEFTEÅ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22014-2024</t>
        </is>
      </c>
      <c r="B2993" s="1" t="n">
        <v>45443</v>
      </c>
      <c r="C2993" s="1" t="n">
        <v>45832</v>
      </c>
      <c r="D2993" t="inlineStr">
        <is>
          <t>VÄSTERBOTTENS LÄN</t>
        </is>
      </c>
      <c r="E2993" t="inlineStr">
        <is>
          <t>SKELLEFTEÅ</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22072-2024</t>
        </is>
      </c>
      <c r="B2994" s="1" t="n">
        <v>45443</v>
      </c>
      <c r="C2994" s="1" t="n">
        <v>45832</v>
      </c>
      <c r="D2994" t="inlineStr">
        <is>
          <t>VÄSTERBOTTENS LÄN</t>
        </is>
      </c>
      <c r="E2994" t="inlineStr">
        <is>
          <t>SKELLEFTEÅ</t>
        </is>
      </c>
      <c r="F2994" t="inlineStr">
        <is>
          <t>Holmen skog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22136-2024</t>
        </is>
      </c>
      <c r="B2995" s="1" t="n">
        <v>45444</v>
      </c>
      <c r="C2995" s="1" t="n">
        <v>45832</v>
      </c>
      <c r="D2995" t="inlineStr">
        <is>
          <t>VÄSTERBOTTENS LÄN</t>
        </is>
      </c>
      <c r="E2995" t="inlineStr">
        <is>
          <t>SKELLEFTEÅ</t>
        </is>
      </c>
      <c r="F2995" t="inlineStr">
        <is>
          <t>Sveaskog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22219-2024</t>
        </is>
      </c>
      <c r="B2996" s="1" t="n">
        <v>45446</v>
      </c>
      <c r="C2996" s="1" t="n">
        <v>45832</v>
      </c>
      <c r="D2996" t="inlineStr">
        <is>
          <t>VÄSTERBOTTENS LÄN</t>
        </is>
      </c>
      <c r="E2996" t="inlineStr">
        <is>
          <t>SKELLEFTEÅ</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22395-2024</t>
        </is>
      </c>
      <c r="B2997" s="1" t="n">
        <v>45446</v>
      </c>
      <c r="C2997" s="1" t="n">
        <v>45832</v>
      </c>
      <c r="D2997" t="inlineStr">
        <is>
          <t>VÄSTERBOTTENS LÄN</t>
        </is>
      </c>
      <c r="E2997" t="inlineStr">
        <is>
          <t>SKELLEFTEÅ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22199-2024</t>
        </is>
      </c>
      <c r="B2998" s="1" t="n">
        <v>45446</v>
      </c>
      <c r="C2998" s="1" t="n">
        <v>45832</v>
      </c>
      <c r="D2998" t="inlineStr">
        <is>
          <t>VÄSTERBOTTENS LÄN</t>
        </is>
      </c>
      <c r="E2998" t="inlineStr">
        <is>
          <t>SKELLEFTEÅ</t>
        </is>
      </c>
      <c r="F2998" t="inlineStr">
        <is>
          <t>Sveaskog</t>
        </is>
      </c>
      <c r="G2998" t="n">
        <v>40.5</v>
      </c>
      <c r="H2998" t="n">
        <v>0</v>
      </c>
      <c r="I2998" t="n">
        <v>0</v>
      </c>
      <c r="J2998" t="n">
        <v>0</v>
      </c>
      <c r="K2998" t="n">
        <v>0</v>
      </c>
      <c r="L2998" t="n">
        <v>0</v>
      </c>
      <c r="M2998" t="n">
        <v>0</v>
      </c>
      <c r="N2998" t="n">
        <v>0</v>
      </c>
      <c r="O2998" t="n">
        <v>0</v>
      </c>
      <c r="P2998" t="n">
        <v>0</v>
      </c>
      <c r="Q2998" t="n">
        <v>0</v>
      </c>
      <c r="R2998" s="2" t="inlineStr"/>
    </row>
    <row r="2999" ht="15" customHeight="1">
      <c r="A2999" t="inlineStr">
        <is>
          <t>A 22203-2024</t>
        </is>
      </c>
      <c r="B2999" s="1" t="n">
        <v>45446</v>
      </c>
      <c r="C2999" s="1" t="n">
        <v>45832</v>
      </c>
      <c r="D2999" t="inlineStr">
        <is>
          <t>VÄSTERBOTTENS LÄN</t>
        </is>
      </c>
      <c r="E2999" t="inlineStr">
        <is>
          <t>SKELLEFTEÅ</t>
        </is>
      </c>
      <c r="F2999" t="inlineStr">
        <is>
          <t>Sveaskog</t>
        </is>
      </c>
      <c r="G2999" t="n">
        <v>48.1</v>
      </c>
      <c r="H2999" t="n">
        <v>0</v>
      </c>
      <c r="I2999" t="n">
        <v>0</v>
      </c>
      <c r="J2999" t="n">
        <v>0</v>
      </c>
      <c r="K2999" t="n">
        <v>0</v>
      </c>
      <c r="L2999" t="n">
        <v>0</v>
      </c>
      <c r="M2999" t="n">
        <v>0</v>
      </c>
      <c r="N2999" t="n">
        <v>0</v>
      </c>
      <c r="O2999" t="n">
        <v>0</v>
      </c>
      <c r="P2999" t="n">
        <v>0</v>
      </c>
      <c r="Q2999" t="n">
        <v>0</v>
      </c>
      <c r="R2999" s="2" t="inlineStr"/>
    </row>
    <row r="3000" ht="15" customHeight="1">
      <c r="A3000" t="inlineStr">
        <is>
          <t>A 22205-2024</t>
        </is>
      </c>
      <c r="B3000" s="1" t="n">
        <v>45446</v>
      </c>
      <c r="C3000" s="1" t="n">
        <v>45832</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22654-2024</t>
        </is>
      </c>
      <c r="B3001" s="1" t="n">
        <v>45447</v>
      </c>
      <c r="C3001" s="1" t="n">
        <v>45832</v>
      </c>
      <c r="D3001" t="inlineStr">
        <is>
          <t>VÄSTERBOTTENS LÄN</t>
        </is>
      </c>
      <c r="E3001" t="inlineStr">
        <is>
          <t>SKELLEFTEÅ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22609-2024</t>
        </is>
      </c>
      <c r="B3002" s="1" t="n">
        <v>45447</v>
      </c>
      <c r="C3002" s="1" t="n">
        <v>45832</v>
      </c>
      <c r="D3002" t="inlineStr">
        <is>
          <t>VÄSTERBOTTENS LÄN</t>
        </is>
      </c>
      <c r="E3002" t="inlineStr">
        <is>
          <t>SKELLEFTEÅ</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22921-2024</t>
        </is>
      </c>
      <c r="B3003" s="1" t="n">
        <v>45448</v>
      </c>
      <c r="C3003" s="1" t="n">
        <v>45832</v>
      </c>
      <c r="D3003" t="inlineStr">
        <is>
          <t>VÄSTERBOTTENS LÄN</t>
        </is>
      </c>
      <c r="E3003" t="inlineStr">
        <is>
          <t>SKELLEFTEÅ</t>
        </is>
      </c>
      <c r="F3003" t="inlineStr">
        <is>
          <t>Sveaskog</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22796-2024</t>
        </is>
      </c>
      <c r="B3004" s="1" t="n">
        <v>45448</v>
      </c>
      <c r="C3004" s="1" t="n">
        <v>45832</v>
      </c>
      <c r="D3004" t="inlineStr">
        <is>
          <t>VÄSTERBOTTENS LÄN</t>
        </is>
      </c>
      <c r="E3004" t="inlineStr">
        <is>
          <t>SKELLEFTEÅ</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22859-2024</t>
        </is>
      </c>
      <c r="B3005" s="1" t="n">
        <v>45448</v>
      </c>
      <c r="C3005" s="1" t="n">
        <v>45832</v>
      </c>
      <c r="D3005" t="inlineStr">
        <is>
          <t>VÄSTERBOTTENS LÄN</t>
        </is>
      </c>
      <c r="E3005" t="inlineStr">
        <is>
          <t>SKELLEFTEÅ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23059-2024</t>
        </is>
      </c>
      <c r="B3006" s="1" t="n">
        <v>45450</v>
      </c>
      <c r="C3006" s="1" t="n">
        <v>45832</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23135-2024</t>
        </is>
      </c>
      <c r="B3007" s="1" t="n">
        <v>45450</v>
      </c>
      <c r="C3007" s="1" t="n">
        <v>45832</v>
      </c>
      <c r="D3007" t="inlineStr">
        <is>
          <t>VÄSTERBOTTENS LÄN</t>
        </is>
      </c>
      <c r="E3007" t="inlineStr">
        <is>
          <t>SKELLEFTEÅ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23164-2024</t>
        </is>
      </c>
      <c r="B3008" s="1" t="n">
        <v>45450</v>
      </c>
      <c r="C3008" s="1" t="n">
        <v>45832</v>
      </c>
      <c r="D3008" t="inlineStr">
        <is>
          <t>VÄSTERBOTTENS LÄN</t>
        </is>
      </c>
      <c r="E3008" t="inlineStr">
        <is>
          <t>SKELLEFTEÅ</t>
        </is>
      </c>
      <c r="F3008" t="inlineStr">
        <is>
          <t>Sveaskog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23168-2024</t>
        </is>
      </c>
      <c r="B3009" s="1" t="n">
        <v>45450</v>
      </c>
      <c r="C3009" s="1" t="n">
        <v>45832</v>
      </c>
      <c r="D3009" t="inlineStr">
        <is>
          <t>VÄSTERBOTTENS LÄN</t>
        </is>
      </c>
      <c r="E3009" t="inlineStr">
        <is>
          <t>SKELLEFTEÅ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23062-2024</t>
        </is>
      </c>
      <c r="B3010" s="1" t="n">
        <v>45450</v>
      </c>
      <c r="C3010" s="1" t="n">
        <v>45832</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23169-2024</t>
        </is>
      </c>
      <c r="B3011" s="1" t="n">
        <v>45450</v>
      </c>
      <c r="C3011" s="1" t="n">
        <v>45832</v>
      </c>
      <c r="D3011" t="inlineStr">
        <is>
          <t>VÄSTERBOTTENS LÄN</t>
        </is>
      </c>
      <c r="E3011" t="inlineStr">
        <is>
          <t>SKELLEFTEÅ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23522-2024</t>
        </is>
      </c>
      <c r="B3012" s="1" t="n">
        <v>45454</v>
      </c>
      <c r="C3012" s="1" t="n">
        <v>45832</v>
      </c>
      <c r="D3012" t="inlineStr">
        <is>
          <t>VÄSTERBOTTENS LÄN</t>
        </is>
      </c>
      <c r="E3012" t="inlineStr">
        <is>
          <t>SKELLEFTEÅ</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23502-2024</t>
        </is>
      </c>
      <c r="B3013" s="1" t="n">
        <v>45453</v>
      </c>
      <c r="C3013" s="1" t="n">
        <v>45832</v>
      </c>
      <c r="D3013" t="inlineStr">
        <is>
          <t>VÄSTERBOTTENS LÄN</t>
        </is>
      </c>
      <c r="E3013" t="inlineStr">
        <is>
          <t>SKELLEFTEÅ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23520-2024</t>
        </is>
      </c>
      <c r="B3014" s="1" t="n">
        <v>45453</v>
      </c>
      <c r="C3014" s="1" t="n">
        <v>45832</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23503-2024</t>
        </is>
      </c>
      <c r="B3015" s="1" t="n">
        <v>45453</v>
      </c>
      <c r="C3015" s="1" t="n">
        <v>45832</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23445-2024</t>
        </is>
      </c>
      <c r="B3016" s="1" t="n">
        <v>45453</v>
      </c>
      <c r="C3016" s="1" t="n">
        <v>45832</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23501-2024</t>
        </is>
      </c>
      <c r="B3017" s="1" t="n">
        <v>45453</v>
      </c>
      <c r="C3017" s="1" t="n">
        <v>45832</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23521-2024</t>
        </is>
      </c>
      <c r="B3018" s="1" t="n">
        <v>45454</v>
      </c>
      <c r="C3018" s="1" t="n">
        <v>45832</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23239-2024</t>
        </is>
      </c>
      <c r="B3019" s="1" t="n">
        <v>45453</v>
      </c>
      <c r="C3019" s="1" t="n">
        <v>45832</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23634-2024</t>
        </is>
      </c>
      <c r="B3020" s="1" t="n">
        <v>45454</v>
      </c>
      <c r="C3020" s="1" t="n">
        <v>45832</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23629-2024</t>
        </is>
      </c>
      <c r="B3021" s="1" t="n">
        <v>45454</v>
      </c>
      <c r="C3021" s="1" t="n">
        <v>45832</v>
      </c>
      <c r="D3021" t="inlineStr">
        <is>
          <t>VÄSTERBOTTENS LÄN</t>
        </is>
      </c>
      <c r="E3021" t="inlineStr">
        <is>
          <t>SKELLEFTEÅ</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23925-2024</t>
        </is>
      </c>
      <c r="B3022" s="1" t="n">
        <v>45456</v>
      </c>
      <c r="C3022" s="1" t="n">
        <v>45832</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23929-2024</t>
        </is>
      </c>
      <c r="B3023" s="1" t="n">
        <v>45456</v>
      </c>
      <c r="C3023" s="1" t="n">
        <v>45832</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23903-2024</t>
        </is>
      </c>
      <c r="B3024" s="1" t="n">
        <v>45455</v>
      </c>
      <c r="C3024" s="1" t="n">
        <v>45832</v>
      </c>
      <c r="D3024" t="inlineStr">
        <is>
          <t>VÄSTERBOTTENS LÄN</t>
        </is>
      </c>
      <c r="E3024" t="inlineStr">
        <is>
          <t>SKELLEFTEÅ</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23823-2024</t>
        </is>
      </c>
      <c r="B3025" s="1" t="n">
        <v>45455</v>
      </c>
      <c r="C3025" s="1" t="n">
        <v>45832</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24080-2024</t>
        </is>
      </c>
      <c r="B3026" s="1" t="n">
        <v>45456</v>
      </c>
      <c r="C3026" s="1" t="n">
        <v>45832</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24195-2024</t>
        </is>
      </c>
      <c r="B3027" s="1" t="n">
        <v>45456</v>
      </c>
      <c r="C3027" s="1" t="n">
        <v>45832</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24362-2024</t>
        </is>
      </c>
      <c r="B3028" s="1" t="n">
        <v>45457</v>
      </c>
      <c r="C3028" s="1" t="n">
        <v>45832</v>
      </c>
      <c r="D3028" t="inlineStr">
        <is>
          <t>VÄSTERBOTTENS LÄN</t>
        </is>
      </c>
      <c r="E3028" t="inlineStr">
        <is>
          <t>SKELLEFTEÅ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24418-2024</t>
        </is>
      </c>
      <c r="B3029" s="1" t="n">
        <v>45457</v>
      </c>
      <c r="C3029" s="1" t="n">
        <v>45832</v>
      </c>
      <c r="D3029" t="inlineStr">
        <is>
          <t>VÄSTERBOTTENS LÄN</t>
        </is>
      </c>
      <c r="E3029" t="inlineStr">
        <is>
          <t>SKELLEFTEÅ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24349-2024</t>
        </is>
      </c>
      <c r="B3030" s="1" t="n">
        <v>45457</v>
      </c>
      <c r="C3030" s="1" t="n">
        <v>45832</v>
      </c>
      <c r="D3030" t="inlineStr">
        <is>
          <t>VÄSTERBOTTENS LÄN</t>
        </is>
      </c>
      <c r="E3030" t="inlineStr">
        <is>
          <t>SKELLEFTEÅ</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24352-2024</t>
        </is>
      </c>
      <c r="B3031" s="1" t="n">
        <v>45457</v>
      </c>
      <c r="C3031" s="1" t="n">
        <v>45832</v>
      </c>
      <c r="D3031" t="inlineStr">
        <is>
          <t>VÄSTERBOTTENS LÄN</t>
        </is>
      </c>
      <c r="E3031" t="inlineStr">
        <is>
          <t>SKELLEFTEÅ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24696-2024</t>
        </is>
      </c>
      <c r="B3032" s="1" t="n">
        <v>45460</v>
      </c>
      <c r="C3032" s="1" t="n">
        <v>45832</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24780-2024</t>
        </is>
      </c>
      <c r="B3033" s="1" t="n">
        <v>45460</v>
      </c>
      <c r="C3033" s="1" t="n">
        <v>45832</v>
      </c>
      <c r="D3033" t="inlineStr">
        <is>
          <t>VÄSTERBOTTENS LÄN</t>
        </is>
      </c>
      <c r="E3033" t="inlineStr">
        <is>
          <t>SKELLEFTEÅ</t>
        </is>
      </c>
      <c r="F3033" t="inlineStr">
        <is>
          <t>Sveaskog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24604-2024</t>
        </is>
      </c>
      <c r="B3034" s="1" t="n">
        <v>45460</v>
      </c>
      <c r="C3034" s="1" t="n">
        <v>45832</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24576-2024</t>
        </is>
      </c>
      <c r="B3035" s="1" t="n">
        <v>45460</v>
      </c>
      <c r="C3035" s="1" t="n">
        <v>45832</v>
      </c>
      <c r="D3035" t="inlineStr">
        <is>
          <t>VÄSTERBOTTENS LÄN</t>
        </is>
      </c>
      <c r="E3035" t="inlineStr">
        <is>
          <t>SKELLEFTEÅ</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24914-2024</t>
        </is>
      </c>
      <c r="B3036" s="1" t="n">
        <v>45461</v>
      </c>
      <c r="C3036" s="1" t="n">
        <v>45832</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25006-2024</t>
        </is>
      </c>
      <c r="B3037" s="1" t="n">
        <v>45461</v>
      </c>
      <c r="C3037" s="1" t="n">
        <v>45832</v>
      </c>
      <c r="D3037" t="inlineStr">
        <is>
          <t>VÄSTERBOTTENS LÄN</t>
        </is>
      </c>
      <c r="E3037" t="inlineStr">
        <is>
          <t>SKELLEFTEÅ</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24920-2024</t>
        </is>
      </c>
      <c r="B3038" s="1" t="n">
        <v>45461</v>
      </c>
      <c r="C3038" s="1" t="n">
        <v>45832</v>
      </c>
      <c r="D3038" t="inlineStr">
        <is>
          <t>VÄSTERBOTTENS LÄN</t>
        </is>
      </c>
      <c r="E3038" t="inlineStr">
        <is>
          <t>SKELLEFTEÅ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25354-2024</t>
        </is>
      </c>
      <c r="B3039" s="1" t="n">
        <v>45462</v>
      </c>
      <c r="C3039" s="1" t="n">
        <v>45832</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25209-2024</t>
        </is>
      </c>
      <c r="B3040" s="1" t="n">
        <v>45462</v>
      </c>
      <c r="C3040" s="1" t="n">
        <v>45832</v>
      </c>
      <c r="D3040" t="inlineStr">
        <is>
          <t>VÄSTERBOTTENS LÄN</t>
        </is>
      </c>
      <c r="E3040" t="inlineStr">
        <is>
          <t>SKELLEFTEÅ</t>
        </is>
      </c>
      <c r="F3040" t="inlineStr">
        <is>
          <t>Holmen skog AB</t>
        </is>
      </c>
      <c r="G3040" t="n">
        <v>30.3</v>
      </c>
      <c r="H3040" t="n">
        <v>0</v>
      </c>
      <c r="I3040" t="n">
        <v>0</v>
      </c>
      <c r="J3040" t="n">
        <v>0</v>
      </c>
      <c r="K3040" t="n">
        <v>0</v>
      </c>
      <c r="L3040" t="n">
        <v>0</v>
      </c>
      <c r="M3040" t="n">
        <v>0</v>
      </c>
      <c r="N3040" t="n">
        <v>0</v>
      </c>
      <c r="O3040" t="n">
        <v>0</v>
      </c>
      <c r="P3040" t="n">
        <v>0</v>
      </c>
      <c r="Q3040" t="n">
        <v>0</v>
      </c>
      <c r="R3040" s="2" t="inlineStr"/>
    </row>
    <row r="3041" ht="15" customHeight="1">
      <c r="A3041" t="inlineStr">
        <is>
          <t>A 25157-2024</t>
        </is>
      </c>
      <c r="B3041" s="1" t="n">
        <v>45462</v>
      </c>
      <c r="C3041" s="1" t="n">
        <v>45832</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25111-2024</t>
        </is>
      </c>
      <c r="B3042" s="1" t="n">
        <v>45462</v>
      </c>
      <c r="C3042" s="1" t="n">
        <v>45832</v>
      </c>
      <c r="D3042" t="inlineStr">
        <is>
          <t>VÄSTERBOTTENS LÄN</t>
        </is>
      </c>
      <c r="E3042" t="inlineStr">
        <is>
          <t>SKELLEFTEÅ</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25106-2024</t>
        </is>
      </c>
      <c r="B3043" s="1" t="n">
        <v>45462</v>
      </c>
      <c r="C3043" s="1" t="n">
        <v>45832</v>
      </c>
      <c r="D3043" t="inlineStr">
        <is>
          <t>VÄSTERBOTTENS LÄN</t>
        </is>
      </c>
      <c r="E3043" t="inlineStr">
        <is>
          <t>SKELLEFTEÅ</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25184-2024</t>
        </is>
      </c>
      <c r="B3044" s="1" t="n">
        <v>45462</v>
      </c>
      <c r="C3044" s="1" t="n">
        <v>45832</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25158-2024</t>
        </is>
      </c>
      <c r="B3045" s="1" t="n">
        <v>45462</v>
      </c>
      <c r="C3045" s="1" t="n">
        <v>45832</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v>
      </c>
      <c r="C3046" s="1" t="n">
        <v>45832</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25155-2024</t>
        </is>
      </c>
      <c r="B3047" s="1" t="n">
        <v>45462</v>
      </c>
      <c r="C3047" s="1" t="n">
        <v>45832</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25682-2024</t>
        </is>
      </c>
      <c r="B3048" s="1" t="n">
        <v>45463</v>
      </c>
      <c r="C3048" s="1" t="n">
        <v>45832</v>
      </c>
      <c r="D3048" t="inlineStr">
        <is>
          <t>VÄSTERBOTTENS LÄN</t>
        </is>
      </c>
      <c r="E3048" t="inlineStr">
        <is>
          <t>SKELLEFTEÅ</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25666-2024</t>
        </is>
      </c>
      <c r="B3049" s="1" t="n">
        <v>45463</v>
      </c>
      <c r="C3049" s="1" t="n">
        <v>45832</v>
      </c>
      <c r="D3049" t="inlineStr">
        <is>
          <t>VÄSTERBOTTENS LÄN</t>
        </is>
      </c>
      <c r="E3049" t="inlineStr">
        <is>
          <t>SKELLEFTEÅ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25795-2024</t>
        </is>
      </c>
      <c r="B3050" s="1" t="n">
        <v>45463</v>
      </c>
      <c r="C3050" s="1" t="n">
        <v>45832</v>
      </c>
      <c r="D3050" t="inlineStr">
        <is>
          <t>VÄSTERBOTTENS LÄN</t>
        </is>
      </c>
      <c r="E3050" t="inlineStr">
        <is>
          <t>SKELLEFTEÅ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25665-2024</t>
        </is>
      </c>
      <c r="B3051" s="1" t="n">
        <v>45463</v>
      </c>
      <c r="C3051" s="1" t="n">
        <v>45832</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25984-2024</t>
        </is>
      </c>
      <c r="B3052" s="1" t="n">
        <v>45467</v>
      </c>
      <c r="C3052" s="1" t="n">
        <v>45832</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25943-2024</t>
        </is>
      </c>
      <c r="B3053" s="1" t="n">
        <v>45467</v>
      </c>
      <c r="C3053" s="1" t="n">
        <v>45832</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25983-2024</t>
        </is>
      </c>
      <c r="B3054" s="1" t="n">
        <v>45467</v>
      </c>
      <c r="C3054" s="1" t="n">
        <v>45832</v>
      </c>
      <c r="D3054" t="inlineStr">
        <is>
          <t>VÄSTERBOTTENS LÄN</t>
        </is>
      </c>
      <c r="E3054" t="inlineStr">
        <is>
          <t>SKELLEFTEÅ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26096-2024</t>
        </is>
      </c>
      <c r="B3055" s="1" t="n">
        <v>45467</v>
      </c>
      <c r="C3055" s="1" t="n">
        <v>45832</v>
      </c>
      <c r="D3055" t="inlineStr">
        <is>
          <t>VÄSTERBOTTENS LÄN</t>
        </is>
      </c>
      <c r="E3055" t="inlineStr">
        <is>
          <t>SKELLEFTEÅ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26253-2024</t>
        </is>
      </c>
      <c r="B3056" s="1" t="n">
        <v>45468</v>
      </c>
      <c r="C3056" s="1" t="n">
        <v>45832</v>
      </c>
      <c r="D3056" t="inlineStr">
        <is>
          <t>VÄSTERBOTTENS LÄN</t>
        </is>
      </c>
      <c r="E3056" t="inlineStr">
        <is>
          <t>SKELLEFTEÅ</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26190-2024</t>
        </is>
      </c>
      <c r="B3057" s="1" t="n">
        <v>45468</v>
      </c>
      <c r="C3057" s="1" t="n">
        <v>45832</v>
      </c>
      <c r="D3057" t="inlineStr">
        <is>
          <t>VÄSTERBOTTENS LÄN</t>
        </is>
      </c>
      <c r="E3057" t="inlineStr">
        <is>
          <t>SKELLEFTEÅ</t>
        </is>
      </c>
      <c r="F3057" t="inlineStr">
        <is>
          <t>Holmen skog AB</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26226-2024</t>
        </is>
      </c>
      <c r="B3058" s="1" t="n">
        <v>45468</v>
      </c>
      <c r="C3058" s="1" t="n">
        <v>45832</v>
      </c>
      <c r="D3058" t="inlineStr">
        <is>
          <t>VÄSTERBOTTENS LÄN</t>
        </is>
      </c>
      <c r="E3058" t="inlineStr">
        <is>
          <t>SKELLEFTEÅ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26293-2024</t>
        </is>
      </c>
      <c r="B3059" s="1" t="n">
        <v>45468</v>
      </c>
      <c r="C3059" s="1" t="n">
        <v>45832</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26257-2024</t>
        </is>
      </c>
      <c r="B3060" s="1" t="n">
        <v>45468</v>
      </c>
      <c r="C3060" s="1" t="n">
        <v>45832</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26212-2024</t>
        </is>
      </c>
      <c r="B3061" s="1" t="n">
        <v>45468</v>
      </c>
      <c r="C3061" s="1" t="n">
        <v>45832</v>
      </c>
      <c r="D3061" t="inlineStr">
        <is>
          <t>VÄSTERBOTTENS LÄN</t>
        </is>
      </c>
      <c r="E3061" t="inlineStr">
        <is>
          <t>SKELLEFTEÅ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26102-2024</t>
        </is>
      </c>
      <c r="B3062" s="1" t="n">
        <v>45468</v>
      </c>
      <c r="C3062" s="1" t="n">
        <v>45832</v>
      </c>
      <c r="D3062" t="inlineStr">
        <is>
          <t>VÄSTERBOTTENS LÄN</t>
        </is>
      </c>
      <c r="E3062" t="inlineStr">
        <is>
          <t>SKELLEFTEÅ</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26447-2024</t>
        </is>
      </c>
      <c r="B3063" s="1" t="n">
        <v>45469</v>
      </c>
      <c r="C3063" s="1" t="n">
        <v>45832</v>
      </c>
      <c r="D3063" t="inlineStr">
        <is>
          <t>VÄSTERBOTTENS LÄN</t>
        </is>
      </c>
      <c r="E3063" t="inlineStr">
        <is>
          <t>SKELLEFTEÅ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26328-2024</t>
        </is>
      </c>
      <c r="B3064" s="1" t="n">
        <v>45469</v>
      </c>
      <c r="C3064" s="1" t="n">
        <v>45832</v>
      </c>
      <c r="D3064" t="inlineStr">
        <is>
          <t>VÄSTERBOTTENS LÄN</t>
        </is>
      </c>
      <c r="E3064" t="inlineStr">
        <is>
          <t>SKELLEFTEÅ</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26399-2024</t>
        </is>
      </c>
      <c r="B3065" s="1" t="n">
        <v>45469</v>
      </c>
      <c r="C3065" s="1" t="n">
        <v>45832</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26546-2024</t>
        </is>
      </c>
      <c r="B3066" s="1" t="n">
        <v>45469</v>
      </c>
      <c r="C3066" s="1" t="n">
        <v>45832</v>
      </c>
      <c r="D3066" t="inlineStr">
        <is>
          <t>VÄSTERBOTTENS LÄN</t>
        </is>
      </c>
      <c r="E3066" t="inlineStr">
        <is>
          <t>SKELLEFTEÅ</t>
        </is>
      </c>
      <c r="F3066" t="inlineStr">
        <is>
          <t>Sveaskog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26626-2024</t>
        </is>
      </c>
      <c r="B3067" s="1" t="n">
        <v>45469</v>
      </c>
      <c r="C3067" s="1" t="n">
        <v>45832</v>
      </c>
      <c r="D3067" t="inlineStr">
        <is>
          <t>VÄSTERBOTTENS LÄN</t>
        </is>
      </c>
      <c r="E3067" t="inlineStr">
        <is>
          <t>SKELLEFTEÅ</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26630-2024</t>
        </is>
      </c>
      <c r="B3068" s="1" t="n">
        <v>45469</v>
      </c>
      <c r="C3068" s="1" t="n">
        <v>45832</v>
      </c>
      <c r="D3068" t="inlineStr">
        <is>
          <t>VÄSTERBOTTENS LÄN</t>
        </is>
      </c>
      <c r="E3068" t="inlineStr">
        <is>
          <t>SKELLEFTEÅ</t>
        </is>
      </c>
      <c r="F3068" t="inlineStr">
        <is>
          <t>Sveaskog</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26581-2024</t>
        </is>
      </c>
      <c r="B3069" s="1" t="n">
        <v>45469</v>
      </c>
      <c r="C3069" s="1" t="n">
        <v>45832</v>
      </c>
      <c r="D3069" t="inlineStr">
        <is>
          <t>VÄSTERBOTTENS LÄN</t>
        </is>
      </c>
      <c r="E3069" t="inlineStr">
        <is>
          <t>SKELLEFTEÅ</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26497-2024</t>
        </is>
      </c>
      <c r="B3070" s="1" t="n">
        <v>45469</v>
      </c>
      <c r="C3070" s="1" t="n">
        <v>45832</v>
      </c>
      <c r="D3070" t="inlineStr">
        <is>
          <t>VÄSTERBOTTENS LÄN</t>
        </is>
      </c>
      <c r="E3070" t="inlineStr">
        <is>
          <t>SKELLEFTEÅ</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26389-2024</t>
        </is>
      </c>
      <c r="B3071" s="1" t="n">
        <v>45469</v>
      </c>
      <c r="C3071" s="1" t="n">
        <v>45832</v>
      </c>
      <c r="D3071" t="inlineStr">
        <is>
          <t>VÄSTERBOTTENS LÄN</t>
        </is>
      </c>
      <c r="E3071" t="inlineStr">
        <is>
          <t>SKELLEFTEÅ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26826-2024</t>
        </is>
      </c>
      <c r="B3072" s="1" t="n">
        <v>45470</v>
      </c>
      <c r="C3072" s="1" t="n">
        <v>45832</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26818-2024</t>
        </is>
      </c>
      <c r="B3073" s="1" t="n">
        <v>45470</v>
      </c>
      <c r="C3073" s="1" t="n">
        <v>45832</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26928-2024</t>
        </is>
      </c>
      <c r="B3074" s="1" t="n">
        <v>45471</v>
      </c>
      <c r="C3074" s="1" t="n">
        <v>45832</v>
      </c>
      <c r="D3074" t="inlineStr">
        <is>
          <t>VÄSTERBOTTENS LÄN</t>
        </is>
      </c>
      <c r="E3074" t="inlineStr">
        <is>
          <t>SKELLEFTEÅ</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26920-2024</t>
        </is>
      </c>
      <c r="B3075" s="1" t="n">
        <v>45471</v>
      </c>
      <c r="C3075" s="1" t="n">
        <v>45832</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26708-2024</t>
        </is>
      </c>
      <c r="B3076" s="1" t="n">
        <v>45470</v>
      </c>
      <c r="C3076" s="1" t="n">
        <v>45832</v>
      </c>
      <c r="D3076" t="inlineStr">
        <is>
          <t>VÄSTERBOTTENS LÄN</t>
        </is>
      </c>
      <c r="E3076" t="inlineStr">
        <is>
          <t>SKELLEFTEÅ</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26831-2024</t>
        </is>
      </c>
      <c r="B3077" s="1" t="n">
        <v>45470</v>
      </c>
      <c r="C3077" s="1" t="n">
        <v>45832</v>
      </c>
      <c r="D3077" t="inlineStr">
        <is>
          <t>VÄSTERBOTTENS LÄN</t>
        </is>
      </c>
      <c r="E3077" t="inlineStr">
        <is>
          <t>SKELLEFTEÅ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26929-2024</t>
        </is>
      </c>
      <c r="B3078" s="1" t="n">
        <v>45471</v>
      </c>
      <c r="C3078" s="1" t="n">
        <v>45832</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27190-2024</t>
        </is>
      </c>
      <c r="B3079" s="1" t="n">
        <v>45471</v>
      </c>
      <c r="C3079" s="1" t="n">
        <v>45832</v>
      </c>
      <c r="D3079" t="inlineStr">
        <is>
          <t>VÄSTERBOTTENS LÄN</t>
        </is>
      </c>
      <c r="E3079" t="inlineStr">
        <is>
          <t>SKELLEFTEÅ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27198-2024</t>
        </is>
      </c>
      <c r="B3080" s="1" t="n">
        <v>45471</v>
      </c>
      <c r="C3080" s="1" t="n">
        <v>45832</v>
      </c>
      <c r="D3080" t="inlineStr">
        <is>
          <t>VÄSTERBOTTENS LÄN</t>
        </is>
      </c>
      <c r="E3080" t="inlineStr">
        <is>
          <t>SKELLEFTEÅ</t>
        </is>
      </c>
      <c r="F3080" t="inlineStr">
        <is>
          <t>Holmen skog AB</t>
        </is>
      </c>
      <c r="G3080" t="n">
        <v>25.4</v>
      </c>
      <c r="H3080" t="n">
        <v>0</v>
      </c>
      <c r="I3080" t="n">
        <v>0</v>
      </c>
      <c r="J3080" t="n">
        <v>0</v>
      </c>
      <c r="K3080" t="n">
        <v>0</v>
      </c>
      <c r="L3080" t="n">
        <v>0</v>
      </c>
      <c r="M3080" t="n">
        <v>0</v>
      </c>
      <c r="N3080" t="n">
        <v>0</v>
      </c>
      <c r="O3080" t="n">
        <v>0</v>
      </c>
      <c r="P3080" t="n">
        <v>0</v>
      </c>
      <c r="Q3080" t="n">
        <v>0</v>
      </c>
      <c r="R3080" s="2" t="inlineStr"/>
    </row>
    <row r="3081" ht="15" customHeight="1">
      <c r="A3081" t="inlineStr">
        <is>
          <t>A 27083-2024</t>
        </is>
      </c>
      <c r="B3081" s="1" t="n">
        <v>45471</v>
      </c>
      <c r="C3081" s="1" t="n">
        <v>45832</v>
      </c>
      <c r="D3081" t="inlineStr">
        <is>
          <t>VÄSTERBOTTENS LÄN</t>
        </is>
      </c>
      <c r="E3081" t="inlineStr">
        <is>
          <t>SKELLEFTEÅ</t>
        </is>
      </c>
      <c r="F3081" t="inlineStr">
        <is>
          <t>Holmen skog AB</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27143-2024</t>
        </is>
      </c>
      <c r="B3082" s="1" t="n">
        <v>45471</v>
      </c>
      <c r="C3082" s="1" t="n">
        <v>45832</v>
      </c>
      <c r="D3082" t="inlineStr">
        <is>
          <t>VÄSTERBOTTENS LÄN</t>
        </is>
      </c>
      <c r="E3082" t="inlineStr">
        <is>
          <t>SKELLEFTEÅ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27212-2024</t>
        </is>
      </c>
      <c r="B3083" s="1" t="n">
        <v>45471</v>
      </c>
      <c r="C3083" s="1" t="n">
        <v>45832</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27228-2024</t>
        </is>
      </c>
      <c r="B3084" s="1" t="n">
        <v>45471</v>
      </c>
      <c r="C3084" s="1" t="n">
        <v>45832</v>
      </c>
      <c r="D3084" t="inlineStr">
        <is>
          <t>VÄSTERBOTTENS LÄN</t>
        </is>
      </c>
      <c r="E3084" t="inlineStr">
        <is>
          <t>SKELLEFTEÅ</t>
        </is>
      </c>
      <c r="F3084" t="inlineStr">
        <is>
          <t>Holmen skog AB</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27246-2024</t>
        </is>
      </c>
      <c r="B3085" s="1" t="n">
        <v>45471</v>
      </c>
      <c r="C3085" s="1" t="n">
        <v>45832</v>
      </c>
      <c r="D3085" t="inlineStr">
        <is>
          <t>VÄSTERBOTTENS LÄN</t>
        </is>
      </c>
      <c r="E3085" t="inlineStr">
        <is>
          <t>SKELLEFTEÅ</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27268-2024</t>
        </is>
      </c>
      <c r="B3086" s="1" t="n">
        <v>45471</v>
      </c>
      <c r="C3086" s="1" t="n">
        <v>45832</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27289-2024</t>
        </is>
      </c>
      <c r="B3087" s="1" t="n">
        <v>45472</v>
      </c>
      <c r="C3087" s="1" t="n">
        <v>45832</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27253-2024</t>
        </is>
      </c>
      <c r="B3088" s="1" t="n">
        <v>45471</v>
      </c>
      <c r="C3088" s="1" t="n">
        <v>45832</v>
      </c>
      <c r="D3088" t="inlineStr">
        <is>
          <t>VÄSTERBOTTENS LÄN</t>
        </is>
      </c>
      <c r="E3088" t="inlineStr">
        <is>
          <t>SKELLEFTEÅ</t>
        </is>
      </c>
      <c r="F3088" t="inlineStr">
        <is>
          <t>Holmen skog AB</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27264-2024</t>
        </is>
      </c>
      <c r="B3089" s="1" t="n">
        <v>45471</v>
      </c>
      <c r="C3089" s="1" t="n">
        <v>45832</v>
      </c>
      <c r="D3089" t="inlineStr">
        <is>
          <t>VÄSTERBOTTENS LÄN</t>
        </is>
      </c>
      <c r="E3089" t="inlineStr">
        <is>
          <t>SKELLEFTEÅ</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27287-2024</t>
        </is>
      </c>
      <c r="B3090" s="1" t="n">
        <v>45472</v>
      </c>
      <c r="C3090" s="1" t="n">
        <v>45832</v>
      </c>
      <c r="D3090" t="inlineStr">
        <is>
          <t>VÄSTERBOTTENS LÄN</t>
        </is>
      </c>
      <c r="E3090" t="inlineStr">
        <is>
          <t>SKELLEFTEÅ</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27269-2024</t>
        </is>
      </c>
      <c r="B3091" s="1" t="n">
        <v>45471</v>
      </c>
      <c r="C3091" s="1" t="n">
        <v>45832</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27286-2024</t>
        </is>
      </c>
      <c r="B3092" s="1" t="n">
        <v>45472</v>
      </c>
      <c r="C3092" s="1" t="n">
        <v>45832</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27026-2024</t>
        </is>
      </c>
      <c r="B3093" s="1" t="n">
        <v>45471</v>
      </c>
      <c r="C3093" s="1" t="n">
        <v>45832</v>
      </c>
      <c r="D3093" t="inlineStr">
        <is>
          <t>VÄSTERBOTTENS LÄN</t>
        </is>
      </c>
      <c r="E3093" t="inlineStr">
        <is>
          <t>SKELLEFTEÅ</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26997-2024</t>
        </is>
      </c>
      <c r="B3094" s="1" t="n">
        <v>45471</v>
      </c>
      <c r="C3094" s="1" t="n">
        <v>45832</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27267-2024</t>
        </is>
      </c>
      <c r="B3095" s="1" t="n">
        <v>45471</v>
      </c>
      <c r="C3095" s="1" t="n">
        <v>45832</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27288-2024</t>
        </is>
      </c>
      <c r="B3096" s="1" t="n">
        <v>45472</v>
      </c>
      <c r="C3096" s="1" t="n">
        <v>45832</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27332-2024</t>
        </is>
      </c>
      <c r="B3097" s="1" t="n">
        <v>45472</v>
      </c>
      <c r="C3097" s="1" t="n">
        <v>45832</v>
      </c>
      <c r="D3097" t="inlineStr">
        <is>
          <t>VÄSTERBOTTENS LÄN</t>
        </is>
      </c>
      <c r="E3097" t="inlineStr">
        <is>
          <t>SKELLEFTEÅ</t>
        </is>
      </c>
      <c r="F3097" t="inlineStr">
        <is>
          <t>Sveaskog</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27333-2024</t>
        </is>
      </c>
      <c r="B3098" s="1" t="n">
        <v>45472</v>
      </c>
      <c r="C3098" s="1" t="n">
        <v>45832</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27439-2024</t>
        </is>
      </c>
      <c r="B3099" s="1" t="n">
        <v>45474</v>
      </c>
      <c r="C3099" s="1" t="n">
        <v>45832</v>
      </c>
      <c r="D3099" t="inlineStr">
        <is>
          <t>VÄSTERBOTTENS LÄN</t>
        </is>
      </c>
      <c r="E3099" t="inlineStr">
        <is>
          <t>SKELLEFTEÅ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27627-2024</t>
        </is>
      </c>
      <c r="B3100" s="1" t="n">
        <v>45475</v>
      </c>
      <c r="C3100" s="1" t="n">
        <v>45832</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27631-2024</t>
        </is>
      </c>
      <c r="B3101" s="1" t="n">
        <v>45475</v>
      </c>
      <c r="C3101" s="1" t="n">
        <v>45832</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27542-2024</t>
        </is>
      </c>
      <c r="B3102" s="1" t="n">
        <v>45474</v>
      </c>
      <c r="C3102" s="1" t="n">
        <v>45832</v>
      </c>
      <c r="D3102" t="inlineStr">
        <is>
          <t>VÄSTERBOTTENS LÄN</t>
        </is>
      </c>
      <c r="E3102" t="inlineStr">
        <is>
          <t>SKELLEFTEÅ</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27566-2024</t>
        </is>
      </c>
      <c r="B3103" s="1" t="n">
        <v>45474</v>
      </c>
      <c r="C3103" s="1" t="n">
        <v>45832</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27628-2024</t>
        </is>
      </c>
      <c r="B3104" s="1" t="n">
        <v>45475</v>
      </c>
      <c r="C3104" s="1" t="n">
        <v>45832</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27896-2024</t>
        </is>
      </c>
      <c r="B3105" s="1" t="n">
        <v>45476</v>
      </c>
      <c r="C3105" s="1" t="n">
        <v>45832</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27830-2024</t>
        </is>
      </c>
      <c r="B3106" s="1" t="n">
        <v>45475</v>
      </c>
      <c r="C3106" s="1" t="n">
        <v>45832</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27864-2024</t>
        </is>
      </c>
      <c r="B3107" s="1" t="n">
        <v>45475</v>
      </c>
      <c r="C3107" s="1" t="n">
        <v>45832</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27933-2024</t>
        </is>
      </c>
      <c r="B3108" s="1" t="n">
        <v>45476</v>
      </c>
      <c r="C3108" s="1" t="n">
        <v>45832</v>
      </c>
      <c r="D3108" t="inlineStr">
        <is>
          <t>VÄSTERBOTTENS LÄN</t>
        </is>
      </c>
      <c r="E3108" t="inlineStr">
        <is>
          <t>SKELLEFTEÅ</t>
        </is>
      </c>
      <c r="F3108" t="inlineStr">
        <is>
          <t>SCA</t>
        </is>
      </c>
      <c r="G3108" t="n">
        <v>28.7</v>
      </c>
      <c r="H3108" t="n">
        <v>0</v>
      </c>
      <c r="I3108" t="n">
        <v>0</v>
      </c>
      <c r="J3108" t="n">
        <v>0</v>
      </c>
      <c r="K3108" t="n">
        <v>0</v>
      </c>
      <c r="L3108" t="n">
        <v>0</v>
      </c>
      <c r="M3108" t="n">
        <v>0</v>
      </c>
      <c r="N3108" t="n">
        <v>0</v>
      </c>
      <c r="O3108" t="n">
        <v>0</v>
      </c>
      <c r="P3108" t="n">
        <v>0</v>
      </c>
      <c r="Q3108" t="n">
        <v>0</v>
      </c>
      <c r="R3108" s="2" t="inlineStr"/>
    </row>
    <row r="3109" ht="15" customHeight="1">
      <c r="A3109" t="inlineStr">
        <is>
          <t>A 27851-2024</t>
        </is>
      </c>
      <c r="B3109" s="1" t="n">
        <v>45475</v>
      </c>
      <c r="C3109" s="1" t="n">
        <v>45832</v>
      </c>
      <c r="D3109" t="inlineStr">
        <is>
          <t>VÄSTERBOTTENS LÄN</t>
        </is>
      </c>
      <c r="E3109" t="inlineStr">
        <is>
          <t>SKELLEFTEÅ</t>
        </is>
      </c>
      <c r="F3109" t="inlineStr">
        <is>
          <t>Sveaskog</t>
        </is>
      </c>
      <c r="G3109" t="n">
        <v>13.3</v>
      </c>
      <c r="H3109" t="n">
        <v>0</v>
      </c>
      <c r="I3109" t="n">
        <v>0</v>
      </c>
      <c r="J3109" t="n">
        <v>0</v>
      </c>
      <c r="K3109" t="n">
        <v>0</v>
      </c>
      <c r="L3109" t="n">
        <v>0</v>
      </c>
      <c r="M3109" t="n">
        <v>0</v>
      </c>
      <c r="N3109" t="n">
        <v>0</v>
      </c>
      <c r="O3109" t="n">
        <v>0</v>
      </c>
      <c r="P3109" t="n">
        <v>0</v>
      </c>
      <c r="Q3109" t="n">
        <v>0</v>
      </c>
      <c r="R3109" s="2" t="inlineStr"/>
    </row>
    <row r="3110" ht="15" customHeight="1">
      <c r="A3110" t="inlineStr">
        <is>
          <t>A 27863-2024</t>
        </is>
      </c>
      <c r="B3110" s="1" t="n">
        <v>45475</v>
      </c>
      <c r="C3110" s="1" t="n">
        <v>45832</v>
      </c>
      <c r="D3110" t="inlineStr">
        <is>
          <t>VÄSTERBOTTENS LÄN</t>
        </is>
      </c>
      <c r="E3110" t="inlineStr">
        <is>
          <t>SKELLEFTEÅ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28054-2024</t>
        </is>
      </c>
      <c r="B3111" s="1" t="n">
        <v>45476</v>
      </c>
      <c r="C3111" s="1" t="n">
        <v>45832</v>
      </c>
      <c r="D3111" t="inlineStr">
        <is>
          <t>VÄSTERBOTTENS LÄN</t>
        </is>
      </c>
      <c r="E3111" t="inlineStr">
        <is>
          <t>SKELLEFTEÅ</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27990-2024</t>
        </is>
      </c>
      <c r="B3112" s="1" t="n">
        <v>45476</v>
      </c>
      <c r="C3112" s="1" t="n">
        <v>45832</v>
      </c>
      <c r="D3112" t="inlineStr">
        <is>
          <t>VÄSTERBOTTENS LÄN</t>
        </is>
      </c>
      <c r="E3112" t="inlineStr">
        <is>
          <t>SKELLEFTEÅ</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28057-2024</t>
        </is>
      </c>
      <c r="B3113" s="1" t="n">
        <v>45476</v>
      </c>
      <c r="C3113" s="1" t="n">
        <v>45832</v>
      </c>
      <c r="D3113" t="inlineStr">
        <is>
          <t>VÄSTERBOTTENS LÄN</t>
        </is>
      </c>
      <c r="E3113" t="inlineStr">
        <is>
          <t>SKELLEFTEÅ</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27980-2024</t>
        </is>
      </c>
      <c r="B3114" s="1" t="n">
        <v>45476</v>
      </c>
      <c r="C3114" s="1" t="n">
        <v>45832</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28353-2024</t>
        </is>
      </c>
      <c r="B3115" s="1" t="n">
        <v>45477</v>
      </c>
      <c r="C3115" s="1" t="n">
        <v>45832</v>
      </c>
      <c r="D3115" t="inlineStr">
        <is>
          <t>VÄSTERBOTTENS LÄN</t>
        </is>
      </c>
      <c r="E3115" t="inlineStr">
        <is>
          <t>SKELLEFTEÅ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28493-2024</t>
        </is>
      </c>
      <c r="B3116" s="1" t="n">
        <v>45477</v>
      </c>
      <c r="C3116" s="1" t="n">
        <v>45832</v>
      </c>
      <c r="D3116" t="inlineStr">
        <is>
          <t>VÄSTERBOTTENS LÄN</t>
        </is>
      </c>
      <c r="E3116" t="inlineStr">
        <is>
          <t>SKELLEFTEÅ</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28283-2024</t>
        </is>
      </c>
      <c r="B3117" s="1" t="n">
        <v>45477</v>
      </c>
      <c r="C3117" s="1" t="n">
        <v>45832</v>
      </c>
      <c r="D3117" t="inlineStr">
        <is>
          <t>VÄSTERBOTTENS LÄN</t>
        </is>
      </c>
      <c r="E3117" t="inlineStr">
        <is>
          <t>SKELLEFTEÅ</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28435-2024</t>
        </is>
      </c>
      <c r="B3118" s="1" t="n">
        <v>45477</v>
      </c>
      <c r="C3118" s="1" t="n">
        <v>45832</v>
      </c>
      <c r="D3118" t="inlineStr">
        <is>
          <t>VÄSTERBOTTENS LÄN</t>
        </is>
      </c>
      <c r="E3118" t="inlineStr">
        <is>
          <t>SKELLEFTEÅ</t>
        </is>
      </c>
      <c r="F3118" t="inlineStr">
        <is>
          <t>Holmen skog AB</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28273-2024</t>
        </is>
      </c>
      <c r="B3119" s="1" t="n">
        <v>45477</v>
      </c>
      <c r="C3119" s="1" t="n">
        <v>45832</v>
      </c>
      <c r="D3119" t="inlineStr">
        <is>
          <t>VÄSTERBOTTENS LÄN</t>
        </is>
      </c>
      <c r="E3119" t="inlineStr">
        <is>
          <t>SKELLEFTEÅ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28356-2024</t>
        </is>
      </c>
      <c r="B3120" s="1" t="n">
        <v>45477</v>
      </c>
      <c r="C3120" s="1" t="n">
        <v>45832</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28308-2024</t>
        </is>
      </c>
      <c r="B3121" s="1" t="n">
        <v>45477</v>
      </c>
      <c r="C3121" s="1" t="n">
        <v>45832</v>
      </c>
      <c r="D3121" t="inlineStr">
        <is>
          <t>VÄSTERBOTTENS LÄN</t>
        </is>
      </c>
      <c r="E3121" t="inlineStr">
        <is>
          <t>SKELLEFTEÅ</t>
        </is>
      </c>
      <c r="F3121" t="inlineStr">
        <is>
          <t>Holmen skog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28630-2024</t>
        </is>
      </c>
      <c r="B3122" s="1" t="n">
        <v>45478</v>
      </c>
      <c r="C3122" s="1" t="n">
        <v>45832</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29125-2024</t>
        </is>
      </c>
      <c r="B3123" s="1" t="n">
        <v>45481</v>
      </c>
      <c r="C3123" s="1" t="n">
        <v>45832</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29124-2024</t>
        </is>
      </c>
      <c r="B3124" s="1" t="n">
        <v>45481</v>
      </c>
      <c r="C3124" s="1" t="n">
        <v>45832</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29154-2024</t>
        </is>
      </c>
      <c r="B3125" s="1" t="n">
        <v>45482</v>
      </c>
      <c r="C3125" s="1" t="n">
        <v>45832</v>
      </c>
      <c r="D3125" t="inlineStr">
        <is>
          <t>VÄSTERBOTTENS LÄN</t>
        </is>
      </c>
      <c r="E3125" t="inlineStr">
        <is>
          <t>SKELLEFTEÅ</t>
        </is>
      </c>
      <c r="F3125" t="inlineStr">
        <is>
          <t>Holmen skog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29201-2024</t>
        </is>
      </c>
      <c r="B3126" s="1" t="n">
        <v>45482</v>
      </c>
      <c r="C3126" s="1" t="n">
        <v>45832</v>
      </c>
      <c r="D3126" t="inlineStr">
        <is>
          <t>VÄSTERBOTTENS LÄN</t>
        </is>
      </c>
      <c r="E3126" t="inlineStr">
        <is>
          <t>SKELLEFTEÅ</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29160-2024</t>
        </is>
      </c>
      <c r="B3127" s="1" t="n">
        <v>45482</v>
      </c>
      <c r="C3127" s="1" t="n">
        <v>45832</v>
      </c>
      <c r="D3127" t="inlineStr">
        <is>
          <t>VÄSTERBOTTENS LÄN</t>
        </is>
      </c>
      <c r="E3127" t="inlineStr">
        <is>
          <t>SKELLEFTEÅ</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29167-2024</t>
        </is>
      </c>
      <c r="B3128" s="1" t="n">
        <v>45482</v>
      </c>
      <c r="C3128" s="1" t="n">
        <v>45832</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29326-2024</t>
        </is>
      </c>
      <c r="B3129" s="1" t="n">
        <v>45483</v>
      </c>
      <c r="C3129" s="1" t="n">
        <v>45832</v>
      </c>
      <c r="D3129" t="inlineStr">
        <is>
          <t>VÄSTERBOTTENS LÄN</t>
        </is>
      </c>
      <c r="E3129" t="inlineStr">
        <is>
          <t>SKELLEFTEÅ</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29323-2024</t>
        </is>
      </c>
      <c r="B3130" s="1" t="n">
        <v>45483</v>
      </c>
      <c r="C3130" s="1" t="n">
        <v>45832</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29321-2024</t>
        </is>
      </c>
      <c r="B3131" s="1" t="n">
        <v>45483</v>
      </c>
      <c r="C3131" s="1" t="n">
        <v>45832</v>
      </c>
      <c r="D3131" t="inlineStr">
        <is>
          <t>VÄSTERBOTTENS LÄN</t>
        </is>
      </c>
      <c r="E3131" t="inlineStr">
        <is>
          <t>SKELLEFTEÅ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29579-2024</t>
        </is>
      </c>
      <c r="B3132" s="1" t="n">
        <v>45484</v>
      </c>
      <c r="C3132" s="1" t="n">
        <v>45832</v>
      </c>
      <c r="D3132" t="inlineStr">
        <is>
          <t>VÄSTERBOTTENS LÄN</t>
        </is>
      </c>
      <c r="E3132" t="inlineStr">
        <is>
          <t>SKELLEFTEÅ</t>
        </is>
      </c>
      <c r="F3132" t="inlineStr">
        <is>
          <t>Holmen skog AB</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29654-2024</t>
        </is>
      </c>
      <c r="B3133" s="1" t="n">
        <v>45485</v>
      </c>
      <c r="C3133" s="1" t="n">
        <v>45832</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30012-2024</t>
        </is>
      </c>
      <c r="B3134" s="1" t="n">
        <v>45488</v>
      </c>
      <c r="C3134" s="1" t="n">
        <v>45832</v>
      </c>
      <c r="D3134" t="inlineStr">
        <is>
          <t>VÄSTERBOTTENS LÄN</t>
        </is>
      </c>
      <c r="E3134" t="inlineStr">
        <is>
          <t>SKELLEFTEÅ</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30014-2024</t>
        </is>
      </c>
      <c r="B3135" s="1" t="n">
        <v>45488</v>
      </c>
      <c r="C3135" s="1" t="n">
        <v>45832</v>
      </c>
      <c r="D3135" t="inlineStr">
        <is>
          <t>VÄSTERBOTTENS LÄN</t>
        </is>
      </c>
      <c r="E3135" t="inlineStr">
        <is>
          <t>SKELLEFTEÅ</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30395-2024</t>
        </is>
      </c>
      <c r="B3136" s="1" t="n">
        <v>45491</v>
      </c>
      <c r="C3136" s="1" t="n">
        <v>45832</v>
      </c>
      <c r="D3136" t="inlineStr">
        <is>
          <t>VÄSTERBOTTENS LÄN</t>
        </is>
      </c>
      <c r="E3136" t="inlineStr">
        <is>
          <t>SKELLEFTEÅ</t>
        </is>
      </c>
      <c r="F3136" t="inlineStr">
        <is>
          <t>Holmen skog AB</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30508-2024</t>
        </is>
      </c>
      <c r="B3137" s="1" t="n">
        <v>45492</v>
      </c>
      <c r="C3137" s="1" t="n">
        <v>45832</v>
      </c>
      <c r="D3137" t="inlineStr">
        <is>
          <t>VÄSTERBOTTENS LÄN</t>
        </is>
      </c>
      <c r="E3137" t="inlineStr">
        <is>
          <t>SKELLEFTEÅ</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30650-2024</t>
        </is>
      </c>
      <c r="B3138" s="1" t="n">
        <v>45495</v>
      </c>
      <c r="C3138" s="1" t="n">
        <v>45832</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30900-2024</t>
        </is>
      </c>
      <c r="B3139" s="1" t="n">
        <v>45498</v>
      </c>
      <c r="C3139" s="1" t="n">
        <v>45832</v>
      </c>
      <c r="D3139" t="inlineStr">
        <is>
          <t>VÄSTERBOTTENS LÄN</t>
        </is>
      </c>
      <c r="E3139" t="inlineStr">
        <is>
          <t>SKELLEFTEÅ</t>
        </is>
      </c>
      <c r="G3139" t="n">
        <v>17.5</v>
      </c>
      <c r="H3139" t="n">
        <v>0</v>
      </c>
      <c r="I3139" t="n">
        <v>0</v>
      </c>
      <c r="J3139" t="n">
        <v>0</v>
      </c>
      <c r="K3139" t="n">
        <v>0</v>
      </c>
      <c r="L3139" t="n">
        <v>0</v>
      </c>
      <c r="M3139" t="n">
        <v>0</v>
      </c>
      <c r="N3139" t="n">
        <v>0</v>
      </c>
      <c r="O3139" t="n">
        <v>0</v>
      </c>
      <c r="P3139" t="n">
        <v>0</v>
      </c>
      <c r="Q3139" t="n">
        <v>0</v>
      </c>
      <c r="R3139" s="2" t="inlineStr"/>
    </row>
    <row r="3140" ht="15" customHeight="1">
      <c r="A3140" t="inlineStr">
        <is>
          <t>A 30904-2024</t>
        </is>
      </c>
      <c r="B3140" s="1" t="n">
        <v>45498</v>
      </c>
      <c r="C3140" s="1" t="n">
        <v>45832</v>
      </c>
      <c r="D3140" t="inlineStr">
        <is>
          <t>VÄSTERBOTTENS LÄN</t>
        </is>
      </c>
      <c r="E3140" t="inlineStr">
        <is>
          <t>SKELLEFTEÅ</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30901-2024</t>
        </is>
      </c>
      <c r="B3141" s="1" t="n">
        <v>45498</v>
      </c>
      <c r="C3141" s="1" t="n">
        <v>45832</v>
      </c>
      <c r="D3141" t="inlineStr">
        <is>
          <t>VÄSTERBOTTENS LÄN</t>
        </is>
      </c>
      <c r="E3141" t="inlineStr">
        <is>
          <t>SKELLEFTEÅ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30897-2024</t>
        </is>
      </c>
      <c r="B3142" s="1" t="n">
        <v>45498</v>
      </c>
      <c r="C3142" s="1" t="n">
        <v>45832</v>
      </c>
      <c r="D3142" t="inlineStr">
        <is>
          <t>VÄSTERBOTTENS LÄN</t>
        </is>
      </c>
      <c r="E3142" t="inlineStr">
        <is>
          <t>SKELLEFTEÅ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30986-2024</t>
        </is>
      </c>
      <c r="B3143" s="1" t="n">
        <v>45499</v>
      </c>
      <c r="C3143" s="1" t="n">
        <v>45832</v>
      </c>
      <c r="D3143" t="inlineStr">
        <is>
          <t>VÄSTERBOTTENS LÄN</t>
        </is>
      </c>
      <c r="E3143" t="inlineStr">
        <is>
          <t>SKELLEFTEÅ</t>
        </is>
      </c>
      <c r="F3143" t="inlineStr">
        <is>
          <t>Sveaskog</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31103-2024</t>
        </is>
      </c>
      <c r="B3144" s="1" t="n">
        <v>45502</v>
      </c>
      <c r="C3144" s="1" t="n">
        <v>45832</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31179-2024</t>
        </is>
      </c>
      <c r="B3145" s="1" t="n">
        <v>45503</v>
      </c>
      <c r="C3145" s="1" t="n">
        <v>45832</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31197-2024</t>
        </is>
      </c>
      <c r="B3146" s="1" t="n">
        <v>45503</v>
      </c>
      <c r="C3146" s="1" t="n">
        <v>45832</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31167-2024</t>
        </is>
      </c>
      <c r="B3147" s="1" t="n">
        <v>45503</v>
      </c>
      <c r="C3147" s="1" t="n">
        <v>45832</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31392-2024</t>
        </is>
      </c>
      <c r="B3148" s="1" t="n">
        <v>45505</v>
      </c>
      <c r="C3148" s="1" t="n">
        <v>45832</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31384-2024</t>
        </is>
      </c>
      <c r="B3149" s="1" t="n">
        <v>45505</v>
      </c>
      <c r="C3149" s="1" t="n">
        <v>45832</v>
      </c>
      <c r="D3149" t="inlineStr">
        <is>
          <t>VÄSTERBOTTENS LÄN</t>
        </is>
      </c>
      <c r="E3149" t="inlineStr">
        <is>
          <t>SKELLEFTEÅ</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31689-2024</t>
        </is>
      </c>
      <c r="B3150" s="1" t="n">
        <v>45507</v>
      </c>
      <c r="C3150" s="1" t="n">
        <v>45832</v>
      </c>
      <c r="D3150" t="inlineStr">
        <is>
          <t>VÄSTERBOTTENS LÄN</t>
        </is>
      </c>
      <c r="E3150" t="inlineStr">
        <is>
          <t>SKELLEFTEÅ</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31809-2024</t>
        </is>
      </c>
      <c r="B3151" s="1" t="n">
        <v>45509</v>
      </c>
      <c r="C3151" s="1" t="n">
        <v>45832</v>
      </c>
      <c r="D3151" t="inlineStr">
        <is>
          <t>VÄSTERBOTTENS LÄN</t>
        </is>
      </c>
      <c r="E3151" t="inlineStr">
        <is>
          <t>SKELLEFTEÅ</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31872-2024</t>
        </is>
      </c>
      <c r="B3152" s="1" t="n">
        <v>45510</v>
      </c>
      <c r="C3152" s="1" t="n">
        <v>45832</v>
      </c>
      <c r="D3152" t="inlineStr">
        <is>
          <t>VÄSTERBOTTENS LÄN</t>
        </is>
      </c>
      <c r="E3152" t="inlineStr">
        <is>
          <t>SKELLEFTEÅ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31871-2024</t>
        </is>
      </c>
      <c r="B3153" s="1" t="n">
        <v>45510</v>
      </c>
      <c r="C3153" s="1" t="n">
        <v>45832</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31874-2024</t>
        </is>
      </c>
      <c r="B3154" s="1" t="n">
        <v>45509</v>
      </c>
      <c r="C3154" s="1" t="n">
        <v>45832</v>
      </c>
      <c r="D3154" t="inlineStr">
        <is>
          <t>VÄSTERBOTTENS LÄN</t>
        </is>
      </c>
      <c r="E3154" t="inlineStr">
        <is>
          <t>SKELLEFTEÅ</t>
        </is>
      </c>
      <c r="G3154" t="n">
        <v>137.5</v>
      </c>
      <c r="H3154" t="n">
        <v>0</v>
      </c>
      <c r="I3154" t="n">
        <v>0</v>
      </c>
      <c r="J3154" t="n">
        <v>0</v>
      </c>
      <c r="K3154" t="n">
        <v>0</v>
      </c>
      <c r="L3154" t="n">
        <v>0</v>
      </c>
      <c r="M3154" t="n">
        <v>0</v>
      </c>
      <c r="N3154" t="n">
        <v>0</v>
      </c>
      <c r="O3154" t="n">
        <v>0</v>
      </c>
      <c r="P3154" t="n">
        <v>0</v>
      </c>
      <c r="Q3154" t="n">
        <v>0</v>
      </c>
      <c r="R3154" s="2" t="inlineStr"/>
    </row>
    <row r="3155" ht="15" customHeight="1">
      <c r="A3155" t="inlineStr">
        <is>
          <t>A 31975-2024</t>
        </is>
      </c>
      <c r="B3155" s="1" t="n">
        <v>45510</v>
      </c>
      <c r="C3155" s="1" t="n">
        <v>45832</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31966-2024</t>
        </is>
      </c>
      <c r="B3156" s="1" t="n">
        <v>45510</v>
      </c>
      <c r="C3156" s="1" t="n">
        <v>45832</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32217-2024</t>
        </is>
      </c>
      <c r="B3157" s="1" t="n">
        <v>45512</v>
      </c>
      <c r="C3157" s="1" t="n">
        <v>45832</v>
      </c>
      <c r="D3157" t="inlineStr">
        <is>
          <t>VÄSTERBOTTENS LÄN</t>
        </is>
      </c>
      <c r="E3157" t="inlineStr">
        <is>
          <t>SKELLEFTEÅ</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32298-2024</t>
        </is>
      </c>
      <c r="B3158" s="1" t="n">
        <v>45512</v>
      </c>
      <c r="C3158" s="1" t="n">
        <v>45832</v>
      </c>
      <c r="D3158" t="inlineStr">
        <is>
          <t>VÄSTERBOTTENS LÄN</t>
        </is>
      </c>
      <c r="E3158" t="inlineStr">
        <is>
          <t>SKELLEFTEÅ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32499-2024</t>
        </is>
      </c>
      <c r="B3159" s="1" t="n">
        <v>45513</v>
      </c>
      <c r="C3159" s="1" t="n">
        <v>45832</v>
      </c>
      <c r="D3159" t="inlineStr">
        <is>
          <t>VÄSTERBOTTENS LÄN</t>
        </is>
      </c>
      <c r="E3159" t="inlineStr">
        <is>
          <t>SKELLEFTEÅ</t>
        </is>
      </c>
      <c r="F3159" t="inlineStr">
        <is>
          <t>Holmen skog AB</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32593-2024</t>
        </is>
      </c>
      <c r="B3160" s="1" t="n">
        <v>45513</v>
      </c>
      <c r="C3160" s="1" t="n">
        <v>45832</v>
      </c>
      <c r="D3160" t="inlineStr">
        <is>
          <t>VÄSTERBOTTENS LÄN</t>
        </is>
      </c>
      <c r="E3160" t="inlineStr">
        <is>
          <t>SKELLEFTEÅ</t>
        </is>
      </c>
      <c r="F3160" t="inlineStr">
        <is>
          <t>Holmen skog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32914-2024</t>
        </is>
      </c>
      <c r="B3161" s="1" t="n">
        <v>45517</v>
      </c>
      <c r="C3161" s="1" t="n">
        <v>45832</v>
      </c>
      <c r="D3161" t="inlineStr">
        <is>
          <t>VÄSTERBOTTENS LÄN</t>
        </is>
      </c>
      <c r="E3161" t="inlineStr">
        <is>
          <t>SKELLEFTEÅ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32918-2024</t>
        </is>
      </c>
      <c r="B3162" s="1" t="n">
        <v>45517</v>
      </c>
      <c r="C3162" s="1" t="n">
        <v>45832</v>
      </c>
      <c r="D3162" t="inlineStr">
        <is>
          <t>VÄSTERBOTTENS LÄN</t>
        </is>
      </c>
      <c r="E3162" t="inlineStr">
        <is>
          <t>SKELLEFTEÅ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32917-2024</t>
        </is>
      </c>
      <c r="B3163" s="1" t="n">
        <v>45517</v>
      </c>
      <c r="C3163" s="1" t="n">
        <v>45832</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32916-2024</t>
        </is>
      </c>
      <c r="B3164" s="1" t="n">
        <v>45517</v>
      </c>
      <c r="C3164" s="1" t="n">
        <v>45832</v>
      </c>
      <c r="D3164" t="inlineStr">
        <is>
          <t>VÄSTERBOTTENS LÄN</t>
        </is>
      </c>
      <c r="E3164" t="inlineStr">
        <is>
          <t>SKELLEFTEÅ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32709-2024</t>
        </is>
      </c>
      <c r="B3165" s="1" t="n">
        <v>45516</v>
      </c>
      <c r="C3165" s="1" t="n">
        <v>45832</v>
      </c>
      <c r="D3165" t="inlineStr">
        <is>
          <t>VÄSTERBOTTENS LÄN</t>
        </is>
      </c>
      <c r="E3165" t="inlineStr">
        <is>
          <t>SKELLEFTEÅ</t>
        </is>
      </c>
      <c r="F3165" t="inlineStr">
        <is>
          <t>Holmen skog AB</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32919-2024</t>
        </is>
      </c>
      <c r="B3166" s="1" t="n">
        <v>45517</v>
      </c>
      <c r="C3166" s="1" t="n">
        <v>45832</v>
      </c>
      <c r="D3166" t="inlineStr">
        <is>
          <t>VÄSTERBOTTENS LÄN</t>
        </is>
      </c>
      <c r="E3166" t="inlineStr">
        <is>
          <t>SKELLEFTEÅ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33109-2024</t>
        </is>
      </c>
      <c r="B3167" s="1" t="n">
        <v>45517</v>
      </c>
      <c r="C3167" s="1" t="n">
        <v>45832</v>
      </c>
      <c r="D3167" t="inlineStr">
        <is>
          <t>VÄSTERBOTTENS LÄN</t>
        </is>
      </c>
      <c r="E3167" t="inlineStr">
        <is>
          <t>SKELLEFTEÅ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33204-2024</t>
        </is>
      </c>
      <c r="B3168" s="1" t="n">
        <v>45518</v>
      </c>
      <c r="C3168" s="1" t="n">
        <v>45832</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33530-2024</t>
        </is>
      </c>
      <c r="B3169" s="1" t="n">
        <v>45519</v>
      </c>
      <c r="C3169" s="1" t="n">
        <v>45832</v>
      </c>
      <c r="D3169" t="inlineStr">
        <is>
          <t>VÄSTERBOTTENS LÄN</t>
        </is>
      </c>
      <c r="E3169" t="inlineStr">
        <is>
          <t>SKELLEFTEÅ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33538-2024</t>
        </is>
      </c>
      <c r="B3170" s="1" t="n">
        <v>45519</v>
      </c>
      <c r="C3170" s="1" t="n">
        <v>45832</v>
      </c>
      <c r="D3170" t="inlineStr">
        <is>
          <t>VÄSTERBOTTENS LÄN</t>
        </is>
      </c>
      <c r="E3170" t="inlineStr">
        <is>
          <t>SKELLEFTEÅ</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33442-2024</t>
        </is>
      </c>
      <c r="B3171" s="1" t="n">
        <v>45519</v>
      </c>
      <c r="C3171" s="1" t="n">
        <v>45832</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33543-2024</t>
        </is>
      </c>
      <c r="B3172" s="1" t="n">
        <v>45519</v>
      </c>
      <c r="C3172" s="1" t="n">
        <v>45832</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33528-2024</t>
        </is>
      </c>
      <c r="B3173" s="1" t="n">
        <v>45519</v>
      </c>
      <c r="C3173" s="1" t="n">
        <v>45832</v>
      </c>
      <c r="D3173" t="inlineStr">
        <is>
          <t>VÄSTERBOTTENS LÄN</t>
        </is>
      </c>
      <c r="E3173" t="inlineStr">
        <is>
          <t>SKELLEFTEÅ</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33785-2024</t>
        </is>
      </c>
      <c r="B3174" s="1" t="n">
        <v>45520</v>
      </c>
      <c r="C3174" s="1" t="n">
        <v>45832</v>
      </c>
      <c r="D3174" t="inlineStr">
        <is>
          <t>VÄSTERBOTTENS LÄN</t>
        </is>
      </c>
      <c r="E3174" t="inlineStr">
        <is>
          <t>SKELLEFTEÅ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33776-2024</t>
        </is>
      </c>
      <c r="B3175" s="1" t="n">
        <v>45520</v>
      </c>
      <c r="C3175" s="1" t="n">
        <v>45832</v>
      </c>
      <c r="D3175" t="inlineStr">
        <is>
          <t>VÄSTERBOTTENS LÄN</t>
        </is>
      </c>
      <c r="E3175" t="inlineStr">
        <is>
          <t>SKELLEFTEÅ</t>
        </is>
      </c>
      <c r="F3175" t="inlineStr">
        <is>
          <t>Sveaskog</t>
        </is>
      </c>
      <c r="G3175" t="n">
        <v>16.4</v>
      </c>
      <c r="H3175" t="n">
        <v>0</v>
      </c>
      <c r="I3175" t="n">
        <v>0</v>
      </c>
      <c r="J3175" t="n">
        <v>0</v>
      </c>
      <c r="K3175" t="n">
        <v>0</v>
      </c>
      <c r="L3175" t="n">
        <v>0</v>
      </c>
      <c r="M3175" t="n">
        <v>0</v>
      </c>
      <c r="N3175" t="n">
        <v>0</v>
      </c>
      <c r="O3175" t="n">
        <v>0</v>
      </c>
      <c r="P3175" t="n">
        <v>0</v>
      </c>
      <c r="Q3175" t="n">
        <v>0</v>
      </c>
      <c r="R3175" s="2" t="inlineStr"/>
    </row>
    <row r="3176" ht="15" customHeight="1">
      <c r="A3176" t="inlineStr">
        <is>
          <t>A 34242-2024</t>
        </is>
      </c>
      <c r="B3176" s="1" t="n">
        <v>45524</v>
      </c>
      <c r="C3176" s="1" t="n">
        <v>45832</v>
      </c>
      <c r="D3176" t="inlineStr">
        <is>
          <t>VÄSTERBOTTENS LÄN</t>
        </is>
      </c>
      <c r="E3176" t="inlineStr">
        <is>
          <t>SKELLEFTEÅ</t>
        </is>
      </c>
      <c r="F3176" t="inlineStr">
        <is>
          <t>Sveaskog</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34158-2024</t>
        </is>
      </c>
      <c r="B3177" s="1" t="n">
        <v>45524</v>
      </c>
      <c r="C3177" s="1" t="n">
        <v>45832</v>
      </c>
      <c r="D3177" t="inlineStr">
        <is>
          <t>VÄSTERBOTTENS LÄN</t>
        </is>
      </c>
      <c r="E3177" t="inlineStr">
        <is>
          <t>SKELLEFTEÅ</t>
        </is>
      </c>
      <c r="F3177" t="inlineStr">
        <is>
          <t>Sveaskog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34332-2024</t>
        </is>
      </c>
      <c r="B3178" s="1" t="n">
        <v>45524</v>
      </c>
      <c r="C3178" s="1" t="n">
        <v>45832</v>
      </c>
      <c r="D3178" t="inlineStr">
        <is>
          <t>VÄSTERBOTTENS LÄN</t>
        </is>
      </c>
      <c r="E3178" t="inlineStr">
        <is>
          <t>SKELLEFTEÅ</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34614-2024</t>
        </is>
      </c>
      <c r="B3179" s="1" t="n">
        <v>45526</v>
      </c>
      <c r="C3179" s="1" t="n">
        <v>45832</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34622-2024</t>
        </is>
      </c>
      <c r="B3180" s="1" t="n">
        <v>45526</v>
      </c>
      <c r="C3180" s="1" t="n">
        <v>45832</v>
      </c>
      <c r="D3180" t="inlineStr">
        <is>
          <t>VÄSTERBOTTENS LÄN</t>
        </is>
      </c>
      <c r="E3180" t="inlineStr">
        <is>
          <t>SKELLEFTEÅ</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34631-2024</t>
        </is>
      </c>
      <c r="B3181" s="1" t="n">
        <v>45526</v>
      </c>
      <c r="C3181" s="1" t="n">
        <v>45832</v>
      </c>
      <c r="D3181" t="inlineStr">
        <is>
          <t>VÄSTERBOTTENS LÄN</t>
        </is>
      </c>
      <c r="E3181" t="inlineStr">
        <is>
          <t>SKELLEFTEÅ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34644-2024</t>
        </is>
      </c>
      <c r="B3182" s="1" t="n">
        <v>45526</v>
      </c>
      <c r="C3182" s="1" t="n">
        <v>45832</v>
      </c>
      <c r="D3182" t="inlineStr">
        <is>
          <t>VÄSTERBOTTENS LÄN</t>
        </is>
      </c>
      <c r="E3182" t="inlineStr">
        <is>
          <t>SKELLEFTEÅ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34821-2024</t>
        </is>
      </c>
      <c r="B3183" s="1" t="n">
        <v>45526</v>
      </c>
      <c r="C3183" s="1" t="n">
        <v>45832</v>
      </c>
      <c r="D3183" t="inlineStr">
        <is>
          <t>VÄSTERBOTTENS LÄN</t>
        </is>
      </c>
      <c r="E3183" t="inlineStr">
        <is>
          <t>SKELLEFTEÅ</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34615-2024</t>
        </is>
      </c>
      <c r="B3184" s="1" t="n">
        <v>45526</v>
      </c>
      <c r="C3184" s="1" t="n">
        <v>45832</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34713-2024</t>
        </is>
      </c>
      <c r="B3185" s="1" t="n">
        <v>45526</v>
      </c>
      <c r="C3185" s="1" t="n">
        <v>45832</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34714-2024</t>
        </is>
      </c>
      <c r="B3186" s="1" t="n">
        <v>45526</v>
      </c>
      <c r="C3186" s="1" t="n">
        <v>45832</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34694-2024</t>
        </is>
      </c>
      <c r="B3187" s="1" t="n">
        <v>45526</v>
      </c>
      <c r="C3187" s="1" t="n">
        <v>45832</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34690-2024</t>
        </is>
      </c>
      <c r="B3188" s="1" t="n">
        <v>45526</v>
      </c>
      <c r="C3188" s="1" t="n">
        <v>45832</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34608-2024</t>
        </is>
      </c>
      <c r="B3189" s="1" t="n">
        <v>45526</v>
      </c>
      <c r="C3189" s="1" t="n">
        <v>45832</v>
      </c>
      <c r="D3189" t="inlineStr">
        <is>
          <t>VÄSTERBOTTENS LÄN</t>
        </is>
      </c>
      <c r="E3189" t="inlineStr">
        <is>
          <t>SKELLEFTEÅ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34739-2024</t>
        </is>
      </c>
      <c r="B3190" s="1" t="n">
        <v>45526</v>
      </c>
      <c r="C3190" s="1" t="n">
        <v>45832</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35035-2024</t>
        </is>
      </c>
      <c r="B3191" s="1" t="n">
        <v>45527</v>
      </c>
      <c r="C3191" s="1" t="n">
        <v>45832</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34874-2024</t>
        </is>
      </c>
      <c r="B3192" s="1" t="n">
        <v>45527</v>
      </c>
      <c r="C3192" s="1" t="n">
        <v>45832</v>
      </c>
      <c r="D3192" t="inlineStr">
        <is>
          <t>VÄSTERBOTTENS LÄN</t>
        </is>
      </c>
      <c r="E3192" t="inlineStr">
        <is>
          <t>SKELLEFTEÅ</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34998-2024</t>
        </is>
      </c>
      <c r="B3193" s="1" t="n">
        <v>45527</v>
      </c>
      <c r="C3193" s="1" t="n">
        <v>45832</v>
      </c>
      <c r="D3193" t="inlineStr">
        <is>
          <t>VÄSTERBOTTENS LÄN</t>
        </is>
      </c>
      <c r="E3193" t="inlineStr">
        <is>
          <t>SKELLEFTEÅ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35114-2024</t>
        </is>
      </c>
      <c r="B3194" s="1" t="n">
        <v>45530</v>
      </c>
      <c r="C3194" s="1" t="n">
        <v>45832</v>
      </c>
      <c r="D3194" t="inlineStr">
        <is>
          <t>VÄSTERBOTTENS LÄN</t>
        </is>
      </c>
      <c r="E3194" t="inlineStr">
        <is>
          <t>SKELLEFTEÅ</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45832</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35135-2024</t>
        </is>
      </c>
      <c r="B3196" s="1" t="n">
        <v>45530</v>
      </c>
      <c r="C3196" s="1" t="n">
        <v>45832</v>
      </c>
      <c r="D3196" t="inlineStr">
        <is>
          <t>VÄSTERBOTTENS LÄN</t>
        </is>
      </c>
      <c r="E3196" t="inlineStr">
        <is>
          <t>SKELLEFTEÅ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35168-2024</t>
        </is>
      </c>
      <c r="B3197" s="1" t="n">
        <v>45530</v>
      </c>
      <c r="C3197" s="1" t="n">
        <v>45832</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35216-2024</t>
        </is>
      </c>
      <c r="B3198" s="1" t="n">
        <v>45530</v>
      </c>
      <c r="C3198" s="1" t="n">
        <v>45832</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35208-2024</t>
        </is>
      </c>
      <c r="B3199" s="1" t="n">
        <v>45530</v>
      </c>
      <c r="C3199" s="1" t="n">
        <v>45832</v>
      </c>
      <c r="D3199" t="inlineStr">
        <is>
          <t>VÄSTERBOTTENS LÄN</t>
        </is>
      </c>
      <c r="E3199" t="inlineStr">
        <is>
          <t>SKELLEFTEÅ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35435-2024</t>
        </is>
      </c>
      <c r="B3200" s="1" t="n">
        <v>45531</v>
      </c>
      <c r="C3200" s="1" t="n">
        <v>45832</v>
      </c>
      <c r="D3200" t="inlineStr">
        <is>
          <t>VÄSTERBOTTENS LÄN</t>
        </is>
      </c>
      <c r="E3200" t="inlineStr">
        <is>
          <t>SKELLEFTEÅ</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35800-2024</t>
        </is>
      </c>
      <c r="B3201" s="1" t="n">
        <v>45532</v>
      </c>
      <c r="C3201" s="1" t="n">
        <v>45832</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35807-2024</t>
        </is>
      </c>
      <c r="B3202" s="1" t="n">
        <v>45532</v>
      </c>
      <c r="C3202" s="1" t="n">
        <v>45832</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35881-2024</t>
        </is>
      </c>
      <c r="B3203" s="1" t="n">
        <v>45533</v>
      </c>
      <c r="C3203" s="1" t="n">
        <v>45832</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35880-2024</t>
        </is>
      </c>
      <c r="B3204" s="1" t="n">
        <v>45533</v>
      </c>
      <c r="C3204" s="1" t="n">
        <v>45832</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36201-2024</t>
        </is>
      </c>
      <c r="B3205" s="1" t="n">
        <v>45534</v>
      </c>
      <c r="C3205" s="1" t="n">
        <v>45832</v>
      </c>
      <c r="D3205" t="inlineStr">
        <is>
          <t>VÄSTERBOTTENS LÄN</t>
        </is>
      </c>
      <c r="E3205" t="inlineStr">
        <is>
          <t>SKELLEFTEÅ</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36213-2024</t>
        </is>
      </c>
      <c r="B3206" s="1" t="n">
        <v>45534</v>
      </c>
      <c r="C3206" s="1" t="n">
        <v>45832</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36122-2024</t>
        </is>
      </c>
      <c r="B3207" s="1" t="n">
        <v>45534</v>
      </c>
      <c r="C3207" s="1" t="n">
        <v>45832</v>
      </c>
      <c r="D3207" t="inlineStr">
        <is>
          <t>VÄSTERBOTTENS LÄN</t>
        </is>
      </c>
      <c r="E3207" t="inlineStr">
        <is>
          <t>SKELLEFTEÅ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36222-2024</t>
        </is>
      </c>
      <c r="B3208" s="1" t="n">
        <v>45534</v>
      </c>
      <c r="C3208" s="1" t="n">
        <v>45832</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36216-2024</t>
        </is>
      </c>
      <c r="B3209" s="1" t="n">
        <v>45534</v>
      </c>
      <c r="C3209" s="1" t="n">
        <v>45832</v>
      </c>
      <c r="D3209" t="inlineStr">
        <is>
          <t>VÄSTERBOTTENS LÄN</t>
        </is>
      </c>
      <c r="E3209" t="inlineStr">
        <is>
          <t>SKELLEFTEÅ</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36297-2024</t>
        </is>
      </c>
      <c r="B3210" s="1" t="n">
        <v>45534</v>
      </c>
      <c r="C3210" s="1" t="n">
        <v>45832</v>
      </c>
      <c r="D3210" t="inlineStr">
        <is>
          <t>VÄSTERBOTTENS LÄN</t>
        </is>
      </c>
      <c r="E3210" t="inlineStr">
        <is>
          <t>SKELLEFTEÅ</t>
        </is>
      </c>
      <c r="F3210" t="inlineStr">
        <is>
          <t>Sveaskog</t>
        </is>
      </c>
      <c r="G3210" t="n">
        <v>20.9</v>
      </c>
      <c r="H3210" t="n">
        <v>0</v>
      </c>
      <c r="I3210" t="n">
        <v>0</v>
      </c>
      <c r="J3210" t="n">
        <v>0</v>
      </c>
      <c r="K3210" t="n">
        <v>0</v>
      </c>
      <c r="L3210" t="n">
        <v>0</v>
      </c>
      <c r="M3210" t="n">
        <v>0</v>
      </c>
      <c r="N3210" t="n">
        <v>0</v>
      </c>
      <c r="O3210" t="n">
        <v>0</v>
      </c>
      <c r="P3210" t="n">
        <v>0</v>
      </c>
      <c r="Q3210" t="n">
        <v>0</v>
      </c>
      <c r="R3210" s="2" t="inlineStr"/>
    </row>
    <row r="3211" ht="15" customHeight="1">
      <c r="A3211" t="inlineStr">
        <is>
          <t>A 36329-2024</t>
        </is>
      </c>
      <c r="B3211" s="1" t="n">
        <v>45534</v>
      </c>
      <c r="C3211" s="1" t="n">
        <v>45832</v>
      </c>
      <c r="D3211" t="inlineStr">
        <is>
          <t>VÄSTERBOTTENS LÄN</t>
        </is>
      </c>
      <c r="E3211" t="inlineStr">
        <is>
          <t>SKELLEFTEÅ</t>
        </is>
      </c>
      <c r="F3211" t="inlineStr">
        <is>
          <t>Holmen skog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36351-2024</t>
        </is>
      </c>
      <c r="B3212" s="1" t="n">
        <v>45534</v>
      </c>
      <c r="C3212" s="1" t="n">
        <v>45832</v>
      </c>
      <c r="D3212" t="inlineStr">
        <is>
          <t>VÄSTERBOTTENS LÄN</t>
        </is>
      </c>
      <c r="E3212" t="inlineStr">
        <is>
          <t>SKELLEFTEÅ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36379-2024</t>
        </is>
      </c>
      <c r="B3213" s="1" t="n">
        <v>45534</v>
      </c>
      <c r="C3213" s="1" t="n">
        <v>45832</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36339-2024</t>
        </is>
      </c>
      <c r="B3214" s="1" t="n">
        <v>45534</v>
      </c>
      <c r="C3214" s="1" t="n">
        <v>45832</v>
      </c>
      <c r="D3214" t="inlineStr">
        <is>
          <t>VÄSTERBOTTENS LÄN</t>
        </is>
      </c>
      <c r="E3214" t="inlineStr">
        <is>
          <t>SKELLEFTEÅ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36490-2024</t>
        </is>
      </c>
      <c r="B3215" s="1" t="n">
        <v>45537</v>
      </c>
      <c r="C3215" s="1" t="n">
        <v>45832</v>
      </c>
      <c r="D3215" t="inlineStr">
        <is>
          <t>VÄSTERBOTTENS LÄN</t>
        </is>
      </c>
      <c r="E3215" t="inlineStr">
        <is>
          <t>SKELLEFTEÅ</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36546-2024</t>
        </is>
      </c>
      <c r="B3216" s="1" t="n">
        <v>45537</v>
      </c>
      <c r="C3216" s="1" t="n">
        <v>45832</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36513-2024</t>
        </is>
      </c>
      <c r="B3217" s="1" t="n">
        <v>45537</v>
      </c>
      <c r="C3217" s="1" t="n">
        <v>45832</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36533-2024</t>
        </is>
      </c>
      <c r="B3218" s="1" t="n">
        <v>45537</v>
      </c>
      <c r="C3218" s="1" t="n">
        <v>45832</v>
      </c>
      <c r="D3218" t="inlineStr">
        <is>
          <t>VÄSTERBOTTENS LÄN</t>
        </is>
      </c>
      <c r="E3218" t="inlineStr">
        <is>
          <t>SKELLEFTEÅ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36537-2024</t>
        </is>
      </c>
      <c r="B3219" s="1" t="n">
        <v>45537</v>
      </c>
      <c r="C3219" s="1" t="n">
        <v>45832</v>
      </c>
      <c r="D3219" t="inlineStr">
        <is>
          <t>VÄSTERBOTTENS LÄN</t>
        </is>
      </c>
      <c r="E3219" t="inlineStr">
        <is>
          <t>SKELLEFTEÅ</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36698-2024</t>
        </is>
      </c>
      <c r="B3220" s="1" t="n">
        <v>45537</v>
      </c>
      <c r="C3220" s="1" t="n">
        <v>45832</v>
      </c>
      <c r="D3220" t="inlineStr">
        <is>
          <t>VÄSTERBOTTENS LÄN</t>
        </is>
      </c>
      <c r="E3220" t="inlineStr">
        <is>
          <t>SKELLEFTEÅ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36794-2024</t>
        </is>
      </c>
      <c r="B3221" s="1" t="n">
        <v>45538</v>
      </c>
      <c r="C3221" s="1" t="n">
        <v>45832</v>
      </c>
      <c r="D3221" t="inlineStr">
        <is>
          <t>VÄSTERBOTTENS LÄN</t>
        </is>
      </c>
      <c r="E3221" t="inlineStr">
        <is>
          <t>SKELLEFTEÅ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36806-2024</t>
        </is>
      </c>
      <c r="B3222" s="1" t="n">
        <v>45538</v>
      </c>
      <c r="C3222" s="1" t="n">
        <v>45832</v>
      </c>
      <c r="D3222" t="inlineStr">
        <is>
          <t>VÄSTERBOTTENS LÄN</t>
        </is>
      </c>
      <c r="E3222" t="inlineStr">
        <is>
          <t>SKELLEFTEÅ</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36771-2024</t>
        </is>
      </c>
      <c r="B3223" s="1" t="n">
        <v>45538</v>
      </c>
      <c r="C3223" s="1" t="n">
        <v>45832</v>
      </c>
      <c r="D3223" t="inlineStr">
        <is>
          <t>VÄSTERBOTTENS LÄN</t>
        </is>
      </c>
      <c r="E3223" t="inlineStr">
        <is>
          <t>SKELLEFTEÅ</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36779-2024</t>
        </is>
      </c>
      <c r="B3224" s="1" t="n">
        <v>45538</v>
      </c>
      <c r="C3224" s="1" t="n">
        <v>45832</v>
      </c>
      <c r="D3224" t="inlineStr">
        <is>
          <t>VÄSTERBOTTENS LÄN</t>
        </is>
      </c>
      <c r="E3224" t="inlineStr">
        <is>
          <t>SKELLEFTEÅ</t>
        </is>
      </c>
      <c r="F3224" t="inlineStr">
        <is>
          <t>Holmen skog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36792-2024</t>
        </is>
      </c>
      <c r="B3225" s="1" t="n">
        <v>45538</v>
      </c>
      <c r="C3225" s="1" t="n">
        <v>45832</v>
      </c>
      <c r="D3225" t="inlineStr">
        <is>
          <t>VÄSTERBOTTENS LÄN</t>
        </is>
      </c>
      <c r="E3225" t="inlineStr">
        <is>
          <t>SKELLEFTEÅ</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36800-2024</t>
        </is>
      </c>
      <c r="B3226" s="1" t="n">
        <v>45538</v>
      </c>
      <c r="C3226" s="1" t="n">
        <v>45832</v>
      </c>
      <c r="D3226" t="inlineStr">
        <is>
          <t>VÄSTERBOTTENS LÄN</t>
        </is>
      </c>
      <c r="E3226" t="inlineStr">
        <is>
          <t>SKELLEFTEÅ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36823-2024</t>
        </is>
      </c>
      <c r="B3227" s="1" t="n">
        <v>45538</v>
      </c>
      <c r="C3227" s="1" t="n">
        <v>45832</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36824-2024</t>
        </is>
      </c>
      <c r="B3228" s="1" t="n">
        <v>45538</v>
      </c>
      <c r="C3228" s="1" t="n">
        <v>45832</v>
      </c>
      <c r="D3228" t="inlineStr">
        <is>
          <t>VÄSTERBOTTENS LÄN</t>
        </is>
      </c>
      <c r="E3228" t="inlineStr">
        <is>
          <t>SKELLEFTEÅ</t>
        </is>
      </c>
      <c r="F3228" t="inlineStr">
        <is>
          <t>Sveaskog</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36867-2024</t>
        </is>
      </c>
      <c r="B3229" s="1" t="n">
        <v>45538</v>
      </c>
      <c r="C3229" s="1" t="n">
        <v>45832</v>
      </c>
      <c r="D3229" t="inlineStr">
        <is>
          <t>VÄSTERBOTTENS LÄN</t>
        </is>
      </c>
      <c r="E3229" t="inlineStr">
        <is>
          <t>SKELLEFTEÅ</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36895-2024</t>
        </is>
      </c>
      <c r="B3230" s="1" t="n">
        <v>45538</v>
      </c>
      <c r="C3230" s="1" t="n">
        <v>45832</v>
      </c>
      <c r="D3230" t="inlineStr">
        <is>
          <t>VÄSTERBOTTENS LÄN</t>
        </is>
      </c>
      <c r="E3230" t="inlineStr">
        <is>
          <t>SKELLEFTEÅ</t>
        </is>
      </c>
      <c r="F3230" t="inlineStr">
        <is>
          <t>Holmen skog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37139-2024</t>
        </is>
      </c>
      <c r="B3231" s="1" t="n">
        <v>45539</v>
      </c>
      <c r="C3231" s="1" t="n">
        <v>45832</v>
      </c>
      <c r="D3231" t="inlineStr">
        <is>
          <t>VÄSTERBOTTENS LÄN</t>
        </is>
      </c>
      <c r="E3231" t="inlineStr">
        <is>
          <t>SKELLEFTEÅ</t>
        </is>
      </c>
      <c r="F3231" t="inlineStr">
        <is>
          <t>Holmen skog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37298-2024</t>
        </is>
      </c>
      <c r="B3232" s="1" t="n">
        <v>45540</v>
      </c>
      <c r="C3232" s="1" t="n">
        <v>45832</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37320-2024</t>
        </is>
      </c>
      <c r="B3233" s="1" t="n">
        <v>45540</v>
      </c>
      <c r="C3233" s="1" t="n">
        <v>45832</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37499-2024</t>
        </is>
      </c>
      <c r="B3234" s="1" t="n">
        <v>45541</v>
      </c>
      <c r="C3234" s="1" t="n">
        <v>45832</v>
      </c>
      <c r="D3234" t="inlineStr">
        <is>
          <t>VÄSTERBOTTENS LÄN</t>
        </is>
      </c>
      <c r="E3234" t="inlineStr">
        <is>
          <t>SKELLEFTEÅ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37547-2024</t>
        </is>
      </c>
      <c r="B3235" s="1" t="n">
        <v>45541</v>
      </c>
      <c r="C3235" s="1" t="n">
        <v>45832</v>
      </c>
      <c r="D3235" t="inlineStr">
        <is>
          <t>VÄSTERBOTTENS LÄN</t>
        </is>
      </c>
      <c r="E3235" t="inlineStr">
        <is>
          <t>SKELLEFTEÅ</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37760-2024</t>
        </is>
      </c>
      <c r="B3236" s="1" t="n">
        <v>45541</v>
      </c>
      <c r="C3236" s="1" t="n">
        <v>45832</v>
      </c>
      <c r="D3236" t="inlineStr">
        <is>
          <t>VÄSTERBOTTENS LÄN</t>
        </is>
      </c>
      <c r="E3236" t="inlineStr">
        <is>
          <t>SKELLEFTEÅ</t>
        </is>
      </c>
      <c r="F3236" t="inlineStr">
        <is>
          <t>Sveaskog</t>
        </is>
      </c>
      <c r="G3236" t="n">
        <v>27.6</v>
      </c>
      <c r="H3236" t="n">
        <v>0</v>
      </c>
      <c r="I3236" t="n">
        <v>0</v>
      </c>
      <c r="J3236" t="n">
        <v>0</v>
      </c>
      <c r="K3236" t="n">
        <v>0</v>
      </c>
      <c r="L3236" t="n">
        <v>0</v>
      </c>
      <c r="M3236" t="n">
        <v>0</v>
      </c>
      <c r="N3236" t="n">
        <v>0</v>
      </c>
      <c r="O3236" t="n">
        <v>0</v>
      </c>
      <c r="P3236" t="n">
        <v>0</v>
      </c>
      <c r="Q3236" t="n">
        <v>0</v>
      </c>
      <c r="R3236" s="2" t="inlineStr"/>
    </row>
    <row r="3237" ht="15" customHeight="1">
      <c r="A3237" t="inlineStr">
        <is>
          <t>A 37892-2024</t>
        </is>
      </c>
      <c r="B3237" s="1" t="n">
        <v>45544</v>
      </c>
      <c r="C3237" s="1" t="n">
        <v>45832</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37946-2024</t>
        </is>
      </c>
      <c r="B3238" s="1" t="n">
        <v>45544</v>
      </c>
      <c r="C3238" s="1" t="n">
        <v>45832</v>
      </c>
      <c r="D3238" t="inlineStr">
        <is>
          <t>VÄSTERBOTTENS LÄN</t>
        </is>
      </c>
      <c r="E3238" t="inlineStr">
        <is>
          <t>SKELLEFTEÅ</t>
        </is>
      </c>
      <c r="F3238" t="inlineStr">
        <is>
          <t>Holmen skog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38023-2024</t>
        </is>
      </c>
      <c r="B3239" s="1" t="n">
        <v>45544</v>
      </c>
      <c r="C3239" s="1" t="n">
        <v>45832</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38432-2024</t>
        </is>
      </c>
      <c r="B3240" s="1" t="n">
        <v>45546</v>
      </c>
      <c r="C3240" s="1" t="n">
        <v>45832</v>
      </c>
      <c r="D3240" t="inlineStr">
        <is>
          <t>VÄSTERBOTTENS LÄN</t>
        </is>
      </c>
      <c r="E3240" t="inlineStr">
        <is>
          <t>SKELLEFTEÅ</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38496-2024</t>
        </is>
      </c>
      <c r="B3241" s="1" t="n">
        <v>45546</v>
      </c>
      <c r="C3241" s="1" t="n">
        <v>45832</v>
      </c>
      <c r="D3241" t="inlineStr">
        <is>
          <t>VÄSTERBOTTENS LÄN</t>
        </is>
      </c>
      <c r="E3241" t="inlineStr">
        <is>
          <t>SKELLEFTEÅ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38558-2024</t>
        </is>
      </c>
      <c r="B3242" s="1" t="n">
        <v>45546</v>
      </c>
      <c r="C3242" s="1" t="n">
        <v>45832</v>
      </c>
      <c r="D3242" t="inlineStr">
        <is>
          <t>VÄSTERBOTTENS LÄN</t>
        </is>
      </c>
      <c r="E3242" t="inlineStr">
        <is>
          <t>SKELLEFTEÅ</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38398-2024</t>
        </is>
      </c>
      <c r="B3243" s="1" t="n">
        <v>45546</v>
      </c>
      <c r="C3243" s="1" t="n">
        <v>45832</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38430-2024</t>
        </is>
      </c>
      <c r="B3244" s="1" t="n">
        <v>45546</v>
      </c>
      <c r="C3244" s="1" t="n">
        <v>45832</v>
      </c>
      <c r="D3244" t="inlineStr">
        <is>
          <t>VÄSTERBOTTENS LÄN</t>
        </is>
      </c>
      <c r="E3244" t="inlineStr">
        <is>
          <t>SKELLEFTEÅ</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38445-2024</t>
        </is>
      </c>
      <c r="B3245" s="1" t="n">
        <v>45546</v>
      </c>
      <c r="C3245" s="1" t="n">
        <v>45832</v>
      </c>
      <c r="D3245" t="inlineStr">
        <is>
          <t>VÄSTERBOTTENS LÄN</t>
        </is>
      </c>
      <c r="E3245" t="inlineStr">
        <is>
          <t>SKELLEFTEÅ</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38493-2024</t>
        </is>
      </c>
      <c r="B3246" s="1" t="n">
        <v>45546</v>
      </c>
      <c r="C3246" s="1" t="n">
        <v>45832</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38503-2024</t>
        </is>
      </c>
      <c r="B3247" s="1" t="n">
        <v>45546</v>
      </c>
      <c r="C3247" s="1" t="n">
        <v>45832</v>
      </c>
      <c r="D3247" t="inlineStr">
        <is>
          <t>VÄSTERBOTTENS LÄN</t>
        </is>
      </c>
      <c r="E3247" t="inlineStr">
        <is>
          <t>SKELLEFTEÅ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38532-2024</t>
        </is>
      </c>
      <c r="B3248" s="1" t="n">
        <v>45546</v>
      </c>
      <c r="C3248" s="1" t="n">
        <v>45832</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38568-2024</t>
        </is>
      </c>
      <c r="B3249" s="1" t="n">
        <v>45546</v>
      </c>
      <c r="C3249" s="1" t="n">
        <v>45832</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v>
      </c>
      <c r="C3250" s="1" t="n">
        <v>45832</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38616-2024</t>
        </is>
      </c>
      <c r="B3251" s="1" t="n">
        <v>45546</v>
      </c>
      <c r="C3251" s="1" t="n">
        <v>45832</v>
      </c>
      <c r="D3251" t="inlineStr">
        <is>
          <t>VÄSTERBOTTENS LÄN</t>
        </is>
      </c>
      <c r="E3251" t="inlineStr">
        <is>
          <t>SKELLEFTEÅ</t>
        </is>
      </c>
      <c r="F3251" t="inlineStr">
        <is>
          <t>Holmen skog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38620-2024</t>
        </is>
      </c>
      <c r="B3252" s="1" t="n">
        <v>45546</v>
      </c>
      <c r="C3252" s="1" t="n">
        <v>45832</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38637-2024</t>
        </is>
      </c>
      <c r="B3253" s="1" t="n">
        <v>45546</v>
      </c>
      <c r="C3253" s="1" t="n">
        <v>45832</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38635-2024</t>
        </is>
      </c>
      <c r="B3254" s="1" t="n">
        <v>45546</v>
      </c>
      <c r="C3254" s="1" t="n">
        <v>45832</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38657-2024</t>
        </is>
      </c>
      <c r="B3255" s="1" t="n">
        <v>45546</v>
      </c>
      <c r="C3255" s="1" t="n">
        <v>45832</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38706-2024</t>
        </is>
      </c>
      <c r="B3256" s="1" t="n">
        <v>45547</v>
      </c>
      <c r="C3256" s="1" t="n">
        <v>45832</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38935-2024</t>
        </is>
      </c>
      <c r="B3257" s="1" t="n">
        <v>45548</v>
      </c>
      <c r="C3257" s="1" t="n">
        <v>45832</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38957-2024</t>
        </is>
      </c>
      <c r="B3258" s="1" t="n">
        <v>45548</v>
      </c>
      <c r="C3258" s="1" t="n">
        <v>45832</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39054-2024</t>
        </is>
      </c>
      <c r="B3259" s="1" t="n">
        <v>45548</v>
      </c>
      <c r="C3259" s="1" t="n">
        <v>45832</v>
      </c>
      <c r="D3259" t="inlineStr">
        <is>
          <t>VÄSTERBOTTENS LÄN</t>
        </is>
      </c>
      <c r="E3259" t="inlineStr">
        <is>
          <t>SKELLEFTEÅ</t>
        </is>
      </c>
      <c r="F3259" t="inlineStr">
        <is>
          <t>Sveaskog</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39146-2024</t>
        </is>
      </c>
      <c r="B3260" s="1" t="n">
        <v>45548</v>
      </c>
      <c r="C3260" s="1" t="n">
        <v>45832</v>
      </c>
      <c r="D3260" t="inlineStr">
        <is>
          <t>VÄSTERBOTTENS LÄN</t>
        </is>
      </c>
      <c r="E3260" t="inlineStr">
        <is>
          <t>SKELLEFTEÅ</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39133-2024</t>
        </is>
      </c>
      <c r="B3261" s="1" t="n">
        <v>45548</v>
      </c>
      <c r="C3261" s="1" t="n">
        <v>45832</v>
      </c>
      <c r="D3261" t="inlineStr">
        <is>
          <t>VÄSTERBOTTENS LÄN</t>
        </is>
      </c>
      <c r="E3261" t="inlineStr">
        <is>
          <t>SKELLEFTEÅ</t>
        </is>
      </c>
      <c r="F3261" t="inlineStr">
        <is>
          <t>Sveaskog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39371-2024</t>
        </is>
      </c>
      <c r="B3262" s="1" t="n">
        <v>45551</v>
      </c>
      <c r="C3262" s="1" t="n">
        <v>45832</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39444-2024</t>
        </is>
      </c>
      <c r="B3263" s="1" t="n">
        <v>45551</v>
      </c>
      <c r="C3263" s="1" t="n">
        <v>45832</v>
      </c>
      <c r="D3263" t="inlineStr">
        <is>
          <t>VÄSTERBOTTENS LÄN</t>
        </is>
      </c>
      <c r="E3263" t="inlineStr">
        <is>
          <t>SKELLEFTEÅ</t>
        </is>
      </c>
      <c r="F3263" t="inlineStr">
        <is>
          <t>Kommuner</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39465-2024</t>
        </is>
      </c>
      <c r="B3264" s="1" t="n">
        <v>45551</v>
      </c>
      <c r="C3264" s="1" t="n">
        <v>45832</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39464-2024</t>
        </is>
      </c>
      <c r="B3265" s="1" t="n">
        <v>45551</v>
      </c>
      <c r="C3265" s="1" t="n">
        <v>45832</v>
      </c>
      <c r="D3265" t="inlineStr">
        <is>
          <t>VÄSTERBOTTENS LÄN</t>
        </is>
      </c>
      <c r="E3265" t="inlineStr">
        <is>
          <t>SKELLEFTEÅ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39468-2024</t>
        </is>
      </c>
      <c r="B3266" s="1" t="n">
        <v>45551</v>
      </c>
      <c r="C3266" s="1" t="n">
        <v>45832</v>
      </c>
      <c r="D3266" t="inlineStr">
        <is>
          <t>VÄSTERBOTTENS LÄN</t>
        </is>
      </c>
      <c r="E3266" t="inlineStr">
        <is>
          <t>SKELLEFTEÅ</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39690-2024</t>
        </is>
      </c>
      <c r="B3267" s="1" t="n">
        <v>45552</v>
      </c>
      <c r="C3267" s="1" t="n">
        <v>45832</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39765-2024</t>
        </is>
      </c>
      <c r="B3268" s="1" t="n">
        <v>45552</v>
      </c>
      <c r="C3268" s="1" t="n">
        <v>45832</v>
      </c>
      <c r="D3268" t="inlineStr">
        <is>
          <t>VÄSTERBOTTENS LÄN</t>
        </is>
      </c>
      <c r="E3268" t="inlineStr">
        <is>
          <t>SKELLEFTEÅ</t>
        </is>
      </c>
      <c r="F3268" t="inlineStr">
        <is>
          <t>Sveaskog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39691-2024</t>
        </is>
      </c>
      <c r="B3269" s="1" t="n">
        <v>45552</v>
      </c>
      <c r="C3269" s="1" t="n">
        <v>45832</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39794-2024</t>
        </is>
      </c>
      <c r="B3270" s="1" t="n">
        <v>45553</v>
      </c>
      <c r="C3270" s="1" t="n">
        <v>45832</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39852-2024</t>
        </is>
      </c>
      <c r="B3271" s="1" t="n">
        <v>45553</v>
      </c>
      <c r="C3271" s="1" t="n">
        <v>45832</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39870-2024</t>
        </is>
      </c>
      <c r="B3272" s="1" t="n">
        <v>45553</v>
      </c>
      <c r="C3272" s="1" t="n">
        <v>45832</v>
      </c>
      <c r="D3272" t="inlineStr">
        <is>
          <t>VÄSTERBOTTENS LÄN</t>
        </is>
      </c>
      <c r="E3272" t="inlineStr">
        <is>
          <t>SKELLEFTEÅ</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40072-2024</t>
        </is>
      </c>
      <c r="B3273" s="1" t="n">
        <v>45554</v>
      </c>
      <c r="C3273" s="1" t="n">
        <v>45832</v>
      </c>
      <c r="D3273" t="inlineStr">
        <is>
          <t>VÄSTERBOTTENS LÄN</t>
        </is>
      </c>
      <c r="E3273" t="inlineStr">
        <is>
          <t>SKELLEFTEÅ</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40205-2024</t>
        </is>
      </c>
      <c r="B3274" s="1" t="n">
        <v>45554</v>
      </c>
      <c r="C3274" s="1" t="n">
        <v>45832</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40118-2024</t>
        </is>
      </c>
      <c r="B3275" s="1" t="n">
        <v>45554</v>
      </c>
      <c r="C3275" s="1" t="n">
        <v>45832</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40122-2024</t>
        </is>
      </c>
      <c r="B3276" s="1" t="n">
        <v>45554</v>
      </c>
      <c r="C3276" s="1" t="n">
        <v>45832</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40253-2024</t>
        </is>
      </c>
      <c r="B3277" s="1" t="n">
        <v>45554</v>
      </c>
      <c r="C3277" s="1" t="n">
        <v>45832</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40093-2024</t>
        </is>
      </c>
      <c r="B3278" s="1" t="n">
        <v>45554</v>
      </c>
      <c r="C3278" s="1" t="n">
        <v>45832</v>
      </c>
      <c r="D3278" t="inlineStr">
        <is>
          <t>VÄSTERBOTTENS LÄN</t>
        </is>
      </c>
      <c r="E3278" t="inlineStr">
        <is>
          <t>SKELLEFTEÅ</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40198-2024</t>
        </is>
      </c>
      <c r="B3279" s="1" t="n">
        <v>45554</v>
      </c>
      <c r="C3279" s="1" t="n">
        <v>45832</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40248-2024</t>
        </is>
      </c>
      <c r="B3280" s="1" t="n">
        <v>45554</v>
      </c>
      <c r="C3280" s="1" t="n">
        <v>45832</v>
      </c>
      <c r="D3280" t="inlineStr">
        <is>
          <t>VÄSTERBOTTENS LÄN</t>
        </is>
      </c>
      <c r="E3280" t="inlineStr">
        <is>
          <t>SKELLEFTEÅ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40183-2024</t>
        </is>
      </c>
      <c r="B3281" s="1" t="n">
        <v>45554</v>
      </c>
      <c r="C3281" s="1" t="n">
        <v>45832</v>
      </c>
      <c r="D3281" t="inlineStr">
        <is>
          <t>VÄSTERBOTTENS LÄN</t>
        </is>
      </c>
      <c r="E3281" t="inlineStr">
        <is>
          <t>SKELLEFTEÅ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40347-2024</t>
        </is>
      </c>
      <c r="B3282" s="1" t="n">
        <v>45555</v>
      </c>
      <c r="C3282" s="1" t="n">
        <v>45832</v>
      </c>
      <c r="D3282" t="inlineStr">
        <is>
          <t>VÄSTERBOTTENS LÄN</t>
        </is>
      </c>
      <c r="E3282" t="inlineStr">
        <is>
          <t>SKELLEFTEÅ</t>
        </is>
      </c>
      <c r="F3282" t="inlineStr">
        <is>
          <t>Kommuner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40511-2024</t>
        </is>
      </c>
      <c r="B3283" s="1" t="n">
        <v>45555</v>
      </c>
      <c r="C3283" s="1" t="n">
        <v>45832</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40653-2024</t>
        </is>
      </c>
      <c r="B3284" s="1" t="n">
        <v>45558</v>
      </c>
      <c r="C3284" s="1" t="n">
        <v>45832</v>
      </c>
      <c r="D3284" t="inlineStr">
        <is>
          <t>VÄSTERBOTTENS LÄN</t>
        </is>
      </c>
      <c r="E3284" t="inlineStr">
        <is>
          <t>SKELLEFTEÅ</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40787-2024</t>
        </is>
      </c>
      <c r="B3285" s="1" t="n">
        <v>45558</v>
      </c>
      <c r="C3285" s="1" t="n">
        <v>45832</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40800-2024</t>
        </is>
      </c>
      <c r="B3286" s="1" t="n">
        <v>45558</v>
      </c>
      <c r="C3286" s="1" t="n">
        <v>45832</v>
      </c>
      <c r="D3286" t="inlineStr">
        <is>
          <t>VÄSTERBOTTENS LÄN</t>
        </is>
      </c>
      <c r="E3286" t="inlineStr">
        <is>
          <t>SKELLEFTEÅ</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40857-2024</t>
        </is>
      </c>
      <c r="B3287" s="1" t="n">
        <v>45558</v>
      </c>
      <c r="C3287" s="1" t="n">
        <v>45832</v>
      </c>
      <c r="D3287" t="inlineStr">
        <is>
          <t>VÄSTERBOTTENS LÄN</t>
        </is>
      </c>
      <c r="E3287" t="inlineStr">
        <is>
          <t>SKELLEFTEÅ</t>
        </is>
      </c>
      <c r="F3287" t="inlineStr">
        <is>
          <t>Holmen skog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40967-2024</t>
        </is>
      </c>
      <c r="B3288" s="1" t="n">
        <v>45558</v>
      </c>
      <c r="C3288" s="1" t="n">
        <v>45832</v>
      </c>
      <c r="D3288" t="inlineStr">
        <is>
          <t>VÄSTERBOTTENS LÄN</t>
        </is>
      </c>
      <c r="E3288" t="inlineStr">
        <is>
          <t>SKELLEFTEÅ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40966-2024</t>
        </is>
      </c>
      <c r="B3289" s="1" t="n">
        <v>45558</v>
      </c>
      <c r="C3289" s="1" t="n">
        <v>45832</v>
      </c>
      <c r="D3289" t="inlineStr">
        <is>
          <t>VÄSTERBOTTENS LÄN</t>
        </is>
      </c>
      <c r="E3289" t="inlineStr">
        <is>
          <t>SKELLEFTEÅ</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40798-2024</t>
        </is>
      </c>
      <c r="B3290" s="1" t="n">
        <v>45558</v>
      </c>
      <c r="C3290" s="1" t="n">
        <v>45832</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40765-2024</t>
        </is>
      </c>
      <c r="B3291" s="1" t="n">
        <v>45558</v>
      </c>
      <c r="C3291" s="1" t="n">
        <v>45832</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40797-2024</t>
        </is>
      </c>
      <c r="B3292" s="1" t="n">
        <v>45558</v>
      </c>
      <c r="C3292" s="1" t="n">
        <v>45832</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40927-2024</t>
        </is>
      </c>
      <c r="B3293" s="1" t="n">
        <v>45558</v>
      </c>
      <c r="C3293" s="1" t="n">
        <v>45832</v>
      </c>
      <c r="D3293" t="inlineStr">
        <is>
          <t>VÄSTERBOTTENS LÄN</t>
        </is>
      </c>
      <c r="E3293" t="inlineStr">
        <is>
          <t>SKELLEFTEÅ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41032-2024</t>
        </is>
      </c>
      <c r="B3294" s="1" t="n">
        <v>45558</v>
      </c>
      <c r="C3294" s="1" t="n">
        <v>45832</v>
      </c>
      <c r="D3294" t="inlineStr">
        <is>
          <t>VÄSTERBOTTENS LÄN</t>
        </is>
      </c>
      <c r="E3294" t="inlineStr">
        <is>
          <t>SKELLEFTEÅ</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41038-2024</t>
        </is>
      </c>
      <c r="B3295" s="1" t="n">
        <v>45559</v>
      </c>
      <c r="C3295" s="1" t="n">
        <v>45832</v>
      </c>
      <c r="D3295" t="inlineStr">
        <is>
          <t>VÄSTERBOTTENS LÄN</t>
        </is>
      </c>
      <c r="E3295" t="inlineStr">
        <is>
          <t>SKELLEFTEÅ</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41056-2024</t>
        </is>
      </c>
      <c r="B3296" s="1" t="n">
        <v>45559</v>
      </c>
      <c r="C3296" s="1" t="n">
        <v>45832</v>
      </c>
      <c r="D3296" t="inlineStr">
        <is>
          <t>VÄSTERBOTTENS LÄN</t>
        </is>
      </c>
      <c r="E3296" t="inlineStr">
        <is>
          <t>SKELLEFTEÅ</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41064-2024</t>
        </is>
      </c>
      <c r="B3297" s="1" t="n">
        <v>45559</v>
      </c>
      <c r="C3297" s="1" t="n">
        <v>45832</v>
      </c>
      <c r="D3297" t="inlineStr">
        <is>
          <t>VÄSTERBOTTENS LÄN</t>
        </is>
      </c>
      <c r="E3297" t="inlineStr">
        <is>
          <t>SKELLEFTEÅ</t>
        </is>
      </c>
      <c r="F3297" t="inlineStr">
        <is>
          <t>Holmen skog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41072-2024</t>
        </is>
      </c>
      <c r="B3298" s="1" t="n">
        <v>45559</v>
      </c>
      <c r="C3298" s="1" t="n">
        <v>45832</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41112-2024</t>
        </is>
      </c>
      <c r="B3299" s="1" t="n">
        <v>45559</v>
      </c>
      <c r="C3299" s="1" t="n">
        <v>45832</v>
      </c>
      <c r="D3299" t="inlineStr">
        <is>
          <t>VÄSTERBOTTENS LÄN</t>
        </is>
      </c>
      <c r="E3299" t="inlineStr">
        <is>
          <t>SKELLEFTEÅ</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41133-2024</t>
        </is>
      </c>
      <c r="B3300" s="1" t="n">
        <v>45559</v>
      </c>
      <c r="C3300" s="1" t="n">
        <v>45832</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41231-2024</t>
        </is>
      </c>
      <c r="B3301" s="1" t="n">
        <v>45559</v>
      </c>
      <c r="C3301" s="1" t="n">
        <v>45832</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41190-2024</t>
        </is>
      </c>
      <c r="B3302" s="1" t="n">
        <v>45559</v>
      </c>
      <c r="C3302" s="1" t="n">
        <v>45832</v>
      </c>
      <c r="D3302" t="inlineStr">
        <is>
          <t>VÄSTERBOTTENS LÄN</t>
        </is>
      </c>
      <c r="E3302" t="inlineStr">
        <is>
          <t>SKELLEFTEÅ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41198-2024</t>
        </is>
      </c>
      <c r="B3303" s="1" t="n">
        <v>45559</v>
      </c>
      <c r="C3303" s="1" t="n">
        <v>45832</v>
      </c>
      <c r="D3303" t="inlineStr">
        <is>
          <t>VÄSTERBOTTENS LÄN</t>
        </is>
      </c>
      <c r="E3303" t="inlineStr">
        <is>
          <t>SKELLEFTEÅ</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41226-2024</t>
        </is>
      </c>
      <c r="B3304" s="1" t="n">
        <v>45559</v>
      </c>
      <c r="C3304" s="1" t="n">
        <v>45832</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41304-2024</t>
        </is>
      </c>
      <c r="B3305" s="1" t="n">
        <v>45559</v>
      </c>
      <c r="C3305" s="1" t="n">
        <v>45832</v>
      </c>
      <c r="D3305" t="inlineStr">
        <is>
          <t>VÄSTERBOTTENS LÄN</t>
        </is>
      </c>
      <c r="E3305" t="inlineStr">
        <is>
          <t>SKELLEFTEÅ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41320-2024</t>
        </is>
      </c>
      <c r="B3306" s="1" t="n">
        <v>45559</v>
      </c>
      <c r="C3306" s="1" t="n">
        <v>45832</v>
      </c>
      <c r="D3306" t="inlineStr">
        <is>
          <t>VÄSTERBOTTENS LÄN</t>
        </is>
      </c>
      <c r="E3306" t="inlineStr">
        <is>
          <t>SKELLEFTEÅ</t>
        </is>
      </c>
      <c r="G3306" t="n">
        <v>24.7</v>
      </c>
      <c r="H3306" t="n">
        <v>0</v>
      </c>
      <c r="I3306" t="n">
        <v>0</v>
      </c>
      <c r="J3306" t="n">
        <v>0</v>
      </c>
      <c r="K3306" t="n">
        <v>0</v>
      </c>
      <c r="L3306" t="n">
        <v>0</v>
      </c>
      <c r="M3306" t="n">
        <v>0</v>
      </c>
      <c r="N3306" t="n">
        <v>0</v>
      </c>
      <c r="O3306" t="n">
        <v>0</v>
      </c>
      <c r="P3306" t="n">
        <v>0</v>
      </c>
      <c r="Q3306" t="n">
        <v>0</v>
      </c>
      <c r="R3306" s="2" t="inlineStr"/>
    </row>
    <row r="3307" ht="15" customHeight="1">
      <c r="A3307" t="inlineStr">
        <is>
          <t>A 41245-2024</t>
        </is>
      </c>
      <c r="B3307" s="1" t="n">
        <v>45559</v>
      </c>
      <c r="C3307" s="1" t="n">
        <v>45832</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41297-2024</t>
        </is>
      </c>
      <c r="B3308" s="1" t="n">
        <v>45559</v>
      </c>
      <c r="C3308" s="1" t="n">
        <v>45832</v>
      </c>
      <c r="D3308" t="inlineStr">
        <is>
          <t>VÄSTERBOTTENS LÄN</t>
        </is>
      </c>
      <c r="E3308" t="inlineStr">
        <is>
          <t>SKELLEFTEÅ</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41319-2024</t>
        </is>
      </c>
      <c r="B3309" s="1" t="n">
        <v>45559</v>
      </c>
      <c r="C3309" s="1" t="n">
        <v>45832</v>
      </c>
      <c r="D3309" t="inlineStr">
        <is>
          <t>VÄSTERBOTTENS LÄN</t>
        </is>
      </c>
      <c r="E3309" t="inlineStr">
        <is>
          <t>SKELLEFTEÅ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41033-2024</t>
        </is>
      </c>
      <c r="B3310" s="1" t="n">
        <v>45559</v>
      </c>
      <c r="C3310" s="1" t="n">
        <v>45832</v>
      </c>
      <c r="D3310" t="inlineStr">
        <is>
          <t>VÄSTERBOTTENS LÄN</t>
        </is>
      </c>
      <c r="E3310" t="inlineStr">
        <is>
          <t>SKELLEFTEÅ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41037-2024</t>
        </is>
      </c>
      <c r="B3311" s="1" t="n">
        <v>45559</v>
      </c>
      <c r="C3311" s="1" t="n">
        <v>45832</v>
      </c>
      <c r="D3311" t="inlineStr">
        <is>
          <t>VÄSTERBOTTENS LÄN</t>
        </is>
      </c>
      <c r="E3311" t="inlineStr">
        <is>
          <t>SKELLEFTEÅ</t>
        </is>
      </c>
      <c r="F3311" t="inlineStr">
        <is>
          <t>Sveaskog</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41118-2024</t>
        </is>
      </c>
      <c r="B3312" s="1" t="n">
        <v>45559</v>
      </c>
      <c r="C3312" s="1" t="n">
        <v>45832</v>
      </c>
      <c r="D3312" t="inlineStr">
        <is>
          <t>VÄSTERBOTTENS LÄN</t>
        </is>
      </c>
      <c r="E3312" t="inlineStr">
        <is>
          <t>SKELLEFTEÅ</t>
        </is>
      </c>
      <c r="F3312" t="inlineStr">
        <is>
          <t>Holmen skog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41155-2024</t>
        </is>
      </c>
      <c r="B3313" s="1" t="n">
        <v>45559</v>
      </c>
      <c r="C3313" s="1" t="n">
        <v>45832</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41242-2024</t>
        </is>
      </c>
      <c r="B3314" s="1" t="n">
        <v>45559</v>
      </c>
      <c r="C3314" s="1" t="n">
        <v>45832</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41669-2024</t>
        </is>
      </c>
      <c r="B3315" s="1" t="n">
        <v>45560</v>
      </c>
      <c r="C3315" s="1" t="n">
        <v>45832</v>
      </c>
      <c r="D3315" t="inlineStr">
        <is>
          <t>VÄSTERBOTTENS LÄN</t>
        </is>
      </c>
      <c r="E3315" t="inlineStr">
        <is>
          <t>SKELLEFTEÅ</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41642-2024</t>
        </is>
      </c>
      <c r="B3316" s="1" t="n">
        <v>45560</v>
      </c>
      <c r="C3316" s="1" t="n">
        <v>45832</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41582-2024</t>
        </is>
      </c>
      <c r="B3317" s="1" t="n">
        <v>45560</v>
      </c>
      <c r="C3317" s="1" t="n">
        <v>45832</v>
      </c>
      <c r="D3317" t="inlineStr">
        <is>
          <t>VÄSTERBOTTENS LÄN</t>
        </is>
      </c>
      <c r="E3317" t="inlineStr">
        <is>
          <t>SKELLEFTEÅ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41710-2024</t>
        </is>
      </c>
      <c r="B3318" s="1" t="n">
        <v>45560</v>
      </c>
      <c r="C3318" s="1" t="n">
        <v>45832</v>
      </c>
      <c r="D3318" t="inlineStr">
        <is>
          <t>VÄSTERBOTTENS LÄN</t>
        </is>
      </c>
      <c r="E3318" t="inlineStr">
        <is>
          <t>SKELLEFTEÅ</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41794-2024</t>
        </is>
      </c>
      <c r="B3319" s="1" t="n">
        <v>45561</v>
      </c>
      <c r="C3319" s="1" t="n">
        <v>45832</v>
      </c>
      <c r="D3319" t="inlineStr">
        <is>
          <t>VÄSTERBOTTENS LÄN</t>
        </is>
      </c>
      <c r="E3319" t="inlineStr">
        <is>
          <t>SKELLEFTEÅ</t>
        </is>
      </c>
      <c r="F3319" t="inlineStr">
        <is>
          <t>Kommuner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42249-2024</t>
        </is>
      </c>
      <c r="B3320" s="1" t="n">
        <v>45562</v>
      </c>
      <c r="C3320" s="1" t="n">
        <v>45832</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42297-2024</t>
        </is>
      </c>
      <c r="B3321" s="1" t="n">
        <v>45562</v>
      </c>
      <c r="C3321" s="1" t="n">
        <v>45832</v>
      </c>
      <c r="D3321" t="inlineStr">
        <is>
          <t>VÄSTERBOTTENS LÄN</t>
        </is>
      </c>
      <c r="E3321" t="inlineStr">
        <is>
          <t>SKELLEFTEÅ</t>
        </is>
      </c>
      <c r="G3321" t="n">
        <v>14.4</v>
      </c>
      <c r="H3321" t="n">
        <v>0</v>
      </c>
      <c r="I3321" t="n">
        <v>0</v>
      </c>
      <c r="J3321" t="n">
        <v>0</v>
      </c>
      <c r="K3321" t="n">
        <v>0</v>
      </c>
      <c r="L3321" t="n">
        <v>0</v>
      </c>
      <c r="M3321" t="n">
        <v>0</v>
      </c>
      <c r="N3321" t="n">
        <v>0</v>
      </c>
      <c r="O3321" t="n">
        <v>0</v>
      </c>
      <c r="P3321" t="n">
        <v>0</v>
      </c>
      <c r="Q3321" t="n">
        <v>0</v>
      </c>
      <c r="R3321" s="2" t="inlineStr"/>
    </row>
    <row r="3322" ht="15" customHeight="1">
      <c r="A3322" t="inlineStr">
        <is>
          <t>A 42223-2024</t>
        </is>
      </c>
      <c r="B3322" s="1" t="n">
        <v>45562</v>
      </c>
      <c r="C3322" s="1" t="n">
        <v>45832</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42216-2024</t>
        </is>
      </c>
      <c r="B3323" s="1" t="n">
        <v>45562</v>
      </c>
      <c r="C3323" s="1" t="n">
        <v>45832</v>
      </c>
      <c r="D3323" t="inlineStr">
        <is>
          <t>VÄSTERBOTTENS LÄN</t>
        </is>
      </c>
      <c r="E3323" t="inlineStr">
        <is>
          <t>SKELLEFTEÅ</t>
        </is>
      </c>
      <c r="F3323" t="inlineStr">
        <is>
          <t>Holmen skog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42248-2024</t>
        </is>
      </c>
      <c r="B3324" s="1" t="n">
        <v>45562</v>
      </c>
      <c r="C3324" s="1" t="n">
        <v>45832</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42508-2024</t>
        </is>
      </c>
      <c r="B3325" s="1" t="n">
        <v>45565</v>
      </c>
      <c r="C3325" s="1" t="n">
        <v>45832</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42610-2024</t>
        </is>
      </c>
      <c r="B3326" s="1" t="n">
        <v>45565</v>
      </c>
      <c r="C3326" s="1" t="n">
        <v>45832</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42507-2024</t>
        </is>
      </c>
      <c r="B3327" s="1" t="n">
        <v>45565</v>
      </c>
      <c r="C3327" s="1" t="n">
        <v>45832</v>
      </c>
      <c r="D3327" t="inlineStr">
        <is>
          <t>VÄSTERBOTTENS LÄN</t>
        </is>
      </c>
      <c r="E3327" t="inlineStr">
        <is>
          <t>SKELLEFTEÅ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42560-2024</t>
        </is>
      </c>
      <c r="B3328" s="1" t="n">
        <v>45565</v>
      </c>
      <c r="C3328" s="1" t="n">
        <v>45832</v>
      </c>
      <c r="D3328" t="inlineStr">
        <is>
          <t>VÄSTERBOTTENS LÄN</t>
        </is>
      </c>
      <c r="E3328" t="inlineStr">
        <is>
          <t>SKELLEFTEÅ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42548-2024</t>
        </is>
      </c>
      <c r="B3329" s="1" t="n">
        <v>45565</v>
      </c>
      <c r="C3329" s="1" t="n">
        <v>45832</v>
      </c>
      <c r="D3329" t="inlineStr">
        <is>
          <t>VÄSTERBOTTENS LÄN</t>
        </is>
      </c>
      <c r="E3329" t="inlineStr">
        <is>
          <t>SKELLEFTEÅ</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42599-2024</t>
        </is>
      </c>
      <c r="B3330" s="1" t="n">
        <v>45565</v>
      </c>
      <c r="C3330" s="1" t="n">
        <v>45832</v>
      </c>
      <c r="D3330" t="inlineStr">
        <is>
          <t>VÄSTERBOTTENS LÄN</t>
        </is>
      </c>
      <c r="E3330" t="inlineStr">
        <is>
          <t>SKELLEFTEÅ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42559-2024</t>
        </is>
      </c>
      <c r="B3331" s="1" t="n">
        <v>45565</v>
      </c>
      <c r="C3331" s="1" t="n">
        <v>45832</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42877-2024</t>
        </is>
      </c>
      <c r="B3332" s="1" t="n">
        <v>45566</v>
      </c>
      <c r="C3332" s="1" t="n">
        <v>45832</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42861-2024</t>
        </is>
      </c>
      <c r="B3333" s="1" t="n">
        <v>45566</v>
      </c>
      <c r="C3333" s="1" t="n">
        <v>45832</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v>
      </c>
      <c r="C3334" s="1" t="n">
        <v>45832</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42821-2024</t>
        </is>
      </c>
      <c r="B3335" s="1" t="n">
        <v>45566</v>
      </c>
      <c r="C3335" s="1" t="n">
        <v>45832</v>
      </c>
      <c r="D3335" t="inlineStr">
        <is>
          <t>VÄSTERBOTTENS LÄN</t>
        </is>
      </c>
      <c r="E3335" t="inlineStr">
        <is>
          <t>SKELLEFTEÅ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42851-2024</t>
        </is>
      </c>
      <c r="B3336" s="1" t="n">
        <v>45566</v>
      </c>
      <c r="C3336" s="1" t="n">
        <v>45832</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42819-2024</t>
        </is>
      </c>
      <c r="B3337" s="1" t="n">
        <v>45566</v>
      </c>
      <c r="C3337" s="1" t="n">
        <v>45832</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42852-2024</t>
        </is>
      </c>
      <c r="B3338" s="1" t="n">
        <v>45566</v>
      </c>
      <c r="C3338" s="1" t="n">
        <v>45832</v>
      </c>
      <c r="D3338" t="inlineStr">
        <is>
          <t>VÄSTERBOTTENS LÄN</t>
        </is>
      </c>
      <c r="E3338" t="inlineStr">
        <is>
          <t>SKELLEFTEÅ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42848-2024</t>
        </is>
      </c>
      <c r="B3339" s="1" t="n">
        <v>45566</v>
      </c>
      <c r="C3339" s="1" t="n">
        <v>45832</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42820-2024</t>
        </is>
      </c>
      <c r="B3340" s="1" t="n">
        <v>45566</v>
      </c>
      <c r="C3340" s="1" t="n">
        <v>45832</v>
      </c>
      <c r="D3340" t="inlineStr">
        <is>
          <t>VÄSTERBOTTENS LÄN</t>
        </is>
      </c>
      <c r="E3340" t="inlineStr">
        <is>
          <t>SKELLEFTEÅ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42758-2024</t>
        </is>
      </c>
      <c r="B3341" s="1" t="n">
        <v>45566</v>
      </c>
      <c r="C3341" s="1" t="n">
        <v>45832</v>
      </c>
      <c r="D3341" t="inlineStr">
        <is>
          <t>VÄSTERBOTTENS LÄN</t>
        </is>
      </c>
      <c r="E3341" t="inlineStr">
        <is>
          <t>SKELLEFTEÅ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42791-2024</t>
        </is>
      </c>
      <c r="B3342" s="1" t="n">
        <v>45566</v>
      </c>
      <c r="C3342" s="1" t="n">
        <v>45832</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42764-2024</t>
        </is>
      </c>
      <c r="B3343" s="1" t="n">
        <v>45566</v>
      </c>
      <c r="C3343" s="1" t="n">
        <v>45832</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42996-2024</t>
        </is>
      </c>
      <c r="B3344" s="1" t="n">
        <v>45567</v>
      </c>
      <c r="C3344" s="1" t="n">
        <v>45832</v>
      </c>
      <c r="D3344" t="inlineStr">
        <is>
          <t>VÄSTERBOTTENS LÄN</t>
        </is>
      </c>
      <c r="E3344" t="inlineStr">
        <is>
          <t>SKELLEFTEÅ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42993-2024</t>
        </is>
      </c>
      <c r="B3345" s="1" t="n">
        <v>45567</v>
      </c>
      <c r="C3345" s="1" t="n">
        <v>45832</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42995-2024</t>
        </is>
      </c>
      <c r="B3346" s="1" t="n">
        <v>45567</v>
      </c>
      <c r="C3346" s="1" t="n">
        <v>45832</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43204-2024</t>
        </is>
      </c>
      <c r="B3347" s="1" t="n">
        <v>45567</v>
      </c>
      <c r="C3347" s="1" t="n">
        <v>45832</v>
      </c>
      <c r="D3347" t="inlineStr">
        <is>
          <t>VÄSTERBOTTENS LÄN</t>
        </is>
      </c>
      <c r="E3347" t="inlineStr">
        <is>
          <t>SKELLEFTEÅ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43434-2024</t>
        </is>
      </c>
      <c r="B3348" s="1" t="n">
        <v>45568</v>
      </c>
      <c r="C3348" s="1" t="n">
        <v>45832</v>
      </c>
      <c r="D3348" t="inlineStr">
        <is>
          <t>VÄSTERBOTTENS LÄN</t>
        </is>
      </c>
      <c r="E3348" t="inlineStr">
        <is>
          <t>SKELLEFTEÅ</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43714-2024</t>
        </is>
      </c>
      <c r="B3349" s="1" t="n">
        <v>45569</v>
      </c>
      <c r="C3349" s="1" t="n">
        <v>45832</v>
      </c>
      <c r="D3349" t="inlineStr">
        <is>
          <t>VÄSTERBOTTENS LÄN</t>
        </is>
      </c>
      <c r="E3349" t="inlineStr">
        <is>
          <t>SKELLEFTEÅ</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43726-2024</t>
        </is>
      </c>
      <c r="B3350" s="1" t="n">
        <v>45569</v>
      </c>
      <c r="C3350" s="1" t="n">
        <v>45832</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43701-2024</t>
        </is>
      </c>
      <c r="B3351" s="1" t="n">
        <v>45569</v>
      </c>
      <c r="C3351" s="1" t="n">
        <v>45832</v>
      </c>
      <c r="D3351" t="inlineStr">
        <is>
          <t>VÄSTERBOTTENS LÄN</t>
        </is>
      </c>
      <c r="E3351" t="inlineStr">
        <is>
          <t>SKELLEFTEÅ</t>
        </is>
      </c>
      <c r="F3351" t="inlineStr">
        <is>
          <t>Kommuner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43705-2024</t>
        </is>
      </c>
      <c r="B3352" s="1" t="n">
        <v>45569</v>
      </c>
      <c r="C3352" s="1" t="n">
        <v>45832</v>
      </c>
      <c r="D3352" t="inlineStr">
        <is>
          <t>VÄSTERBOTTENS LÄN</t>
        </is>
      </c>
      <c r="E3352" t="inlineStr">
        <is>
          <t>SKELLEFTEÅ</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43732-2024</t>
        </is>
      </c>
      <c r="B3353" s="1" t="n">
        <v>45569</v>
      </c>
      <c r="C3353" s="1" t="n">
        <v>45832</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43748-2024</t>
        </is>
      </c>
      <c r="B3354" s="1" t="n">
        <v>45569</v>
      </c>
      <c r="C3354" s="1" t="n">
        <v>45832</v>
      </c>
      <c r="D3354" t="inlineStr">
        <is>
          <t>VÄSTERBOTTENS LÄN</t>
        </is>
      </c>
      <c r="E3354" t="inlineStr">
        <is>
          <t>SKELLEFTEÅ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43722-2024</t>
        </is>
      </c>
      <c r="B3355" s="1" t="n">
        <v>45569</v>
      </c>
      <c r="C3355" s="1" t="n">
        <v>45832</v>
      </c>
      <c r="D3355" t="inlineStr">
        <is>
          <t>VÄSTERBOTTENS LÄN</t>
        </is>
      </c>
      <c r="E3355" t="inlineStr">
        <is>
          <t>SKELLEFTEÅ</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43749-2024</t>
        </is>
      </c>
      <c r="B3356" s="1" t="n">
        <v>45569</v>
      </c>
      <c r="C3356" s="1" t="n">
        <v>45832</v>
      </c>
      <c r="D3356" t="inlineStr">
        <is>
          <t>VÄSTERBOTTENS LÄN</t>
        </is>
      </c>
      <c r="E3356" t="inlineStr">
        <is>
          <t>SKELLEFTEÅ</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43513-2024</t>
        </is>
      </c>
      <c r="B3357" s="1" t="n">
        <v>45569</v>
      </c>
      <c r="C3357" s="1" t="n">
        <v>45832</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43599-2024</t>
        </is>
      </c>
      <c r="B3358" s="1" t="n">
        <v>45569</v>
      </c>
      <c r="C3358" s="1" t="n">
        <v>45832</v>
      </c>
      <c r="D3358" t="inlineStr">
        <is>
          <t>VÄSTERBOTTENS LÄN</t>
        </is>
      </c>
      <c r="E3358" t="inlineStr">
        <is>
          <t>SKELLEFTEÅ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43762-2024</t>
        </is>
      </c>
      <c r="B3359" s="1" t="n">
        <v>45569</v>
      </c>
      <c r="C3359" s="1" t="n">
        <v>45832</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43723-2024</t>
        </is>
      </c>
      <c r="B3360" s="1" t="n">
        <v>45569</v>
      </c>
      <c r="C3360" s="1" t="n">
        <v>45832</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43727-2024</t>
        </is>
      </c>
      <c r="B3361" s="1" t="n">
        <v>45569</v>
      </c>
      <c r="C3361" s="1" t="n">
        <v>45832</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43781-2024</t>
        </is>
      </c>
      <c r="B3362" s="1" t="n">
        <v>45570</v>
      </c>
      <c r="C3362" s="1" t="n">
        <v>45832</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43793-2024</t>
        </is>
      </c>
      <c r="B3363" s="1" t="n">
        <v>45571</v>
      </c>
      <c r="C3363" s="1" t="n">
        <v>45832</v>
      </c>
      <c r="D3363" t="inlineStr">
        <is>
          <t>VÄSTERBOTTENS LÄN</t>
        </is>
      </c>
      <c r="E3363" t="inlineStr">
        <is>
          <t>SKELLEFTEÅ</t>
        </is>
      </c>
      <c r="F3363" t="inlineStr">
        <is>
          <t>Sveaskog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43954-2024</t>
        </is>
      </c>
      <c r="B3364" s="1" t="n">
        <v>45572</v>
      </c>
      <c r="C3364" s="1" t="n">
        <v>45832</v>
      </c>
      <c r="D3364" t="inlineStr">
        <is>
          <t>VÄSTERBOTTENS LÄN</t>
        </is>
      </c>
      <c r="E3364" t="inlineStr">
        <is>
          <t>SKELLEFTEÅ</t>
        </is>
      </c>
      <c r="F3364" t="inlineStr">
        <is>
          <t>Sveaskog</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44057-2024</t>
        </is>
      </c>
      <c r="B3365" s="1" t="n">
        <v>45572</v>
      </c>
      <c r="C3365" s="1" t="n">
        <v>45832</v>
      </c>
      <c r="D3365" t="inlineStr">
        <is>
          <t>VÄSTERBOTTENS LÄN</t>
        </is>
      </c>
      <c r="E3365" t="inlineStr">
        <is>
          <t>SKELLEFTEÅ</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43875-2024</t>
        </is>
      </c>
      <c r="B3366" s="1" t="n">
        <v>45572</v>
      </c>
      <c r="C3366" s="1" t="n">
        <v>45832</v>
      </c>
      <c r="D3366" t="inlineStr">
        <is>
          <t>VÄSTERBOTTENS LÄN</t>
        </is>
      </c>
      <c r="E3366" t="inlineStr">
        <is>
          <t>SKELLEFTEÅ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44100-2024</t>
        </is>
      </c>
      <c r="B3367" s="1" t="n">
        <v>45572</v>
      </c>
      <c r="C3367" s="1" t="n">
        <v>45832</v>
      </c>
      <c r="D3367" t="inlineStr">
        <is>
          <t>VÄSTERBOTTENS LÄN</t>
        </is>
      </c>
      <c r="E3367" t="inlineStr">
        <is>
          <t>SKELLEFTEÅ</t>
        </is>
      </c>
      <c r="F3367" t="inlineStr">
        <is>
          <t>Holmen skog AB</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44178-2024</t>
        </is>
      </c>
      <c r="B3368" s="1" t="n">
        <v>45572</v>
      </c>
      <c r="C3368" s="1" t="n">
        <v>45832</v>
      </c>
      <c r="D3368" t="inlineStr">
        <is>
          <t>VÄSTERBOTTENS LÄN</t>
        </is>
      </c>
      <c r="E3368" t="inlineStr">
        <is>
          <t>SKELLEFTEÅ</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44239-2024</t>
        </is>
      </c>
      <c r="B3369" s="1" t="n">
        <v>45573</v>
      </c>
      <c r="C3369" s="1" t="n">
        <v>45832</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44240-2024</t>
        </is>
      </c>
      <c r="B3370" s="1" t="n">
        <v>45573</v>
      </c>
      <c r="C3370" s="1" t="n">
        <v>45832</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44480-2024</t>
        </is>
      </c>
      <c r="B3371" s="1" t="n">
        <v>45574</v>
      </c>
      <c r="C3371" s="1" t="n">
        <v>45832</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44501-2024</t>
        </is>
      </c>
      <c r="B3372" s="1" t="n">
        <v>45574</v>
      </c>
      <c r="C3372" s="1" t="n">
        <v>45832</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44542-2024</t>
        </is>
      </c>
      <c r="B3373" s="1" t="n">
        <v>45574</v>
      </c>
      <c r="C3373" s="1" t="n">
        <v>45832</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44479-2024</t>
        </is>
      </c>
      <c r="B3374" s="1" t="n">
        <v>45574</v>
      </c>
      <c r="C3374" s="1" t="n">
        <v>45832</v>
      </c>
      <c r="D3374" t="inlineStr">
        <is>
          <t>VÄSTERBOTTENS LÄN</t>
        </is>
      </c>
      <c r="E3374" t="inlineStr">
        <is>
          <t>SKELLEFTEÅ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44483-2024</t>
        </is>
      </c>
      <c r="B3375" s="1" t="n">
        <v>45574</v>
      </c>
      <c r="C3375" s="1" t="n">
        <v>45832</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44779-2024</t>
        </is>
      </c>
      <c r="B3376" s="1" t="n">
        <v>45574</v>
      </c>
      <c r="C3376" s="1" t="n">
        <v>45832</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44829-2024</t>
        </is>
      </c>
      <c r="B3377" s="1" t="n">
        <v>45574</v>
      </c>
      <c r="C3377" s="1" t="n">
        <v>45832</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44482-2024</t>
        </is>
      </c>
      <c r="B3378" s="1" t="n">
        <v>45574</v>
      </c>
      <c r="C3378" s="1" t="n">
        <v>45832</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44510-2024</t>
        </is>
      </c>
      <c r="B3379" s="1" t="n">
        <v>45574</v>
      </c>
      <c r="C3379" s="1" t="n">
        <v>45832</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45111-2024</t>
        </is>
      </c>
      <c r="B3380" s="1" t="n">
        <v>45575</v>
      </c>
      <c r="C3380" s="1" t="n">
        <v>45832</v>
      </c>
      <c r="D3380" t="inlineStr">
        <is>
          <t>VÄSTERBOTTENS LÄN</t>
        </is>
      </c>
      <c r="E3380" t="inlineStr">
        <is>
          <t>SKELLEFTEÅ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45143-2024</t>
        </is>
      </c>
      <c r="B3381" s="1" t="n">
        <v>45575</v>
      </c>
      <c r="C3381" s="1" t="n">
        <v>45832</v>
      </c>
      <c r="D3381" t="inlineStr">
        <is>
          <t>VÄSTERBOTTENS LÄN</t>
        </is>
      </c>
      <c r="E3381" t="inlineStr">
        <is>
          <t>SKELLEFTEÅ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45177-2024</t>
        </is>
      </c>
      <c r="B3382" s="1" t="n">
        <v>45575</v>
      </c>
      <c r="C3382" s="1" t="n">
        <v>45832</v>
      </c>
      <c r="D3382" t="inlineStr">
        <is>
          <t>VÄSTERBOTTENS LÄN</t>
        </is>
      </c>
      <c r="E3382" t="inlineStr">
        <is>
          <t>SKELLEFTEÅ</t>
        </is>
      </c>
      <c r="F3382" t="inlineStr">
        <is>
          <t>Kommuner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45205-2024</t>
        </is>
      </c>
      <c r="B3383" s="1" t="n">
        <v>45575</v>
      </c>
      <c r="C3383" s="1" t="n">
        <v>45832</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44968-2024</t>
        </is>
      </c>
      <c r="B3384" s="1" t="n">
        <v>45575</v>
      </c>
      <c r="C3384" s="1" t="n">
        <v>45832</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44867-2024</t>
        </is>
      </c>
      <c r="B3385" s="1" t="n">
        <v>45575</v>
      </c>
      <c r="C3385" s="1" t="n">
        <v>45832</v>
      </c>
      <c r="D3385" t="inlineStr">
        <is>
          <t>VÄSTERBOTTENS LÄN</t>
        </is>
      </c>
      <c r="E3385" t="inlineStr">
        <is>
          <t>SKELLEFTEÅ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45200-2024</t>
        </is>
      </c>
      <c r="B3386" s="1" t="n">
        <v>45575</v>
      </c>
      <c r="C3386" s="1" t="n">
        <v>45832</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45212-2024</t>
        </is>
      </c>
      <c r="B3387" s="1" t="n">
        <v>45575</v>
      </c>
      <c r="C3387" s="1" t="n">
        <v>45832</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45240-2024</t>
        </is>
      </c>
      <c r="B3388" s="1" t="n">
        <v>45576</v>
      </c>
      <c r="C3388" s="1" t="n">
        <v>45832</v>
      </c>
      <c r="D3388" t="inlineStr">
        <is>
          <t>VÄSTERBOTTENS LÄN</t>
        </is>
      </c>
      <c r="E3388" t="inlineStr">
        <is>
          <t>SKELLEFTEÅ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45294-2024</t>
        </is>
      </c>
      <c r="B3389" s="1" t="n">
        <v>45576</v>
      </c>
      <c r="C3389" s="1" t="n">
        <v>45832</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45418-2024</t>
        </is>
      </c>
      <c r="B3390" s="1" t="n">
        <v>45576</v>
      </c>
      <c r="C3390" s="1" t="n">
        <v>45832</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45403-2024</t>
        </is>
      </c>
      <c r="B3391" s="1" t="n">
        <v>45576</v>
      </c>
      <c r="C3391" s="1" t="n">
        <v>45832</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45407-2024</t>
        </is>
      </c>
      <c r="B3392" s="1" t="n">
        <v>45576</v>
      </c>
      <c r="C3392" s="1" t="n">
        <v>45832</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45421-2024</t>
        </is>
      </c>
      <c r="B3393" s="1" t="n">
        <v>45576</v>
      </c>
      <c r="C3393" s="1" t="n">
        <v>45832</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45374-2024</t>
        </is>
      </c>
      <c r="B3394" s="1" t="n">
        <v>45576</v>
      </c>
      <c r="C3394" s="1" t="n">
        <v>45832</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45690-2024</t>
        </is>
      </c>
      <c r="B3395" s="1" t="n">
        <v>45579</v>
      </c>
      <c r="C3395" s="1" t="n">
        <v>45832</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45788-2024</t>
        </is>
      </c>
      <c r="B3396" s="1" t="n">
        <v>45579</v>
      </c>
      <c r="C3396" s="1" t="n">
        <v>45832</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v>
      </c>
      <c r="C3397" s="1" t="n">
        <v>45832</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45643-2024</t>
        </is>
      </c>
      <c r="B3398" s="1" t="n">
        <v>45579</v>
      </c>
      <c r="C3398" s="1" t="n">
        <v>45832</v>
      </c>
      <c r="D3398" t="inlineStr">
        <is>
          <t>VÄSTERBOTTENS LÄN</t>
        </is>
      </c>
      <c r="E3398" t="inlineStr">
        <is>
          <t>SKELLEFTEÅ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45622-2024</t>
        </is>
      </c>
      <c r="B3399" s="1" t="n">
        <v>45579</v>
      </c>
      <c r="C3399" s="1" t="n">
        <v>45832</v>
      </c>
      <c r="D3399" t="inlineStr">
        <is>
          <t>VÄSTERBOTTENS LÄN</t>
        </is>
      </c>
      <c r="E3399" t="inlineStr">
        <is>
          <t>SKELLEFTEÅ</t>
        </is>
      </c>
      <c r="F3399" t="inlineStr">
        <is>
          <t>Holmen skog AB</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45903-2024</t>
        </is>
      </c>
      <c r="B3400" s="1" t="n">
        <v>45580</v>
      </c>
      <c r="C3400" s="1" t="n">
        <v>45832</v>
      </c>
      <c r="D3400" t="inlineStr">
        <is>
          <t>VÄSTERBOTTENS LÄN</t>
        </is>
      </c>
      <c r="E3400" t="inlineStr">
        <is>
          <t>SKELLEFTEÅ</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45943-2024</t>
        </is>
      </c>
      <c r="B3401" s="1" t="n">
        <v>45580</v>
      </c>
      <c r="C3401" s="1" t="n">
        <v>45832</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45955-2024</t>
        </is>
      </c>
      <c r="B3402" s="1" t="n">
        <v>45580</v>
      </c>
      <c r="C3402" s="1" t="n">
        <v>45832</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45850-2024</t>
        </is>
      </c>
      <c r="B3403" s="1" t="n">
        <v>45580</v>
      </c>
      <c r="C3403" s="1" t="n">
        <v>45832</v>
      </c>
      <c r="D3403" t="inlineStr">
        <is>
          <t>VÄSTERBOTTENS LÄN</t>
        </is>
      </c>
      <c r="E3403" t="inlineStr">
        <is>
          <t>SKELLEFTEÅ</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45862-2024</t>
        </is>
      </c>
      <c r="B3404" s="1" t="n">
        <v>45580</v>
      </c>
      <c r="C3404" s="1" t="n">
        <v>45832</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45981-2024</t>
        </is>
      </c>
      <c r="B3405" s="1" t="n">
        <v>45580</v>
      </c>
      <c r="C3405" s="1" t="n">
        <v>45832</v>
      </c>
      <c r="D3405" t="inlineStr">
        <is>
          <t>VÄSTERBOTTENS LÄN</t>
        </is>
      </c>
      <c r="E3405" t="inlineStr">
        <is>
          <t>SKELLEFTEÅ</t>
        </is>
      </c>
      <c r="F3405" t="inlineStr">
        <is>
          <t>Holmen skog AB</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46048-2024</t>
        </is>
      </c>
      <c r="B3406" s="1" t="n">
        <v>45580</v>
      </c>
      <c r="C3406" s="1" t="n">
        <v>45832</v>
      </c>
      <c r="D3406" t="inlineStr">
        <is>
          <t>VÄSTERBOTTENS LÄN</t>
        </is>
      </c>
      <c r="E3406" t="inlineStr">
        <is>
          <t>SKELLEFTEÅ</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46049-2024</t>
        </is>
      </c>
      <c r="B3407" s="1" t="n">
        <v>45580</v>
      </c>
      <c r="C3407" s="1" t="n">
        <v>45832</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46047-2024</t>
        </is>
      </c>
      <c r="B3408" s="1" t="n">
        <v>45580</v>
      </c>
      <c r="C3408" s="1" t="n">
        <v>45832</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46268-2024</t>
        </is>
      </c>
      <c r="B3409" s="1" t="n">
        <v>45581</v>
      </c>
      <c r="C3409" s="1" t="n">
        <v>45832</v>
      </c>
      <c r="D3409" t="inlineStr">
        <is>
          <t>VÄSTERBOTTENS LÄN</t>
        </is>
      </c>
      <c r="E3409" t="inlineStr">
        <is>
          <t>SKELLEFTEÅ</t>
        </is>
      </c>
      <c r="F3409" t="inlineStr">
        <is>
          <t>Holmen skog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46089-2024</t>
        </is>
      </c>
      <c r="B3410" s="1" t="n">
        <v>45581</v>
      </c>
      <c r="C3410" s="1" t="n">
        <v>45832</v>
      </c>
      <c r="D3410" t="inlineStr">
        <is>
          <t>VÄSTERBOTTENS LÄN</t>
        </is>
      </c>
      <c r="E3410" t="inlineStr">
        <is>
          <t>SKELLEFTEÅ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46116-2024</t>
        </is>
      </c>
      <c r="B3411" s="1" t="n">
        <v>45581</v>
      </c>
      <c r="C3411" s="1" t="n">
        <v>45832</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46108-2024</t>
        </is>
      </c>
      <c r="B3412" s="1" t="n">
        <v>45581</v>
      </c>
      <c r="C3412" s="1" t="n">
        <v>45832</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46282-2024</t>
        </is>
      </c>
      <c r="B3413" s="1" t="n">
        <v>45581</v>
      </c>
      <c r="C3413" s="1" t="n">
        <v>45832</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46201-2024</t>
        </is>
      </c>
      <c r="B3414" s="1" t="n">
        <v>45581</v>
      </c>
      <c r="C3414" s="1" t="n">
        <v>45832</v>
      </c>
      <c r="D3414" t="inlineStr">
        <is>
          <t>VÄSTERBOTTENS LÄN</t>
        </is>
      </c>
      <c r="E3414" t="inlineStr">
        <is>
          <t>SKELLEFTEÅ</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46304-2024</t>
        </is>
      </c>
      <c r="B3415" s="1" t="n">
        <v>45581</v>
      </c>
      <c r="C3415" s="1" t="n">
        <v>45832</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46480-2024</t>
        </is>
      </c>
      <c r="B3416" s="1" t="n">
        <v>45582</v>
      </c>
      <c r="C3416" s="1" t="n">
        <v>45832</v>
      </c>
      <c r="D3416" t="inlineStr">
        <is>
          <t>VÄSTERBOTTENS LÄN</t>
        </is>
      </c>
      <c r="E3416" t="inlineStr">
        <is>
          <t>SKELLEFTEÅ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v>
      </c>
      <c r="C3417" s="1" t="n">
        <v>45832</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46377-2024</t>
        </is>
      </c>
      <c r="B3418" s="1" t="n">
        <v>45582</v>
      </c>
      <c r="C3418" s="1" t="n">
        <v>45832</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46557-2024</t>
        </is>
      </c>
      <c r="B3419" s="1" t="n">
        <v>45582</v>
      </c>
      <c r="C3419" s="1" t="n">
        <v>45832</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46565-2024</t>
        </is>
      </c>
      <c r="B3420" s="1" t="n">
        <v>45582</v>
      </c>
      <c r="C3420" s="1" t="n">
        <v>45832</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46736-2024</t>
        </is>
      </c>
      <c r="B3421" s="1" t="n">
        <v>45583</v>
      </c>
      <c r="C3421" s="1" t="n">
        <v>45832</v>
      </c>
      <c r="D3421" t="inlineStr">
        <is>
          <t>VÄSTERBOTTENS LÄN</t>
        </is>
      </c>
      <c r="E3421" t="inlineStr">
        <is>
          <t>SKELLEFTEÅ</t>
        </is>
      </c>
      <c r="F3421" t="inlineStr">
        <is>
          <t>Sveaskog</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46858-2024</t>
        </is>
      </c>
      <c r="B3422" s="1" t="n">
        <v>45583</v>
      </c>
      <c r="C3422" s="1" t="n">
        <v>45832</v>
      </c>
      <c r="D3422" t="inlineStr">
        <is>
          <t>VÄSTERBOTTENS LÄN</t>
        </is>
      </c>
      <c r="E3422" t="inlineStr">
        <is>
          <t>SKELLEFTEÅ</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46846-2024</t>
        </is>
      </c>
      <c r="B3423" s="1" t="n">
        <v>45583</v>
      </c>
      <c r="C3423" s="1" t="n">
        <v>45832</v>
      </c>
      <c r="D3423" t="inlineStr">
        <is>
          <t>VÄSTERBOTTENS LÄN</t>
        </is>
      </c>
      <c r="E3423" t="inlineStr">
        <is>
          <t>SKELLEFTEÅ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46705-2024</t>
        </is>
      </c>
      <c r="B3424" s="1" t="n">
        <v>45583</v>
      </c>
      <c r="C3424" s="1" t="n">
        <v>45832</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46721-2024</t>
        </is>
      </c>
      <c r="B3425" s="1" t="n">
        <v>45583</v>
      </c>
      <c r="C3425" s="1" t="n">
        <v>45832</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46731-2024</t>
        </is>
      </c>
      <c r="B3426" s="1" t="n">
        <v>45583</v>
      </c>
      <c r="C3426" s="1" t="n">
        <v>45832</v>
      </c>
      <c r="D3426" t="inlineStr">
        <is>
          <t>VÄSTERBOTTENS LÄN</t>
        </is>
      </c>
      <c r="E3426" t="inlineStr">
        <is>
          <t>SKELLEFTEÅ</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46657-2024</t>
        </is>
      </c>
      <c r="B3427" s="1" t="n">
        <v>45583</v>
      </c>
      <c r="C3427" s="1" t="n">
        <v>45832</v>
      </c>
      <c r="D3427" t="inlineStr">
        <is>
          <t>VÄSTERBOTTENS LÄN</t>
        </is>
      </c>
      <c r="E3427" t="inlineStr">
        <is>
          <t>SKELLEFTEÅ</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46841-2024</t>
        </is>
      </c>
      <c r="B3428" s="1" t="n">
        <v>45583</v>
      </c>
      <c r="C3428" s="1" t="n">
        <v>45832</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46853-2024</t>
        </is>
      </c>
      <c r="B3429" s="1" t="n">
        <v>45583</v>
      </c>
      <c r="C3429" s="1" t="n">
        <v>45832</v>
      </c>
      <c r="D3429" t="inlineStr">
        <is>
          <t>VÄSTERBOTTENS LÄN</t>
        </is>
      </c>
      <c r="E3429" t="inlineStr">
        <is>
          <t>SKELLEFTEÅ</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47062-2024</t>
        </is>
      </c>
      <c r="B3430" s="1" t="n">
        <v>45585</v>
      </c>
      <c r="C3430" s="1" t="n">
        <v>45832</v>
      </c>
      <c r="D3430" t="inlineStr">
        <is>
          <t>VÄSTERBOTTENS LÄN</t>
        </is>
      </c>
      <c r="E3430" t="inlineStr">
        <is>
          <t>SKELLEFTEÅ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47282-2024</t>
        </is>
      </c>
      <c r="B3431" s="1" t="n">
        <v>45586</v>
      </c>
      <c r="C3431" s="1" t="n">
        <v>45832</v>
      </c>
      <c r="D3431" t="inlineStr">
        <is>
          <t>VÄSTERBOTTENS LÄN</t>
        </is>
      </c>
      <c r="E3431" t="inlineStr">
        <is>
          <t>SKELLEFTEÅ</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47045-2024</t>
        </is>
      </c>
      <c r="B3432" s="1" t="n">
        <v>45586</v>
      </c>
      <c r="C3432" s="1" t="n">
        <v>45832</v>
      </c>
      <c r="D3432" t="inlineStr">
        <is>
          <t>VÄSTERBOTTENS LÄN</t>
        </is>
      </c>
      <c r="E3432" t="inlineStr">
        <is>
          <t>SKELLEFTEÅ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46968-2024</t>
        </is>
      </c>
      <c r="B3433" s="1" t="n">
        <v>45586</v>
      </c>
      <c r="C3433" s="1" t="n">
        <v>45832</v>
      </c>
      <c r="D3433" t="inlineStr">
        <is>
          <t>VÄSTERBOTTENS LÄN</t>
        </is>
      </c>
      <c r="E3433" t="inlineStr">
        <is>
          <t>SKELLEFTEÅ</t>
        </is>
      </c>
      <c r="F3433" t="inlineStr">
        <is>
          <t>Sveaskog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47007-2024</t>
        </is>
      </c>
      <c r="B3434" s="1" t="n">
        <v>45586</v>
      </c>
      <c r="C3434" s="1" t="n">
        <v>45832</v>
      </c>
      <c r="D3434" t="inlineStr">
        <is>
          <t>VÄSTERBOTTENS LÄN</t>
        </is>
      </c>
      <c r="E3434" t="inlineStr">
        <is>
          <t>SKELLEFTEÅ</t>
        </is>
      </c>
      <c r="G3434" t="n">
        <v>22.2</v>
      </c>
      <c r="H3434" t="n">
        <v>0</v>
      </c>
      <c r="I3434" t="n">
        <v>0</v>
      </c>
      <c r="J3434" t="n">
        <v>0</v>
      </c>
      <c r="K3434" t="n">
        <v>0</v>
      </c>
      <c r="L3434" t="n">
        <v>0</v>
      </c>
      <c r="M3434" t="n">
        <v>0</v>
      </c>
      <c r="N3434" t="n">
        <v>0</v>
      </c>
      <c r="O3434" t="n">
        <v>0</v>
      </c>
      <c r="P3434" t="n">
        <v>0</v>
      </c>
      <c r="Q3434" t="n">
        <v>0</v>
      </c>
      <c r="R3434" s="2" t="inlineStr"/>
    </row>
    <row r="3435" ht="15" customHeight="1">
      <c r="A3435" t="inlineStr">
        <is>
          <t>A 47014-2024</t>
        </is>
      </c>
      <c r="B3435" s="1" t="n">
        <v>45586</v>
      </c>
      <c r="C3435" s="1" t="n">
        <v>45832</v>
      </c>
      <c r="D3435" t="inlineStr">
        <is>
          <t>VÄSTERBOTTENS LÄN</t>
        </is>
      </c>
      <c r="E3435" t="inlineStr">
        <is>
          <t>SKELLEFTEÅ</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47544-2024</t>
        </is>
      </c>
      <c r="B3436" s="1" t="n">
        <v>45587</v>
      </c>
      <c r="C3436" s="1" t="n">
        <v>45832</v>
      </c>
      <c r="D3436" t="inlineStr">
        <is>
          <t>VÄSTERBOTTENS LÄN</t>
        </is>
      </c>
      <c r="E3436" t="inlineStr">
        <is>
          <t>SKELLEFTEÅ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47519-2024</t>
        </is>
      </c>
      <c r="B3437" s="1" t="n">
        <v>45587</v>
      </c>
      <c r="C3437" s="1" t="n">
        <v>45832</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47496-2024</t>
        </is>
      </c>
      <c r="B3438" s="1" t="n">
        <v>45587</v>
      </c>
      <c r="C3438" s="1" t="n">
        <v>45832</v>
      </c>
      <c r="D3438" t="inlineStr">
        <is>
          <t>VÄSTERBOTTENS LÄN</t>
        </is>
      </c>
      <c r="E3438" t="inlineStr">
        <is>
          <t>SKELLEFTEÅ</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47514-2024</t>
        </is>
      </c>
      <c r="B3439" s="1" t="n">
        <v>45587</v>
      </c>
      <c r="C3439" s="1" t="n">
        <v>45832</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47352-2024</t>
        </is>
      </c>
      <c r="B3440" s="1" t="n">
        <v>45587</v>
      </c>
      <c r="C3440" s="1" t="n">
        <v>45832</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47668-2024</t>
        </is>
      </c>
      <c r="B3441" s="1" t="n">
        <v>45588</v>
      </c>
      <c r="C3441" s="1" t="n">
        <v>45832</v>
      </c>
      <c r="D3441" t="inlineStr">
        <is>
          <t>VÄSTERBOTTENS LÄN</t>
        </is>
      </c>
      <c r="E3441" t="inlineStr">
        <is>
          <t>SKELLEFTEÅ</t>
        </is>
      </c>
      <c r="F3441" t="inlineStr">
        <is>
          <t>Sveaskog</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47686-2024</t>
        </is>
      </c>
      <c r="B3442" s="1" t="n">
        <v>45588</v>
      </c>
      <c r="C3442" s="1" t="n">
        <v>45832</v>
      </c>
      <c r="D3442" t="inlineStr">
        <is>
          <t>VÄSTERBOTTENS LÄN</t>
        </is>
      </c>
      <c r="E3442" t="inlineStr">
        <is>
          <t>SKELLEFTEÅ</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48074-2024</t>
        </is>
      </c>
      <c r="B3443" s="1" t="n">
        <v>45589</v>
      </c>
      <c r="C3443" s="1" t="n">
        <v>45832</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48043-2024</t>
        </is>
      </c>
      <c r="B3444" s="1" t="n">
        <v>45589</v>
      </c>
      <c r="C3444" s="1" t="n">
        <v>45832</v>
      </c>
      <c r="D3444" t="inlineStr">
        <is>
          <t>VÄSTERBOTTENS LÄN</t>
        </is>
      </c>
      <c r="E3444" t="inlineStr">
        <is>
          <t>SKELLEFTEÅ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48116-2024</t>
        </is>
      </c>
      <c r="B3445" s="1" t="n">
        <v>45589</v>
      </c>
      <c r="C3445" s="1" t="n">
        <v>45832</v>
      </c>
      <c r="D3445" t="inlineStr">
        <is>
          <t>VÄSTERBOTTENS LÄN</t>
        </is>
      </c>
      <c r="E3445" t="inlineStr">
        <is>
          <t>SKELLEFTEÅ</t>
        </is>
      </c>
      <c r="F3445" t="inlineStr">
        <is>
          <t>Kommuner</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48203-2024</t>
        </is>
      </c>
      <c r="B3446" s="1" t="n">
        <v>45589</v>
      </c>
      <c r="C3446" s="1" t="n">
        <v>45832</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48093-2024</t>
        </is>
      </c>
      <c r="B3447" s="1" t="n">
        <v>45589</v>
      </c>
      <c r="C3447" s="1" t="n">
        <v>45832</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48204-2024</t>
        </is>
      </c>
      <c r="B3448" s="1" t="n">
        <v>45589</v>
      </c>
      <c r="C3448" s="1" t="n">
        <v>45832</v>
      </c>
      <c r="D3448" t="inlineStr">
        <is>
          <t>VÄSTERBOTTENS LÄN</t>
        </is>
      </c>
      <c r="E3448" t="inlineStr">
        <is>
          <t>SKELLEFTEÅ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48202-2024</t>
        </is>
      </c>
      <c r="B3449" s="1" t="n">
        <v>45589</v>
      </c>
      <c r="C3449" s="1" t="n">
        <v>45832</v>
      </c>
      <c r="D3449" t="inlineStr">
        <is>
          <t>VÄSTERBOTTENS LÄN</t>
        </is>
      </c>
      <c r="E3449" t="inlineStr">
        <is>
          <t>SKELLEFTEÅ</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48391-2024</t>
        </is>
      </c>
      <c r="B3450" s="1" t="n">
        <v>45590</v>
      </c>
      <c r="C3450" s="1" t="n">
        <v>45832</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48620-2024</t>
        </is>
      </c>
      <c r="B3451" s="1" t="n">
        <v>45593</v>
      </c>
      <c r="C3451" s="1" t="n">
        <v>45832</v>
      </c>
      <c r="D3451" t="inlineStr">
        <is>
          <t>VÄSTERBOTTENS LÄN</t>
        </is>
      </c>
      <c r="E3451" t="inlineStr">
        <is>
          <t>SKELLEFTEÅ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48786-2024</t>
        </is>
      </c>
      <c r="B3452" s="1" t="n">
        <v>45593</v>
      </c>
      <c r="C3452" s="1" t="n">
        <v>45832</v>
      </c>
      <c r="D3452" t="inlineStr">
        <is>
          <t>VÄSTERBOTTENS LÄN</t>
        </is>
      </c>
      <c r="E3452" t="inlineStr">
        <is>
          <t>SKELLEFTEÅ</t>
        </is>
      </c>
      <c r="F3452" t="inlineStr">
        <is>
          <t>Kommuner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48610-2024</t>
        </is>
      </c>
      <c r="B3453" s="1" t="n">
        <v>45593</v>
      </c>
      <c r="C3453" s="1" t="n">
        <v>45832</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48799-2024</t>
        </is>
      </c>
      <c r="B3454" s="1" t="n">
        <v>45593</v>
      </c>
      <c r="C3454" s="1" t="n">
        <v>45832</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48744-2024</t>
        </is>
      </c>
      <c r="B3455" s="1" t="n">
        <v>45593</v>
      </c>
      <c r="C3455" s="1" t="n">
        <v>45832</v>
      </c>
      <c r="D3455" t="inlineStr">
        <is>
          <t>VÄSTERBOTTENS LÄN</t>
        </is>
      </c>
      <c r="E3455" t="inlineStr">
        <is>
          <t>SKELLEFTEÅ</t>
        </is>
      </c>
      <c r="F3455" t="inlineStr">
        <is>
          <t>Kommuner</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48878-2024</t>
        </is>
      </c>
      <c r="B3456" s="1" t="n">
        <v>45594</v>
      </c>
      <c r="C3456" s="1" t="n">
        <v>45832</v>
      </c>
      <c r="D3456" t="inlineStr">
        <is>
          <t>VÄSTERBOTTENS LÄN</t>
        </is>
      </c>
      <c r="E3456" t="inlineStr">
        <is>
          <t>SKELLEFTEÅ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48866-2024</t>
        </is>
      </c>
      <c r="B3457" s="1" t="n">
        <v>45594</v>
      </c>
      <c r="C3457" s="1" t="n">
        <v>45832</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49120-2024</t>
        </is>
      </c>
      <c r="B3458" s="1" t="n">
        <v>45594</v>
      </c>
      <c r="C3458" s="1" t="n">
        <v>45832</v>
      </c>
      <c r="D3458" t="inlineStr">
        <is>
          <t>VÄSTERBOTTENS LÄN</t>
        </is>
      </c>
      <c r="E3458" t="inlineStr">
        <is>
          <t>SKELLEFTEÅ</t>
        </is>
      </c>
      <c r="F3458" t="inlineStr">
        <is>
          <t>Holmen skog AB</t>
        </is>
      </c>
      <c r="G3458" t="n">
        <v>37.2</v>
      </c>
      <c r="H3458" t="n">
        <v>0</v>
      </c>
      <c r="I3458" t="n">
        <v>0</v>
      </c>
      <c r="J3458" t="n">
        <v>0</v>
      </c>
      <c r="K3458" t="n">
        <v>0</v>
      </c>
      <c r="L3458" t="n">
        <v>0</v>
      </c>
      <c r="M3458" t="n">
        <v>0</v>
      </c>
      <c r="N3458" t="n">
        <v>0</v>
      </c>
      <c r="O3458" t="n">
        <v>0</v>
      </c>
      <c r="P3458" t="n">
        <v>0</v>
      </c>
      <c r="Q3458" t="n">
        <v>0</v>
      </c>
      <c r="R3458" s="2" t="inlineStr"/>
    </row>
    <row r="3459" ht="15" customHeight="1">
      <c r="A3459" t="inlineStr">
        <is>
          <t>A 48885-2024</t>
        </is>
      </c>
      <c r="B3459" s="1" t="n">
        <v>45594</v>
      </c>
      <c r="C3459" s="1" t="n">
        <v>45832</v>
      </c>
      <c r="D3459" t="inlineStr">
        <is>
          <t>VÄSTERBOTTENS LÄN</t>
        </is>
      </c>
      <c r="E3459" t="inlineStr">
        <is>
          <t>SKELLEFTEÅ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48891-2024</t>
        </is>
      </c>
      <c r="B3460" s="1" t="n">
        <v>45594</v>
      </c>
      <c r="C3460" s="1" t="n">
        <v>45832</v>
      </c>
      <c r="D3460" t="inlineStr">
        <is>
          <t>VÄSTERBOTTENS LÄN</t>
        </is>
      </c>
      <c r="E3460" t="inlineStr">
        <is>
          <t>SKELLEFTEÅ</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49217-2024</t>
        </is>
      </c>
      <c r="B3461" s="1" t="n">
        <v>45595</v>
      </c>
      <c r="C3461" s="1" t="n">
        <v>45832</v>
      </c>
      <c r="D3461" t="inlineStr">
        <is>
          <t>VÄSTERBOTTENS LÄN</t>
        </is>
      </c>
      <c r="E3461" t="inlineStr">
        <is>
          <t>SKELLEFTEÅ</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49171-2024</t>
        </is>
      </c>
      <c r="B3462" s="1" t="n">
        <v>45595</v>
      </c>
      <c r="C3462" s="1" t="n">
        <v>45832</v>
      </c>
      <c r="D3462" t="inlineStr">
        <is>
          <t>VÄSTERBOTTENS LÄN</t>
        </is>
      </c>
      <c r="E3462" t="inlineStr">
        <is>
          <t>SKELLEFTEÅ</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49268-2024</t>
        </is>
      </c>
      <c r="B3463" s="1" t="n">
        <v>45595</v>
      </c>
      <c r="C3463" s="1" t="n">
        <v>45832</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49429-2024</t>
        </is>
      </c>
      <c r="B3464" s="1" t="n">
        <v>45595</v>
      </c>
      <c r="C3464" s="1" t="n">
        <v>45832</v>
      </c>
      <c r="D3464" t="inlineStr">
        <is>
          <t>VÄSTERBOTTENS LÄN</t>
        </is>
      </c>
      <c r="E3464" t="inlineStr">
        <is>
          <t>SKELLEFTEÅ</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49279-2024</t>
        </is>
      </c>
      <c r="B3465" s="1" t="n">
        <v>45595</v>
      </c>
      <c r="C3465" s="1" t="n">
        <v>45832</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49356-2024</t>
        </is>
      </c>
      <c r="B3466" s="1" t="n">
        <v>45595</v>
      </c>
      <c r="C3466" s="1" t="n">
        <v>45832</v>
      </c>
      <c r="D3466" t="inlineStr">
        <is>
          <t>VÄSTERBOTTENS LÄN</t>
        </is>
      </c>
      <c r="E3466" t="inlineStr">
        <is>
          <t>SKELLEFTEÅ</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45832</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49844-2024</t>
        </is>
      </c>
      <c r="B3468" s="1" t="n">
        <v>45597</v>
      </c>
      <c r="C3468" s="1" t="n">
        <v>45832</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49947-2024</t>
        </is>
      </c>
      <c r="B3469" s="1" t="n">
        <v>45597</v>
      </c>
      <c r="C3469" s="1" t="n">
        <v>45832</v>
      </c>
      <c r="D3469" t="inlineStr">
        <is>
          <t>VÄSTERBOTTENS LÄN</t>
        </is>
      </c>
      <c r="E3469" t="inlineStr">
        <is>
          <t>SKELLEFTEÅ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49955-2024</t>
        </is>
      </c>
      <c r="B3470" s="1" t="n">
        <v>45597</v>
      </c>
      <c r="C3470" s="1" t="n">
        <v>45832</v>
      </c>
      <c r="D3470" t="inlineStr">
        <is>
          <t>VÄSTERBOTTENS LÄN</t>
        </is>
      </c>
      <c r="E3470" t="inlineStr">
        <is>
          <t>SKELLEFTEÅ</t>
        </is>
      </c>
      <c r="F3470" t="inlineStr">
        <is>
          <t>Sveaskog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49811-2024</t>
        </is>
      </c>
      <c r="B3471" s="1" t="n">
        <v>45597</v>
      </c>
      <c r="C3471" s="1" t="n">
        <v>45832</v>
      </c>
      <c r="D3471" t="inlineStr">
        <is>
          <t>VÄSTERBOTTENS LÄN</t>
        </is>
      </c>
      <c r="E3471" t="inlineStr">
        <is>
          <t>SKELLEFTEÅ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49981-2024</t>
        </is>
      </c>
      <c r="B3472" s="1" t="n">
        <v>45597</v>
      </c>
      <c r="C3472" s="1" t="n">
        <v>45832</v>
      </c>
      <c r="D3472" t="inlineStr">
        <is>
          <t>VÄSTERBOTTENS LÄN</t>
        </is>
      </c>
      <c r="E3472" t="inlineStr">
        <is>
          <t>SKELLEFTEÅ</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50082-2024</t>
        </is>
      </c>
      <c r="B3473" s="1" t="n">
        <v>45597</v>
      </c>
      <c r="C3473" s="1" t="n">
        <v>45832</v>
      </c>
      <c r="D3473" t="inlineStr">
        <is>
          <t>VÄSTERBOTTENS LÄN</t>
        </is>
      </c>
      <c r="E3473" t="inlineStr">
        <is>
          <t>SKELLEFTEÅ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50059-2024</t>
        </is>
      </c>
      <c r="B3474" s="1" t="n">
        <v>45600</v>
      </c>
      <c r="C3474" s="1" t="n">
        <v>45832</v>
      </c>
      <c r="D3474" t="inlineStr">
        <is>
          <t>VÄSTERBOTTENS LÄN</t>
        </is>
      </c>
      <c r="E3474" t="inlineStr">
        <is>
          <t>SKELLEFTEÅ</t>
        </is>
      </c>
      <c r="F3474" t="inlineStr">
        <is>
          <t>Kommuner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50070-2024</t>
        </is>
      </c>
      <c r="B3475" s="1" t="n">
        <v>45600</v>
      </c>
      <c r="C3475" s="1" t="n">
        <v>45832</v>
      </c>
      <c r="D3475" t="inlineStr">
        <is>
          <t>VÄSTERBOTTENS LÄN</t>
        </is>
      </c>
      <c r="E3475" t="inlineStr">
        <is>
          <t>SKELLEFTEÅ</t>
        </is>
      </c>
      <c r="F3475" t="inlineStr">
        <is>
          <t>Kommuner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50058-2024</t>
        </is>
      </c>
      <c r="B3476" s="1" t="n">
        <v>45600</v>
      </c>
      <c r="C3476" s="1" t="n">
        <v>45832</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50263-2024</t>
        </is>
      </c>
      <c r="B3477" s="1" t="n">
        <v>45600</v>
      </c>
      <c r="C3477" s="1" t="n">
        <v>45832</v>
      </c>
      <c r="D3477" t="inlineStr">
        <is>
          <t>VÄSTERBOTTENS LÄN</t>
        </is>
      </c>
      <c r="E3477" t="inlineStr">
        <is>
          <t>SKELLEFTEÅ</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50335-2024</t>
        </is>
      </c>
      <c r="B3478" s="1" t="n">
        <v>45600</v>
      </c>
      <c r="C3478" s="1" t="n">
        <v>45832</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50232-2024</t>
        </is>
      </c>
      <c r="B3479" s="1" t="n">
        <v>45600</v>
      </c>
      <c r="C3479" s="1" t="n">
        <v>45832</v>
      </c>
      <c r="D3479" t="inlineStr">
        <is>
          <t>VÄSTERBOTTENS LÄN</t>
        </is>
      </c>
      <c r="E3479" t="inlineStr">
        <is>
          <t>SKELLEFTEÅ</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50276-2024</t>
        </is>
      </c>
      <c r="B3480" s="1" t="n">
        <v>45600</v>
      </c>
      <c r="C3480" s="1" t="n">
        <v>45832</v>
      </c>
      <c r="D3480" t="inlineStr">
        <is>
          <t>VÄSTERBOTTENS LÄN</t>
        </is>
      </c>
      <c r="E3480" t="inlineStr">
        <is>
          <t>SKELLEFTEÅ</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50288-2024</t>
        </is>
      </c>
      <c r="B3481" s="1" t="n">
        <v>45600</v>
      </c>
      <c r="C3481" s="1" t="n">
        <v>45832</v>
      </c>
      <c r="D3481" t="inlineStr">
        <is>
          <t>VÄSTERBOTTENS LÄN</t>
        </is>
      </c>
      <c r="E3481" t="inlineStr">
        <is>
          <t>SKELLEFTEÅ</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50322-2024</t>
        </is>
      </c>
      <c r="B3482" s="1" t="n">
        <v>45600</v>
      </c>
      <c r="C3482" s="1" t="n">
        <v>45832</v>
      </c>
      <c r="D3482" t="inlineStr">
        <is>
          <t>VÄSTERBOTTENS LÄN</t>
        </is>
      </c>
      <c r="E3482" t="inlineStr">
        <is>
          <t>SKELLEFTEÅ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50515-2024</t>
        </is>
      </c>
      <c r="B3483" s="1" t="n">
        <v>45601</v>
      </c>
      <c r="C3483" s="1" t="n">
        <v>45832</v>
      </c>
      <c r="D3483" t="inlineStr">
        <is>
          <t>VÄSTERBOTTENS LÄN</t>
        </is>
      </c>
      <c r="E3483" t="inlineStr">
        <is>
          <t>SKELLEFTEÅ</t>
        </is>
      </c>
      <c r="F3483" t="inlineStr">
        <is>
          <t>Holmen skog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50476-2024</t>
        </is>
      </c>
      <c r="B3484" s="1" t="n">
        <v>45601</v>
      </c>
      <c r="C3484" s="1" t="n">
        <v>45832</v>
      </c>
      <c r="D3484" t="inlineStr">
        <is>
          <t>VÄSTERBOTTENS LÄN</t>
        </is>
      </c>
      <c r="E3484" t="inlineStr">
        <is>
          <t>SKELLEFTEÅ</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50439-2024</t>
        </is>
      </c>
      <c r="B3485" s="1" t="n">
        <v>45601</v>
      </c>
      <c r="C3485" s="1" t="n">
        <v>45832</v>
      </c>
      <c r="D3485" t="inlineStr">
        <is>
          <t>VÄSTERBOTTENS LÄN</t>
        </is>
      </c>
      <c r="E3485" t="inlineStr">
        <is>
          <t>SKELLEFTEÅ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50450-2024</t>
        </is>
      </c>
      <c r="B3486" s="1" t="n">
        <v>45601</v>
      </c>
      <c r="C3486" s="1" t="n">
        <v>45832</v>
      </c>
      <c r="D3486" t="inlineStr">
        <is>
          <t>VÄSTERBOTTENS LÄN</t>
        </is>
      </c>
      <c r="E3486" t="inlineStr">
        <is>
          <t>SKELLEFTEÅ</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50752-2024</t>
        </is>
      </c>
      <c r="B3487" s="1" t="n">
        <v>45602</v>
      </c>
      <c r="C3487" s="1" t="n">
        <v>45832</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50795-2024</t>
        </is>
      </c>
      <c r="B3488" s="1" t="n">
        <v>45602</v>
      </c>
      <c r="C3488" s="1" t="n">
        <v>45832</v>
      </c>
      <c r="D3488" t="inlineStr">
        <is>
          <t>VÄSTERBOTTENS LÄN</t>
        </is>
      </c>
      <c r="E3488" t="inlineStr">
        <is>
          <t>SKELLEFTEÅ</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50862-2024</t>
        </is>
      </c>
      <c r="B3489" s="1" t="n">
        <v>45602</v>
      </c>
      <c r="C3489" s="1" t="n">
        <v>45832</v>
      </c>
      <c r="D3489" t="inlineStr">
        <is>
          <t>VÄSTERBOTTENS LÄN</t>
        </is>
      </c>
      <c r="E3489" t="inlineStr">
        <is>
          <t>SKELLEFTEÅ</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50894-2024</t>
        </is>
      </c>
      <c r="B3490" s="1" t="n">
        <v>45602</v>
      </c>
      <c r="C3490" s="1" t="n">
        <v>45832</v>
      </c>
      <c r="D3490" t="inlineStr">
        <is>
          <t>VÄSTERBOTTENS LÄN</t>
        </is>
      </c>
      <c r="E3490" t="inlineStr">
        <is>
          <t>SKELLEFTEÅ</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51006-2024</t>
        </is>
      </c>
      <c r="B3491" s="1" t="n">
        <v>45603</v>
      </c>
      <c r="C3491" s="1" t="n">
        <v>45832</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51179-2024</t>
        </is>
      </c>
      <c r="B3492" s="1" t="n">
        <v>45603</v>
      </c>
      <c r="C3492" s="1" t="n">
        <v>45832</v>
      </c>
      <c r="D3492" t="inlineStr">
        <is>
          <t>VÄSTERBOTTENS LÄN</t>
        </is>
      </c>
      <c r="E3492" t="inlineStr">
        <is>
          <t>SKELLEFTEÅ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51165-2024</t>
        </is>
      </c>
      <c r="B3493" s="1" t="n">
        <v>45603</v>
      </c>
      <c r="C3493" s="1" t="n">
        <v>45832</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51116-2024</t>
        </is>
      </c>
      <c r="B3494" s="1" t="n">
        <v>45603</v>
      </c>
      <c r="C3494" s="1" t="n">
        <v>45832</v>
      </c>
      <c r="D3494" t="inlineStr">
        <is>
          <t>VÄSTERBOTTENS LÄN</t>
        </is>
      </c>
      <c r="E3494" t="inlineStr">
        <is>
          <t>SKELLEFTEÅ</t>
        </is>
      </c>
      <c r="F3494" t="inlineStr">
        <is>
          <t>Holmen skog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51357-2024</t>
        </is>
      </c>
      <c r="B3495" s="1" t="n">
        <v>45603</v>
      </c>
      <c r="C3495" s="1" t="n">
        <v>45832</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51348-2024</t>
        </is>
      </c>
      <c r="B3496" s="1" t="n">
        <v>45603</v>
      </c>
      <c r="C3496" s="1" t="n">
        <v>45832</v>
      </c>
      <c r="D3496" t="inlineStr">
        <is>
          <t>VÄSTERBOTTENS LÄN</t>
        </is>
      </c>
      <c r="E3496" t="inlineStr">
        <is>
          <t>SKELLEFTEÅ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51332-2024</t>
        </is>
      </c>
      <c r="B3497" s="1" t="n">
        <v>45604</v>
      </c>
      <c r="C3497" s="1" t="n">
        <v>45832</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51356-2024</t>
        </is>
      </c>
      <c r="B3498" s="1" t="n">
        <v>45604</v>
      </c>
      <c r="C3498" s="1" t="n">
        <v>45832</v>
      </c>
      <c r="D3498" t="inlineStr">
        <is>
          <t>VÄSTERBOTTENS LÄN</t>
        </is>
      </c>
      <c r="E3498" t="inlineStr">
        <is>
          <t>SKELLEFTEÅ</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51363-2024</t>
        </is>
      </c>
      <c r="B3499" s="1" t="n">
        <v>45604</v>
      </c>
      <c r="C3499" s="1" t="n">
        <v>45832</v>
      </c>
      <c r="D3499" t="inlineStr">
        <is>
          <t>VÄSTERBOTTENS LÄN</t>
        </is>
      </c>
      <c r="E3499" t="inlineStr">
        <is>
          <t>SKELLEFTEÅ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51382-2024</t>
        </is>
      </c>
      <c r="B3500" s="1" t="n">
        <v>45604</v>
      </c>
      <c r="C3500" s="1" t="n">
        <v>45832</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51362-2024</t>
        </is>
      </c>
      <c r="B3501" s="1" t="n">
        <v>45604</v>
      </c>
      <c r="C3501" s="1" t="n">
        <v>45832</v>
      </c>
      <c r="D3501" t="inlineStr">
        <is>
          <t>VÄSTERBOTTENS LÄN</t>
        </is>
      </c>
      <c r="E3501" t="inlineStr">
        <is>
          <t>SKELLEFTEÅ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51383-2024</t>
        </is>
      </c>
      <c r="B3502" s="1" t="n">
        <v>45604</v>
      </c>
      <c r="C3502" s="1" t="n">
        <v>45832</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51439-2024</t>
        </is>
      </c>
      <c r="B3503" s="1" t="n">
        <v>45604</v>
      </c>
      <c r="C3503" s="1" t="n">
        <v>45832</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51592-2024</t>
        </is>
      </c>
      <c r="B3504" s="1" t="n">
        <v>45604</v>
      </c>
      <c r="C3504" s="1" t="n">
        <v>45832</v>
      </c>
      <c r="D3504" t="inlineStr">
        <is>
          <t>VÄSTERBOTTENS LÄN</t>
        </is>
      </c>
      <c r="E3504" t="inlineStr">
        <is>
          <t>SKELLEFTEÅ</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51319-2024</t>
        </is>
      </c>
      <c r="B3505" s="1" t="n">
        <v>45604</v>
      </c>
      <c r="C3505" s="1" t="n">
        <v>45832</v>
      </c>
      <c r="D3505" t="inlineStr">
        <is>
          <t>VÄSTERBOTTENS LÄN</t>
        </is>
      </c>
      <c r="E3505" t="inlineStr">
        <is>
          <t>SKELLEFTEÅ</t>
        </is>
      </c>
      <c r="F3505" t="inlineStr">
        <is>
          <t>Kommuner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51993-2024</t>
        </is>
      </c>
      <c r="B3506" s="1" t="n">
        <v>45607</v>
      </c>
      <c r="C3506" s="1" t="n">
        <v>45832</v>
      </c>
      <c r="D3506" t="inlineStr">
        <is>
          <t>VÄSTERBOTTENS LÄN</t>
        </is>
      </c>
      <c r="E3506" t="inlineStr">
        <is>
          <t>SKELLEFTEÅ</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51991-2024</t>
        </is>
      </c>
      <c r="B3507" s="1" t="n">
        <v>45607</v>
      </c>
      <c r="C3507" s="1" t="n">
        <v>45832</v>
      </c>
      <c r="D3507" t="inlineStr">
        <is>
          <t>VÄSTERBOTTENS LÄN</t>
        </is>
      </c>
      <c r="E3507" t="inlineStr">
        <is>
          <t>SKELLEFTEÅ</t>
        </is>
      </c>
      <c r="F3507" t="inlineStr">
        <is>
          <t>Kommuner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51810-2024</t>
        </is>
      </c>
      <c r="B3508" s="1" t="n">
        <v>45607</v>
      </c>
      <c r="C3508" s="1" t="n">
        <v>45832</v>
      </c>
      <c r="D3508" t="inlineStr">
        <is>
          <t>VÄSTERBOTTENS LÄN</t>
        </is>
      </c>
      <c r="E3508" t="inlineStr">
        <is>
          <t>SKELLEFTEÅ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52157-2024</t>
        </is>
      </c>
      <c r="B3509" s="1" t="n">
        <v>45608</v>
      </c>
      <c r="C3509" s="1" t="n">
        <v>45832</v>
      </c>
      <c r="D3509" t="inlineStr">
        <is>
          <t>VÄSTERBOTTENS LÄN</t>
        </is>
      </c>
      <c r="E3509" t="inlineStr">
        <is>
          <t>SKELLEFTEÅ</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52098-2024</t>
        </is>
      </c>
      <c r="B3510" s="1" t="n">
        <v>45608</v>
      </c>
      <c r="C3510" s="1" t="n">
        <v>45832</v>
      </c>
      <c r="D3510" t="inlineStr">
        <is>
          <t>VÄSTERBOTTENS LÄN</t>
        </is>
      </c>
      <c r="E3510" t="inlineStr">
        <is>
          <t>SKELLEFTEÅ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52410-2024</t>
        </is>
      </c>
      <c r="B3511" s="1" t="n">
        <v>45608</v>
      </c>
      <c r="C3511" s="1" t="n">
        <v>45832</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52245-2024</t>
        </is>
      </c>
      <c r="B3512" s="1" t="n">
        <v>45608</v>
      </c>
      <c r="C3512" s="1" t="n">
        <v>45832</v>
      </c>
      <c r="D3512" t="inlineStr">
        <is>
          <t>VÄSTERBOTTENS LÄN</t>
        </is>
      </c>
      <c r="E3512" t="inlineStr">
        <is>
          <t>SKELLEFTEÅ</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52417-2024</t>
        </is>
      </c>
      <c r="B3513" s="1" t="n">
        <v>45608</v>
      </c>
      <c r="C3513" s="1" t="n">
        <v>45832</v>
      </c>
      <c r="D3513" t="inlineStr">
        <is>
          <t>VÄSTERBOTTENS LÄN</t>
        </is>
      </c>
      <c r="E3513" t="inlineStr">
        <is>
          <t>SKELLEFTEÅ</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52218-2024</t>
        </is>
      </c>
      <c r="B3514" s="1" t="n">
        <v>45608</v>
      </c>
      <c r="C3514" s="1" t="n">
        <v>45832</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52108-2024</t>
        </is>
      </c>
      <c r="B3515" s="1" t="n">
        <v>45608</v>
      </c>
      <c r="C3515" s="1" t="n">
        <v>45832</v>
      </c>
      <c r="D3515" t="inlineStr">
        <is>
          <t>VÄSTERBOTTENS LÄN</t>
        </is>
      </c>
      <c r="E3515" t="inlineStr">
        <is>
          <t>SKELLEFTEÅ</t>
        </is>
      </c>
      <c r="F3515" t="inlineStr">
        <is>
          <t>Holmen skog AB</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52509-2024</t>
        </is>
      </c>
      <c r="B3516" s="1" t="n">
        <v>45609</v>
      </c>
      <c r="C3516" s="1" t="n">
        <v>45832</v>
      </c>
      <c r="D3516" t="inlineStr">
        <is>
          <t>VÄSTERBOTTENS LÄN</t>
        </is>
      </c>
      <c r="E3516" t="inlineStr">
        <is>
          <t>SKELLEFTEÅ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52587-2024</t>
        </is>
      </c>
      <c r="B3517" s="1" t="n">
        <v>45609</v>
      </c>
      <c r="C3517" s="1" t="n">
        <v>45832</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52620-2024</t>
        </is>
      </c>
      <c r="B3518" s="1" t="n">
        <v>45609</v>
      </c>
      <c r="C3518" s="1" t="n">
        <v>45832</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52693-2024</t>
        </is>
      </c>
      <c r="B3519" s="1" t="n">
        <v>45610</v>
      </c>
      <c r="C3519" s="1" t="n">
        <v>45832</v>
      </c>
      <c r="D3519" t="inlineStr">
        <is>
          <t>VÄSTERBOTTENS LÄN</t>
        </is>
      </c>
      <c r="E3519" t="inlineStr">
        <is>
          <t>SKELLEFTEÅ</t>
        </is>
      </c>
      <c r="F3519" t="inlineStr">
        <is>
          <t>Holmen skog AB</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52744-2024</t>
        </is>
      </c>
      <c r="B3520" s="1" t="n">
        <v>45610</v>
      </c>
      <c r="C3520" s="1" t="n">
        <v>45832</v>
      </c>
      <c r="D3520" t="inlineStr">
        <is>
          <t>VÄSTERBOTTENS LÄN</t>
        </is>
      </c>
      <c r="E3520" t="inlineStr">
        <is>
          <t>SKELLEFTEÅ</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52767-2024</t>
        </is>
      </c>
      <c r="B3521" s="1" t="n">
        <v>45610</v>
      </c>
      <c r="C3521" s="1" t="n">
        <v>45832</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52864-2024</t>
        </is>
      </c>
      <c r="B3522" s="1" t="n">
        <v>45610</v>
      </c>
      <c r="C3522" s="1" t="n">
        <v>45832</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52920-2024</t>
        </is>
      </c>
      <c r="B3523" s="1" t="n">
        <v>45610</v>
      </c>
      <c r="C3523" s="1" t="n">
        <v>45832</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52830-2024</t>
        </is>
      </c>
      <c r="B3524" s="1" t="n">
        <v>45610</v>
      </c>
      <c r="C3524" s="1" t="n">
        <v>45832</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52862-2024</t>
        </is>
      </c>
      <c r="B3525" s="1" t="n">
        <v>45610</v>
      </c>
      <c r="C3525" s="1" t="n">
        <v>45832</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53000-2024</t>
        </is>
      </c>
      <c r="B3526" s="1" t="n">
        <v>45611</v>
      </c>
      <c r="C3526" s="1" t="n">
        <v>45832</v>
      </c>
      <c r="D3526" t="inlineStr">
        <is>
          <t>VÄSTERBOTTENS LÄN</t>
        </is>
      </c>
      <c r="E3526" t="inlineStr">
        <is>
          <t>SKELLEFTEÅ</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53124-2024</t>
        </is>
      </c>
      <c r="B3527" s="1" t="n">
        <v>45611</v>
      </c>
      <c r="C3527" s="1" t="n">
        <v>45832</v>
      </c>
      <c r="D3527" t="inlineStr">
        <is>
          <t>VÄSTERBOTTENS LÄN</t>
        </is>
      </c>
      <c r="E3527" t="inlineStr">
        <is>
          <t>SKELLEFTEÅ</t>
        </is>
      </c>
      <c r="F3527" t="inlineStr">
        <is>
          <t>Holmen skog AB</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53117-2024</t>
        </is>
      </c>
      <c r="B3528" s="1" t="n">
        <v>45611</v>
      </c>
      <c r="C3528" s="1" t="n">
        <v>45832</v>
      </c>
      <c r="D3528" t="inlineStr">
        <is>
          <t>VÄSTERBOTTENS LÄN</t>
        </is>
      </c>
      <c r="E3528" t="inlineStr">
        <is>
          <t>SKELLEFTEÅ</t>
        </is>
      </c>
      <c r="F3528" t="inlineStr">
        <is>
          <t>Kommuner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52999-2024</t>
        </is>
      </c>
      <c r="B3529" s="1" t="n">
        <v>45611</v>
      </c>
      <c r="C3529" s="1" t="n">
        <v>45832</v>
      </c>
      <c r="D3529" t="inlineStr">
        <is>
          <t>VÄSTERBOTTENS LÄN</t>
        </is>
      </c>
      <c r="E3529" t="inlineStr">
        <is>
          <t>SKELLEFTEÅ</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53419-2024</t>
        </is>
      </c>
      <c r="B3530" s="1" t="n">
        <v>45614</v>
      </c>
      <c r="C3530" s="1" t="n">
        <v>45832</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53257-2024</t>
        </is>
      </c>
      <c r="B3531" s="1" t="n">
        <v>45614</v>
      </c>
      <c r="C3531" s="1" t="n">
        <v>45832</v>
      </c>
      <c r="D3531" t="inlineStr">
        <is>
          <t>VÄSTERBOTTENS LÄN</t>
        </is>
      </c>
      <c r="E3531" t="inlineStr">
        <is>
          <t>SKELLEFTEÅ</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53505-2024</t>
        </is>
      </c>
      <c r="B3532" s="1" t="n">
        <v>45614</v>
      </c>
      <c r="C3532" s="1" t="n">
        <v>45832</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53420-2024</t>
        </is>
      </c>
      <c r="B3533" s="1" t="n">
        <v>45614</v>
      </c>
      <c r="C3533" s="1" t="n">
        <v>45832</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53635-2024</t>
        </is>
      </c>
      <c r="B3534" s="1" t="n">
        <v>45614</v>
      </c>
      <c r="C3534" s="1" t="n">
        <v>45832</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53430-2024</t>
        </is>
      </c>
      <c r="B3535" s="1" t="n">
        <v>45614</v>
      </c>
      <c r="C3535" s="1" t="n">
        <v>45832</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53426-2024</t>
        </is>
      </c>
      <c r="B3536" s="1" t="n">
        <v>45614</v>
      </c>
      <c r="C3536" s="1" t="n">
        <v>45832</v>
      </c>
      <c r="D3536" t="inlineStr">
        <is>
          <t>VÄSTERBOTTENS LÄN</t>
        </is>
      </c>
      <c r="E3536" t="inlineStr">
        <is>
          <t>SKELLEFTEÅ</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53445-2024</t>
        </is>
      </c>
      <c r="B3537" s="1" t="n">
        <v>45614</v>
      </c>
      <c r="C3537" s="1" t="n">
        <v>45832</v>
      </c>
      <c r="D3537" t="inlineStr">
        <is>
          <t>VÄSTERBOTTENS LÄN</t>
        </is>
      </c>
      <c r="E3537" t="inlineStr">
        <is>
          <t>SKELLEFTEÅ</t>
        </is>
      </c>
      <c r="F3537" t="inlineStr">
        <is>
          <t>Holmen skog AB</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53425-2024</t>
        </is>
      </c>
      <c r="B3538" s="1" t="n">
        <v>45614</v>
      </c>
      <c r="C3538" s="1" t="n">
        <v>45832</v>
      </c>
      <c r="D3538" t="inlineStr">
        <is>
          <t>VÄSTERBOTTENS LÄN</t>
        </is>
      </c>
      <c r="E3538" t="inlineStr">
        <is>
          <t>SKELLEFTEÅ</t>
        </is>
      </c>
      <c r="G3538" t="n">
        <v>29.4</v>
      </c>
      <c r="H3538" t="n">
        <v>0</v>
      </c>
      <c r="I3538" t="n">
        <v>0</v>
      </c>
      <c r="J3538" t="n">
        <v>0</v>
      </c>
      <c r="K3538" t="n">
        <v>0</v>
      </c>
      <c r="L3538" t="n">
        <v>0</v>
      </c>
      <c r="M3538" t="n">
        <v>0</v>
      </c>
      <c r="N3538" t="n">
        <v>0</v>
      </c>
      <c r="O3538" t="n">
        <v>0</v>
      </c>
      <c r="P3538" t="n">
        <v>0</v>
      </c>
      <c r="Q3538" t="n">
        <v>0</v>
      </c>
      <c r="R3538" s="2" t="inlineStr"/>
    </row>
    <row r="3539" ht="15" customHeight="1">
      <c r="A3539" t="inlineStr">
        <is>
          <t>A 53421-2024</t>
        </is>
      </c>
      <c r="B3539" s="1" t="n">
        <v>45614</v>
      </c>
      <c r="C3539" s="1" t="n">
        <v>45832</v>
      </c>
      <c r="D3539" t="inlineStr">
        <is>
          <t>VÄSTERBOTTENS LÄN</t>
        </is>
      </c>
      <c r="E3539" t="inlineStr">
        <is>
          <t>SKELLEFTEÅ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53716-2024</t>
        </is>
      </c>
      <c r="B3540" s="1" t="n">
        <v>45615</v>
      </c>
      <c r="C3540" s="1" t="n">
        <v>45832</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53720-2024</t>
        </is>
      </c>
      <c r="B3541" s="1" t="n">
        <v>45615</v>
      </c>
      <c r="C3541" s="1" t="n">
        <v>45832</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53725-2024</t>
        </is>
      </c>
      <c r="B3542" s="1" t="n">
        <v>45615</v>
      </c>
      <c r="C3542" s="1" t="n">
        <v>45832</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54159-2024</t>
        </is>
      </c>
      <c r="B3543" s="1" t="n">
        <v>45616</v>
      </c>
      <c r="C3543" s="1" t="n">
        <v>45832</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54251-2024</t>
        </is>
      </c>
      <c r="B3544" s="1" t="n">
        <v>45616</v>
      </c>
      <c r="C3544" s="1" t="n">
        <v>45832</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54162-2024</t>
        </is>
      </c>
      <c r="B3545" s="1" t="n">
        <v>45616</v>
      </c>
      <c r="C3545" s="1" t="n">
        <v>45832</v>
      </c>
      <c r="D3545" t="inlineStr">
        <is>
          <t>VÄSTERBOTTENS LÄN</t>
        </is>
      </c>
      <c r="E3545" t="inlineStr">
        <is>
          <t>SKELLEFTEÅ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54246-2024</t>
        </is>
      </c>
      <c r="B3546" s="1" t="n">
        <v>45616</v>
      </c>
      <c r="C3546" s="1" t="n">
        <v>45832</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54258-2024</t>
        </is>
      </c>
      <c r="B3547" s="1" t="n">
        <v>45616</v>
      </c>
      <c r="C3547" s="1" t="n">
        <v>45832</v>
      </c>
      <c r="D3547" t="inlineStr">
        <is>
          <t>VÄSTERBOTTENS LÄN</t>
        </is>
      </c>
      <c r="E3547" t="inlineStr">
        <is>
          <t>SKELLEFTEÅ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54084-2024</t>
        </is>
      </c>
      <c r="B3548" s="1" t="n">
        <v>45616</v>
      </c>
      <c r="C3548" s="1" t="n">
        <v>45832</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54224-2024</t>
        </is>
      </c>
      <c r="B3549" s="1" t="n">
        <v>45616</v>
      </c>
      <c r="C3549" s="1" t="n">
        <v>45832</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54248-2024</t>
        </is>
      </c>
      <c r="B3550" s="1" t="n">
        <v>45616</v>
      </c>
      <c r="C3550" s="1" t="n">
        <v>45832</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54264-2024</t>
        </is>
      </c>
      <c r="B3551" s="1" t="n">
        <v>45616</v>
      </c>
      <c r="C3551" s="1" t="n">
        <v>45832</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54037-2024</t>
        </is>
      </c>
      <c r="B3552" s="1" t="n">
        <v>45616</v>
      </c>
      <c r="C3552" s="1" t="n">
        <v>45832</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54612-2024</t>
        </is>
      </c>
      <c r="B3553" s="1" t="n">
        <v>45617</v>
      </c>
      <c r="C3553" s="1" t="n">
        <v>45832</v>
      </c>
      <c r="D3553" t="inlineStr">
        <is>
          <t>VÄSTERBOTTENS LÄN</t>
        </is>
      </c>
      <c r="E3553" t="inlineStr">
        <is>
          <t>SKELLEFTEÅ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54657-2024</t>
        </is>
      </c>
      <c r="B3554" s="1" t="n">
        <v>45617</v>
      </c>
      <c r="C3554" s="1" t="n">
        <v>45832</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54653-2024</t>
        </is>
      </c>
      <c r="B3555" s="1" t="n">
        <v>45618</v>
      </c>
      <c r="C3555" s="1" t="n">
        <v>45832</v>
      </c>
      <c r="D3555" t="inlineStr">
        <is>
          <t>VÄSTERBOTTENS LÄN</t>
        </is>
      </c>
      <c r="E3555" t="inlineStr">
        <is>
          <t>SKELLEFTEÅ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54895-2024</t>
        </is>
      </c>
      <c r="B3556" s="1" t="n">
        <v>45618</v>
      </c>
      <c r="C3556" s="1" t="n">
        <v>45832</v>
      </c>
      <c r="D3556" t="inlineStr">
        <is>
          <t>VÄSTERBOTTENS LÄN</t>
        </is>
      </c>
      <c r="E3556" t="inlineStr">
        <is>
          <t>SKELLEFTEÅ</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54880-2024</t>
        </is>
      </c>
      <c r="B3557" s="1" t="n">
        <v>45618</v>
      </c>
      <c r="C3557" s="1" t="n">
        <v>45832</v>
      </c>
      <c r="D3557" t="inlineStr">
        <is>
          <t>VÄSTERBOTTENS LÄN</t>
        </is>
      </c>
      <c r="E3557" t="inlineStr">
        <is>
          <t>SKELLEFTEÅ</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54662-2024</t>
        </is>
      </c>
      <c r="B3558" s="1" t="n">
        <v>45618</v>
      </c>
      <c r="C3558" s="1" t="n">
        <v>45832</v>
      </c>
      <c r="D3558" t="inlineStr">
        <is>
          <t>VÄSTERBOTTENS LÄN</t>
        </is>
      </c>
      <c r="E3558" t="inlineStr">
        <is>
          <t>SKELLEFTEÅ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54874-2024</t>
        </is>
      </c>
      <c r="B3559" s="1" t="n">
        <v>45618</v>
      </c>
      <c r="C3559" s="1" t="n">
        <v>45832</v>
      </c>
      <c r="D3559" t="inlineStr">
        <is>
          <t>VÄSTERBOTTENS LÄN</t>
        </is>
      </c>
      <c r="E3559" t="inlineStr">
        <is>
          <t>SKELLEFTEÅ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v>
      </c>
      <c r="C3560" s="1" t="n">
        <v>45832</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55253-2024</t>
        </is>
      </c>
      <c r="B3561" s="1" t="n">
        <v>45620</v>
      </c>
      <c r="C3561" s="1" t="n">
        <v>45832</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54971-2024</t>
        </is>
      </c>
      <c r="B3562" s="1" t="n">
        <v>45620</v>
      </c>
      <c r="C3562" s="1" t="n">
        <v>45832</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54974-2024</t>
        </is>
      </c>
      <c r="B3563" s="1" t="n">
        <v>45620</v>
      </c>
      <c r="C3563" s="1" t="n">
        <v>45832</v>
      </c>
      <c r="D3563" t="inlineStr">
        <is>
          <t>VÄSTERBOTTENS LÄN</t>
        </is>
      </c>
      <c r="E3563" t="inlineStr">
        <is>
          <t>SKELLEFTEÅ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55201-2024</t>
        </is>
      </c>
      <c r="B3564" s="1" t="n">
        <v>45620</v>
      </c>
      <c r="C3564" s="1" t="n">
        <v>45832</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55233-2024</t>
        </is>
      </c>
      <c r="B3565" s="1" t="n">
        <v>45620</v>
      </c>
      <c r="C3565" s="1" t="n">
        <v>45832</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55241-2024</t>
        </is>
      </c>
      <c r="B3566" s="1" t="n">
        <v>45621</v>
      </c>
      <c r="C3566" s="1" t="n">
        <v>45832</v>
      </c>
      <c r="D3566" t="inlineStr">
        <is>
          <t>VÄSTERBOTTENS LÄN</t>
        </is>
      </c>
      <c r="E3566" t="inlineStr">
        <is>
          <t>SKELLEFTEÅ</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55269-2024</t>
        </is>
      </c>
      <c r="B3567" s="1" t="n">
        <v>45621</v>
      </c>
      <c r="C3567" s="1" t="n">
        <v>45832</v>
      </c>
      <c r="D3567" t="inlineStr">
        <is>
          <t>VÄSTERBOTTENS LÄN</t>
        </is>
      </c>
      <c r="E3567" t="inlineStr">
        <is>
          <t>SKELLEFTEÅ</t>
        </is>
      </c>
      <c r="F3567" t="inlineStr">
        <is>
          <t>Sveaskog</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55525-2024</t>
        </is>
      </c>
      <c r="B3568" s="1" t="n">
        <v>45621</v>
      </c>
      <c r="C3568" s="1" t="n">
        <v>45832</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55652-2024</t>
        </is>
      </c>
      <c r="B3569" s="1" t="n">
        <v>45621</v>
      </c>
      <c r="C3569" s="1" t="n">
        <v>45832</v>
      </c>
      <c r="D3569" t="inlineStr">
        <is>
          <t>VÄSTERBOTTENS LÄN</t>
        </is>
      </c>
      <c r="E3569" t="inlineStr">
        <is>
          <t>SKELLEFTEÅ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55654-2024</t>
        </is>
      </c>
      <c r="B3570" s="1" t="n">
        <v>45621</v>
      </c>
      <c r="C3570" s="1" t="n">
        <v>45832</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55645-2024</t>
        </is>
      </c>
      <c r="B3571" s="1" t="n">
        <v>45621</v>
      </c>
      <c r="C3571" s="1" t="n">
        <v>45832</v>
      </c>
      <c r="D3571" t="inlineStr">
        <is>
          <t>VÄSTERBOTTENS LÄN</t>
        </is>
      </c>
      <c r="E3571" t="inlineStr">
        <is>
          <t>SKELLEFTEÅ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55441-2024</t>
        </is>
      </c>
      <c r="B3572" s="1" t="n">
        <v>45622</v>
      </c>
      <c r="C3572" s="1" t="n">
        <v>45832</v>
      </c>
      <c r="D3572" t="inlineStr">
        <is>
          <t>VÄSTERBOTTENS LÄN</t>
        </is>
      </c>
      <c r="E3572" t="inlineStr">
        <is>
          <t>SKELLEFTEÅ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55398-2024</t>
        </is>
      </c>
      <c r="B3573" s="1" t="n">
        <v>45622</v>
      </c>
      <c r="C3573" s="1" t="n">
        <v>45832</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55617-2024</t>
        </is>
      </c>
      <c r="B3574" s="1" t="n">
        <v>45622</v>
      </c>
      <c r="C3574" s="1" t="n">
        <v>45832</v>
      </c>
      <c r="D3574" t="inlineStr">
        <is>
          <t>VÄSTERBOTTENS LÄN</t>
        </is>
      </c>
      <c r="E3574" t="inlineStr">
        <is>
          <t>SKELLEFTEÅ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55500-2024</t>
        </is>
      </c>
      <c r="B3575" s="1" t="n">
        <v>45622</v>
      </c>
      <c r="C3575" s="1" t="n">
        <v>45832</v>
      </c>
      <c r="D3575" t="inlineStr">
        <is>
          <t>VÄSTERBOTTENS LÄN</t>
        </is>
      </c>
      <c r="E3575" t="inlineStr">
        <is>
          <t>SKELLEFTEÅ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55743-2024</t>
        </is>
      </c>
      <c r="B3576" s="1" t="n">
        <v>45623</v>
      </c>
      <c r="C3576" s="1" t="n">
        <v>45832</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55786-2024</t>
        </is>
      </c>
      <c r="B3577" s="1" t="n">
        <v>45623</v>
      </c>
      <c r="C3577" s="1" t="n">
        <v>45832</v>
      </c>
      <c r="D3577" t="inlineStr">
        <is>
          <t>VÄSTERBOTTENS LÄN</t>
        </is>
      </c>
      <c r="E3577" t="inlineStr">
        <is>
          <t>SKELLEFTEÅ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55907-2024</t>
        </is>
      </c>
      <c r="B3578" s="1" t="n">
        <v>45623</v>
      </c>
      <c r="C3578" s="1" t="n">
        <v>45832</v>
      </c>
      <c r="D3578" t="inlineStr">
        <is>
          <t>VÄSTERBOTTENS LÄN</t>
        </is>
      </c>
      <c r="E3578" t="inlineStr">
        <is>
          <t>SKELLEFTEÅ</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55940-2024</t>
        </is>
      </c>
      <c r="B3579" s="1" t="n">
        <v>45623</v>
      </c>
      <c r="C3579" s="1" t="n">
        <v>45832</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56157-2024</t>
        </is>
      </c>
      <c r="B3580" s="1" t="n">
        <v>45623</v>
      </c>
      <c r="C3580" s="1" t="n">
        <v>45832</v>
      </c>
      <c r="D3580" t="inlineStr">
        <is>
          <t>VÄSTERBOTTENS LÄN</t>
        </is>
      </c>
      <c r="E3580" t="inlineStr">
        <is>
          <t>SKELLEFTEÅ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56149-2024</t>
        </is>
      </c>
      <c r="B3581" s="1" t="n">
        <v>45623</v>
      </c>
      <c r="C3581" s="1" t="n">
        <v>45832</v>
      </c>
      <c r="D3581" t="inlineStr">
        <is>
          <t>VÄSTERBOTTENS LÄN</t>
        </is>
      </c>
      <c r="E3581" t="inlineStr">
        <is>
          <t>SKELLEFTEÅ</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56154-2024</t>
        </is>
      </c>
      <c r="B3582" s="1" t="n">
        <v>45623</v>
      </c>
      <c r="C3582" s="1" t="n">
        <v>45832</v>
      </c>
      <c r="D3582" t="inlineStr">
        <is>
          <t>VÄSTERBOTTENS LÄN</t>
        </is>
      </c>
      <c r="E3582" t="inlineStr">
        <is>
          <t>SKELLEFTEÅ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56105-2024</t>
        </is>
      </c>
      <c r="B3583" s="1" t="n">
        <v>45624</v>
      </c>
      <c r="C3583" s="1" t="n">
        <v>45832</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56186-2024</t>
        </is>
      </c>
      <c r="B3584" s="1" t="n">
        <v>45624</v>
      </c>
      <c r="C3584" s="1" t="n">
        <v>45832</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56162-2024</t>
        </is>
      </c>
      <c r="B3585" s="1" t="n">
        <v>45624</v>
      </c>
      <c r="C3585" s="1" t="n">
        <v>45832</v>
      </c>
      <c r="D3585" t="inlineStr">
        <is>
          <t>VÄSTERBOTTENS LÄN</t>
        </is>
      </c>
      <c r="E3585" t="inlineStr">
        <is>
          <t>SKELLEFTEÅ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56170-2024</t>
        </is>
      </c>
      <c r="B3586" s="1" t="n">
        <v>45624</v>
      </c>
      <c r="C3586" s="1" t="n">
        <v>45832</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56183-2024</t>
        </is>
      </c>
      <c r="B3587" s="1" t="n">
        <v>45624</v>
      </c>
      <c r="C3587" s="1" t="n">
        <v>45832</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56417-2024</t>
        </is>
      </c>
      <c r="B3588" s="1" t="n">
        <v>45625</v>
      </c>
      <c r="C3588" s="1" t="n">
        <v>45832</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56501-2024</t>
        </is>
      </c>
      <c r="B3589" s="1" t="n">
        <v>45625</v>
      </c>
      <c r="C3589" s="1" t="n">
        <v>45832</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56530-2024</t>
        </is>
      </c>
      <c r="B3590" s="1" t="n">
        <v>45625</v>
      </c>
      <c r="C3590" s="1" t="n">
        <v>45832</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56381-2024</t>
        </is>
      </c>
      <c r="B3591" s="1" t="n">
        <v>45625</v>
      </c>
      <c r="C3591" s="1" t="n">
        <v>45832</v>
      </c>
      <c r="D3591" t="inlineStr">
        <is>
          <t>VÄSTERBOTTENS LÄN</t>
        </is>
      </c>
      <c r="E3591" t="inlineStr">
        <is>
          <t>SKELLEFTEÅ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56453-2024</t>
        </is>
      </c>
      <c r="B3592" s="1" t="n">
        <v>45625</v>
      </c>
      <c r="C3592" s="1" t="n">
        <v>45832</v>
      </c>
      <c r="D3592" t="inlineStr">
        <is>
          <t>VÄSTERBOTTENS LÄN</t>
        </is>
      </c>
      <c r="E3592" t="inlineStr">
        <is>
          <t>SKELLEFTEÅ</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v>
      </c>
      <c r="C3593" s="1" t="n">
        <v>45832</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56529-2024</t>
        </is>
      </c>
      <c r="B3594" s="1" t="n">
        <v>45625</v>
      </c>
      <c r="C3594" s="1" t="n">
        <v>45832</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56533-2024</t>
        </is>
      </c>
      <c r="B3595" s="1" t="n">
        <v>45625</v>
      </c>
      <c r="C3595" s="1" t="n">
        <v>45832</v>
      </c>
      <c r="D3595" t="inlineStr">
        <is>
          <t>VÄSTERBOTTENS LÄN</t>
        </is>
      </c>
      <c r="E3595" t="inlineStr">
        <is>
          <t>SKELLEFTEÅ</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56444-2024</t>
        </is>
      </c>
      <c r="B3596" s="1" t="n">
        <v>45625</v>
      </c>
      <c r="C3596" s="1" t="n">
        <v>45832</v>
      </c>
      <c r="D3596" t="inlineStr">
        <is>
          <t>VÄSTERBOTTENS LÄN</t>
        </is>
      </c>
      <c r="E3596" t="inlineStr">
        <is>
          <t>SKELLEFTEÅ</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56560-2024</t>
        </is>
      </c>
      <c r="B3597" s="1" t="n">
        <v>45625</v>
      </c>
      <c r="C3597" s="1" t="n">
        <v>45832</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56539-2024</t>
        </is>
      </c>
      <c r="B3598" s="1" t="n">
        <v>45625</v>
      </c>
      <c r="C3598" s="1" t="n">
        <v>45832</v>
      </c>
      <c r="D3598" t="inlineStr">
        <is>
          <t>VÄSTERBOTTENS LÄN</t>
        </is>
      </c>
      <c r="E3598" t="inlineStr">
        <is>
          <t>SKELLEFTEÅ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56822-2024</t>
        </is>
      </c>
      <c r="B3599" s="1" t="n">
        <v>45628</v>
      </c>
      <c r="C3599" s="1" t="n">
        <v>45832</v>
      </c>
      <c r="D3599" t="inlineStr">
        <is>
          <t>VÄSTERBOTTENS LÄN</t>
        </is>
      </c>
      <c r="E3599" t="inlineStr">
        <is>
          <t>SKELLEFTEÅ</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56838-2024</t>
        </is>
      </c>
      <c r="B3600" s="1" t="n">
        <v>45628</v>
      </c>
      <c r="C3600" s="1" t="n">
        <v>45832</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56714-2024</t>
        </is>
      </c>
      <c r="B3601" s="1" t="n">
        <v>45628</v>
      </c>
      <c r="C3601" s="1" t="n">
        <v>45832</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56965-2024</t>
        </is>
      </c>
      <c r="B3602" s="1" t="n">
        <v>45628</v>
      </c>
      <c r="C3602" s="1" t="n">
        <v>45832</v>
      </c>
      <c r="D3602" t="inlineStr">
        <is>
          <t>VÄSTERBOTTENS LÄN</t>
        </is>
      </c>
      <c r="E3602" t="inlineStr">
        <is>
          <t>SKELLEFTEÅ</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56974-2024</t>
        </is>
      </c>
      <c r="B3603" s="1" t="n">
        <v>45628</v>
      </c>
      <c r="C3603" s="1" t="n">
        <v>45832</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56745-2024</t>
        </is>
      </c>
      <c r="B3604" s="1" t="n">
        <v>45628</v>
      </c>
      <c r="C3604" s="1" t="n">
        <v>45832</v>
      </c>
      <c r="D3604" t="inlineStr">
        <is>
          <t>VÄSTERBOTTENS LÄN</t>
        </is>
      </c>
      <c r="E3604" t="inlineStr">
        <is>
          <t>SKELLEFTEÅ</t>
        </is>
      </c>
      <c r="F3604" t="inlineStr">
        <is>
          <t>Holmen skog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56923-2024</t>
        </is>
      </c>
      <c r="B3605" s="1" t="n">
        <v>45628</v>
      </c>
      <c r="C3605" s="1" t="n">
        <v>45832</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56797-2024</t>
        </is>
      </c>
      <c r="B3606" s="1" t="n">
        <v>45628</v>
      </c>
      <c r="C3606" s="1" t="n">
        <v>45832</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56806-2024</t>
        </is>
      </c>
      <c r="B3607" s="1" t="n">
        <v>45628</v>
      </c>
      <c r="C3607" s="1" t="n">
        <v>45832</v>
      </c>
      <c r="D3607" t="inlineStr">
        <is>
          <t>VÄSTERBOTTENS LÄN</t>
        </is>
      </c>
      <c r="E3607" t="inlineStr">
        <is>
          <t>SKELLEFTEÅ</t>
        </is>
      </c>
      <c r="F3607" t="inlineStr">
        <is>
          <t>Holmen skog AB</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56952-2024</t>
        </is>
      </c>
      <c r="B3608" s="1" t="n">
        <v>45628</v>
      </c>
      <c r="C3608" s="1" t="n">
        <v>45832</v>
      </c>
      <c r="D3608" t="inlineStr">
        <is>
          <t>VÄSTERBOTTENS LÄN</t>
        </is>
      </c>
      <c r="E3608" t="inlineStr">
        <is>
          <t>SKELLEFTEÅ</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56983-2024</t>
        </is>
      </c>
      <c r="B3609" s="1" t="n">
        <v>45628</v>
      </c>
      <c r="C3609" s="1" t="n">
        <v>45832</v>
      </c>
      <c r="D3609" t="inlineStr">
        <is>
          <t>VÄSTERBOTTENS LÄN</t>
        </is>
      </c>
      <c r="E3609" t="inlineStr">
        <is>
          <t>SKELLEFTEÅ</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57003-2024</t>
        </is>
      </c>
      <c r="B3610" s="1" t="n">
        <v>45628</v>
      </c>
      <c r="C3610" s="1" t="n">
        <v>45832</v>
      </c>
      <c r="D3610" t="inlineStr">
        <is>
          <t>VÄSTERBOTTENS LÄN</t>
        </is>
      </c>
      <c r="E3610" t="inlineStr">
        <is>
          <t>SKELLEFTEÅ</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57199-2024</t>
        </is>
      </c>
      <c r="B3611" s="1" t="n">
        <v>45628</v>
      </c>
      <c r="C3611" s="1" t="n">
        <v>45832</v>
      </c>
      <c r="D3611" t="inlineStr">
        <is>
          <t>VÄSTERBOTTENS LÄN</t>
        </is>
      </c>
      <c r="E3611" t="inlineStr">
        <is>
          <t>SKELLEFTEÅ</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57274-2024</t>
        </is>
      </c>
      <c r="B3612" s="1" t="n">
        <v>45629</v>
      </c>
      <c r="C3612" s="1" t="n">
        <v>45832</v>
      </c>
      <c r="D3612" t="inlineStr">
        <is>
          <t>VÄSTERBOTTENS LÄN</t>
        </is>
      </c>
      <c r="E3612" t="inlineStr">
        <is>
          <t>SKELLEFTEÅ</t>
        </is>
      </c>
      <c r="F3612" t="inlineStr">
        <is>
          <t>Holmen skog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57278-2024</t>
        </is>
      </c>
      <c r="B3613" s="1" t="n">
        <v>45629</v>
      </c>
      <c r="C3613" s="1" t="n">
        <v>45832</v>
      </c>
      <c r="D3613" t="inlineStr">
        <is>
          <t>VÄSTERBOTTENS LÄN</t>
        </is>
      </c>
      <c r="E3613" t="inlineStr">
        <is>
          <t>SKELLEFTEÅ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57182-2024</t>
        </is>
      </c>
      <c r="B3614" s="1" t="n">
        <v>45629</v>
      </c>
      <c r="C3614" s="1" t="n">
        <v>45832</v>
      </c>
      <c r="D3614" t="inlineStr">
        <is>
          <t>VÄSTERBOTTENS LÄN</t>
        </is>
      </c>
      <c r="E3614" t="inlineStr">
        <is>
          <t>SKELLEFTEÅ</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57186-2024</t>
        </is>
      </c>
      <c r="B3615" s="1" t="n">
        <v>45629</v>
      </c>
      <c r="C3615" s="1" t="n">
        <v>45832</v>
      </c>
      <c r="D3615" t="inlineStr">
        <is>
          <t>VÄSTERBOTTENS LÄN</t>
        </is>
      </c>
      <c r="E3615" t="inlineStr">
        <is>
          <t>SKELLEFTEÅ</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57245-2024</t>
        </is>
      </c>
      <c r="B3616" s="1" t="n">
        <v>45629</v>
      </c>
      <c r="C3616" s="1" t="n">
        <v>45832</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57131-2024</t>
        </is>
      </c>
      <c r="B3617" s="1" t="n">
        <v>45629</v>
      </c>
      <c r="C3617" s="1" t="n">
        <v>45832</v>
      </c>
      <c r="D3617" t="inlineStr">
        <is>
          <t>VÄSTERBOTTENS LÄN</t>
        </is>
      </c>
      <c r="E3617" t="inlineStr">
        <is>
          <t>SKELLEFTEÅ</t>
        </is>
      </c>
      <c r="F3617" t="inlineStr">
        <is>
          <t>Holmen skog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57340-2024</t>
        </is>
      </c>
      <c r="B3618" s="1" t="n">
        <v>45629</v>
      </c>
      <c r="C3618" s="1" t="n">
        <v>45832</v>
      </c>
      <c r="D3618" t="inlineStr">
        <is>
          <t>VÄSTERBOTTENS LÄN</t>
        </is>
      </c>
      <c r="E3618" t="inlineStr">
        <is>
          <t>SKELLEFTEÅ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57479-2024</t>
        </is>
      </c>
      <c r="B3619" s="1" t="n">
        <v>45630</v>
      </c>
      <c r="C3619" s="1" t="n">
        <v>45832</v>
      </c>
      <c r="D3619" t="inlineStr">
        <is>
          <t>VÄSTERBOTTENS LÄN</t>
        </is>
      </c>
      <c r="E3619" t="inlineStr">
        <is>
          <t>SKELLEFTEÅ</t>
        </is>
      </c>
      <c r="F3619" t="inlineStr">
        <is>
          <t>Sveaskog</t>
        </is>
      </c>
      <c r="G3619" t="n">
        <v>16.4</v>
      </c>
      <c r="H3619" t="n">
        <v>0</v>
      </c>
      <c r="I3619" t="n">
        <v>0</v>
      </c>
      <c r="J3619" t="n">
        <v>0</v>
      </c>
      <c r="K3619" t="n">
        <v>0</v>
      </c>
      <c r="L3619" t="n">
        <v>0</v>
      </c>
      <c r="M3619" t="n">
        <v>0</v>
      </c>
      <c r="N3619" t="n">
        <v>0</v>
      </c>
      <c r="O3619" t="n">
        <v>0</v>
      </c>
      <c r="P3619" t="n">
        <v>0</v>
      </c>
      <c r="Q3619" t="n">
        <v>0</v>
      </c>
      <c r="R3619" s="2" t="inlineStr"/>
    </row>
    <row r="3620" ht="15" customHeight="1">
      <c r="A3620" t="inlineStr">
        <is>
          <t>A 57876-2024</t>
        </is>
      </c>
      <c r="B3620" s="1" t="n">
        <v>45631</v>
      </c>
      <c r="C3620" s="1" t="n">
        <v>45832</v>
      </c>
      <c r="D3620" t="inlineStr">
        <is>
          <t>VÄSTERBOTTENS LÄN</t>
        </is>
      </c>
      <c r="E3620" t="inlineStr">
        <is>
          <t>SKELLEFTEÅ</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57894-2024</t>
        </is>
      </c>
      <c r="B3621" s="1" t="n">
        <v>45631</v>
      </c>
      <c r="C3621" s="1" t="n">
        <v>45832</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57893-2024</t>
        </is>
      </c>
      <c r="B3622" s="1" t="n">
        <v>45631</v>
      </c>
      <c r="C3622" s="1" t="n">
        <v>45832</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58008-2024</t>
        </is>
      </c>
      <c r="B3623" s="1" t="n">
        <v>45631</v>
      </c>
      <c r="C3623" s="1" t="n">
        <v>45832</v>
      </c>
      <c r="D3623" t="inlineStr">
        <is>
          <t>VÄSTERBOTTENS LÄN</t>
        </is>
      </c>
      <c r="E3623" t="inlineStr">
        <is>
          <t>SKELLEFTEÅ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58119-2024</t>
        </is>
      </c>
      <c r="B3624" s="1" t="n">
        <v>45632</v>
      </c>
      <c r="C3624" s="1" t="n">
        <v>45832</v>
      </c>
      <c r="D3624" t="inlineStr">
        <is>
          <t>VÄSTERBOTTENS LÄN</t>
        </is>
      </c>
      <c r="E3624" t="inlineStr">
        <is>
          <t>SKELLEFTEÅ</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58465-2024</t>
        </is>
      </c>
      <c r="B3625" s="1" t="n">
        <v>45635</v>
      </c>
      <c r="C3625" s="1" t="n">
        <v>45832</v>
      </c>
      <c r="D3625" t="inlineStr">
        <is>
          <t>VÄSTERBOTTENS LÄN</t>
        </is>
      </c>
      <c r="E3625" t="inlineStr">
        <is>
          <t>SKELLEFTEÅ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58557-2024</t>
        </is>
      </c>
      <c r="B3626" s="1" t="n">
        <v>45635</v>
      </c>
      <c r="C3626" s="1" t="n">
        <v>45832</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58595-2024</t>
        </is>
      </c>
      <c r="B3627" s="1" t="n">
        <v>45635</v>
      </c>
      <c r="C3627" s="1" t="n">
        <v>45832</v>
      </c>
      <c r="D3627" t="inlineStr">
        <is>
          <t>VÄSTERBOTTENS LÄN</t>
        </is>
      </c>
      <c r="E3627" t="inlineStr">
        <is>
          <t>SKELLEFTEÅ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58480-2024</t>
        </is>
      </c>
      <c r="B3628" s="1" t="n">
        <v>45635</v>
      </c>
      <c r="C3628" s="1" t="n">
        <v>45832</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58542-2024</t>
        </is>
      </c>
      <c r="B3629" s="1" t="n">
        <v>45635</v>
      </c>
      <c r="C3629" s="1" t="n">
        <v>45832</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58775-2024</t>
        </is>
      </c>
      <c r="B3630" s="1" t="n">
        <v>45635</v>
      </c>
      <c r="C3630" s="1" t="n">
        <v>45832</v>
      </c>
      <c r="D3630" t="inlineStr">
        <is>
          <t>VÄSTERBOTTENS LÄN</t>
        </is>
      </c>
      <c r="E3630" t="inlineStr">
        <is>
          <t>SKELLEFTEÅ</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58776-2024</t>
        </is>
      </c>
      <c r="B3631" s="1" t="n">
        <v>45635</v>
      </c>
      <c r="C3631" s="1" t="n">
        <v>45832</v>
      </c>
      <c r="D3631" t="inlineStr">
        <is>
          <t>VÄSTERBOTTENS LÄN</t>
        </is>
      </c>
      <c r="E3631" t="inlineStr">
        <is>
          <t>SKELLEFTEÅ</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58977-2024</t>
        </is>
      </c>
      <c r="B3632" s="1" t="n">
        <v>45635</v>
      </c>
      <c r="C3632" s="1" t="n">
        <v>45832</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58960-2024</t>
        </is>
      </c>
      <c r="B3633" s="1" t="n">
        <v>45635</v>
      </c>
      <c r="C3633" s="1" t="n">
        <v>45832</v>
      </c>
      <c r="D3633" t="inlineStr">
        <is>
          <t>VÄSTERBOTTENS LÄN</t>
        </is>
      </c>
      <c r="E3633" t="inlineStr">
        <is>
          <t>SKELLEFTEÅ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58969-2024</t>
        </is>
      </c>
      <c r="B3634" s="1" t="n">
        <v>45635</v>
      </c>
      <c r="C3634" s="1" t="n">
        <v>45832</v>
      </c>
      <c r="D3634" t="inlineStr">
        <is>
          <t>VÄSTERBOTTENS LÄN</t>
        </is>
      </c>
      <c r="E3634" t="inlineStr">
        <is>
          <t>SKELLEFTEÅ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58993-2024</t>
        </is>
      </c>
      <c r="B3635" s="1" t="n">
        <v>45636</v>
      </c>
      <c r="C3635" s="1" t="n">
        <v>45832</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58939-2024</t>
        </is>
      </c>
      <c r="B3636" s="1" t="n">
        <v>45636</v>
      </c>
      <c r="C3636" s="1" t="n">
        <v>45832</v>
      </c>
      <c r="D3636" t="inlineStr">
        <is>
          <t>VÄSTERBOTTENS LÄN</t>
        </is>
      </c>
      <c r="E3636" t="inlineStr">
        <is>
          <t>SKELLEFTEÅ</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58902-2024</t>
        </is>
      </c>
      <c r="B3637" s="1" t="n">
        <v>45636</v>
      </c>
      <c r="C3637" s="1" t="n">
        <v>45832</v>
      </c>
      <c r="D3637" t="inlineStr">
        <is>
          <t>VÄSTERBOTTENS LÄN</t>
        </is>
      </c>
      <c r="E3637" t="inlineStr">
        <is>
          <t>SKELLEFTEÅ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58829-2024</t>
        </is>
      </c>
      <c r="B3638" s="1" t="n">
        <v>45636</v>
      </c>
      <c r="C3638" s="1" t="n">
        <v>45832</v>
      </c>
      <c r="D3638" t="inlineStr">
        <is>
          <t>VÄSTERBOTTENS LÄN</t>
        </is>
      </c>
      <c r="E3638" t="inlineStr">
        <is>
          <t>SKELLEFTEÅ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59198-2024</t>
        </is>
      </c>
      <c r="B3639" s="1" t="n">
        <v>45636</v>
      </c>
      <c r="C3639" s="1" t="n">
        <v>45832</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58869-2024</t>
        </is>
      </c>
      <c r="B3640" s="1" t="n">
        <v>45636</v>
      </c>
      <c r="C3640" s="1" t="n">
        <v>45832</v>
      </c>
      <c r="D3640" t="inlineStr">
        <is>
          <t>VÄSTERBOTTENS LÄN</t>
        </is>
      </c>
      <c r="E3640" t="inlineStr">
        <is>
          <t>SKELLEFTEÅ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58830-2024</t>
        </is>
      </c>
      <c r="B3641" s="1" t="n">
        <v>45636</v>
      </c>
      <c r="C3641" s="1" t="n">
        <v>45832</v>
      </c>
      <c r="D3641" t="inlineStr">
        <is>
          <t>VÄSTERBOTTENS LÄN</t>
        </is>
      </c>
      <c r="E3641" t="inlineStr">
        <is>
          <t>SKELLEFTEÅ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59109-2024</t>
        </is>
      </c>
      <c r="B3642" s="1" t="n">
        <v>45637</v>
      </c>
      <c r="C3642" s="1" t="n">
        <v>45832</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59134-2024</t>
        </is>
      </c>
      <c r="B3643" s="1" t="n">
        <v>45637</v>
      </c>
      <c r="C3643" s="1" t="n">
        <v>45832</v>
      </c>
      <c r="D3643" t="inlineStr">
        <is>
          <t>VÄSTERBOTTENS LÄN</t>
        </is>
      </c>
      <c r="E3643" t="inlineStr">
        <is>
          <t>SKELLEFTEÅ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59123-2024</t>
        </is>
      </c>
      <c r="B3644" s="1" t="n">
        <v>45637</v>
      </c>
      <c r="C3644" s="1" t="n">
        <v>45832</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59188-2024</t>
        </is>
      </c>
      <c r="B3645" s="1" t="n">
        <v>45637</v>
      </c>
      <c r="C3645" s="1" t="n">
        <v>45832</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59316-2024</t>
        </is>
      </c>
      <c r="B3646" s="1" t="n">
        <v>45637</v>
      </c>
      <c r="C3646" s="1" t="n">
        <v>45832</v>
      </c>
      <c r="D3646" t="inlineStr">
        <is>
          <t>VÄSTERBOTTENS LÄN</t>
        </is>
      </c>
      <c r="E3646" t="inlineStr">
        <is>
          <t>SKELLEFTEÅ</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59324-2024</t>
        </is>
      </c>
      <c r="B3647" s="1" t="n">
        <v>45637</v>
      </c>
      <c r="C3647" s="1" t="n">
        <v>45832</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59608-2024</t>
        </is>
      </c>
      <c r="B3648" s="1" t="n">
        <v>45638</v>
      </c>
      <c r="C3648" s="1" t="n">
        <v>45832</v>
      </c>
      <c r="D3648" t="inlineStr">
        <is>
          <t>VÄSTERBOTTENS LÄN</t>
        </is>
      </c>
      <c r="E3648" t="inlineStr">
        <is>
          <t>SKELLEFTEÅ</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59606-2024</t>
        </is>
      </c>
      <c r="B3649" s="1" t="n">
        <v>45638</v>
      </c>
      <c r="C3649" s="1" t="n">
        <v>45832</v>
      </c>
      <c r="D3649" t="inlineStr">
        <is>
          <t>VÄSTERBOTTENS LÄN</t>
        </is>
      </c>
      <c r="E3649" t="inlineStr">
        <is>
          <t>SKELLEFTEÅ</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59442-2024</t>
        </is>
      </c>
      <c r="B3650" s="1" t="n">
        <v>45638</v>
      </c>
      <c r="C3650" s="1" t="n">
        <v>45832</v>
      </c>
      <c r="D3650" t="inlineStr">
        <is>
          <t>VÄSTERBOTTENS LÄN</t>
        </is>
      </c>
      <c r="E3650" t="inlineStr">
        <is>
          <t>SKELLEFTEÅ</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59633-2024</t>
        </is>
      </c>
      <c r="B3651" s="1" t="n">
        <v>45638</v>
      </c>
      <c r="C3651" s="1" t="n">
        <v>45832</v>
      </c>
      <c r="D3651" t="inlineStr">
        <is>
          <t>VÄSTERBOTTENS LÄN</t>
        </is>
      </c>
      <c r="E3651" t="inlineStr">
        <is>
          <t>SKELLEFTEÅ</t>
        </is>
      </c>
      <c r="F3651" t="inlineStr">
        <is>
          <t>Sveaskog</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59443-2024</t>
        </is>
      </c>
      <c r="B3652" s="1" t="n">
        <v>45638</v>
      </c>
      <c r="C3652" s="1" t="n">
        <v>45832</v>
      </c>
      <c r="D3652" t="inlineStr">
        <is>
          <t>VÄSTERBOTTENS LÄN</t>
        </is>
      </c>
      <c r="E3652" t="inlineStr">
        <is>
          <t>SKELLEFTEÅ</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59516-2024</t>
        </is>
      </c>
      <c r="B3653" s="1" t="n">
        <v>45638</v>
      </c>
      <c r="C3653" s="1" t="n">
        <v>45832</v>
      </c>
      <c r="D3653" t="inlineStr">
        <is>
          <t>VÄSTERBOTTENS LÄN</t>
        </is>
      </c>
      <c r="E3653" t="inlineStr">
        <is>
          <t>SKELLEFTEÅ</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59425-2024</t>
        </is>
      </c>
      <c r="B3654" s="1" t="n">
        <v>45638</v>
      </c>
      <c r="C3654" s="1" t="n">
        <v>45832</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59689-2024</t>
        </is>
      </c>
      <c r="B3655" s="1" t="n">
        <v>45639</v>
      </c>
      <c r="C3655" s="1" t="n">
        <v>45832</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59664-2024</t>
        </is>
      </c>
      <c r="B3656" s="1" t="n">
        <v>45639</v>
      </c>
      <c r="C3656" s="1" t="n">
        <v>45832</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59660-2024</t>
        </is>
      </c>
      <c r="B3657" s="1" t="n">
        <v>45639</v>
      </c>
      <c r="C3657" s="1" t="n">
        <v>45832</v>
      </c>
      <c r="D3657" t="inlineStr">
        <is>
          <t>VÄSTERBOTTENS LÄN</t>
        </is>
      </c>
      <c r="E3657" t="inlineStr">
        <is>
          <t>SKELLEFTEÅ</t>
        </is>
      </c>
      <c r="F3657" t="inlineStr">
        <is>
          <t>Sveaskog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59663-2024</t>
        </is>
      </c>
      <c r="B3658" s="1" t="n">
        <v>45639</v>
      </c>
      <c r="C3658" s="1" t="n">
        <v>45832</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59783-2024</t>
        </is>
      </c>
      <c r="B3659" s="1" t="n">
        <v>45639</v>
      </c>
      <c r="C3659" s="1" t="n">
        <v>45832</v>
      </c>
      <c r="D3659" t="inlineStr">
        <is>
          <t>VÄSTERBOTTENS LÄN</t>
        </is>
      </c>
      <c r="E3659" t="inlineStr">
        <is>
          <t>SKELLEFTEÅ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59640-2024</t>
        </is>
      </c>
      <c r="B3660" s="1" t="n">
        <v>45639</v>
      </c>
      <c r="C3660" s="1" t="n">
        <v>45832</v>
      </c>
      <c r="D3660" t="inlineStr">
        <is>
          <t>VÄSTERBOTTENS LÄN</t>
        </is>
      </c>
      <c r="E3660" t="inlineStr">
        <is>
          <t>SKELLEFTEÅ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59956-2024</t>
        </is>
      </c>
      <c r="B3661" s="1" t="n">
        <v>45639</v>
      </c>
      <c r="C3661" s="1" t="n">
        <v>45832</v>
      </c>
      <c r="D3661" t="inlineStr">
        <is>
          <t>VÄSTERBOTTENS LÄN</t>
        </is>
      </c>
      <c r="E3661" t="inlineStr">
        <is>
          <t>SKELLEFTEÅ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59711-2024</t>
        </is>
      </c>
      <c r="B3662" s="1" t="n">
        <v>45639</v>
      </c>
      <c r="C3662" s="1" t="n">
        <v>45832</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59918-2024</t>
        </is>
      </c>
      <c r="B3663" s="1" t="n">
        <v>45641</v>
      </c>
      <c r="C3663" s="1" t="n">
        <v>45832</v>
      </c>
      <c r="D3663" t="inlineStr">
        <is>
          <t>VÄSTERBOTTENS LÄN</t>
        </is>
      </c>
      <c r="E3663" t="inlineStr">
        <is>
          <t>SKELLEFTEÅ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60210-2024</t>
        </is>
      </c>
      <c r="B3664" s="1" t="n">
        <v>45642</v>
      </c>
      <c r="C3664" s="1" t="n">
        <v>45832</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60134-2024</t>
        </is>
      </c>
      <c r="B3665" s="1" t="n">
        <v>45642</v>
      </c>
      <c r="C3665" s="1" t="n">
        <v>45832</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60116-2024</t>
        </is>
      </c>
      <c r="B3666" s="1" t="n">
        <v>45642</v>
      </c>
      <c r="C3666" s="1" t="n">
        <v>45832</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60209-2024</t>
        </is>
      </c>
      <c r="B3667" s="1" t="n">
        <v>45642</v>
      </c>
      <c r="C3667" s="1" t="n">
        <v>45832</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59993-2024</t>
        </is>
      </c>
      <c r="B3668" s="1" t="n">
        <v>45642</v>
      </c>
      <c r="C3668" s="1" t="n">
        <v>45832</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59940-2024</t>
        </is>
      </c>
      <c r="B3669" s="1" t="n">
        <v>45642</v>
      </c>
      <c r="C3669" s="1" t="n">
        <v>45832</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59932-2024</t>
        </is>
      </c>
      <c r="B3670" s="1" t="n">
        <v>45642</v>
      </c>
      <c r="C3670" s="1" t="n">
        <v>45832</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59937-2024</t>
        </is>
      </c>
      <c r="B3671" s="1" t="n">
        <v>45642</v>
      </c>
      <c r="C3671" s="1" t="n">
        <v>45832</v>
      </c>
      <c r="D3671" t="inlineStr">
        <is>
          <t>VÄSTERBOTTENS LÄN</t>
        </is>
      </c>
      <c r="E3671" t="inlineStr">
        <is>
          <t>SKELLEFTEÅ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59931-2024</t>
        </is>
      </c>
      <c r="B3672" s="1" t="n">
        <v>45642</v>
      </c>
      <c r="C3672" s="1" t="n">
        <v>45832</v>
      </c>
      <c r="D3672" t="inlineStr">
        <is>
          <t>VÄSTERBOTTENS LÄN</t>
        </is>
      </c>
      <c r="E3672" t="inlineStr">
        <is>
          <t>SKELLEFTEÅ</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60294-2024</t>
        </is>
      </c>
      <c r="B3673" s="1" t="n">
        <v>45643</v>
      </c>
      <c r="C3673" s="1" t="n">
        <v>45832</v>
      </c>
      <c r="D3673" t="inlineStr">
        <is>
          <t>VÄSTERBOTTENS LÄN</t>
        </is>
      </c>
      <c r="E3673" t="inlineStr">
        <is>
          <t>SKELLEFTEÅ</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60518-2024</t>
        </is>
      </c>
      <c r="B3674" s="1" t="n">
        <v>45643</v>
      </c>
      <c r="C3674" s="1" t="n">
        <v>45832</v>
      </c>
      <c r="D3674" t="inlineStr">
        <is>
          <t>VÄSTERBOTTENS LÄN</t>
        </is>
      </c>
      <c r="E3674" t="inlineStr">
        <is>
          <t>SKELLEFTEÅ</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60293-2024</t>
        </is>
      </c>
      <c r="B3675" s="1" t="n">
        <v>45643</v>
      </c>
      <c r="C3675" s="1" t="n">
        <v>45832</v>
      </c>
      <c r="D3675" t="inlineStr">
        <is>
          <t>VÄSTERBOTTENS LÄN</t>
        </is>
      </c>
      <c r="E3675" t="inlineStr">
        <is>
          <t>SKELLEFTEÅ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60324-2024</t>
        </is>
      </c>
      <c r="B3676" s="1" t="n">
        <v>45643</v>
      </c>
      <c r="C3676" s="1" t="n">
        <v>45832</v>
      </c>
      <c r="D3676" t="inlineStr">
        <is>
          <t>VÄSTERBOTTENS LÄN</t>
        </is>
      </c>
      <c r="E3676" t="inlineStr">
        <is>
          <t>SKELLEFTEÅ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60861-2024</t>
        </is>
      </c>
      <c r="B3677" s="1" t="n">
        <v>45644</v>
      </c>
      <c r="C3677" s="1" t="n">
        <v>45832</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60982-2024</t>
        </is>
      </c>
      <c r="B3678" s="1" t="n">
        <v>45645</v>
      </c>
      <c r="C3678" s="1" t="n">
        <v>45832</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61030-2024</t>
        </is>
      </c>
      <c r="B3679" s="1" t="n">
        <v>45645</v>
      </c>
      <c r="C3679" s="1" t="n">
        <v>45832</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61097-2024</t>
        </is>
      </c>
      <c r="B3680" s="1" t="n">
        <v>45645</v>
      </c>
      <c r="C3680" s="1" t="n">
        <v>45832</v>
      </c>
      <c r="D3680" t="inlineStr">
        <is>
          <t>VÄSTERBOTTENS LÄN</t>
        </is>
      </c>
      <c r="E3680" t="inlineStr">
        <is>
          <t>SKELLEFTEÅ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60992-2024</t>
        </is>
      </c>
      <c r="B3681" s="1" t="n">
        <v>45645</v>
      </c>
      <c r="C3681" s="1" t="n">
        <v>45832</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61378-2024</t>
        </is>
      </c>
      <c r="B3682" s="1" t="n">
        <v>45645</v>
      </c>
      <c r="C3682" s="1" t="n">
        <v>45832</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61437-2024</t>
        </is>
      </c>
      <c r="B3683" s="1" t="n">
        <v>45645</v>
      </c>
      <c r="C3683" s="1" t="n">
        <v>45832</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61112-2024</t>
        </is>
      </c>
      <c r="B3684" s="1" t="n">
        <v>45645</v>
      </c>
      <c r="C3684" s="1" t="n">
        <v>45832</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61433-2024</t>
        </is>
      </c>
      <c r="B3685" s="1" t="n">
        <v>45645</v>
      </c>
      <c r="C3685" s="1" t="n">
        <v>45832</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61257-2024</t>
        </is>
      </c>
      <c r="B3686" s="1" t="n">
        <v>45645</v>
      </c>
      <c r="C3686" s="1" t="n">
        <v>45832</v>
      </c>
      <c r="D3686" t="inlineStr">
        <is>
          <t>VÄSTERBOTTENS LÄN</t>
        </is>
      </c>
      <c r="E3686" t="inlineStr">
        <is>
          <t>SKELLEFTEÅ</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61359-2024</t>
        </is>
      </c>
      <c r="B3687" s="1" t="n">
        <v>45645</v>
      </c>
      <c r="C3687" s="1" t="n">
        <v>45832</v>
      </c>
      <c r="D3687" t="inlineStr">
        <is>
          <t>VÄSTERBOTTENS LÄN</t>
        </is>
      </c>
      <c r="E3687" t="inlineStr">
        <is>
          <t>SKELLEFTEÅ</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61429-2024</t>
        </is>
      </c>
      <c r="B3688" s="1" t="n">
        <v>45645</v>
      </c>
      <c r="C3688" s="1" t="n">
        <v>45832</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61238-2024</t>
        </is>
      </c>
      <c r="B3689" s="1" t="n">
        <v>45645</v>
      </c>
      <c r="C3689" s="1" t="n">
        <v>45832</v>
      </c>
      <c r="D3689" t="inlineStr">
        <is>
          <t>VÄSTERBOTTENS LÄN</t>
        </is>
      </c>
      <c r="E3689" t="inlineStr">
        <is>
          <t>SKELLEFTEÅ</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61421-2024</t>
        </is>
      </c>
      <c r="B3690" s="1" t="n">
        <v>45645</v>
      </c>
      <c r="C3690" s="1" t="n">
        <v>45832</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61438-2024</t>
        </is>
      </c>
      <c r="B3691" s="1" t="n">
        <v>45645</v>
      </c>
      <c r="C3691" s="1" t="n">
        <v>45832</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61327-2024</t>
        </is>
      </c>
      <c r="B3692" s="1" t="n">
        <v>45646</v>
      </c>
      <c r="C3692" s="1" t="n">
        <v>45832</v>
      </c>
      <c r="D3692" t="inlineStr">
        <is>
          <t>VÄSTERBOTTENS LÄN</t>
        </is>
      </c>
      <c r="E3692" t="inlineStr">
        <is>
          <t>SKELLEFTEÅ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61479-2024</t>
        </is>
      </c>
      <c r="B3693" s="1" t="n">
        <v>45646</v>
      </c>
      <c r="C3693" s="1" t="n">
        <v>45832</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61584-2024</t>
        </is>
      </c>
      <c r="B3694" s="1" t="n">
        <v>45646</v>
      </c>
      <c r="C3694" s="1" t="n">
        <v>45832</v>
      </c>
      <c r="D3694" t="inlineStr">
        <is>
          <t>VÄSTERBOTTENS LÄN</t>
        </is>
      </c>
      <c r="E3694" t="inlineStr">
        <is>
          <t>SKELLEFTEÅ</t>
        </is>
      </c>
      <c r="F3694" t="inlineStr">
        <is>
          <t>Sveaskog</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61983-2024</t>
        </is>
      </c>
      <c r="B3695" s="1" t="n">
        <v>45646</v>
      </c>
      <c r="C3695" s="1" t="n">
        <v>45832</v>
      </c>
      <c r="D3695" t="inlineStr">
        <is>
          <t>VÄSTERBOTTENS LÄN</t>
        </is>
      </c>
      <c r="E3695" t="inlineStr">
        <is>
          <t>SKELLEFTEÅ</t>
        </is>
      </c>
      <c r="F3695" t="inlineStr">
        <is>
          <t>Kommuner</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61551-2024</t>
        </is>
      </c>
      <c r="B3696" s="1" t="n">
        <v>45646</v>
      </c>
      <c r="C3696" s="1" t="n">
        <v>45832</v>
      </c>
      <c r="D3696" t="inlineStr">
        <is>
          <t>VÄSTERBOTTENS LÄN</t>
        </is>
      </c>
      <c r="E3696" t="inlineStr">
        <is>
          <t>SKELLEFTEÅ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61559-2024</t>
        </is>
      </c>
      <c r="B3697" s="1" t="n">
        <v>45646</v>
      </c>
      <c r="C3697" s="1" t="n">
        <v>45832</v>
      </c>
      <c r="D3697" t="inlineStr">
        <is>
          <t>VÄSTERBOTTENS LÄN</t>
        </is>
      </c>
      <c r="E3697" t="inlineStr">
        <is>
          <t>SKELLEFTEÅ</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61988-2024</t>
        </is>
      </c>
      <c r="B3698" s="1" t="n">
        <v>45646</v>
      </c>
      <c r="C3698" s="1" t="n">
        <v>45832</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61697-2024</t>
        </is>
      </c>
      <c r="B3699" s="1" t="n">
        <v>45647</v>
      </c>
      <c r="C3699" s="1" t="n">
        <v>45832</v>
      </c>
      <c r="D3699" t="inlineStr">
        <is>
          <t>VÄSTERBOTTENS LÄN</t>
        </is>
      </c>
      <c r="E3699" t="inlineStr">
        <is>
          <t>SKELLEFTEÅ</t>
        </is>
      </c>
      <c r="G3699" t="n">
        <v>16.7</v>
      </c>
      <c r="H3699" t="n">
        <v>0</v>
      </c>
      <c r="I3699" t="n">
        <v>0</v>
      </c>
      <c r="J3699" t="n">
        <v>0</v>
      </c>
      <c r="K3699" t="n">
        <v>0</v>
      </c>
      <c r="L3699" t="n">
        <v>0</v>
      </c>
      <c r="M3699" t="n">
        <v>0</v>
      </c>
      <c r="N3699" t="n">
        <v>0</v>
      </c>
      <c r="O3699" t="n">
        <v>0</v>
      </c>
      <c r="P3699" t="n">
        <v>0</v>
      </c>
      <c r="Q3699" t="n">
        <v>0</v>
      </c>
      <c r="R3699" s="2" t="inlineStr"/>
    </row>
    <row r="3700" ht="15" customHeight="1">
      <c r="A3700" t="inlineStr">
        <is>
          <t>A 160-2025</t>
        </is>
      </c>
      <c r="B3700" s="1" t="n">
        <v>45649</v>
      </c>
      <c r="C3700" s="1" t="n">
        <v>45832</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61989-2024</t>
        </is>
      </c>
      <c r="B3701" s="1" t="n">
        <v>45653</v>
      </c>
      <c r="C3701" s="1" t="n">
        <v>45832</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61993-2024</t>
        </is>
      </c>
      <c r="B3702" s="1" t="n">
        <v>45653</v>
      </c>
      <c r="C3702" s="1" t="n">
        <v>45832</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62052-2024</t>
        </is>
      </c>
      <c r="B3703" s="1" t="n">
        <v>45656</v>
      </c>
      <c r="C3703" s="1" t="n">
        <v>45832</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62056-2024</t>
        </is>
      </c>
      <c r="B3704" s="1" t="n">
        <v>45656</v>
      </c>
      <c r="C3704" s="1" t="n">
        <v>45832</v>
      </c>
      <c r="D3704" t="inlineStr">
        <is>
          <t>VÄSTERBOTTENS LÄN</t>
        </is>
      </c>
      <c r="E3704" t="inlineStr">
        <is>
          <t>SKELLEFTEÅ</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62061-2024</t>
        </is>
      </c>
      <c r="B3705" s="1" t="n">
        <v>45656</v>
      </c>
      <c r="C3705" s="1" t="n">
        <v>45832</v>
      </c>
      <c r="D3705" t="inlineStr">
        <is>
          <t>VÄSTERBOTTENS LÄN</t>
        </is>
      </c>
      <c r="E3705" t="inlineStr">
        <is>
          <t>SKELLEFTEÅ</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62063-2024</t>
        </is>
      </c>
      <c r="B3706" s="1" t="n">
        <v>45656</v>
      </c>
      <c r="C3706" s="1" t="n">
        <v>45832</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62047-2024</t>
        </is>
      </c>
      <c r="B3707" s="1" t="n">
        <v>45656</v>
      </c>
      <c r="C3707" s="1" t="n">
        <v>45832</v>
      </c>
      <c r="D3707" t="inlineStr">
        <is>
          <t>VÄSTERBOTTENS LÄN</t>
        </is>
      </c>
      <c r="E3707" t="inlineStr">
        <is>
          <t>SKELLEFTEÅ</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62023-2024</t>
        </is>
      </c>
      <c r="B3708" s="1" t="n">
        <v>45656</v>
      </c>
      <c r="C3708" s="1" t="n">
        <v>45832</v>
      </c>
      <c r="D3708" t="inlineStr">
        <is>
          <t>VÄSTERBOTTENS LÄN</t>
        </is>
      </c>
      <c r="E3708" t="inlineStr">
        <is>
          <t>SKELLEFTEÅ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62064-2024</t>
        </is>
      </c>
      <c r="B3709" s="1" t="n">
        <v>45656</v>
      </c>
      <c r="C3709" s="1" t="n">
        <v>45832</v>
      </c>
      <c r="D3709" t="inlineStr">
        <is>
          <t>VÄSTERBOTTENS LÄN</t>
        </is>
      </c>
      <c r="E3709" t="inlineStr">
        <is>
          <t>SKELLEFTEÅ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62060-2024</t>
        </is>
      </c>
      <c r="B3710" s="1" t="n">
        <v>45656</v>
      </c>
      <c r="C3710" s="1" t="n">
        <v>45832</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62066-2024</t>
        </is>
      </c>
      <c r="B3711" s="1" t="n">
        <v>45656</v>
      </c>
      <c r="C3711" s="1" t="n">
        <v>45832</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62058-2024</t>
        </is>
      </c>
      <c r="B3712" s="1" t="n">
        <v>45656</v>
      </c>
      <c r="C3712" s="1" t="n">
        <v>45832</v>
      </c>
      <c r="D3712" t="inlineStr">
        <is>
          <t>VÄSTERBOTTENS LÄN</t>
        </is>
      </c>
      <c r="E3712" t="inlineStr">
        <is>
          <t>SKELLEFTEÅ</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277-2025</t>
        </is>
      </c>
      <c r="B3713" s="1" t="n">
        <v>45660</v>
      </c>
      <c r="C3713" s="1" t="n">
        <v>45832</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544-2025</t>
        </is>
      </c>
      <c r="B3714" s="1" t="n">
        <v>45660</v>
      </c>
      <c r="C3714" s="1" t="n">
        <v>45832</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274-2025</t>
        </is>
      </c>
      <c r="B3715" s="1" t="n">
        <v>45660</v>
      </c>
      <c r="C3715" s="1" t="n">
        <v>45832</v>
      </c>
      <c r="D3715" t="inlineStr">
        <is>
          <t>VÄSTERBOTTENS LÄN</t>
        </is>
      </c>
      <c r="E3715" t="inlineStr">
        <is>
          <t>SKELLEFTEÅ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560-2025</t>
        </is>
      </c>
      <c r="B3716" s="1" t="n">
        <v>45660</v>
      </c>
      <c r="C3716" s="1" t="n">
        <v>45832</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573-2025</t>
        </is>
      </c>
      <c r="B3717" s="1" t="n">
        <v>45660</v>
      </c>
      <c r="C3717" s="1" t="n">
        <v>45832</v>
      </c>
      <c r="D3717" t="inlineStr">
        <is>
          <t>VÄSTERBOTTENS LÄN</t>
        </is>
      </c>
      <c r="E3717" t="inlineStr">
        <is>
          <t>SKELLEFTEÅ</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642-2025</t>
        </is>
      </c>
      <c r="B3718" s="1" t="n">
        <v>45660</v>
      </c>
      <c r="C3718" s="1" t="n">
        <v>45832</v>
      </c>
      <c r="D3718" t="inlineStr">
        <is>
          <t>VÄSTERBOTTENS LÄN</t>
        </is>
      </c>
      <c r="E3718" t="inlineStr">
        <is>
          <t>SKELLEFTEÅ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580-2025</t>
        </is>
      </c>
      <c r="B3719" s="1" t="n">
        <v>45660</v>
      </c>
      <c r="C3719" s="1" t="n">
        <v>45832</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275-2025</t>
        </is>
      </c>
      <c r="B3720" s="1" t="n">
        <v>45660</v>
      </c>
      <c r="C3720" s="1" t="n">
        <v>45832</v>
      </c>
      <c r="D3720" t="inlineStr">
        <is>
          <t>VÄSTERBOTTENS LÄN</t>
        </is>
      </c>
      <c r="E3720" t="inlineStr">
        <is>
          <t>SKELLEFTEÅ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901-2025</t>
        </is>
      </c>
      <c r="B3721" s="1" t="n">
        <v>45664</v>
      </c>
      <c r="C3721" s="1" t="n">
        <v>45832</v>
      </c>
      <c r="D3721" t="inlineStr">
        <is>
          <t>VÄSTERBOTTENS LÄN</t>
        </is>
      </c>
      <c r="E3721" t="inlineStr">
        <is>
          <t>SKELLEFTEÅ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713-2025</t>
        </is>
      </c>
      <c r="B3722" s="1" t="n">
        <v>45664</v>
      </c>
      <c r="C3722" s="1" t="n">
        <v>45832</v>
      </c>
      <c r="D3722" t="inlineStr">
        <is>
          <t>VÄSTERBOTTENS LÄN</t>
        </is>
      </c>
      <c r="E3722" t="inlineStr">
        <is>
          <t>SKELLEFTEÅ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641-2025</t>
        </is>
      </c>
      <c r="B3723" s="1" t="n">
        <v>45664</v>
      </c>
      <c r="C3723" s="1" t="n">
        <v>45832</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1004-2025</t>
        </is>
      </c>
      <c r="B3724" s="1" t="n">
        <v>45665</v>
      </c>
      <c r="C3724" s="1" t="n">
        <v>45832</v>
      </c>
      <c r="D3724" t="inlineStr">
        <is>
          <t>VÄSTERBOTTENS LÄN</t>
        </is>
      </c>
      <c r="E3724" t="inlineStr">
        <is>
          <t>SKELLEFTEÅ</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1022-2025</t>
        </is>
      </c>
      <c r="B3725" s="1" t="n">
        <v>45665</v>
      </c>
      <c r="C3725" s="1" t="n">
        <v>45832</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862-2025</t>
        </is>
      </c>
      <c r="B3726" s="1" t="n">
        <v>45665</v>
      </c>
      <c r="C3726" s="1" t="n">
        <v>45832</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714-2025</t>
        </is>
      </c>
      <c r="B3727" s="1" t="n">
        <v>45665</v>
      </c>
      <c r="C3727" s="1" t="n">
        <v>45832</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867-2025</t>
        </is>
      </c>
      <c r="B3728" s="1" t="n">
        <v>45665</v>
      </c>
      <c r="C3728" s="1" t="n">
        <v>45832</v>
      </c>
      <c r="D3728" t="inlineStr">
        <is>
          <t>VÄSTERBOTTENS LÄN</t>
        </is>
      </c>
      <c r="E3728" t="inlineStr">
        <is>
          <t>SKELLEFTEÅ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908-2025</t>
        </is>
      </c>
      <c r="B3729" s="1" t="n">
        <v>45665</v>
      </c>
      <c r="C3729" s="1" t="n">
        <v>45832</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787-2025</t>
        </is>
      </c>
      <c r="B3730" s="1" t="n">
        <v>45665</v>
      </c>
      <c r="C3730" s="1" t="n">
        <v>45832</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1025-2025</t>
        </is>
      </c>
      <c r="B3731" s="1" t="n">
        <v>45665</v>
      </c>
      <c r="C3731" s="1" t="n">
        <v>45832</v>
      </c>
      <c r="D3731" t="inlineStr">
        <is>
          <t>VÄSTERBOTTENS LÄN</t>
        </is>
      </c>
      <c r="E3731" t="inlineStr">
        <is>
          <t>SKELLEFTEÅ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1328-2025</t>
        </is>
      </c>
      <c r="B3732" s="1" t="n">
        <v>45666</v>
      </c>
      <c r="C3732" s="1" t="n">
        <v>45832</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951-2025</t>
        </is>
      </c>
      <c r="B3733" s="1" t="n">
        <v>45666</v>
      </c>
      <c r="C3733" s="1" t="n">
        <v>45832</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1336-2025</t>
        </is>
      </c>
      <c r="B3734" s="1" t="n">
        <v>45666</v>
      </c>
      <c r="C3734" s="1" t="n">
        <v>45832</v>
      </c>
      <c r="D3734" t="inlineStr">
        <is>
          <t>VÄSTERBOTTENS LÄN</t>
        </is>
      </c>
      <c r="E3734" t="inlineStr">
        <is>
          <t>SKELLEFTEÅ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1113-2025</t>
        </is>
      </c>
      <c r="B3735" s="1" t="n">
        <v>45666</v>
      </c>
      <c r="C3735" s="1" t="n">
        <v>45832</v>
      </c>
      <c r="D3735" t="inlineStr">
        <is>
          <t>VÄSTERBOTTENS LÄN</t>
        </is>
      </c>
      <c r="E3735" t="inlineStr">
        <is>
          <t>SKELLEFTEÅ</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964-2025</t>
        </is>
      </c>
      <c r="B3736" s="1" t="n">
        <v>45666</v>
      </c>
      <c r="C3736" s="1" t="n">
        <v>45832</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948-2025</t>
        </is>
      </c>
      <c r="B3737" s="1" t="n">
        <v>45666</v>
      </c>
      <c r="C3737" s="1" t="n">
        <v>45832</v>
      </c>
      <c r="D3737" t="inlineStr">
        <is>
          <t>VÄSTERBOTTENS LÄN</t>
        </is>
      </c>
      <c r="E3737" t="inlineStr">
        <is>
          <t>SKELLEFTEÅ</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1244-2025</t>
        </is>
      </c>
      <c r="B3738" s="1" t="n">
        <v>45667</v>
      </c>
      <c r="C3738" s="1" t="n">
        <v>45832</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1233-2025</t>
        </is>
      </c>
      <c r="B3739" s="1" t="n">
        <v>45667</v>
      </c>
      <c r="C3739" s="1" t="n">
        <v>45832</v>
      </c>
      <c r="D3739" t="inlineStr">
        <is>
          <t>VÄSTERBOTTENS LÄN</t>
        </is>
      </c>
      <c r="E3739" t="inlineStr">
        <is>
          <t>SKELLEFTEÅ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1249-2025</t>
        </is>
      </c>
      <c r="B3740" s="1" t="n">
        <v>45667</v>
      </c>
      <c r="C3740" s="1" t="n">
        <v>45832</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1253-2025</t>
        </is>
      </c>
      <c r="B3741" s="1" t="n">
        <v>45667</v>
      </c>
      <c r="C3741" s="1" t="n">
        <v>45832</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1251-2025</t>
        </is>
      </c>
      <c r="B3742" s="1" t="n">
        <v>45667</v>
      </c>
      <c r="C3742" s="1" t="n">
        <v>45832</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1278-2025</t>
        </is>
      </c>
      <c r="B3743" s="1" t="n">
        <v>45667</v>
      </c>
      <c r="C3743" s="1" t="n">
        <v>45832</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1404-2025</t>
        </is>
      </c>
      <c r="B3744" s="1" t="n">
        <v>45667</v>
      </c>
      <c r="C3744" s="1" t="n">
        <v>45832</v>
      </c>
      <c r="D3744" t="inlineStr">
        <is>
          <t>VÄSTERBOTTENS LÄN</t>
        </is>
      </c>
      <c r="E3744" t="inlineStr">
        <is>
          <t>SKELLEFTEÅ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1362-2025</t>
        </is>
      </c>
      <c r="B3745" s="1" t="n">
        <v>45667</v>
      </c>
      <c r="C3745" s="1" t="n">
        <v>45832</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1402-2025</t>
        </is>
      </c>
      <c r="B3746" s="1" t="n">
        <v>45667</v>
      </c>
      <c r="C3746" s="1" t="n">
        <v>45832</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1367-2025</t>
        </is>
      </c>
      <c r="B3747" s="1" t="n">
        <v>45667</v>
      </c>
      <c r="C3747" s="1" t="n">
        <v>45832</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1246-2025</t>
        </is>
      </c>
      <c r="B3748" s="1" t="n">
        <v>45667</v>
      </c>
      <c r="C3748" s="1" t="n">
        <v>45832</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1321-2025</t>
        </is>
      </c>
      <c r="B3749" s="1" t="n">
        <v>45667</v>
      </c>
      <c r="C3749" s="1" t="n">
        <v>45832</v>
      </c>
      <c r="D3749" t="inlineStr">
        <is>
          <t>VÄSTERBOTTENS LÄN</t>
        </is>
      </c>
      <c r="E3749" t="inlineStr">
        <is>
          <t>SKELLEFTEÅ</t>
        </is>
      </c>
      <c r="F3749" t="inlineStr">
        <is>
          <t>Holmen skog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1610-2025</t>
        </is>
      </c>
      <c r="B3750" s="1" t="n">
        <v>45668</v>
      </c>
      <c r="C3750" s="1" t="n">
        <v>45832</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1667-2025</t>
        </is>
      </c>
      <c r="B3751" s="1" t="n">
        <v>45670</v>
      </c>
      <c r="C3751" s="1" t="n">
        <v>45832</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1627-2025</t>
        </is>
      </c>
      <c r="B3752" s="1" t="n">
        <v>45670</v>
      </c>
      <c r="C3752" s="1" t="n">
        <v>45832</v>
      </c>
      <c r="D3752" t="inlineStr">
        <is>
          <t>VÄSTERBOTTENS LÄN</t>
        </is>
      </c>
      <c r="E3752" t="inlineStr">
        <is>
          <t>SKELLEFTEÅ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1577-2025</t>
        </is>
      </c>
      <c r="B3753" s="1" t="n">
        <v>45670</v>
      </c>
      <c r="C3753" s="1" t="n">
        <v>45832</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1989-2025</t>
        </is>
      </c>
      <c r="B3754" s="1" t="n">
        <v>45671</v>
      </c>
      <c r="C3754" s="1" t="n">
        <v>45832</v>
      </c>
      <c r="D3754" t="inlineStr">
        <is>
          <t>VÄSTERBOTTENS LÄN</t>
        </is>
      </c>
      <c r="E3754" t="inlineStr">
        <is>
          <t>SKELLEFTEÅ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1980-2025</t>
        </is>
      </c>
      <c r="B3755" s="1" t="n">
        <v>45671</v>
      </c>
      <c r="C3755" s="1" t="n">
        <v>45832</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1959-2025</t>
        </is>
      </c>
      <c r="B3756" s="1" t="n">
        <v>45671</v>
      </c>
      <c r="C3756" s="1" t="n">
        <v>45832</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1955-2025</t>
        </is>
      </c>
      <c r="B3757" s="1" t="n">
        <v>45671</v>
      </c>
      <c r="C3757" s="1" t="n">
        <v>45832</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1987-2025</t>
        </is>
      </c>
      <c r="B3758" s="1" t="n">
        <v>45671</v>
      </c>
      <c r="C3758" s="1" t="n">
        <v>45832</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1966-2025</t>
        </is>
      </c>
      <c r="B3759" s="1" t="n">
        <v>45671</v>
      </c>
      <c r="C3759" s="1" t="n">
        <v>45832</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1936-2025</t>
        </is>
      </c>
      <c r="B3760" s="1" t="n">
        <v>45671</v>
      </c>
      <c r="C3760" s="1" t="n">
        <v>45832</v>
      </c>
      <c r="D3760" t="inlineStr">
        <is>
          <t>VÄSTERBOTTENS LÄN</t>
        </is>
      </c>
      <c r="E3760" t="inlineStr">
        <is>
          <t>SKELLEFTEÅ</t>
        </is>
      </c>
      <c r="G3760" t="n">
        <v>21.5</v>
      </c>
      <c r="H3760" t="n">
        <v>0</v>
      </c>
      <c r="I3760" t="n">
        <v>0</v>
      </c>
      <c r="J3760" t="n">
        <v>0</v>
      </c>
      <c r="K3760" t="n">
        <v>0</v>
      </c>
      <c r="L3760" t="n">
        <v>0</v>
      </c>
      <c r="M3760" t="n">
        <v>0</v>
      </c>
      <c r="N3760" t="n">
        <v>0</v>
      </c>
      <c r="O3760" t="n">
        <v>0</v>
      </c>
      <c r="P3760" t="n">
        <v>0</v>
      </c>
      <c r="Q3760" t="n">
        <v>0</v>
      </c>
      <c r="R3760" s="2" t="inlineStr"/>
    </row>
    <row r="3761" ht="15" customHeight="1">
      <c r="A3761" t="inlineStr">
        <is>
          <t>A 1746-2025</t>
        </is>
      </c>
      <c r="B3761" s="1" t="n">
        <v>45671</v>
      </c>
      <c r="C3761" s="1" t="n">
        <v>45832</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1791-2025</t>
        </is>
      </c>
      <c r="B3762" s="1" t="n">
        <v>45671</v>
      </c>
      <c r="C3762" s="1" t="n">
        <v>45832</v>
      </c>
      <c r="D3762" t="inlineStr">
        <is>
          <t>VÄSTERBOTTENS LÄN</t>
        </is>
      </c>
      <c r="E3762" t="inlineStr">
        <is>
          <t>SKELLEFTEÅ</t>
        </is>
      </c>
      <c r="F3762" t="inlineStr">
        <is>
          <t>Holmen skog AB</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1904-2025</t>
        </is>
      </c>
      <c r="B3763" s="1" t="n">
        <v>45671</v>
      </c>
      <c r="C3763" s="1" t="n">
        <v>45832</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1964-2025</t>
        </is>
      </c>
      <c r="B3764" s="1" t="n">
        <v>45672</v>
      </c>
      <c r="C3764" s="1" t="n">
        <v>45832</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2070-2025</t>
        </is>
      </c>
      <c r="B3765" s="1" t="n">
        <v>45672</v>
      </c>
      <c r="C3765" s="1" t="n">
        <v>45832</v>
      </c>
      <c r="D3765" t="inlineStr">
        <is>
          <t>VÄSTERBOTTENS LÄN</t>
        </is>
      </c>
      <c r="E3765" t="inlineStr">
        <is>
          <t>SKELLEFTEÅ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2019-2025</t>
        </is>
      </c>
      <c r="B3766" s="1" t="n">
        <v>45672</v>
      </c>
      <c r="C3766" s="1" t="n">
        <v>45832</v>
      </c>
      <c r="D3766" t="inlineStr">
        <is>
          <t>VÄSTERBOTTENS LÄN</t>
        </is>
      </c>
      <c r="E3766" t="inlineStr">
        <is>
          <t>SKELLEFTEÅ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1946-2025</t>
        </is>
      </c>
      <c r="B3767" s="1" t="n">
        <v>45672</v>
      </c>
      <c r="C3767" s="1" t="n">
        <v>45832</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2087-2025</t>
        </is>
      </c>
      <c r="B3768" s="1" t="n">
        <v>45672</v>
      </c>
      <c r="C3768" s="1" t="n">
        <v>45832</v>
      </c>
      <c r="D3768" t="inlineStr">
        <is>
          <t>VÄSTERBOTTENS LÄN</t>
        </is>
      </c>
      <c r="E3768" t="inlineStr">
        <is>
          <t>SKELLEFTEÅ</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2171-2025</t>
        </is>
      </c>
      <c r="B3769" s="1" t="n">
        <v>45673</v>
      </c>
      <c r="C3769" s="1" t="n">
        <v>45832</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2279-2025</t>
        </is>
      </c>
      <c r="B3770" s="1" t="n">
        <v>45673</v>
      </c>
      <c r="C3770" s="1" t="n">
        <v>45832</v>
      </c>
      <c r="D3770" t="inlineStr">
        <is>
          <t>VÄSTERBOTTENS LÄN</t>
        </is>
      </c>
      <c r="E3770" t="inlineStr">
        <is>
          <t>SKELLEFTEÅ</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2354-2025</t>
        </is>
      </c>
      <c r="B3771" s="1" t="n">
        <v>45673</v>
      </c>
      <c r="C3771" s="1" t="n">
        <v>45832</v>
      </c>
      <c r="D3771" t="inlineStr">
        <is>
          <t>VÄSTERBOTTENS LÄN</t>
        </is>
      </c>
      <c r="E3771" t="inlineStr">
        <is>
          <t>SKELLEFTEÅ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2308-2025</t>
        </is>
      </c>
      <c r="B3772" s="1" t="n">
        <v>45673</v>
      </c>
      <c r="C3772" s="1" t="n">
        <v>45832</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2454-2025</t>
        </is>
      </c>
      <c r="B3773" s="1" t="n">
        <v>45673</v>
      </c>
      <c r="C3773" s="1" t="n">
        <v>45832</v>
      </c>
      <c r="D3773" t="inlineStr">
        <is>
          <t>VÄSTERBOTTENS LÄN</t>
        </is>
      </c>
      <c r="E3773" t="inlineStr">
        <is>
          <t>SKELLEFTEÅ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2326-2025</t>
        </is>
      </c>
      <c r="B3774" s="1" t="n">
        <v>45673</v>
      </c>
      <c r="C3774" s="1" t="n">
        <v>45832</v>
      </c>
      <c r="D3774" t="inlineStr">
        <is>
          <t>VÄSTERBOTTENS LÄN</t>
        </is>
      </c>
      <c r="E3774" t="inlineStr">
        <is>
          <t>SKELLEFTEÅ</t>
        </is>
      </c>
      <c r="F3774" t="inlineStr">
        <is>
          <t>Holmen skog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2355-2025</t>
        </is>
      </c>
      <c r="B3775" s="1" t="n">
        <v>45673</v>
      </c>
      <c r="C3775" s="1" t="n">
        <v>45832</v>
      </c>
      <c r="D3775" t="inlineStr">
        <is>
          <t>VÄSTERBOTTENS LÄN</t>
        </is>
      </c>
      <c r="E3775" t="inlineStr">
        <is>
          <t>SKELLEFTEÅ</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2383-2025</t>
        </is>
      </c>
      <c r="B3776" s="1" t="n">
        <v>45674</v>
      </c>
      <c r="C3776" s="1" t="n">
        <v>45832</v>
      </c>
      <c r="D3776" t="inlineStr">
        <is>
          <t>VÄSTERBOTTENS LÄN</t>
        </is>
      </c>
      <c r="E3776" t="inlineStr">
        <is>
          <t>SKELLEFTEÅ</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2602-2025</t>
        </is>
      </c>
      <c r="B3777" s="1" t="n">
        <v>45674</v>
      </c>
      <c r="C3777" s="1" t="n">
        <v>45832</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2548-2025</t>
        </is>
      </c>
      <c r="B3778" s="1" t="n">
        <v>45674</v>
      </c>
      <c r="C3778" s="1" t="n">
        <v>45832</v>
      </c>
      <c r="D3778" t="inlineStr">
        <is>
          <t>VÄSTERBOTTENS LÄN</t>
        </is>
      </c>
      <c r="E3778" t="inlineStr">
        <is>
          <t>SKELLEFTEÅ</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2519-2025</t>
        </is>
      </c>
      <c r="B3779" s="1" t="n">
        <v>45674</v>
      </c>
      <c r="C3779" s="1" t="n">
        <v>45832</v>
      </c>
      <c r="D3779" t="inlineStr">
        <is>
          <t>VÄSTERBOTTENS LÄN</t>
        </is>
      </c>
      <c r="E3779" t="inlineStr">
        <is>
          <t>SKELLEFTEÅ</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2522-2025</t>
        </is>
      </c>
      <c r="B3780" s="1" t="n">
        <v>45674</v>
      </c>
      <c r="C3780" s="1" t="n">
        <v>45832</v>
      </c>
      <c r="D3780" t="inlineStr">
        <is>
          <t>VÄSTERBOTTENS LÄN</t>
        </is>
      </c>
      <c r="E3780" t="inlineStr">
        <is>
          <t>SKELLEFTEÅ</t>
        </is>
      </c>
      <c r="F3780" t="inlineStr">
        <is>
          <t>Kommuner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2393-2025</t>
        </is>
      </c>
      <c r="B3781" s="1" t="n">
        <v>45674</v>
      </c>
      <c r="C3781" s="1" t="n">
        <v>45832</v>
      </c>
      <c r="D3781" t="inlineStr">
        <is>
          <t>VÄSTERBOTTENS LÄN</t>
        </is>
      </c>
      <c r="E3781" t="inlineStr">
        <is>
          <t>SKELLEFTEÅ</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2811-2025</t>
        </is>
      </c>
      <c r="B3782" s="1" t="n">
        <v>45677</v>
      </c>
      <c r="C3782" s="1" t="n">
        <v>45832</v>
      </c>
      <c r="D3782" t="inlineStr">
        <is>
          <t>VÄSTERBOTTENS LÄN</t>
        </is>
      </c>
      <c r="E3782" t="inlineStr">
        <is>
          <t>SKELLEFTEÅ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3084-2025</t>
        </is>
      </c>
      <c r="B3783" s="1" t="n">
        <v>45678</v>
      </c>
      <c r="C3783" s="1" t="n">
        <v>45832</v>
      </c>
      <c r="D3783" t="inlineStr">
        <is>
          <t>VÄSTERBOTTENS LÄN</t>
        </is>
      </c>
      <c r="E3783" t="inlineStr">
        <is>
          <t>SKELLEFTEÅ</t>
        </is>
      </c>
      <c r="G3783" t="n">
        <v>11.7</v>
      </c>
      <c r="H3783" t="n">
        <v>0</v>
      </c>
      <c r="I3783" t="n">
        <v>0</v>
      </c>
      <c r="J3783" t="n">
        <v>0</v>
      </c>
      <c r="K3783" t="n">
        <v>0</v>
      </c>
      <c r="L3783" t="n">
        <v>0</v>
      </c>
      <c r="M3783" t="n">
        <v>0</v>
      </c>
      <c r="N3783" t="n">
        <v>0</v>
      </c>
      <c r="O3783" t="n">
        <v>0</v>
      </c>
      <c r="P3783" t="n">
        <v>0</v>
      </c>
      <c r="Q3783" t="n">
        <v>0</v>
      </c>
      <c r="R3783" s="2" t="inlineStr"/>
    </row>
    <row r="3784" ht="15" customHeight="1">
      <c r="A3784" t="inlineStr">
        <is>
          <t>A 2949-2025</t>
        </is>
      </c>
      <c r="B3784" s="1" t="n">
        <v>45678</v>
      </c>
      <c r="C3784" s="1" t="n">
        <v>45832</v>
      </c>
      <c r="D3784" t="inlineStr">
        <is>
          <t>VÄSTERBOTTENS LÄN</t>
        </is>
      </c>
      <c r="E3784" t="inlineStr">
        <is>
          <t>SKELLEFTEÅ</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2966-2025</t>
        </is>
      </c>
      <c r="B3785" s="1" t="n">
        <v>45678</v>
      </c>
      <c r="C3785" s="1" t="n">
        <v>45832</v>
      </c>
      <c r="D3785" t="inlineStr">
        <is>
          <t>VÄSTERBOTTENS LÄN</t>
        </is>
      </c>
      <c r="E3785" t="inlineStr">
        <is>
          <t>SKELLEFTEÅ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3026-2025</t>
        </is>
      </c>
      <c r="B3786" s="1" t="n">
        <v>45678</v>
      </c>
      <c r="C3786" s="1" t="n">
        <v>45832</v>
      </c>
      <c r="D3786" t="inlineStr">
        <is>
          <t>VÄSTERBOTTENS LÄN</t>
        </is>
      </c>
      <c r="E3786" t="inlineStr">
        <is>
          <t>SKELLEFTEÅ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2967-2025</t>
        </is>
      </c>
      <c r="B3787" s="1" t="n">
        <v>45678</v>
      </c>
      <c r="C3787" s="1" t="n">
        <v>45832</v>
      </c>
      <c r="D3787" t="inlineStr">
        <is>
          <t>VÄSTERBOTTENS LÄN</t>
        </is>
      </c>
      <c r="E3787" t="inlineStr">
        <is>
          <t>SKELLEFTEÅ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2963-2025</t>
        </is>
      </c>
      <c r="B3788" s="1" t="n">
        <v>45678</v>
      </c>
      <c r="C3788" s="1" t="n">
        <v>45832</v>
      </c>
      <c r="D3788" t="inlineStr">
        <is>
          <t>VÄSTERBOTTENS LÄN</t>
        </is>
      </c>
      <c r="E3788" t="inlineStr">
        <is>
          <t>SKELLEFTEÅ</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3153-2025</t>
        </is>
      </c>
      <c r="B3789" s="1" t="n">
        <v>45679</v>
      </c>
      <c r="C3789" s="1" t="n">
        <v>45832</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3193-2025</t>
        </is>
      </c>
      <c r="B3790" s="1" t="n">
        <v>45679</v>
      </c>
      <c r="C3790" s="1" t="n">
        <v>45832</v>
      </c>
      <c r="D3790" t="inlineStr">
        <is>
          <t>VÄSTERBOTTENS LÄN</t>
        </is>
      </c>
      <c r="E3790" t="inlineStr">
        <is>
          <t>SKELLEFTEÅ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3164-2025</t>
        </is>
      </c>
      <c r="B3791" s="1" t="n">
        <v>45679</v>
      </c>
      <c r="C3791" s="1" t="n">
        <v>45832</v>
      </c>
      <c r="D3791" t="inlineStr">
        <is>
          <t>VÄSTERBOTTENS LÄN</t>
        </is>
      </c>
      <c r="E3791" t="inlineStr">
        <is>
          <t>SKELLEFTEÅ</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3209-2025</t>
        </is>
      </c>
      <c r="B3792" s="1" t="n">
        <v>45679</v>
      </c>
      <c r="C3792" s="1" t="n">
        <v>45832</v>
      </c>
      <c r="D3792" t="inlineStr">
        <is>
          <t>VÄSTERBOTTENS LÄN</t>
        </is>
      </c>
      <c r="E3792" t="inlineStr">
        <is>
          <t>SKELLEFTEÅ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3370-2025</t>
        </is>
      </c>
      <c r="B3793" s="1" t="n">
        <v>45679</v>
      </c>
      <c r="C3793" s="1" t="n">
        <v>45832</v>
      </c>
      <c r="D3793" t="inlineStr">
        <is>
          <t>VÄSTERBOTTENS LÄN</t>
        </is>
      </c>
      <c r="E3793" t="inlineStr">
        <is>
          <t>SKELLEFTEÅ</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3373-2025</t>
        </is>
      </c>
      <c r="B3794" s="1" t="n">
        <v>45680</v>
      </c>
      <c r="C3794" s="1" t="n">
        <v>45832</v>
      </c>
      <c r="D3794" t="inlineStr">
        <is>
          <t>VÄSTERBOTTENS LÄN</t>
        </is>
      </c>
      <c r="E3794" t="inlineStr">
        <is>
          <t>SKELLEFTEÅ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3708-2025</t>
        </is>
      </c>
      <c r="B3795" s="1" t="n">
        <v>45681</v>
      </c>
      <c r="C3795" s="1" t="n">
        <v>45832</v>
      </c>
      <c r="D3795" t="inlineStr">
        <is>
          <t>VÄSTERBOTTENS LÄN</t>
        </is>
      </c>
      <c r="E3795" t="inlineStr">
        <is>
          <t>SKELLEFTEÅ</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3674-2025</t>
        </is>
      </c>
      <c r="B3796" s="1" t="n">
        <v>45681</v>
      </c>
      <c r="C3796" s="1" t="n">
        <v>45832</v>
      </c>
      <c r="D3796" t="inlineStr">
        <is>
          <t>VÄSTERBOTTENS LÄN</t>
        </is>
      </c>
      <c r="E3796" t="inlineStr">
        <is>
          <t>SKELLEFTEÅ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3626-2025</t>
        </is>
      </c>
      <c r="B3797" s="1" t="n">
        <v>45681</v>
      </c>
      <c r="C3797" s="1" t="n">
        <v>45832</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3843-2025</t>
        </is>
      </c>
      <c r="B3798" s="1" t="n">
        <v>45683</v>
      </c>
      <c r="C3798" s="1" t="n">
        <v>45832</v>
      </c>
      <c r="D3798" t="inlineStr">
        <is>
          <t>VÄSTERBOTTENS LÄN</t>
        </is>
      </c>
      <c r="E3798" t="inlineStr">
        <is>
          <t>SKELLEFTEÅ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3844-2025</t>
        </is>
      </c>
      <c r="B3799" s="1" t="n">
        <v>45683</v>
      </c>
      <c r="C3799" s="1" t="n">
        <v>45832</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3889-2025</t>
        </is>
      </c>
      <c r="B3800" s="1" t="n">
        <v>45684</v>
      </c>
      <c r="C3800" s="1" t="n">
        <v>45832</v>
      </c>
      <c r="D3800" t="inlineStr">
        <is>
          <t>VÄSTERBOTTENS LÄN</t>
        </is>
      </c>
      <c r="E3800" t="inlineStr">
        <is>
          <t>SKELLEFTEÅ</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3892-2025</t>
        </is>
      </c>
      <c r="B3801" s="1" t="n">
        <v>45684</v>
      </c>
      <c r="C3801" s="1" t="n">
        <v>45832</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3883-2025</t>
        </is>
      </c>
      <c r="B3802" s="1" t="n">
        <v>45684</v>
      </c>
      <c r="C3802" s="1" t="n">
        <v>45832</v>
      </c>
      <c r="D3802" t="inlineStr">
        <is>
          <t>VÄSTERBOTTENS LÄN</t>
        </is>
      </c>
      <c r="E3802" t="inlineStr">
        <is>
          <t>SKELLEFTEÅ</t>
        </is>
      </c>
      <c r="G3802" t="n">
        <v>27.6</v>
      </c>
      <c r="H3802" t="n">
        <v>0</v>
      </c>
      <c r="I3802" t="n">
        <v>0</v>
      </c>
      <c r="J3802" t="n">
        <v>0</v>
      </c>
      <c r="K3802" t="n">
        <v>0</v>
      </c>
      <c r="L3802" t="n">
        <v>0</v>
      </c>
      <c r="M3802" t="n">
        <v>0</v>
      </c>
      <c r="N3802" t="n">
        <v>0</v>
      </c>
      <c r="O3802" t="n">
        <v>0</v>
      </c>
      <c r="P3802" t="n">
        <v>0</v>
      </c>
      <c r="Q3802" t="n">
        <v>0</v>
      </c>
      <c r="R3802" s="2" t="inlineStr"/>
    </row>
    <row r="3803" ht="15" customHeight="1">
      <c r="A3803" t="inlineStr">
        <is>
          <t>A 4167-2025</t>
        </is>
      </c>
      <c r="B3803" s="1" t="n">
        <v>45685</v>
      </c>
      <c r="C3803" s="1" t="n">
        <v>45832</v>
      </c>
      <c r="D3803" t="inlineStr">
        <is>
          <t>VÄSTERBOTTENS LÄN</t>
        </is>
      </c>
      <c r="E3803" t="inlineStr">
        <is>
          <t>SKELLEFTEÅ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4184-2025</t>
        </is>
      </c>
      <c r="B3804" s="1" t="n">
        <v>45685</v>
      </c>
      <c r="C3804" s="1" t="n">
        <v>45832</v>
      </c>
      <c r="D3804" t="inlineStr">
        <is>
          <t>VÄSTERBOTTENS LÄN</t>
        </is>
      </c>
      <c r="E3804" t="inlineStr">
        <is>
          <t>SKELLEFTEÅ</t>
        </is>
      </c>
      <c r="F3804" t="inlineStr">
        <is>
          <t>Holmen skog AB</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4508-2025</t>
        </is>
      </c>
      <c r="B3805" s="1" t="n">
        <v>45686</v>
      </c>
      <c r="C3805" s="1" t="n">
        <v>45832</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4510-2025</t>
        </is>
      </c>
      <c r="B3806" s="1" t="n">
        <v>45686</v>
      </c>
      <c r="C3806" s="1" t="n">
        <v>45832</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4507-2025</t>
        </is>
      </c>
      <c r="B3807" s="1" t="n">
        <v>45686</v>
      </c>
      <c r="C3807" s="1" t="n">
        <v>45832</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4509-2025</t>
        </is>
      </c>
      <c r="B3808" s="1" t="n">
        <v>45686</v>
      </c>
      <c r="C3808" s="1" t="n">
        <v>45832</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4403-2025</t>
        </is>
      </c>
      <c r="B3809" s="1" t="n">
        <v>45686</v>
      </c>
      <c r="C3809" s="1" t="n">
        <v>45832</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4387-2025</t>
        </is>
      </c>
      <c r="B3810" s="1" t="n">
        <v>45686</v>
      </c>
      <c r="C3810" s="1" t="n">
        <v>45832</v>
      </c>
      <c r="D3810" t="inlineStr">
        <is>
          <t>VÄSTERBOTTENS LÄN</t>
        </is>
      </c>
      <c r="E3810" t="inlineStr">
        <is>
          <t>SKELLEFTEÅ</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4626-2025</t>
        </is>
      </c>
      <c r="B3811" s="1" t="n">
        <v>45687</v>
      </c>
      <c r="C3811" s="1" t="n">
        <v>45832</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4638-2025</t>
        </is>
      </c>
      <c r="B3812" s="1" t="n">
        <v>45687</v>
      </c>
      <c r="C3812" s="1" t="n">
        <v>45832</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4604-2025</t>
        </is>
      </c>
      <c r="B3813" s="1" t="n">
        <v>45687</v>
      </c>
      <c r="C3813" s="1" t="n">
        <v>45832</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4620-2025</t>
        </is>
      </c>
      <c r="B3814" s="1" t="n">
        <v>45687</v>
      </c>
      <c r="C3814" s="1" t="n">
        <v>45832</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4645-2025</t>
        </is>
      </c>
      <c r="B3815" s="1" t="n">
        <v>45687</v>
      </c>
      <c r="C3815" s="1" t="n">
        <v>45832</v>
      </c>
      <c r="D3815" t="inlineStr">
        <is>
          <t>VÄSTERBOTTENS LÄN</t>
        </is>
      </c>
      <c r="E3815" t="inlineStr">
        <is>
          <t>SKELLEFTEÅ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4923-2025</t>
        </is>
      </c>
      <c r="B3816" s="1" t="n">
        <v>45688</v>
      </c>
      <c r="C3816" s="1" t="n">
        <v>45832</v>
      </c>
      <c r="D3816" t="inlineStr">
        <is>
          <t>VÄSTERBOTTENS LÄN</t>
        </is>
      </c>
      <c r="E3816" t="inlineStr">
        <is>
          <t>SKELLEFTEÅ</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4700-2025</t>
        </is>
      </c>
      <c r="B3817" s="1" t="n">
        <v>45688</v>
      </c>
      <c r="C3817" s="1" t="n">
        <v>45832</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4696-2025</t>
        </is>
      </c>
      <c r="B3818" s="1" t="n">
        <v>45688</v>
      </c>
      <c r="C3818" s="1" t="n">
        <v>45832</v>
      </c>
      <c r="D3818" t="inlineStr">
        <is>
          <t>VÄSTERBOTTENS LÄN</t>
        </is>
      </c>
      <c r="E3818" t="inlineStr">
        <is>
          <t>SKELLEFTEÅ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4959-2025</t>
        </is>
      </c>
      <c r="B3819" s="1" t="n">
        <v>45689</v>
      </c>
      <c r="C3819" s="1" t="n">
        <v>45832</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4958-2025</t>
        </is>
      </c>
      <c r="B3820" s="1" t="n">
        <v>45689</v>
      </c>
      <c r="C3820" s="1" t="n">
        <v>45832</v>
      </c>
      <c r="D3820" t="inlineStr">
        <is>
          <t>VÄSTERBOTTENS LÄN</t>
        </is>
      </c>
      <c r="E3820" t="inlineStr">
        <is>
          <t>SKELLEFTEÅ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4956-2025</t>
        </is>
      </c>
      <c r="B3821" s="1" t="n">
        <v>45689</v>
      </c>
      <c r="C3821" s="1" t="n">
        <v>45832</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4972-2025</t>
        </is>
      </c>
      <c r="B3822" s="1" t="n">
        <v>45690</v>
      </c>
      <c r="C3822" s="1" t="n">
        <v>45832</v>
      </c>
      <c r="D3822" t="inlineStr">
        <is>
          <t>VÄSTERBOTTENS LÄN</t>
        </is>
      </c>
      <c r="E3822" t="inlineStr">
        <is>
          <t>SKELLEFTEÅ</t>
        </is>
      </c>
      <c r="F3822" t="inlineStr">
        <is>
          <t>Sveaskog</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5116-2025</t>
        </is>
      </c>
      <c r="B3823" s="1" t="n">
        <v>45691</v>
      </c>
      <c r="C3823" s="1" t="n">
        <v>45832</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5133-2025</t>
        </is>
      </c>
      <c r="B3824" s="1" t="n">
        <v>45691</v>
      </c>
      <c r="C3824" s="1" t="n">
        <v>45832</v>
      </c>
      <c r="D3824" t="inlineStr">
        <is>
          <t>VÄSTERBOTTENS LÄN</t>
        </is>
      </c>
      <c r="E3824" t="inlineStr">
        <is>
          <t>SKELLEFTEÅ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5147-2025</t>
        </is>
      </c>
      <c r="B3825" s="1" t="n">
        <v>45691</v>
      </c>
      <c r="C3825" s="1" t="n">
        <v>45832</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5186-2025</t>
        </is>
      </c>
      <c r="B3826" s="1" t="n">
        <v>45691</v>
      </c>
      <c r="C3826" s="1" t="n">
        <v>45832</v>
      </c>
      <c r="D3826" t="inlineStr">
        <is>
          <t>VÄSTERBOTTENS LÄN</t>
        </is>
      </c>
      <c r="E3826" t="inlineStr">
        <is>
          <t>SKELLEFTEÅ</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5011-2025</t>
        </is>
      </c>
      <c r="B3827" s="1" t="n">
        <v>45691</v>
      </c>
      <c r="C3827" s="1" t="n">
        <v>45832</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5367-2025</t>
        </is>
      </c>
      <c r="B3828" s="1" t="n">
        <v>45692</v>
      </c>
      <c r="C3828" s="1" t="n">
        <v>45832</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5374-2025</t>
        </is>
      </c>
      <c r="B3829" s="1" t="n">
        <v>45692</v>
      </c>
      <c r="C3829" s="1" t="n">
        <v>45832</v>
      </c>
      <c r="D3829" t="inlineStr">
        <is>
          <t>VÄSTERBOTTENS LÄN</t>
        </is>
      </c>
      <c r="E3829" t="inlineStr">
        <is>
          <t>SKELLEFTEÅ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5563-2025</t>
        </is>
      </c>
      <c r="B3830" s="1" t="n">
        <v>45693</v>
      </c>
      <c r="C3830" s="1" t="n">
        <v>45832</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5475-2025</t>
        </is>
      </c>
      <c r="B3831" s="1" t="n">
        <v>45693</v>
      </c>
      <c r="C3831" s="1" t="n">
        <v>45832</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5827-2025</t>
        </is>
      </c>
      <c r="B3832" s="1" t="n">
        <v>45694</v>
      </c>
      <c r="C3832" s="1" t="n">
        <v>45832</v>
      </c>
      <c r="D3832" t="inlineStr">
        <is>
          <t>VÄSTERBOTTENS LÄN</t>
        </is>
      </c>
      <c r="E3832" t="inlineStr">
        <is>
          <t>SKELLEFTEÅ</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5783-2025</t>
        </is>
      </c>
      <c r="B3833" s="1" t="n">
        <v>45694</v>
      </c>
      <c r="C3833" s="1" t="n">
        <v>45832</v>
      </c>
      <c r="D3833" t="inlineStr">
        <is>
          <t>VÄSTERBOTTENS LÄN</t>
        </is>
      </c>
      <c r="E3833" t="inlineStr">
        <is>
          <t>SKELLEFTEÅ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5768-2025</t>
        </is>
      </c>
      <c r="B3834" s="1" t="n">
        <v>45694</v>
      </c>
      <c r="C3834" s="1" t="n">
        <v>45832</v>
      </c>
      <c r="D3834" t="inlineStr">
        <is>
          <t>VÄSTERBOTTENS LÄN</t>
        </is>
      </c>
      <c r="E3834" t="inlineStr">
        <is>
          <t>SKELLEFTEÅ</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5828-2025</t>
        </is>
      </c>
      <c r="B3835" s="1" t="n">
        <v>45694</v>
      </c>
      <c r="C3835" s="1" t="n">
        <v>45832</v>
      </c>
      <c r="D3835" t="inlineStr">
        <is>
          <t>VÄSTERBOTTENS LÄN</t>
        </is>
      </c>
      <c r="E3835" t="inlineStr">
        <is>
          <t>SKELLEFTEÅ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5831-2025</t>
        </is>
      </c>
      <c r="B3836" s="1" t="n">
        <v>45694</v>
      </c>
      <c r="C3836" s="1" t="n">
        <v>45832</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5826-2025</t>
        </is>
      </c>
      <c r="B3837" s="1" t="n">
        <v>45694</v>
      </c>
      <c r="C3837" s="1" t="n">
        <v>45832</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5830-2025</t>
        </is>
      </c>
      <c r="B3838" s="1" t="n">
        <v>45694</v>
      </c>
      <c r="C3838" s="1" t="n">
        <v>45832</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5829-2025</t>
        </is>
      </c>
      <c r="B3839" s="1" t="n">
        <v>45694</v>
      </c>
      <c r="C3839" s="1" t="n">
        <v>45832</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5876-2025</t>
        </is>
      </c>
      <c r="B3840" s="1" t="n">
        <v>45694</v>
      </c>
      <c r="C3840" s="1" t="n">
        <v>45832</v>
      </c>
      <c r="D3840" t="inlineStr">
        <is>
          <t>VÄSTERBOTTENS LÄN</t>
        </is>
      </c>
      <c r="E3840" t="inlineStr">
        <is>
          <t>SKELLEFTEÅ</t>
        </is>
      </c>
      <c r="G3840" t="n">
        <v>60.7</v>
      </c>
      <c r="H3840" t="n">
        <v>0</v>
      </c>
      <c r="I3840" t="n">
        <v>0</v>
      </c>
      <c r="J3840" t="n">
        <v>0</v>
      </c>
      <c r="K3840" t="n">
        <v>0</v>
      </c>
      <c r="L3840" t="n">
        <v>0</v>
      </c>
      <c r="M3840" t="n">
        <v>0</v>
      </c>
      <c r="N3840" t="n">
        <v>0</v>
      </c>
      <c r="O3840" t="n">
        <v>0</v>
      </c>
      <c r="P3840" t="n">
        <v>0</v>
      </c>
      <c r="Q3840" t="n">
        <v>0</v>
      </c>
      <c r="R3840" s="2" t="inlineStr"/>
    </row>
    <row r="3841" ht="15" customHeight="1">
      <c r="A3841" t="inlineStr">
        <is>
          <t>A 5985-2025</t>
        </is>
      </c>
      <c r="B3841" s="1" t="n">
        <v>45695</v>
      </c>
      <c r="C3841" s="1" t="n">
        <v>45832</v>
      </c>
      <c r="D3841" t="inlineStr">
        <is>
          <t>VÄSTERBOTTENS LÄN</t>
        </is>
      </c>
      <c r="E3841" t="inlineStr">
        <is>
          <t>SKELLEFTEÅ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5926-2025</t>
        </is>
      </c>
      <c r="B3842" s="1" t="n">
        <v>45695</v>
      </c>
      <c r="C3842" s="1" t="n">
        <v>45832</v>
      </c>
      <c r="D3842" t="inlineStr">
        <is>
          <t>VÄSTERBOTTENS LÄN</t>
        </is>
      </c>
      <c r="E3842" t="inlineStr">
        <is>
          <t>SKELLEFTEÅ</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5986-2025</t>
        </is>
      </c>
      <c r="B3843" s="1" t="n">
        <v>45695</v>
      </c>
      <c r="C3843" s="1" t="n">
        <v>45832</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5927-2025</t>
        </is>
      </c>
      <c r="B3844" s="1" t="n">
        <v>45695</v>
      </c>
      <c r="C3844" s="1" t="n">
        <v>45832</v>
      </c>
      <c r="D3844" t="inlineStr">
        <is>
          <t>VÄSTERBOTTENS LÄN</t>
        </is>
      </c>
      <c r="E3844" t="inlineStr">
        <is>
          <t>SKELLEFTEÅ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6007-2025</t>
        </is>
      </c>
      <c r="B3845" s="1" t="n">
        <v>45695</v>
      </c>
      <c r="C3845" s="1" t="n">
        <v>45832</v>
      </c>
      <c r="D3845" t="inlineStr">
        <is>
          <t>VÄSTERBOTTENS LÄN</t>
        </is>
      </c>
      <c r="E3845" t="inlineStr">
        <is>
          <t>SKELLEFTEÅ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6018-2025</t>
        </is>
      </c>
      <c r="B3846" s="1" t="n">
        <v>45695</v>
      </c>
      <c r="C3846" s="1" t="n">
        <v>45832</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6168-2025</t>
        </is>
      </c>
      <c r="B3847" s="1" t="n">
        <v>45695</v>
      </c>
      <c r="C3847" s="1" t="n">
        <v>45832</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6286-2025</t>
        </is>
      </c>
      <c r="B3848" s="1" t="n">
        <v>45698</v>
      </c>
      <c r="C3848" s="1" t="n">
        <v>45832</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6443-2025</t>
        </is>
      </c>
      <c r="B3849" s="1" t="n">
        <v>45699</v>
      </c>
      <c r="C3849" s="1" t="n">
        <v>45832</v>
      </c>
      <c r="D3849" t="inlineStr">
        <is>
          <t>VÄSTERBOTTENS LÄN</t>
        </is>
      </c>
      <c r="E3849" t="inlineStr">
        <is>
          <t>SKELLEFTEÅ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6357-2025</t>
        </is>
      </c>
      <c r="B3850" s="1" t="n">
        <v>45699</v>
      </c>
      <c r="C3850" s="1" t="n">
        <v>45832</v>
      </c>
      <c r="D3850" t="inlineStr">
        <is>
          <t>VÄSTERBOTTENS LÄN</t>
        </is>
      </c>
      <c r="E3850" t="inlineStr">
        <is>
          <t>SKELLEFTEÅ</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6900-2025</t>
        </is>
      </c>
      <c r="B3851" s="1" t="n">
        <v>45701</v>
      </c>
      <c r="C3851" s="1" t="n">
        <v>45832</v>
      </c>
      <c r="D3851" t="inlineStr">
        <is>
          <t>VÄSTERBOTTENS LÄN</t>
        </is>
      </c>
      <c r="E3851" t="inlineStr">
        <is>
          <t>SKELLEFTEÅ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v>
      </c>
      <c r="C3852" s="1" t="n">
        <v>45832</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7048-2025</t>
        </is>
      </c>
      <c r="B3853" s="1" t="n">
        <v>45701</v>
      </c>
      <c r="C3853" s="1" t="n">
        <v>45832</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7027-2025</t>
        </is>
      </c>
      <c r="B3854" s="1" t="n">
        <v>45701</v>
      </c>
      <c r="C3854" s="1" t="n">
        <v>45832</v>
      </c>
      <c r="D3854" t="inlineStr">
        <is>
          <t>VÄSTERBOTTENS LÄN</t>
        </is>
      </c>
      <c r="E3854" t="inlineStr">
        <is>
          <t>SKELLEFTEÅ</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6899-2025</t>
        </is>
      </c>
      <c r="B3855" s="1" t="n">
        <v>45701</v>
      </c>
      <c r="C3855" s="1" t="n">
        <v>45832</v>
      </c>
      <c r="D3855" t="inlineStr">
        <is>
          <t>VÄSTERBOTTENS LÄN</t>
        </is>
      </c>
      <c r="E3855" t="inlineStr">
        <is>
          <t>SKELLEFTEÅ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7025-2025</t>
        </is>
      </c>
      <c r="B3856" s="1" t="n">
        <v>45701</v>
      </c>
      <c r="C3856" s="1" t="n">
        <v>45832</v>
      </c>
      <c r="D3856" t="inlineStr">
        <is>
          <t>VÄSTERBOTTENS LÄN</t>
        </is>
      </c>
      <c r="E3856" t="inlineStr">
        <is>
          <t>SKELLEFTEÅ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7295-2025</t>
        </is>
      </c>
      <c r="B3857" s="1" t="n">
        <v>45702</v>
      </c>
      <c r="C3857" s="1" t="n">
        <v>45832</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7815-2025</t>
        </is>
      </c>
      <c r="B3858" s="1" t="n">
        <v>45706</v>
      </c>
      <c r="C3858" s="1" t="n">
        <v>45832</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7816-2025</t>
        </is>
      </c>
      <c r="B3859" s="1" t="n">
        <v>45706</v>
      </c>
      <c r="C3859" s="1" t="n">
        <v>45832</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8090-2025</t>
        </is>
      </c>
      <c r="B3860" s="1" t="n">
        <v>45707</v>
      </c>
      <c r="C3860" s="1" t="n">
        <v>45832</v>
      </c>
      <c r="D3860" t="inlineStr">
        <is>
          <t>VÄSTERBOTTENS LÄN</t>
        </is>
      </c>
      <c r="E3860" t="inlineStr">
        <is>
          <t>SKELLEFTEÅ</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7916-2025</t>
        </is>
      </c>
      <c r="B3861" s="1" t="n">
        <v>45707</v>
      </c>
      <c r="C3861" s="1" t="n">
        <v>45832</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8010-2025</t>
        </is>
      </c>
      <c r="B3862" s="1" t="n">
        <v>45707</v>
      </c>
      <c r="C3862" s="1" t="n">
        <v>45832</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8013-2025</t>
        </is>
      </c>
      <c r="B3863" s="1" t="n">
        <v>45707</v>
      </c>
      <c r="C3863" s="1" t="n">
        <v>45832</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7981-2025</t>
        </is>
      </c>
      <c r="B3864" s="1" t="n">
        <v>45707</v>
      </c>
      <c r="C3864" s="1" t="n">
        <v>45832</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7991-2025</t>
        </is>
      </c>
      <c r="B3865" s="1" t="n">
        <v>45707</v>
      </c>
      <c r="C3865" s="1" t="n">
        <v>45832</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8221-2025</t>
        </is>
      </c>
      <c r="B3866" s="1" t="n">
        <v>45708</v>
      </c>
      <c r="C3866" s="1" t="n">
        <v>45832</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8289-2025</t>
        </is>
      </c>
      <c r="B3867" s="1" t="n">
        <v>45708</v>
      </c>
      <c r="C3867" s="1" t="n">
        <v>45832</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8241-2025</t>
        </is>
      </c>
      <c r="B3868" s="1" t="n">
        <v>45708</v>
      </c>
      <c r="C3868" s="1" t="n">
        <v>45832</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8280-2025</t>
        </is>
      </c>
      <c r="B3869" s="1" t="n">
        <v>45708</v>
      </c>
      <c r="C3869" s="1" t="n">
        <v>45832</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8301-2025</t>
        </is>
      </c>
      <c r="B3870" s="1" t="n">
        <v>45708</v>
      </c>
      <c r="C3870" s="1" t="n">
        <v>45832</v>
      </c>
      <c r="D3870" t="inlineStr">
        <is>
          <t>VÄSTERBOTTENS LÄN</t>
        </is>
      </c>
      <c r="E3870" t="inlineStr">
        <is>
          <t>SKELLEFTEÅ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8141-2025</t>
        </is>
      </c>
      <c r="B3871" s="1" t="n">
        <v>45708</v>
      </c>
      <c r="C3871" s="1" t="n">
        <v>45832</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8240-2025</t>
        </is>
      </c>
      <c r="B3872" s="1" t="n">
        <v>45708</v>
      </c>
      <c r="C3872" s="1" t="n">
        <v>45832</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8144-2025</t>
        </is>
      </c>
      <c r="B3873" s="1" t="n">
        <v>45708</v>
      </c>
      <c r="C3873" s="1" t="n">
        <v>45832</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8140-2025</t>
        </is>
      </c>
      <c r="B3874" s="1" t="n">
        <v>45708</v>
      </c>
      <c r="C3874" s="1" t="n">
        <v>45832</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8427-2025</t>
        </is>
      </c>
      <c r="B3875" s="1" t="n">
        <v>45709</v>
      </c>
      <c r="C3875" s="1" t="n">
        <v>45832</v>
      </c>
      <c r="D3875" t="inlineStr">
        <is>
          <t>VÄSTERBOTTENS LÄN</t>
        </is>
      </c>
      <c r="E3875" t="inlineStr">
        <is>
          <t>SKELLEFTEÅ</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8577-2025</t>
        </is>
      </c>
      <c r="B3876" s="1" t="n">
        <v>45709</v>
      </c>
      <c r="C3876" s="1" t="n">
        <v>45832</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8442-2025</t>
        </is>
      </c>
      <c r="B3877" s="1" t="n">
        <v>45709</v>
      </c>
      <c r="C3877" s="1" t="n">
        <v>45832</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8412-2025</t>
        </is>
      </c>
      <c r="B3878" s="1" t="n">
        <v>45709</v>
      </c>
      <c r="C3878" s="1" t="n">
        <v>45832</v>
      </c>
      <c r="D3878" t="inlineStr">
        <is>
          <t>VÄSTERBOTTENS LÄN</t>
        </is>
      </c>
      <c r="E3878" t="inlineStr">
        <is>
          <t>SKELLEFTEÅ</t>
        </is>
      </c>
      <c r="F3878" t="inlineStr">
        <is>
          <t>Holmen skog AB</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8397-2025</t>
        </is>
      </c>
      <c r="B3879" s="1" t="n">
        <v>45709</v>
      </c>
      <c r="C3879" s="1" t="n">
        <v>45832</v>
      </c>
      <c r="D3879" t="inlineStr">
        <is>
          <t>VÄSTERBOTTENS LÄN</t>
        </is>
      </c>
      <c r="E3879" t="inlineStr">
        <is>
          <t>SKELLEFTEÅ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8658-2025</t>
        </is>
      </c>
      <c r="B3880" s="1" t="n">
        <v>45712</v>
      </c>
      <c r="C3880" s="1" t="n">
        <v>45832</v>
      </c>
      <c r="D3880" t="inlineStr">
        <is>
          <t>VÄSTERBOTTENS LÄN</t>
        </is>
      </c>
      <c r="E3880" t="inlineStr">
        <is>
          <t>SKELLEFTEÅ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8644-2025</t>
        </is>
      </c>
      <c r="B3881" s="1" t="n">
        <v>45712</v>
      </c>
      <c r="C3881" s="1" t="n">
        <v>45832</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8801-2025</t>
        </is>
      </c>
      <c r="B3882" s="1" t="n">
        <v>45712</v>
      </c>
      <c r="C3882" s="1" t="n">
        <v>45832</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8821-2025</t>
        </is>
      </c>
      <c r="B3883" s="1" t="n">
        <v>45712</v>
      </c>
      <c r="C3883" s="1" t="n">
        <v>45832</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8689-2025</t>
        </is>
      </c>
      <c r="B3884" s="1" t="n">
        <v>45712</v>
      </c>
      <c r="C3884" s="1" t="n">
        <v>45832</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8669-2025</t>
        </is>
      </c>
      <c r="B3885" s="1" t="n">
        <v>45712</v>
      </c>
      <c r="C3885" s="1" t="n">
        <v>45832</v>
      </c>
      <c r="D3885" t="inlineStr">
        <is>
          <t>VÄSTERBOTTENS LÄN</t>
        </is>
      </c>
      <c r="E3885" t="inlineStr">
        <is>
          <t>SKELLEFTEÅ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8839-2025</t>
        </is>
      </c>
      <c r="B3886" s="1" t="n">
        <v>45713</v>
      </c>
      <c r="C3886" s="1" t="n">
        <v>45832</v>
      </c>
      <c r="D3886" t="inlineStr">
        <is>
          <t>VÄSTERBOTTENS LÄN</t>
        </is>
      </c>
      <c r="E3886" t="inlineStr">
        <is>
          <t>SKELLEFTEÅ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8840-2025</t>
        </is>
      </c>
      <c r="B3887" s="1" t="n">
        <v>45713</v>
      </c>
      <c r="C3887" s="1" t="n">
        <v>45832</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8887-2025</t>
        </is>
      </c>
      <c r="B3888" s="1" t="n">
        <v>45713</v>
      </c>
      <c r="C3888" s="1" t="n">
        <v>45832</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8927-2025</t>
        </is>
      </c>
      <c r="B3889" s="1" t="n">
        <v>45713</v>
      </c>
      <c r="C3889" s="1" t="n">
        <v>45832</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9183-2025</t>
        </is>
      </c>
      <c r="B3890" s="1" t="n">
        <v>45714</v>
      </c>
      <c r="C3890" s="1" t="n">
        <v>45832</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9450-2025</t>
        </is>
      </c>
      <c r="B3891" s="1" t="n">
        <v>45715</v>
      </c>
      <c r="C3891" s="1" t="n">
        <v>45832</v>
      </c>
      <c r="D3891" t="inlineStr">
        <is>
          <t>VÄSTERBOTTENS LÄN</t>
        </is>
      </c>
      <c r="E3891" t="inlineStr">
        <is>
          <t>SKELLEFTEÅ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9448-2025</t>
        </is>
      </c>
      <c r="B3892" s="1" t="n">
        <v>45715</v>
      </c>
      <c r="C3892" s="1" t="n">
        <v>45832</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9441-2025</t>
        </is>
      </c>
      <c r="B3893" s="1" t="n">
        <v>45715</v>
      </c>
      <c r="C3893" s="1" t="n">
        <v>45832</v>
      </c>
      <c r="D3893" t="inlineStr">
        <is>
          <t>VÄSTERBOTTENS LÄN</t>
        </is>
      </c>
      <c r="E3893" t="inlineStr">
        <is>
          <t>SKELLEFTEÅ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9383-2025</t>
        </is>
      </c>
      <c r="B3894" s="1" t="n">
        <v>45715</v>
      </c>
      <c r="C3894" s="1" t="n">
        <v>45832</v>
      </c>
      <c r="D3894" t="inlineStr">
        <is>
          <t>VÄSTERBOTTENS LÄN</t>
        </is>
      </c>
      <c r="E3894" t="inlineStr">
        <is>
          <t>SKELLEFTEÅ</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9432-2025</t>
        </is>
      </c>
      <c r="B3895" s="1" t="n">
        <v>45715</v>
      </c>
      <c r="C3895" s="1" t="n">
        <v>45832</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9705-2025</t>
        </is>
      </c>
      <c r="B3896" s="1" t="n">
        <v>45716</v>
      </c>
      <c r="C3896" s="1" t="n">
        <v>45832</v>
      </c>
      <c r="D3896" t="inlineStr">
        <is>
          <t>VÄSTERBOTTENS LÄN</t>
        </is>
      </c>
      <c r="E3896" t="inlineStr">
        <is>
          <t>SKELLEFTEÅ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9840-2025</t>
        </is>
      </c>
      <c r="B3897" s="1" t="n">
        <v>45716</v>
      </c>
      <c r="C3897" s="1" t="n">
        <v>45832</v>
      </c>
      <c r="D3897" t="inlineStr">
        <is>
          <t>VÄSTERBOTTENS LÄN</t>
        </is>
      </c>
      <c r="E3897" t="inlineStr">
        <is>
          <t>SKELLEFTEÅ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9841-2025</t>
        </is>
      </c>
      <c r="B3898" s="1" t="n">
        <v>45716</v>
      </c>
      <c r="C3898" s="1" t="n">
        <v>45832</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9702-2025</t>
        </is>
      </c>
      <c r="B3899" s="1" t="n">
        <v>45716</v>
      </c>
      <c r="C3899" s="1" t="n">
        <v>45832</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9694-2025</t>
        </is>
      </c>
      <c r="B3900" s="1" t="n">
        <v>45716</v>
      </c>
      <c r="C3900" s="1" t="n">
        <v>45832</v>
      </c>
      <c r="D3900" t="inlineStr">
        <is>
          <t>VÄSTERBOTTENS LÄN</t>
        </is>
      </c>
      <c r="E3900" t="inlineStr">
        <is>
          <t>SKELLEFTEÅ</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9838-2025</t>
        </is>
      </c>
      <c r="B3901" s="1" t="n">
        <v>45716</v>
      </c>
      <c r="C3901" s="1" t="n">
        <v>45832</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10082-2025</t>
        </is>
      </c>
      <c r="B3902" s="1" t="n">
        <v>45719</v>
      </c>
      <c r="C3902" s="1" t="n">
        <v>45832</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10063-2025</t>
        </is>
      </c>
      <c r="B3903" s="1" t="n">
        <v>45719</v>
      </c>
      <c r="C3903" s="1" t="n">
        <v>45832</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10074-2025</t>
        </is>
      </c>
      <c r="B3904" s="1" t="n">
        <v>45719</v>
      </c>
      <c r="C3904" s="1" t="n">
        <v>45832</v>
      </c>
      <c r="D3904" t="inlineStr">
        <is>
          <t>VÄSTERBOTTENS LÄN</t>
        </is>
      </c>
      <c r="E3904" t="inlineStr">
        <is>
          <t>SKELLEFTEÅ</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10079-2025</t>
        </is>
      </c>
      <c r="B3905" s="1" t="n">
        <v>45719</v>
      </c>
      <c r="C3905" s="1" t="n">
        <v>45832</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10287-2025</t>
        </is>
      </c>
      <c r="B3906" s="1" t="n">
        <v>45720</v>
      </c>
      <c r="C3906" s="1" t="n">
        <v>45832</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10278-2025</t>
        </is>
      </c>
      <c r="B3907" s="1" t="n">
        <v>45720</v>
      </c>
      <c r="C3907" s="1" t="n">
        <v>45832</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10601-2025</t>
        </is>
      </c>
      <c r="B3908" s="1" t="n">
        <v>45721</v>
      </c>
      <c r="C3908" s="1" t="n">
        <v>45832</v>
      </c>
      <c r="D3908" t="inlineStr">
        <is>
          <t>VÄSTERBOTTENS LÄN</t>
        </is>
      </c>
      <c r="E3908" t="inlineStr">
        <is>
          <t>SKELLEFTEÅ</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10903-2025</t>
        </is>
      </c>
      <c r="B3909" s="1" t="n">
        <v>45722</v>
      </c>
      <c r="C3909" s="1" t="n">
        <v>45832</v>
      </c>
      <c r="D3909" t="inlineStr">
        <is>
          <t>VÄSTERBOTTENS LÄN</t>
        </is>
      </c>
      <c r="E3909" t="inlineStr">
        <is>
          <t>SKELLEFTEÅ</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10841-2025</t>
        </is>
      </c>
      <c r="B3910" s="1" t="n">
        <v>45722</v>
      </c>
      <c r="C3910" s="1" t="n">
        <v>45832</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10980-2025</t>
        </is>
      </c>
      <c r="B3911" s="1" t="n">
        <v>45723</v>
      </c>
      <c r="C3911" s="1" t="n">
        <v>45832</v>
      </c>
      <c r="D3911" t="inlineStr">
        <is>
          <t>VÄSTERBOTTENS LÄN</t>
        </is>
      </c>
      <c r="E3911" t="inlineStr">
        <is>
          <t>SKELLEFTEÅ</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v>
      </c>
      <c r="C3912" s="1" t="n">
        <v>45832</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10978-2025</t>
        </is>
      </c>
      <c r="B3913" s="1" t="n">
        <v>45723</v>
      </c>
      <c r="C3913" s="1" t="n">
        <v>45832</v>
      </c>
      <c r="D3913" t="inlineStr">
        <is>
          <t>VÄSTERBOTTENS LÄN</t>
        </is>
      </c>
      <c r="E3913" t="inlineStr">
        <is>
          <t>SKELLEFTEÅ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10977-2025</t>
        </is>
      </c>
      <c r="B3914" s="1" t="n">
        <v>45723</v>
      </c>
      <c r="C3914" s="1" t="n">
        <v>45832</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10975-2025</t>
        </is>
      </c>
      <c r="B3915" s="1" t="n">
        <v>45723</v>
      </c>
      <c r="C3915" s="1" t="n">
        <v>45832</v>
      </c>
      <c r="D3915" t="inlineStr">
        <is>
          <t>VÄSTERBOTTENS LÄN</t>
        </is>
      </c>
      <c r="E3915" t="inlineStr">
        <is>
          <t>SKELLEFTEÅ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11278-2025</t>
        </is>
      </c>
      <c r="B3916" s="1" t="n">
        <v>45726</v>
      </c>
      <c r="C3916" s="1" t="n">
        <v>45832</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11314-2025</t>
        </is>
      </c>
      <c r="B3917" s="1" t="n">
        <v>45726</v>
      </c>
      <c r="C3917" s="1" t="n">
        <v>45832</v>
      </c>
      <c r="D3917" t="inlineStr">
        <is>
          <t>VÄSTERBOTTENS LÄN</t>
        </is>
      </c>
      <c r="E3917" t="inlineStr">
        <is>
          <t>SKELLEFTEÅ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11318-2025</t>
        </is>
      </c>
      <c r="B3918" s="1" t="n">
        <v>45726</v>
      </c>
      <c r="C3918" s="1" t="n">
        <v>45832</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11391-2025</t>
        </is>
      </c>
      <c r="B3919" s="1" t="n">
        <v>45726</v>
      </c>
      <c r="C3919" s="1" t="n">
        <v>45832</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11254-2025</t>
        </is>
      </c>
      <c r="B3920" s="1" t="n">
        <v>45726</v>
      </c>
      <c r="C3920" s="1" t="n">
        <v>45832</v>
      </c>
      <c r="D3920" t="inlineStr">
        <is>
          <t>VÄSTERBOTTENS LÄN</t>
        </is>
      </c>
      <c r="E3920" t="inlineStr">
        <is>
          <t>SKELLEFTEÅ</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11644-2025</t>
        </is>
      </c>
      <c r="B3921" s="1" t="n">
        <v>45727</v>
      </c>
      <c r="C3921" s="1" t="n">
        <v>45832</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11843-2025</t>
        </is>
      </c>
      <c r="B3922" s="1" t="n">
        <v>45728</v>
      </c>
      <c r="C3922" s="1" t="n">
        <v>45832</v>
      </c>
      <c r="D3922" t="inlineStr">
        <is>
          <t>VÄSTERBOTTENS LÄN</t>
        </is>
      </c>
      <c r="E3922" t="inlineStr">
        <is>
          <t>SKELLEFTEÅ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12050-2025</t>
        </is>
      </c>
      <c r="B3923" s="1" t="n">
        <v>45728</v>
      </c>
      <c r="C3923" s="1" t="n">
        <v>45832</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11851-2025</t>
        </is>
      </c>
      <c r="B3924" s="1" t="n">
        <v>45728</v>
      </c>
      <c r="C3924" s="1" t="n">
        <v>45832</v>
      </c>
      <c r="D3924" t="inlineStr">
        <is>
          <t>VÄSTERBOTTENS LÄN</t>
        </is>
      </c>
      <c r="E3924" t="inlineStr">
        <is>
          <t>SKELLEFTEÅ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11971-2025</t>
        </is>
      </c>
      <c r="B3925" s="1" t="n">
        <v>45728</v>
      </c>
      <c r="C3925" s="1" t="n">
        <v>45832</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11884-2025</t>
        </is>
      </c>
      <c r="B3926" s="1" t="n">
        <v>45728</v>
      </c>
      <c r="C3926" s="1" t="n">
        <v>45832</v>
      </c>
      <c r="D3926" t="inlineStr">
        <is>
          <t>VÄSTERBOTTENS LÄN</t>
        </is>
      </c>
      <c r="E3926" t="inlineStr">
        <is>
          <t>SKELLEFTEÅ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11994-2025</t>
        </is>
      </c>
      <c r="B3927" s="1" t="n">
        <v>45728</v>
      </c>
      <c r="C3927" s="1" t="n">
        <v>45832</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11907-2025</t>
        </is>
      </c>
      <c r="B3928" s="1" t="n">
        <v>45728</v>
      </c>
      <c r="C3928" s="1" t="n">
        <v>45832</v>
      </c>
      <c r="D3928" t="inlineStr">
        <is>
          <t>VÄSTERBOTTENS LÄN</t>
        </is>
      </c>
      <c r="E3928" t="inlineStr">
        <is>
          <t>SKELLEFTEÅ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11956-2025</t>
        </is>
      </c>
      <c r="B3929" s="1" t="n">
        <v>45728</v>
      </c>
      <c r="C3929" s="1" t="n">
        <v>45832</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12300-2025</t>
        </is>
      </c>
      <c r="B3930" s="1" t="n">
        <v>45729</v>
      </c>
      <c r="C3930" s="1" t="n">
        <v>45832</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12090-2025</t>
        </is>
      </c>
      <c r="B3931" s="1" t="n">
        <v>45729</v>
      </c>
      <c r="C3931" s="1" t="n">
        <v>45832</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12256-2025</t>
        </is>
      </c>
      <c r="B3932" s="1" t="n">
        <v>45729</v>
      </c>
      <c r="C3932" s="1" t="n">
        <v>45832</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12353-2025</t>
        </is>
      </c>
      <c r="B3933" s="1" t="n">
        <v>45730</v>
      </c>
      <c r="C3933" s="1" t="n">
        <v>45832</v>
      </c>
      <c r="D3933" t="inlineStr">
        <is>
          <t>VÄSTERBOTTENS LÄN</t>
        </is>
      </c>
      <c r="E3933" t="inlineStr">
        <is>
          <t>SKELLEFTEÅ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12545-2025</t>
        </is>
      </c>
      <c r="B3934" s="1" t="n">
        <v>45730</v>
      </c>
      <c r="C3934" s="1" t="n">
        <v>45832</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12547-2025</t>
        </is>
      </c>
      <c r="B3935" s="1" t="n">
        <v>45730</v>
      </c>
      <c r="C3935" s="1" t="n">
        <v>45832</v>
      </c>
      <c r="D3935" t="inlineStr">
        <is>
          <t>VÄSTERBOTTENS LÄN</t>
        </is>
      </c>
      <c r="E3935" t="inlineStr">
        <is>
          <t>SKELLEFTEÅ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12320-2025</t>
        </is>
      </c>
      <c r="B3936" s="1" t="n">
        <v>45730</v>
      </c>
      <c r="C3936" s="1" t="n">
        <v>45832</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12698-2025</t>
        </is>
      </c>
      <c r="B3937" s="1" t="n">
        <v>45733</v>
      </c>
      <c r="C3937" s="1" t="n">
        <v>45832</v>
      </c>
      <c r="D3937" t="inlineStr">
        <is>
          <t>VÄSTERBOTTENS LÄN</t>
        </is>
      </c>
      <c r="E3937" t="inlineStr">
        <is>
          <t>SKELLEFTEÅ</t>
        </is>
      </c>
      <c r="F3937" t="inlineStr">
        <is>
          <t>Kommuner</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12701-2025</t>
        </is>
      </c>
      <c r="B3938" s="1" t="n">
        <v>45733</v>
      </c>
      <c r="C3938" s="1" t="n">
        <v>45832</v>
      </c>
      <c r="D3938" t="inlineStr">
        <is>
          <t>VÄSTERBOTTENS LÄN</t>
        </is>
      </c>
      <c r="E3938" t="inlineStr">
        <is>
          <t>SKELLEFTEÅ</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12694-2025</t>
        </is>
      </c>
      <c r="B3939" s="1" t="n">
        <v>45733</v>
      </c>
      <c r="C3939" s="1" t="n">
        <v>45832</v>
      </c>
      <c r="D3939" t="inlineStr">
        <is>
          <t>VÄSTERBOTTENS LÄN</t>
        </is>
      </c>
      <c r="E3939" t="inlineStr">
        <is>
          <t>SKELLEFTEÅ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12645-2025</t>
        </is>
      </c>
      <c r="B3940" s="1" t="n">
        <v>45733</v>
      </c>
      <c r="C3940" s="1" t="n">
        <v>45832</v>
      </c>
      <c r="D3940" t="inlineStr">
        <is>
          <t>VÄSTERBOTTENS LÄN</t>
        </is>
      </c>
      <c r="E3940" t="inlineStr">
        <is>
          <t>SKELLEFTEÅ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12842-2025</t>
        </is>
      </c>
      <c r="B3941" s="1" t="n">
        <v>45733</v>
      </c>
      <c r="C3941" s="1" t="n">
        <v>45832</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12855-2025</t>
        </is>
      </c>
      <c r="B3942" s="1" t="n">
        <v>45733</v>
      </c>
      <c r="C3942" s="1" t="n">
        <v>45832</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12712-2025</t>
        </is>
      </c>
      <c r="B3943" s="1" t="n">
        <v>45733</v>
      </c>
      <c r="C3943" s="1" t="n">
        <v>45832</v>
      </c>
      <c r="D3943" t="inlineStr">
        <is>
          <t>VÄSTERBOTTENS LÄN</t>
        </is>
      </c>
      <c r="E3943" t="inlineStr">
        <is>
          <t>SKELLEFTEÅ</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12862-2025</t>
        </is>
      </c>
      <c r="B3944" s="1" t="n">
        <v>45733</v>
      </c>
      <c r="C3944" s="1" t="n">
        <v>45832</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12713-2025</t>
        </is>
      </c>
      <c r="B3945" s="1" t="n">
        <v>45733</v>
      </c>
      <c r="C3945" s="1" t="n">
        <v>45832</v>
      </c>
      <c r="D3945" t="inlineStr">
        <is>
          <t>VÄSTERBOTTENS LÄN</t>
        </is>
      </c>
      <c r="E3945" t="inlineStr">
        <is>
          <t>SKELLEFTEÅ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12873-2025</t>
        </is>
      </c>
      <c r="B3946" s="1" t="n">
        <v>45733</v>
      </c>
      <c r="C3946" s="1" t="n">
        <v>45832</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13126-2025</t>
        </is>
      </c>
      <c r="B3947" s="1" t="n">
        <v>45734</v>
      </c>
      <c r="C3947" s="1" t="n">
        <v>45832</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12939-2025</t>
        </is>
      </c>
      <c r="B3948" s="1" t="n">
        <v>45734</v>
      </c>
      <c r="C3948" s="1" t="n">
        <v>45832</v>
      </c>
      <c r="D3948" t="inlineStr">
        <is>
          <t>VÄSTERBOTTENS LÄN</t>
        </is>
      </c>
      <c r="E3948" t="inlineStr">
        <is>
          <t>SKELLEFTEÅ</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13186-2025</t>
        </is>
      </c>
      <c r="B3949" s="1" t="n">
        <v>45735</v>
      </c>
      <c r="C3949" s="1" t="n">
        <v>45832</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13203-2025</t>
        </is>
      </c>
      <c r="B3950" s="1" t="n">
        <v>45735</v>
      </c>
      <c r="C3950" s="1" t="n">
        <v>45832</v>
      </c>
      <c r="D3950" t="inlineStr">
        <is>
          <t>VÄSTERBOTTENS LÄN</t>
        </is>
      </c>
      <c r="E3950" t="inlineStr">
        <is>
          <t>SKELLEFTEÅ</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13225-2025</t>
        </is>
      </c>
      <c r="B3951" s="1" t="n">
        <v>45735</v>
      </c>
      <c r="C3951" s="1" t="n">
        <v>45832</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13207-2025</t>
        </is>
      </c>
      <c r="B3952" s="1" t="n">
        <v>45735</v>
      </c>
      <c r="C3952" s="1" t="n">
        <v>45832</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13487-2025</t>
        </is>
      </c>
      <c r="B3953" s="1" t="n">
        <v>45736</v>
      </c>
      <c r="C3953" s="1" t="n">
        <v>45832</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13569-2025</t>
        </is>
      </c>
      <c r="B3954" s="1" t="n">
        <v>45736</v>
      </c>
      <c r="C3954" s="1" t="n">
        <v>45832</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13649-2025</t>
        </is>
      </c>
      <c r="B3955" s="1" t="n">
        <v>45736</v>
      </c>
      <c r="C3955" s="1" t="n">
        <v>45832</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13478-2025</t>
        </is>
      </c>
      <c r="B3956" s="1" t="n">
        <v>45736</v>
      </c>
      <c r="C3956" s="1" t="n">
        <v>45832</v>
      </c>
      <c r="D3956" t="inlineStr">
        <is>
          <t>VÄSTERBOTTENS LÄN</t>
        </is>
      </c>
      <c r="E3956" t="inlineStr">
        <is>
          <t>SKELLEFTEÅ</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13493-2025</t>
        </is>
      </c>
      <c r="B3957" s="1" t="n">
        <v>45736</v>
      </c>
      <c r="C3957" s="1" t="n">
        <v>45832</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13541-2025</t>
        </is>
      </c>
      <c r="B3958" s="1" t="n">
        <v>45736</v>
      </c>
      <c r="C3958" s="1" t="n">
        <v>45832</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14016-2025</t>
        </is>
      </c>
      <c r="B3959" s="1" t="n">
        <v>45740</v>
      </c>
      <c r="C3959" s="1" t="n">
        <v>45832</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14013-2025</t>
        </is>
      </c>
      <c r="B3960" s="1" t="n">
        <v>45740</v>
      </c>
      <c r="C3960" s="1" t="n">
        <v>45832</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14238-2025</t>
        </is>
      </c>
      <c r="B3961" s="1" t="n">
        <v>45740</v>
      </c>
      <c r="C3961" s="1" t="n">
        <v>45832</v>
      </c>
      <c r="D3961" t="inlineStr">
        <is>
          <t>VÄSTERBOTTENS LÄN</t>
        </is>
      </c>
      <c r="E3961" t="inlineStr">
        <is>
          <t>SKELLEFTEÅ</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14308-2025</t>
        </is>
      </c>
      <c r="B3962" s="1" t="n">
        <v>45740</v>
      </c>
      <c r="C3962" s="1" t="n">
        <v>45832</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14384-2025</t>
        </is>
      </c>
      <c r="B3963" s="1" t="n">
        <v>45741</v>
      </c>
      <c r="C3963" s="1" t="n">
        <v>45832</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14385-2025</t>
        </is>
      </c>
      <c r="B3964" s="1" t="n">
        <v>45741</v>
      </c>
      <c r="C3964" s="1" t="n">
        <v>45832</v>
      </c>
      <c r="D3964" t="inlineStr">
        <is>
          <t>VÄSTERBOTTENS LÄN</t>
        </is>
      </c>
      <c r="E3964" t="inlineStr">
        <is>
          <t>SKELLEFTEÅ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14386-2025</t>
        </is>
      </c>
      <c r="B3965" s="1" t="n">
        <v>45741</v>
      </c>
      <c r="C3965" s="1" t="n">
        <v>45832</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14347-2025</t>
        </is>
      </c>
      <c r="B3966" s="1" t="n">
        <v>45741</v>
      </c>
      <c r="C3966" s="1" t="n">
        <v>45832</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14394-2025</t>
        </is>
      </c>
      <c r="B3967" s="1" t="n">
        <v>45741</v>
      </c>
      <c r="C3967" s="1" t="n">
        <v>45832</v>
      </c>
      <c r="D3967" t="inlineStr">
        <is>
          <t>VÄSTERBOTTENS LÄN</t>
        </is>
      </c>
      <c r="E3967" t="inlineStr">
        <is>
          <t>SKELLEFTEÅ</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14346-2025</t>
        </is>
      </c>
      <c r="B3968" s="1" t="n">
        <v>45741</v>
      </c>
      <c r="C3968" s="1" t="n">
        <v>45832</v>
      </c>
      <c r="D3968" t="inlineStr">
        <is>
          <t>VÄSTERBOTTENS LÄN</t>
        </is>
      </c>
      <c r="E3968" t="inlineStr">
        <is>
          <t>SKELLEFTEÅ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14774-2025</t>
        </is>
      </c>
      <c r="B3969" s="1" t="n">
        <v>45742</v>
      </c>
      <c r="C3969" s="1" t="n">
        <v>45832</v>
      </c>
      <c r="D3969" t="inlineStr">
        <is>
          <t>VÄSTERBOTTENS LÄN</t>
        </is>
      </c>
      <c r="E3969" t="inlineStr">
        <is>
          <t>SKELLEFTEÅ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14846-2025</t>
        </is>
      </c>
      <c r="B3970" s="1" t="n">
        <v>45743</v>
      </c>
      <c r="C3970" s="1" t="n">
        <v>45832</v>
      </c>
      <c r="D3970" t="inlineStr">
        <is>
          <t>VÄSTERBOTTENS LÄN</t>
        </is>
      </c>
      <c r="E3970" t="inlineStr">
        <is>
          <t>SKELLEFTEÅ</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15116-2025</t>
        </is>
      </c>
      <c r="B3971" s="1" t="n">
        <v>45744</v>
      </c>
      <c r="C3971" s="1" t="n">
        <v>45832</v>
      </c>
      <c r="D3971" t="inlineStr">
        <is>
          <t>VÄSTERBOTTENS LÄN</t>
        </is>
      </c>
      <c r="E3971" t="inlineStr">
        <is>
          <t>SKELLEFTEÅ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15138-2025</t>
        </is>
      </c>
      <c r="B3972" s="1" t="n">
        <v>45744</v>
      </c>
      <c r="C3972" s="1" t="n">
        <v>45832</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15089-2025</t>
        </is>
      </c>
      <c r="B3973" s="1" t="n">
        <v>45744</v>
      </c>
      <c r="C3973" s="1" t="n">
        <v>45832</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15136-2025</t>
        </is>
      </c>
      <c r="B3974" s="1" t="n">
        <v>45744</v>
      </c>
      <c r="C3974" s="1" t="n">
        <v>45832</v>
      </c>
      <c r="D3974" t="inlineStr">
        <is>
          <t>VÄSTERBOTTENS LÄN</t>
        </is>
      </c>
      <c r="E3974" t="inlineStr">
        <is>
          <t>SKELLEFTEÅ</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15218-2025</t>
        </is>
      </c>
      <c r="B3975" s="1" t="n">
        <v>45744</v>
      </c>
      <c r="C3975" s="1" t="n">
        <v>45832</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15225-2025</t>
        </is>
      </c>
      <c r="B3976" s="1" t="n">
        <v>45744</v>
      </c>
      <c r="C3976" s="1" t="n">
        <v>45832</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15245-2025</t>
        </is>
      </c>
      <c r="B3977" s="1" t="n">
        <v>45744</v>
      </c>
      <c r="C3977" s="1" t="n">
        <v>45832</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15137-2025</t>
        </is>
      </c>
      <c r="B3978" s="1" t="n">
        <v>45744</v>
      </c>
      <c r="C3978" s="1" t="n">
        <v>45832</v>
      </c>
      <c r="D3978" t="inlineStr">
        <is>
          <t>VÄSTERBOTTENS LÄN</t>
        </is>
      </c>
      <c r="E3978" t="inlineStr">
        <is>
          <t>SKELLEFTEÅ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15301-2025</t>
        </is>
      </c>
      <c r="B3979" s="1" t="n">
        <v>45746</v>
      </c>
      <c r="C3979" s="1" t="n">
        <v>45832</v>
      </c>
      <c r="D3979" t="inlineStr">
        <is>
          <t>VÄSTERBOTTENS LÄN</t>
        </is>
      </c>
      <c r="E3979" t="inlineStr">
        <is>
          <t>SKELLEFTEÅ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15461-2025</t>
        </is>
      </c>
      <c r="B3980" s="1" t="n">
        <v>45747</v>
      </c>
      <c r="C3980" s="1" t="n">
        <v>45832</v>
      </c>
      <c r="D3980" t="inlineStr">
        <is>
          <t>VÄSTERBOTTENS LÄN</t>
        </is>
      </c>
      <c r="E3980" t="inlineStr">
        <is>
          <t>SKELLEFTEÅ</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15360-2025</t>
        </is>
      </c>
      <c r="B3981" s="1" t="n">
        <v>45747</v>
      </c>
      <c r="C3981" s="1" t="n">
        <v>45832</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15542-2025</t>
        </is>
      </c>
      <c r="B3982" s="1" t="n">
        <v>45747</v>
      </c>
      <c r="C3982" s="1" t="n">
        <v>45832</v>
      </c>
      <c r="D3982" t="inlineStr">
        <is>
          <t>VÄSTERBOTTENS LÄN</t>
        </is>
      </c>
      <c r="E3982" t="inlineStr">
        <is>
          <t>SKELLEFTEÅ</t>
        </is>
      </c>
      <c r="F3982" t="inlineStr">
        <is>
          <t>Övriga Aktiebolag</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15745-2025</t>
        </is>
      </c>
      <c r="B3983" s="1" t="n">
        <v>45748</v>
      </c>
      <c r="C3983" s="1" t="n">
        <v>45832</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16186-2025</t>
        </is>
      </c>
      <c r="B3984" s="1" t="n">
        <v>45749</v>
      </c>
      <c r="C3984" s="1" t="n">
        <v>45832</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16202-2025</t>
        </is>
      </c>
      <c r="B3985" s="1" t="n">
        <v>45750</v>
      </c>
      <c r="C3985" s="1" t="n">
        <v>45832</v>
      </c>
      <c r="D3985" t="inlineStr">
        <is>
          <t>VÄSTERBOTTENS LÄN</t>
        </is>
      </c>
      <c r="E3985" t="inlineStr">
        <is>
          <t>SKELLEFTEÅ</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45832</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16251-2025</t>
        </is>
      </c>
      <c r="B3987" s="1" t="n">
        <v>45750</v>
      </c>
      <c r="C3987" s="1" t="n">
        <v>45832</v>
      </c>
      <c r="D3987" t="inlineStr">
        <is>
          <t>VÄSTERBOTTENS LÄN</t>
        </is>
      </c>
      <c r="E3987" t="inlineStr">
        <is>
          <t>SKELLEFTEÅ</t>
        </is>
      </c>
      <c r="F3987" t="inlineStr">
        <is>
          <t>Kommuner</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16156-2025</t>
        </is>
      </c>
      <c r="B3988" s="1" t="n">
        <v>45750</v>
      </c>
      <c r="C3988" s="1" t="n">
        <v>45832</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16248-2025</t>
        </is>
      </c>
      <c r="B3989" s="1" t="n">
        <v>45750</v>
      </c>
      <c r="C3989" s="1" t="n">
        <v>45832</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16190-2025</t>
        </is>
      </c>
      <c r="B3990" s="1" t="n">
        <v>45750</v>
      </c>
      <c r="C3990" s="1" t="n">
        <v>45832</v>
      </c>
      <c r="D3990" t="inlineStr">
        <is>
          <t>VÄSTERBOTTENS LÄN</t>
        </is>
      </c>
      <c r="E3990" t="inlineStr">
        <is>
          <t>SKELLEFTEÅ</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16219-2025</t>
        </is>
      </c>
      <c r="B3991" s="1" t="n">
        <v>45750</v>
      </c>
      <c r="C3991" s="1" t="n">
        <v>45832</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16261-2025</t>
        </is>
      </c>
      <c r="B3992" s="1" t="n">
        <v>45750</v>
      </c>
      <c r="C3992" s="1" t="n">
        <v>45832</v>
      </c>
      <c r="D3992" t="inlineStr">
        <is>
          <t>VÄSTERBOTTENS LÄN</t>
        </is>
      </c>
      <c r="E3992" t="inlineStr">
        <is>
          <t>SKELLEFTEÅ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16201-2025</t>
        </is>
      </c>
      <c r="B3993" s="1" t="n">
        <v>45750</v>
      </c>
      <c r="C3993" s="1" t="n">
        <v>45832</v>
      </c>
      <c r="D3993" t="inlineStr">
        <is>
          <t>VÄSTERBOTTENS LÄN</t>
        </is>
      </c>
      <c r="E3993" t="inlineStr">
        <is>
          <t>SKELLEFTEÅ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16226-2025</t>
        </is>
      </c>
      <c r="B3994" s="1" t="n">
        <v>45750</v>
      </c>
      <c r="C3994" s="1" t="n">
        <v>45832</v>
      </c>
      <c r="D3994" t="inlineStr">
        <is>
          <t>VÄSTERBOTTENS LÄN</t>
        </is>
      </c>
      <c r="E3994" t="inlineStr">
        <is>
          <t>SKELLEFTEÅ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16457-2025</t>
        </is>
      </c>
      <c r="B3995" s="1" t="n">
        <v>45750</v>
      </c>
      <c r="C3995" s="1" t="n">
        <v>45832</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16461-2025</t>
        </is>
      </c>
      <c r="B3996" s="1" t="n">
        <v>45750</v>
      </c>
      <c r="C3996" s="1" t="n">
        <v>45832</v>
      </c>
      <c r="D3996" t="inlineStr">
        <is>
          <t>VÄSTERBOTTENS LÄN</t>
        </is>
      </c>
      <c r="E3996" t="inlineStr">
        <is>
          <t>SKELLEFTEÅ</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16443-2025</t>
        </is>
      </c>
      <c r="B3997" s="1" t="n">
        <v>45750</v>
      </c>
      <c r="C3997" s="1" t="n">
        <v>45832</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16257-2025</t>
        </is>
      </c>
      <c r="B3998" s="1" t="n">
        <v>45750</v>
      </c>
      <c r="C3998" s="1" t="n">
        <v>45832</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16236-2025</t>
        </is>
      </c>
      <c r="B3999" s="1" t="n">
        <v>45750</v>
      </c>
      <c r="C3999" s="1" t="n">
        <v>45832</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16539-2025</t>
        </is>
      </c>
      <c r="B4000" s="1" t="n">
        <v>45751</v>
      </c>
      <c r="C4000" s="1" t="n">
        <v>45832</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16900-2025</t>
        </is>
      </c>
      <c r="B4001" s="1" t="n">
        <v>45751</v>
      </c>
      <c r="C4001" s="1" t="n">
        <v>45832</v>
      </c>
      <c r="D4001" t="inlineStr">
        <is>
          <t>VÄSTERBOTTENS LÄN</t>
        </is>
      </c>
      <c r="E4001" t="inlineStr">
        <is>
          <t>SKELLEFTEÅ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16706-2025</t>
        </is>
      </c>
      <c r="B4002" s="1" t="n">
        <v>45751</v>
      </c>
      <c r="C4002" s="1" t="n">
        <v>45832</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16899-2025</t>
        </is>
      </c>
      <c r="B4003" s="1" t="n">
        <v>45751</v>
      </c>
      <c r="C4003" s="1" t="n">
        <v>45832</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16410-2025</t>
        </is>
      </c>
      <c r="B4004" s="1" t="n">
        <v>45751</v>
      </c>
      <c r="C4004" s="1" t="n">
        <v>45832</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c r="U4004">
        <f>HYPERLINK("https://klasma.github.io/Logging_242482/knärot/A 16410-2025 karta knärot.png", "A 16410-2025")</f>
        <v/>
      </c>
      <c r="V4004">
        <f>HYPERLINK("https://klasma.github.io/Logging_242482/klagomål/A 16410-2025 FSC-klagomål.docx", "A 16410-2025")</f>
        <v/>
      </c>
      <c r="W4004">
        <f>HYPERLINK("https://klasma.github.io/Logging_242482/klagomålsmail/A 16410-2025 FSC-klagomål mail.docx", "A 16410-2025")</f>
        <v/>
      </c>
      <c r="X4004">
        <f>HYPERLINK("https://klasma.github.io/Logging_242482/tillsyn/A 16410-2025 tillsynsbegäran.docx", "A 16410-2025")</f>
        <v/>
      </c>
      <c r="Y4004">
        <f>HYPERLINK("https://klasma.github.io/Logging_242482/tillsynsmail/A 16410-2025 tillsynsbegäran mail.docx", "A 16410-2025")</f>
        <v/>
      </c>
    </row>
    <row r="4005" ht="15" customHeight="1">
      <c r="A4005" t="inlineStr">
        <is>
          <t>A 16403-2025</t>
        </is>
      </c>
      <c r="B4005" s="1" t="n">
        <v>45751</v>
      </c>
      <c r="C4005" s="1" t="n">
        <v>45832</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16437-2025</t>
        </is>
      </c>
      <c r="B4006" s="1" t="n">
        <v>45751</v>
      </c>
      <c r="C4006" s="1" t="n">
        <v>45832</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16707-2025</t>
        </is>
      </c>
      <c r="B4007" s="1" t="n">
        <v>45751</v>
      </c>
      <c r="C4007" s="1" t="n">
        <v>45832</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16708-2025</t>
        </is>
      </c>
      <c r="B4008" s="1" t="n">
        <v>45751</v>
      </c>
      <c r="C4008" s="1" t="n">
        <v>45832</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16355-2025</t>
        </is>
      </c>
      <c r="B4009" s="1" t="n">
        <v>45751</v>
      </c>
      <c r="C4009" s="1" t="n">
        <v>45832</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16415-2025</t>
        </is>
      </c>
      <c r="B4010" s="1" t="n">
        <v>45751</v>
      </c>
      <c r="C4010" s="1" t="n">
        <v>45832</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16416-2025</t>
        </is>
      </c>
      <c r="B4011" s="1" t="n">
        <v>45751</v>
      </c>
      <c r="C4011" s="1" t="n">
        <v>45832</v>
      </c>
      <c r="D4011" t="inlineStr">
        <is>
          <t>VÄSTERBOTTENS LÄN</t>
        </is>
      </c>
      <c r="E4011" t="inlineStr">
        <is>
          <t>SKELLEFTEÅ</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16409-2025</t>
        </is>
      </c>
      <c r="B4012" s="1" t="n">
        <v>45751</v>
      </c>
      <c r="C4012" s="1" t="n">
        <v>45832</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16602-2025</t>
        </is>
      </c>
      <c r="B4013" s="1" t="n">
        <v>45753</v>
      </c>
      <c r="C4013" s="1" t="n">
        <v>45832</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16604-2025</t>
        </is>
      </c>
      <c r="B4014" s="1" t="n">
        <v>45753</v>
      </c>
      <c r="C4014" s="1" t="n">
        <v>45832</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16663-2025</t>
        </is>
      </c>
      <c r="B4015" s="1" t="n">
        <v>45754</v>
      </c>
      <c r="C4015" s="1" t="n">
        <v>45832</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16672-2025</t>
        </is>
      </c>
      <c r="B4016" s="1" t="n">
        <v>45754</v>
      </c>
      <c r="C4016" s="1" t="n">
        <v>45832</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17010-2025</t>
        </is>
      </c>
      <c r="B4017" s="1" t="n">
        <v>45754</v>
      </c>
      <c r="C4017" s="1" t="n">
        <v>45832</v>
      </c>
      <c r="D4017" t="inlineStr">
        <is>
          <t>VÄSTERBOTTENS LÄN</t>
        </is>
      </c>
      <c r="E4017" t="inlineStr">
        <is>
          <t>SKELLEFTEÅ</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16856-2025</t>
        </is>
      </c>
      <c r="B4018" s="1" t="n">
        <v>45754</v>
      </c>
      <c r="C4018" s="1" t="n">
        <v>45832</v>
      </c>
      <c r="D4018" t="inlineStr">
        <is>
          <t>VÄSTERBOTTENS LÄN</t>
        </is>
      </c>
      <c r="E4018" t="inlineStr">
        <is>
          <t>SKELLEFTEÅ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16760-2025</t>
        </is>
      </c>
      <c r="B4019" s="1" t="n">
        <v>45754</v>
      </c>
      <c r="C4019" s="1" t="n">
        <v>45832</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16642-2025</t>
        </is>
      </c>
      <c r="B4020" s="1" t="n">
        <v>45754</v>
      </c>
      <c r="C4020" s="1" t="n">
        <v>45832</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17008-2025</t>
        </is>
      </c>
      <c r="B4021" s="1" t="n">
        <v>45755</v>
      </c>
      <c r="C4021" s="1" t="n">
        <v>45832</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17015-2025</t>
        </is>
      </c>
      <c r="B4022" s="1" t="n">
        <v>45755</v>
      </c>
      <c r="C4022" s="1" t="n">
        <v>45832</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17134-2025</t>
        </is>
      </c>
      <c r="B4023" s="1" t="n">
        <v>45755</v>
      </c>
      <c r="C4023" s="1" t="n">
        <v>45832</v>
      </c>
      <c r="D4023" t="inlineStr">
        <is>
          <t>VÄSTERBOTTENS LÄN</t>
        </is>
      </c>
      <c r="E4023" t="inlineStr">
        <is>
          <t>SKELLEFTEÅ</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17005-2025</t>
        </is>
      </c>
      <c r="B4024" s="1" t="n">
        <v>45755</v>
      </c>
      <c r="C4024" s="1" t="n">
        <v>45832</v>
      </c>
      <c r="D4024" t="inlineStr">
        <is>
          <t>VÄSTERBOTTENS LÄN</t>
        </is>
      </c>
      <c r="E4024" t="inlineStr">
        <is>
          <t>SKELLEFTEÅ</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17168-2025</t>
        </is>
      </c>
      <c r="B4025" s="1" t="n">
        <v>45755</v>
      </c>
      <c r="C4025" s="1" t="n">
        <v>45832</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16971-2025</t>
        </is>
      </c>
      <c r="B4026" s="1" t="n">
        <v>45755</v>
      </c>
      <c r="C4026" s="1" t="n">
        <v>45832</v>
      </c>
      <c r="D4026" t="inlineStr">
        <is>
          <t>VÄSTERBOTTENS LÄN</t>
        </is>
      </c>
      <c r="E4026" t="inlineStr">
        <is>
          <t>SKELLEFTEÅ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17173-2025</t>
        </is>
      </c>
      <c r="B4027" s="1" t="n">
        <v>45756</v>
      </c>
      <c r="C4027" s="1" t="n">
        <v>45832</v>
      </c>
      <c r="D4027" t="inlineStr">
        <is>
          <t>VÄSTERBOTTENS LÄN</t>
        </is>
      </c>
      <c r="E4027" t="inlineStr">
        <is>
          <t>SKELLEFTEÅ</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17182-2025</t>
        </is>
      </c>
      <c r="B4028" s="1" t="n">
        <v>45756</v>
      </c>
      <c r="C4028" s="1" t="n">
        <v>45832</v>
      </c>
      <c r="D4028" t="inlineStr">
        <is>
          <t>VÄSTERBOTTENS LÄN</t>
        </is>
      </c>
      <c r="E4028" t="inlineStr">
        <is>
          <t>SKELLEFTEÅ</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17160-2025</t>
        </is>
      </c>
      <c r="B4029" s="1" t="n">
        <v>45756</v>
      </c>
      <c r="C4029" s="1" t="n">
        <v>45832</v>
      </c>
      <c r="D4029" t="inlineStr">
        <is>
          <t>VÄSTERBOTTENS LÄN</t>
        </is>
      </c>
      <c r="E4029" t="inlineStr">
        <is>
          <t>SKELLEFTEÅ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17154-2025</t>
        </is>
      </c>
      <c r="B4030" s="1" t="n">
        <v>45756</v>
      </c>
      <c r="C4030" s="1" t="n">
        <v>45832</v>
      </c>
      <c r="D4030" t="inlineStr">
        <is>
          <t>VÄSTERBOTTENS LÄN</t>
        </is>
      </c>
      <c r="E4030" t="inlineStr">
        <is>
          <t>SKELLEFTEÅ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17162-2025</t>
        </is>
      </c>
      <c r="B4031" s="1" t="n">
        <v>45756</v>
      </c>
      <c r="C4031" s="1" t="n">
        <v>45832</v>
      </c>
      <c r="D4031" t="inlineStr">
        <is>
          <t>VÄSTERBOTTENS LÄN</t>
        </is>
      </c>
      <c r="E4031" t="inlineStr">
        <is>
          <t>SKELLEFTEÅ</t>
        </is>
      </c>
      <c r="G4031" t="n">
        <v>23.9</v>
      </c>
      <c r="H4031" t="n">
        <v>0</v>
      </c>
      <c r="I4031" t="n">
        <v>0</v>
      </c>
      <c r="J4031" t="n">
        <v>0</v>
      </c>
      <c r="K4031" t="n">
        <v>0</v>
      </c>
      <c r="L4031" t="n">
        <v>0</v>
      </c>
      <c r="M4031" t="n">
        <v>0</v>
      </c>
      <c r="N4031" t="n">
        <v>0</v>
      </c>
      <c r="O4031" t="n">
        <v>0</v>
      </c>
      <c r="P4031" t="n">
        <v>0</v>
      </c>
      <c r="Q4031" t="n">
        <v>0</v>
      </c>
      <c r="R4031" s="2" t="inlineStr"/>
    </row>
    <row r="4032" ht="15" customHeight="1">
      <c r="A4032" t="inlineStr">
        <is>
          <t>A 17628-2025</t>
        </is>
      </c>
      <c r="B4032" s="1" t="n">
        <v>45758</v>
      </c>
      <c r="C4032" s="1" t="n">
        <v>45832</v>
      </c>
      <c r="D4032" t="inlineStr">
        <is>
          <t>VÄSTERBOTTENS LÄN</t>
        </is>
      </c>
      <c r="E4032" t="inlineStr">
        <is>
          <t>SKELLEFTEÅ</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17561-2025</t>
        </is>
      </c>
      <c r="B4033" s="1" t="n">
        <v>45757</v>
      </c>
      <c r="C4033" s="1" t="n">
        <v>45832</v>
      </c>
      <c r="D4033" t="inlineStr">
        <is>
          <t>VÄSTERBOTTENS LÄN</t>
        </is>
      </c>
      <c r="E4033" t="inlineStr">
        <is>
          <t>SKELLEFTEÅ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17874-2025</t>
        </is>
      </c>
      <c r="B4034" s="1" t="n">
        <v>45758</v>
      </c>
      <c r="C4034" s="1" t="n">
        <v>45832</v>
      </c>
      <c r="D4034" t="inlineStr">
        <is>
          <t>VÄSTERBOTTENS LÄN</t>
        </is>
      </c>
      <c r="E4034" t="inlineStr">
        <is>
          <t>SKELLEFTEÅ</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17859-2025</t>
        </is>
      </c>
      <c r="B4035" s="1" t="n">
        <v>45758</v>
      </c>
      <c r="C4035" s="1" t="n">
        <v>45832</v>
      </c>
      <c r="D4035" t="inlineStr">
        <is>
          <t>VÄSTERBOTTENS LÄN</t>
        </is>
      </c>
      <c r="E4035" t="inlineStr">
        <is>
          <t>SKELLEFTEÅ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18033-2025</t>
        </is>
      </c>
      <c r="B4036" s="1" t="n">
        <v>45761</v>
      </c>
      <c r="C4036" s="1" t="n">
        <v>45832</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18082-2025</t>
        </is>
      </c>
      <c r="B4037" s="1" t="n">
        <v>45761</v>
      </c>
      <c r="C4037" s="1" t="n">
        <v>45832</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18030-2025</t>
        </is>
      </c>
      <c r="B4038" s="1" t="n">
        <v>45761</v>
      </c>
      <c r="C4038" s="1" t="n">
        <v>45832</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18167-2025</t>
        </is>
      </c>
      <c r="B4039" s="1" t="n">
        <v>45761</v>
      </c>
      <c r="C4039" s="1" t="n">
        <v>45832</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18023-2025</t>
        </is>
      </c>
      <c r="B4040" s="1" t="n">
        <v>45761</v>
      </c>
      <c r="C4040" s="1" t="n">
        <v>45832</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18098-2025</t>
        </is>
      </c>
      <c r="B4041" s="1" t="n">
        <v>45761</v>
      </c>
      <c r="C4041" s="1" t="n">
        <v>45832</v>
      </c>
      <c r="D4041" t="inlineStr">
        <is>
          <t>VÄSTERBOTTENS LÄN</t>
        </is>
      </c>
      <c r="E4041" t="inlineStr">
        <is>
          <t>SKELLEFTEÅ</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17961-2025</t>
        </is>
      </c>
      <c r="B4042" s="1" t="n">
        <v>45761</v>
      </c>
      <c r="C4042" s="1" t="n">
        <v>45832</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18064-2025</t>
        </is>
      </c>
      <c r="B4043" s="1" t="n">
        <v>45761</v>
      </c>
      <c r="C4043" s="1" t="n">
        <v>45832</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18326-2025</t>
        </is>
      </c>
      <c r="B4044" s="1" t="n">
        <v>45762</v>
      </c>
      <c r="C4044" s="1" t="n">
        <v>45832</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18240-2025</t>
        </is>
      </c>
      <c r="B4045" s="1" t="n">
        <v>45762</v>
      </c>
      <c r="C4045" s="1" t="n">
        <v>45832</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18441-2025</t>
        </is>
      </c>
      <c r="B4046" s="1" t="n">
        <v>45762</v>
      </c>
      <c r="C4046" s="1" t="n">
        <v>45832</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18291-2025</t>
        </is>
      </c>
      <c r="B4047" s="1" t="n">
        <v>45762</v>
      </c>
      <c r="C4047" s="1" t="n">
        <v>45832</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18443-2025</t>
        </is>
      </c>
      <c r="B4048" s="1" t="n">
        <v>45762</v>
      </c>
      <c r="C4048" s="1" t="n">
        <v>45832</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18700-2025</t>
        </is>
      </c>
      <c r="B4049" s="1" t="n">
        <v>45763</v>
      </c>
      <c r="C4049" s="1" t="n">
        <v>45832</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18497-2025</t>
        </is>
      </c>
      <c r="B4050" s="1" t="n">
        <v>45763</v>
      </c>
      <c r="C4050" s="1" t="n">
        <v>45832</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18637-2025</t>
        </is>
      </c>
      <c r="B4051" s="1" t="n">
        <v>45763</v>
      </c>
      <c r="C4051" s="1" t="n">
        <v>45832</v>
      </c>
      <c r="D4051" t="inlineStr">
        <is>
          <t>VÄSTERBOTTENS LÄN</t>
        </is>
      </c>
      <c r="E4051" t="inlineStr">
        <is>
          <t>SKELLEFTEÅ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18498-2025</t>
        </is>
      </c>
      <c r="B4052" s="1" t="n">
        <v>45763</v>
      </c>
      <c r="C4052" s="1" t="n">
        <v>45832</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18762-2025</t>
        </is>
      </c>
      <c r="B4053" s="1" t="n">
        <v>45764</v>
      </c>
      <c r="C4053" s="1" t="n">
        <v>45832</v>
      </c>
      <c r="D4053" t="inlineStr">
        <is>
          <t>VÄSTERBOTTENS LÄN</t>
        </is>
      </c>
      <c r="E4053" t="inlineStr">
        <is>
          <t>SKELLEFTEÅ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18929-2025</t>
        </is>
      </c>
      <c r="B4054" s="1" t="n">
        <v>45764</v>
      </c>
      <c r="C4054" s="1" t="n">
        <v>45832</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19107-2025</t>
        </is>
      </c>
      <c r="B4055" s="1" t="n">
        <v>45768</v>
      </c>
      <c r="C4055" s="1" t="n">
        <v>45832</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19119-2025</t>
        </is>
      </c>
      <c r="B4056" s="1" t="n">
        <v>45768</v>
      </c>
      <c r="C4056" s="1" t="n">
        <v>45832</v>
      </c>
      <c r="D4056" t="inlineStr">
        <is>
          <t>VÄSTERBOTTENS LÄN</t>
        </is>
      </c>
      <c r="E4056" t="inlineStr">
        <is>
          <t>SKELLEFTEÅ</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19293-2025</t>
        </is>
      </c>
      <c r="B4057" s="1" t="n">
        <v>45769</v>
      </c>
      <c r="C4057" s="1" t="n">
        <v>45832</v>
      </c>
      <c r="D4057" t="inlineStr">
        <is>
          <t>VÄSTERBOTTENS LÄN</t>
        </is>
      </c>
      <c r="E4057" t="inlineStr">
        <is>
          <t>SKELLEFTEÅ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19160-2025</t>
        </is>
      </c>
      <c r="B4058" s="1" t="n">
        <v>45769</v>
      </c>
      <c r="C4058" s="1" t="n">
        <v>45832</v>
      </c>
      <c r="D4058" t="inlineStr">
        <is>
          <t>VÄSTERBOTTENS LÄN</t>
        </is>
      </c>
      <c r="E4058" t="inlineStr">
        <is>
          <t>SKELLEFTEÅ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19658-2025</t>
        </is>
      </c>
      <c r="B4059" s="1" t="n">
        <v>45770</v>
      </c>
      <c r="C4059" s="1" t="n">
        <v>45832</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19545-2025</t>
        </is>
      </c>
      <c r="B4060" s="1" t="n">
        <v>45770</v>
      </c>
      <c r="C4060" s="1" t="n">
        <v>45832</v>
      </c>
      <c r="D4060" t="inlineStr">
        <is>
          <t>VÄSTERBOTTENS LÄN</t>
        </is>
      </c>
      <c r="E4060" t="inlineStr">
        <is>
          <t>SKELLEFTEÅ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19764-2025</t>
        </is>
      </c>
      <c r="B4061" s="1" t="n">
        <v>45771</v>
      </c>
      <c r="C4061" s="1" t="n">
        <v>45832</v>
      </c>
      <c r="D4061" t="inlineStr">
        <is>
          <t>VÄSTERBOTTENS LÄN</t>
        </is>
      </c>
      <c r="E4061" t="inlineStr">
        <is>
          <t>SKELLEFTEÅ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45832</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45832</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19795-2025</t>
        </is>
      </c>
      <c r="B4064" s="1" t="n">
        <v>45771</v>
      </c>
      <c r="C4064" s="1" t="n">
        <v>45832</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19765-2025</t>
        </is>
      </c>
      <c r="B4065" s="1" t="n">
        <v>45771</v>
      </c>
      <c r="C4065" s="1" t="n">
        <v>45832</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19779-2025</t>
        </is>
      </c>
      <c r="B4066" s="1" t="n">
        <v>45771</v>
      </c>
      <c r="C4066" s="1" t="n">
        <v>45832</v>
      </c>
      <c r="D4066" t="inlineStr">
        <is>
          <t>VÄSTERBOTTENS LÄN</t>
        </is>
      </c>
      <c r="E4066" t="inlineStr">
        <is>
          <t>SKELLEFTEÅ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19951-2025</t>
        </is>
      </c>
      <c r="B4067" s="1" t="n">
        <v>45771</v>
      </c>
      <c r="C4067" s="1" t="n">
        <v>45832</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19731-2025</t>
        </is>
      </c>
      <c r="B4068" s="1" t="n">
        <v>45771</v>
      </c>
      <c r="C4068" s="1" t="n">
        <v>45832</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19778-2025</t>
        </is>
      </c>
      <c r="B4069" s="1" t="n">
        <v>45771</v>
      </c>
      <c r="C4069" s="1" t="n">
        <v>45832</v>
      </c>
      <c r="D4069" t="inlineStr">
        <is>
          <t>VÄSTERBOTTENS LÄN</t>
        </is>
      </c>
      <c r="E4069" t="inlineStr">
        <is>
          <t>SKELLEFTEÅ</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19729-2025</t>
        </is>
      </c>
      <c r="B4070" s="1" t="n">
        <v>45771</v>
      </c>
      <c r="C4070" s="1" t="n">
        <v>45832</v>
      </c>
      <c r="D4070" t="inlineStr">
        <is>
          <t>VÄSTERBOTTENS LÄN</t>
        </is>
      </c>
      <c r="E4070" t="inlineStr">
        <is>
          <t>SKELLEFTEÅ</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19752-2025</t>
        </is>
      </c>
      <c r="B4071" s="1" t="n">
        <v>45771</v>
      </c>
      <c r="C4071" s="1" t="n">
        <v>45832</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20129-2025</t>
        </is>
      </c>
      <c r="B4072" s="1" t="n">
        <v>45772</v>
      </c>
      <c r="C4072" s="1" t="n">
        <v>45832</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20084-2025</t>
        </is>
      </c>
      <c r="B4073" s="1" t="n">
        <v>45772</v>
      </c>
      <c r="C4073" s="1" t="n">
        <v>45832</v>
      </c>
      <c r="D4073" t="inlineStr">
        <is>
          <t>VÄSTERBOTTENS LÄN</t>
        </is>
      </c>
      <c r="E4073" t="inlineStr">
        <is>
          <t>SKELLEFTEÅ</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20193-2025</t>
        </is>
      </c>
      <c r="B4074" s="1" t="n">
        <v>45772</v>
      </c>
      <c r="C4074" s="1" t="n">
        <v>45832</v>
      </c>
      <c r="D4074" t="inlineStr">
        <is>
          <t>VÄSTERBOTTENS LÄN</t>
        </is>
      </c>
      <c r="E4074" t="inlineStr">
        <is>
          <t>SKELLEFTEÅ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20163-2025</t>
        </is>
      </c>
      <c r="B4075" s="1" t="n">
        <v>45772</v>
      </c>
      <c r="C4075" s="1" t="n">
        <v>45832</v>
      </c>
      <c r="D4075" t="inlineStr">
        <is>
          <t>VÄSTERBOTTENS LÄN</t>
        </is>
      </c>
      <c r="E4075" t="inlineStr">
        <is>
          <t>SKELLEFTEÅ</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20216-2025</t>
        </is>
      </c>
      <c r="B4076" s="1" t="n">
        <v>45772</v>
      </c>
      <c r="C4076" s="1" t="n">
        <v>45832</v>
      </c>
      <c r="D4076" t="inlineStr">
        <is>
          <t>VÄSTERBOTTENS LÄN</t>
        </is>
      </c>
      <c r="E4076" t="inlineStr">
        <is>
          <t>SKELLEFTEÅ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20220-2025</t>
        </is>
      </c>
      <c r="B4077" s="1" t="n">
        <v>45772</v>
      </c>
      <c r="C4077" s="1" t="n">
        <v>45832</v>
      </c>
      <c r="D4077" t="inlineStr">
        <is>
          <t>VÄSTERBOTTENS LÄN</t>
        </is>
      </c>
      <c r="E4077" t="inlineStr">
        <is>
          <t>SKELLEFTEÅ</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20218-2025</t>
        </is>
      </c>
      <c r="B4078" s="1" t="n">
        <v>45772</v>
      </c>
      <c r="C4078" s="1" t="n">
        <v>45832</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20245-2025</t>
        </is>
      </c>
      <c r="B4079" s="1" t="n">
        <v>45772</v>
      </c>
      <c r="C4079" s="1" t="n">
        <v>45832</v>
      </c>
      <c r="D4079" t="inlineStr">
        <is>
          <t>VÄSTERBOTTENS LÄN</t>
        </is>
      </c>
      <c r="E4079" t="inlineStr">
        <is>
          <t>SKELLEFTEÅ</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20340-2025</t>
        </is>
      </c>
      <c r="B4080" s="1" t="n">
        <v>45775</v>
      </c>
      <c r="C4080" s="1" t="n">
        <v>45832</v>
      </c>
      <c r="D4080" t="inlineStr">
        <is>
          <t>VÄSTERBOTTENS LÄN</t>
        </is>
      </c>
      <c r="E4080" t="inlineStr">
        <is>
          <t>SKELLEFTEÅ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20378-2025</t>
        </is>
      </c>
      <c r="B4081" s="1" t="n">
        <v>45775</v>
      </c>
      <c r="C4081" s="1" t="n">
        <v>45832</v>
      </c>
      <c r="D4081" t="inlineStr">
        <is>
          <t>VÄSTERBOTTENS LÄN</t>
        </is>
      </c>
      <c r="E4081" t="inlineStr">
        <is>
          <t>SKELLEFTEÅ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20494-2025</t>
        </is>
      </c>
      <c r="B4082" s="1" t="n">
        <v>45775</v>
      </c>
      <c r="C4082" s="1" t="n">
        <v>45832</v>
      </c>
      <c r="D4082" t="inlineStr">
        <is>
          <t>VÄSTERBOTTENS LÄN</t>
        </is>
      </c>
      <c r="E4082" t="inlineStr">
        <is>
          <t>SKELLEFTEÅ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20505-2025</t>
        </is>
      </c>
      <c r="B4083" s="1" t="n">
        <v>45775</v>
      </c>
      <c r="C4083" s="1" t="n">
        <v>45832</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20519-2025</t>
        </is>
      </c>
      <c r="B4084" s="1" t="n">
        <v>45775</v>
      </c>
      <c r="C4084" s="1" t="n">
        <v>45832</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45832</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20824-2025</t>
        </is>
      </c>
      <c r="B4086" s="1" t="n">
        <v>45776</v>
      </c>
      <c r="C4086" s="1" t="n">
        <v>45832</v>
      </c>
      <c r="D4086" t="inlineStr">
        <is>
          <t>VÄSTERBOTTENS LÄN</t>
        </is>
      </c>
      <c r="E4086" t="inlineStr">
        <is>
          <t>SKELLEFTEÅ</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20913-2025</t>
        </is>
      </c>
      <c r="B4087" s="1" t="n">
        <v>45777</v>
      </c>
      <c r="C4087" s="1" t="n">
        <v>45832</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20921-2025</t>
        </is>
      </c>
      <c r="B4088" s="1" t="n">
        <v>45777</v>
      </c>
      <c r="C4088" s="1" t="n">
        <v>45832</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21034-2025</t>
        </is>
      </c>
      <c r="B4089" s="1" t="n">
        <v>45777</v>
      </c>
      <c r="C4089" s="1" t="n">
        <v>45832</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20865-2025</t>
        </is>
      </c>
      <c r="B4090" s="1" t="n">
        <v>45777</v>
      </c>
      <c r="C4090" s="1" t="n">
        <v>45832</v>
      </c>
      <c r="D4090" t="inlineStr">
        <is>
          <t>VÄSTERBOTTENS LÄN</t>
        </is>
      </c>
      <c r="E4090" t="inlineStr">
        <is>
          <t>SKELLEFTEÅ</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21131-2025</t>
        </is>
      </c>
      <c r="B4091" s="1" t="n">
        <v>45778</v>
      </c>
      <c r="C4091" s="1" t="n">
        <v>45832</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21190-2025</t>
        </is>
      </c>
      <c r="B4092" s="1" t="n">
        <v>45779</v>
      </c>
      <c r="C4092" s="1" t="n">
        <v>45832</v>
      </c>
      <c r="D4092" t="inlineStr">
        <is>
          <t>VÄSTERBOTTENS LÄN</t>
        </is>
      </c>
      <c r="E4092" t="inlineStr">
        <is>
          <t>SKELLEFTEÅ</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21272-2025</t>
        </is>
      </c>
      <c r="B4093" s="1" t="n">
        <v>45779</v>
      </c>
      <c r="C4093" s="1" t="n">
        <v>45832</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21207-2025</t>
        </is>
      </c>
      <c r="B4094" s="1" t="n">
        <v>45779</v>
      </c>
      <c r="C4094" s="1" t="n">
        <v>45832</v>
      </c>
      <c r="D4094" t="inlineStr">
        <is>
          <t>VÄSTERBOTTENS LÄN</t>
        </is>
      </c>
      <c r="E4094" t="inlineStr">
        <is>
          <t>SKELLEFTEÅ</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21222-2025</t>
        </is>
      </c>
      <c r="B4095" s="1" t="n">
        <v>45779</v>
      </c>
      <c r="C4095" s="1" t="n">
        <v>45832</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21343-2025</t>
        </is>
      </c>
      <c r="B4096" s="1" t="n">
        <v>45782</v>
      </c>
      <c r="C4096" s="1" t="n">
        <v>45832</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45832</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21427-2025</t>
        </is>
      </c>
      <c r="B4098" s="1" t="n">
        <v>45782</v>
      </c>
      <c r="C4098" s="1" t="n">
        <v>45832</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21424-2025</t>
        </is>
      </c>
      <c r="B4099" s="1" t="n">
        <v>45782</v>
      </c>
      <c r="C4099" s="1" t="n">
        <v>45832</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21350-2025</t>
        </is>
      </c>
      <c r="B4100" s="1" t="n">
        <v>45782</v>
      </c>
      <c r="C4100" s="1" t="n">
        <v>45832</v>
      </c>
      <c r="D4100" t="inlineStr">
        <is>
          <t>VÄSTERBOTTENS LÄN</t>
        </is>
      </c>
      <c r="E4100" t="inlineStr">
        <is>
          <t>SKELLEFTEÅ</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21381-2025</t>
        </is>
      </c>
      <c r="B4101" s="1" t="n">
        <v>45782</v>
      </c>
      <c r="C4101" s="1" t="n">
        <v>45832</v>
      </c>
      <c r="D4101" t="inlineStr">
        <is>
          <t>VÄSTERBOTTENS LÄN</t>
        </is>
      </c>
      <c r="E4101" t="inlineStr">
        <is>
          <t>SKELLEFTEÅ</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21316-2025</t>
        </is>
      </c>
      <c r="B4102" s="1" t="n">
        <v>45782</v>
      </c>
      <c r="C4102" s="1" t="n">
        <v>45832</v>
      </c>
      <c r="D4102" t="inlineStr">
        <is>
          <t>VÄSTERBOTTENS LÄN</t>
        </is>
      </c>
      <c r="E4102" t="inlineStr">
        <is>
          <t>SKELLEFTEÅ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45832</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45832</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21587-2025</t>
        </is>
      </c>
      <c r="B4105" s="1" t="n">
        <v>45783</v>
      </c>
      <c r="C4105" s="1" t="n">
        <v>45832</v>
      </c>
      <c r="D4105" t="inlineStr">
        <is>
          <t>VÄSTERBOTTENS LÄN</t>
        </is>
      </c>
      <c r="E4105" t="inlineStr">
        <is>
          <t>SKELLEFTEÅ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21717-2025</t>
        </is>
      </c>
      <c r="B4106" s="1" t="n">
        <v>45783</v>
      </c>
      <c r="C4106" s="1" t="n">
        <v>45832</v>
      </c>
      <c r="D4106" t="inlineStr">
        <is>
          <t>VÄSTERBOTTENS LÄN</t>
        </is>
      </c>
      <c r="E4106" t="inlineStr">
        <is>
          <t>SKELLEFTEÅ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21585-2025</t>
        </is>
      </c>
      <c r="B4107" s="1" t="n">
        <v>45783</v>
      </c>
      <c r="C4107" s="1" t="n">
        <v>45832</v>
      </c>
      <c r="D4107" t="inlineStr">
        <is>
          <t>VÄSTERBOTTENS LÄN</t>
        </is>
      </c>
      <c r="E4107" t="inlineStr">
        <is>
          <t>SKELLEFTEÅ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21620-2025</t>
        </is>
      </c>
      <c r="B4108" s="1" t="n">
        <v>45783</v>
      </c>
      <c r="C4108" s="1" t="n">
        <v>45832</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21755-2025</t>
        </is>
      </c>
      <c r="B4109" s="1" t="n">
        <v>45783</v>
      </c>
      <c r="C4109" s="1" t="n">
        <v>45832</v>
      </c>
      <c r="D4109" t="inlineStr">
        <is>
          <t>VÄSTERBOTTENS LÄN</t>
        </is>
      </c>
      <c r="E4109" t="inlineStr">
        <is>
          <t>SKELLEFTEÅ</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21750-2025</t>
        </is>
      </c>
      <c r="B4110" s="1" t="n">
        <v>45783</v>
      </c>
      <c r="C4110" s="1" t="n">
        <v>45832</v>
      </c>
      <c r="D4110" t="inlineStr">
        <is>
          <t>VÄSTERBOTTENS LÄN</t>
        </is>
      </c>
      <c r="E4110" t="inlineStr">
        <is>
          <t>SKELLEFTEÅ</t>
        </is>
      </c>
      <c r="F4110" t="inlineStr">
        <is>
          <t>Kyrkan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21763-2025</t>
        </is>
      </c>
      <c r="B4111" s="1" t="n">
        <v>45783</v>
      </c>
      <c r="C4111" s="1" t="n">
        <v>45832</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21619-2025</t>
        </is>
      </c>
      <c r="B4112" s="1" t="n">
        <v>45783</v>
      </c>
      <c r="C4112" s="1" t="n">
        <v>45832</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21590-2025</t>
        </is>
      </c>
      <c r="B4113" s="1" t="n">
        <v>45783</v>
      </c>
      <c r="C4113" s="1" t="n">
        <v>45832</v>
      </c>
      <c r="D4113" t="inlineStr">
        <is>
          <t>VÄSTERBOTTENS LÄN</t>
        </is>
      </c>
      <c r="E4113" t="inlineStr">
        <is>
          <t>SKELLEFTEÅ</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21992-2025</t>
        </is>
      </c>
      <c r="B4114" s="1" t="n">
        <v>45784</v>
      </c>
      <c r="C4114" s="1" t="n">
        <v>45832</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21910-2025</t>
        </is>
      </c>
      <c r="B4115" s="1" t="n">
        <v>45784</v>
      </c>
      <c r="C4115" s="1" t="n">
        <v>45832</v>
      </c>
      <c r="D4115" t="inlineStr">
        <is>
          <t>VÄSTERBOTTENS LÄN</t>
        </is>
      </c>
      <c r="E4115" t="inlineStr">
        <is>
          <t>SKELLEFTEÅ</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22031-2025</t>
        </is>
      </c>
      <c r="B4116" s="1" t="n">
        <v>45785</v>
      </c>
      <c r="C4116" s="1" t="n">
        <v>45832</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45832</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45832</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22530-2025</t>
        </is>
      </c>
      <c r="B4119" s="1" t="n">
        <v>45786</v>
      </c>
      <c r="C4119" s="1" t="n">
        <v>45832</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22415-2025</t>
        </is>
      </c>
      <c r="B4120" s="1" t="n">
        <v>45786</v>
      </c>
      <c r="C4120" s="1" t="n">
        <v>45832</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22429-2025</t>
        </is>
      </c>
      <c r="B4121" s="1" t="n">
        <v>45786</v>
      </c>
      <c r="C4121" s="1" t="n">
        <v>45832</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22284-2025</t>
        </is>
      </c>
      <c r="B4122" s="1" t="n">
        <v>45786</v>
      </c>
      <c r="C4122" s="1" t="n">
        <v>45832</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22824-2025</t>
        </is>
      </c>
      <c r="B4123" s="1" t="n">
        <v>45789</v>
      </c>
      <c r="C4123" s="1" t="n">
        <v>45832</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22838-2025</t>
        </is>
      </c>
      <c r="B4124" s="1" t="n">
        <v>45790</v>
      </c>
      <c r="C4124" s="1" t="n">
        <v>45832</v>
      </c>
      <c r="D4124" t="inlineStr">
        <is>
          <t>VÄSTERBOTTENS LÄN</t>
        </is>
      </c>
      <c r="E4124" t="inlineStr">
        <is>
          <t>SKELLEFTEÅ</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22971-2025</t>
        </is>
      </c>
      <c r="B4125" s="1" t="n">
        <v>45790</v>
      </c>
      <c r="C4125" s="1" t="n">
        <v>45832</v>
      </c>
      <c r="D4125" t="inlineStr">
        <is>
          <t>VÄSTERBOTTENS LÄN</t>
        </is>
      </c>
      <c r="E4125" t="inlineStr">
        <is>
          <t>SKELLEFTEÅ</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23018-2025</t>
        </is>
      </c>
      <c r="B4126" s="1" t="n">
        <v>45790</v>
      </c>
      <c r="C4126" s="1" t="n">
        <v>45832</v>
      </c>
      <c r="D4126" t="inlineStr">
        <is>
          <t>VÄSTERBOTTENS LÄN</t>
        </is>
      </c>
      <c r="E4126" t="inlineStr">
        <is>
          <t>SKELLEFTEÅ</t>
        </is>
      </c>
      <c r="F4126" t="inlineStr">
        <is>
          <t>Holmen skog AB</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22921-2025</t>
        </is>
      </c>
      <c r="B4127" s="1" t="n">
        <v>45790</v>
      </c>
      <c r="C4127" s="1" t="n">
        <v>45832</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45832</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45832</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45832</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45832</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45832</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45832</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45832</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23153-2025</t>
        </is>
      </c>
      <c r="B4135" s="1" t="n">
        <v>45791</v>
      </c>
      <c r="C4135" s="1" t="n">
        <v>45832</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23299-2025</t>
        </is>
      </c>
      <c r="B4136" s="1" t="n">
        <v>45791</v>
      </c>
      <c r="C4136" s="1" t="n">
        <v>45832</v>
      </c>
      <c r="D4136" t="inlineStr">
        <is>
          <t>VÄSTERBOTTENS LÄN</t>
        </is>
      </c>
      <c r="E4136" t="inlineStr">
        <is>
          <t>SKELLEFTEÅ</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23329-2025</t>
        </is>
      </c>
      <c r="B4137" s="1" t="n">
        <v>45791</v>
      </c>
      <c r="C4137" s="1" t="n">
        <v>45832</v>
      </c>
      <c r="D4137" t="inlineStr">
        <is>
          <t>VÄSTERBOTTENS LÄN</t>
        </is>
      </c>
      <c r="E4137" t="inlineStr">
        <is>
          <t>SKELLEFTEÅ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23241-2025</t>
        </is>
      </c>
      <c r="B4138" s="1" t="n">
        <v>45791</v>
      </c>
      <c r="C4138" s="1" t="n">
        <v>45832</v>
      </c>
      <c r="D4138" t="inlineStr">
        <is>
          <t>VÄSTERBOTTENS LÄN</t>
        </is>
      </c>
      <c r="E4138" t="inlineStr">
        <is>
          <t>SKELLEFTEÅ</t>
        </is>
      </c>
      <c r="F4138" t="inlineStr">
        <is>
          <t>Holmen skog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23537-2025</t>
        </is>
      </c>
      <c r="B4139" s="1" t="n">
        <v>45792</v>
      </c>
      <c r="C4139" s="1" t="n">
        <v>45832</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23847-2025</t>
        </is>
      </c>
      <c r="B4140" s="1" t="n">
        <v>45793</v>
      </c>
      <c r="C4140" s="1" t="n">
        <v>45832</v>
      </c>
      <c r="D4140" t="inlineStr">
        <is>
          <t>VÄSTERBOTTENS LÄN</t>
        </is>
      </c>
      <c r="E4140" t="inlineStr">
        <is>
          <t>SKELLEFTEÅ</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23678-2025</t>
        </is>
      </c>
      <c r="B4141" s="1" t="n">
        <v>45793</v>
      </c>
      <c r="C4141" s="1" t="n">
        <v>45832</v>
      </c>
      <c r="D4141" t="inlineStr">
        <is>
          <t>VÄSTERBOTTENS LÄN</t>
        </is>
      </c>
      <c r="E4141" t="inlineStr">
        <is>
          <t>SKELLEFTEÅ</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23676-2025</t>
        </is>
      </c>
      <c r="B4142" s="1" t="n">
        <v>45793</v>
      </c>
      <c r="C4142" s="1" t="n">
        <v>45832</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23881-2025</t>
        </is>
      </c>
      <c r="B4143" s="1" t="n">
        <v>45793</v>
      </c>
      <c r="C4143" s="1" t="n">
        <v>45832</v>
      </c>
      <c r="D4143" t="inlineStr">
        <is>
          <t>VÄSTERBOTTENS LÄN</t>
        </is>
      </c>
      <c r="E4143" t="inlineStr">
        <is>
          <t>SKELLEFTEÅ</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23886-2025</t>
        </is>
      </c>
      <c r="B4144" s="1" t="n">
        <v>45793</v>
      </c>
      <c r="C4144" s="1" t="n">
        <v>45832</v>
      </c>
      <c r="D4144" t="inlineStr">
        <is>
          <t>VÄSTERBOTTENS LÄN</t>
        </is>
      </c>
      <c r="E4144" t="inlineStr">
        <is>
          <t>SKELLEFTEÅ</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23696-2025</t>
        </is>
      </c>
      <c r="B4145" s="1" t="n">
        <v>45793</v>
      </c>
      <c r="C4145" s="1" t="n">
        <v>45832</v>
      </c>
      <c r="D4145" t="inlineStr">
        <is>
          <t>VÄSTERBOTTENS LÄN</t>
        </is>
      </c>
      <c r="E4145" t="inlineStr">
        <is>
          <t>SKELLEFTEÅ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23904-2025</t>
        </is>
      </c>
      <c r="B4146" s="1" t="n">
        <v>45794</v>
      </c>
      <c r="C4146" s="1" t="n">
        <v>45832</v>
      </c>
      <c r="D4146" t="inlineStr">
        <is>
          <t>VÄSTERBOTTENS LÄN</t>
        </is>
      </c>
      <c r="E4146" t="inlineStr">
        <is>
          <t>SKELLEFTEÅ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24066-2025</t>
        </is>
      </c>
      <c r="B4147" s="1" t="n">
        <v>45796</v>
      </c>
      <c r="C4147" s="1" t="n">
        <v>45832</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24068-2025</t>
        </is>
      </c>
      <c r="B4148" s="1" t="n">
        <v>45796</v>
      </c>
      <c r="C4148" s="1" t="n">
        <v>45832</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24070-2025</t>
        </is>
      </c>
      <c r="B4149" s="1" t="n">
        <v>45796</v>
      </c>
      <c r="C4149" s="1" t="n">
        <v>45832</v>
      </c>
      <c r="D4149" t="inlineStr">
        <is>
          <t>VÄSTERBOTTENS LÄN</t>
        </is>
      </c>
      <c r="E4149" t="inlineStr">
        <is>
          <t>SKELLEFTEÅ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24078-2025</t>
        </is>
      </c>
      <c r="B4150" s="1" t="n">
        <v>45796</v>
      </c>
      <c r="C4150" s="1" t="n">
        <v>45832</v>
      </c>
      <c r="D4150" t="inlineStr">
        <is>
          <t>VÄSTERBOTTENS LÄN</t>
        </is>
      </c>
      <c r="E4150" t="inlineStr">
        <is>
          <t>SKELLEFTEÅ</t>
        </is>
      </c>
      <c r="F4150" t="inlineStr">
        <is>
          <t>Holmen skog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24079-2025</t>
        </is>
      </c>
      <c r="B4151" s="1" t="n">
        <v>45796</v>
      </c>
      <c r="C4151" s="1" t="n">
        <v>45832</v>
      </c>
      <c r="D4151" t="inlineStr">
        <is>
          <t>VÄSTERBOTTENS LÄN</t>
        </is>
      </c>
      <c r="E4151" t="inlineStr">
        <is>
          <t>SKELLEFTEÅ</t>
        </is>
      </c>
      <c r="F4151" t="inlineStr">
        <is>
          <t>Holmen skog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24065-2025</t>
        </is>
      </c>
      <c r="B4152" s="1" t="n">
        <v>45796</v>
      </c>
      <c r="C4152" s="1" t="n">
        <v>45832</v>
      </c>
      <c r="D4152" t="inlineStr">
        <is>
          <t>VÄSTERBOTTENS LÄN</t>
        </is>
      </c>
      <c r="E4152" t="inlineStr">
        <is>
          <t>SKELLEFTEÅ</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24061-2025</t>
        </is>
      </c>
      <c r="B4153" s="1" t="n">
        <v>45796</v>
      </c>
      <c r="C4153" s="1" t="n">
        <v>45832</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24067-2025</t>
        </is>
      </c>
      <c r="B4154" s="1" t="n">
        <v>45796</v>
      </c>
      <c r="C4154" s="1" t="n">
        <v>45832</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24142-2025</t>
        </is>
      </c>
      <c r="B4155" s="1" t="n">
        <v>45796</v>
      </c>
      <c r="C4155" s="1" t="n">
        <v>45832</v>
      </c>
      <c r="D4155" t="inlineStr">
        <is>
          <t>VÄSTERBOTTENS LÄN</t>
        </is>
      </c>
      <c r="E4155" t="inlineStr">
        <is>
          <t>SKELLEFTEÅ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24181-2025</t>
        </is>
      </c>
      <c r="B4156" s="1" t="n">
        <v>45796</v>
      </c>
      <c r="C4156" s="1" t="n">
        <v>45832</v>
      </c>
      <c r="D4156" t="inlineStr">
        <is>
          <t>VÄSTERBOTTENS LÄN</t>
        </is>
      </c>
      <c r="E4156" t="inlineStr">
        <is>
          <t>SKELLEFTEÅ</t>
        </is>
      </c>
      <c r="G4156" t="n">
        <v>12.5</v>
      </c>
      <c r="H4156" t="n">
        <v>0</v>
      </c>
      <c r="I4156" t="n">
        <v>0</v>
      </c>
      <c r="J4156" t="n">
        <v>0</v>
      </c>
      <c r="K4156" t="n">
        <v>0</v>
      </c>
      <c r="L4156" t="n">
        <v>0</v>
      </c>
      <c r="M4156" t="n">
        <v>0</v>
      </c>
      <c r="N4156" t="n">
        <v>0</v>
      </c>
      <c r="O4156" t="n">
        <v>0</v>
      </c>
      <c r="P4156" t="n">
        <v>0</v>
      </c>
      <c r="Q4156" t="n">
        <v>0</v>
      </c>
      <c r="R4156" s="2" t="inlineStr"/>
    </row>
    <row r="4157" ht="15" customHeight="1">
      <c r="A4157" t="inlineStr">
        <is>
          <t>A 24064-2025</t>
        </is>
      </c>
      <c r="B4157" s="1" t="n">
        <v>45796</v>
      </c>
      <c r="C4157" s="1" t="n">
        <v>45832</v>
      </c>
      <c r="D4157" t="inlineStr">
        <is>
          <t>VÄSTERBOTTENS LÄN</t>
        </is>
      </c>
      <c r="E4157" t="inlineStr">
        <is>
          <t>SKELLEFTEÅ</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24323-2025</t>
        </is>
      </c>
      <c r="B4158" s="1" t="n">
        <v>45797</v>
      </c>
      <c r="C4158" s="1" t="n">
        <v>45832</v>
      </c>
      <c r="D4158" t="inlineStr">
        <is>
          <t>VÄSTERBOTTENS LÄN</t>
        </is>
      </c>
      <c r="E4158" t="inlineStr">
        <is>
          <t>SKELLEFTEÅ</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24264-2025</t>
        </is>
      </c>
      <c r="B4159" s="1" t="n">
        <v>45797</v>
      </c>
      <c r="C4159" s="1" t="n">
        <v>45832</v>
      </c>
      <c r="D4159" t="inlineStr">
        <is>
          <t>VÄSTERBOTTENS LÄN</t>
        </is>
      </c>
      <c r="E4159" t="inlineStr">
        <is>
          <t>SKELLEFTEÅ</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24261-2025</t>
        </is>
      </c>
      <c r="B4160" s="1" t="n">
        <v>45797</v>
      </c>
      <c r="C4160" s="1" t="n">
        <v>45832</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24402-2025</t>
        </is>
      </c>
      <c r="B4161" s="1" t="n">
        <v>45797</v>
      </c>
      <c r="C4161" s="1" t="n">
        <v>45832</v>
      </c>
      <c r="D4161" t="inlineStr">
        <is>
          <t>VÄSTERBOTTENS LÄN</t>
        </is>
      </c>
      <c r="E4161" t="inlineStr">
        <is>
          <t>SKELLEFTEÅ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24205-2025</t>
        </is>
      </c>
      <c r="B4162" s="1" t="n">
        <v>45797</v>
      </c>
      <c r="C4162" s="1" t="n">
        <v>45832</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24501-2025</t>
        </is>
      </c>
      <c r="B4163" s="1" t="n">
        <v>45798</v>
      </c>
      <c r="C4163" s="1" t="n">
        <v>45832</v>
      </c>
      <c r="D4163" t="inlineStr">
        <is>
          <t>VÄSTERBOTTENS LÄN</t>
        </is>
      </c>
      <c r="E4163" t="inlineStr">
        <is>
          <t>SKELLEFTEÅ</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24496-2025</t>
        </is>
      </c>
      <c r="B4164" s="1" t="n">
        <v>45798</v>
      </c>
      <c r="C4164" s="1" t="n">
        <v>45832</v>
      </c>
      <c r="D4164" t="inlineStr">
        <is>
          <t>VÄSTERBOTTENS LÄN</t>
        </is>
      </c>
      <c r="E4164" t="inlineStr">
        <is>
          <t>SKELLEFTEÅ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24569-2025</t>
        </is>
      </c>
      <c r="B4165" s="1" t="n">
        <v>45798</v>
      </c>
      <c r="C4165" s="1" t="n">
        <v>45832</v>
      </c>
      <c r="D4165" t="inlineStr">
        <is>
          <t>VÄSTERBOTTENS LÄN</t>
        </is>
      </c>
      <c r="E4165" t="inlineStr">
        <is>
          <t>SKELLEFTEÅ</t>
        </is>
      </c>
      <c r="G4165" t="n">
        <v>20.9</v>
      </c>
      <c r="H4165" t="n">
        <v>0</v>
      </c>
      <c r="I4165" t="n">
        <v>0</v>
      </c>
      <c r="J4165" t="n">
        <v>0</v>
      </c>
      <c r="K4165" t="n">
        <v>0</v>
      </c>
      <c r="L4165" t="n">
        <v>0</v>
      </c>
      <c r="M4165" t="n">
        <v>0</v>
      </c>
      <c r="N4165" t="n">
        <v>0</v>
      </c>
      <c r="O4165" t="n">
        <v>0</v>
      </c>
      <c r="P4165" t="n">
        <v>0</v>
      </c>
      <c r="Q4165" t="n">
        <v>0</v>
      </c>
      <c r="R4165" s="2" t="inlineStr"/>
    </row>
    <row r="4166" ht="15" customHeight="1">
      <c r="A4166" t="inlineStr">
        <is>
          <t>A 24579-2025</t>
        </is>
      </c>
      <c r="B4166" s="1" t="n">
        <v>45798</v>
      </c>
      <c r="C4166" s="1" t="n">
        <v>45832</v>
      </c>
      <c r="D4166" t="inlineStr">
        <is>
          <t>VÄSTERBOTTENS LÄN</t>
        </is>
      </c>
      <c r="E4166" t="inlineStr">
        <is>
          <t>SKELLEFTEÅ</t>
        </is>
      </c>
      <c r="G4166" t="n">
        <v>24.5</v>
      </c>
      <c r="H4166" t="n">
        <v>0</v>
      </c>
      <c r="I4166" t="n">
        <v>0</v>
      </c>
      <c r="J4166" t="n">
        <v>0</v>
      </c>
      <c r="K4166" t="n">
        <v>0</v>
      </c>
      <c r="L4166" t="n">
        <v>0</v>
      </c>
      <c r="M4166" t="n">
        <v>0</v>
      </c>
      <c r="N4166" t="n">
        <v>0</v>
      </c>
      <c r="O4166" t="n">
        <v>0</v>
      </c>
      <c r="P4166" t="n">
        <v>0</v>
      </c>
      <c r="Q4166" t="n">
        <v>0</v>
      </c>
      <c r="R4166" s="2" t="inlineStr"/>
    </row>
    <row r="4167" ht="15" customHeight="1">
      <c r="A4167" t="inlineStr">
        <is>
          <t>A 25046-2025</t>
        </is>
      </c>
      <c r="B4167" s="1" t="n">
        <v>45799</v>
      </c>
      <c r="C4167" s="1" t="n">
        <v>45832</v>
      </c>
      <c r="D4167" t="inlineStr">
        <is>
          <t>VÄSTERBOTTENS LÄN</t>
        </is>
      </c>
      <c r="E4167" t="inlineStr">
        <is>
          <t>SKELLEFTEÅ</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24728-2025</t>
        </is>
      </c>
      <c r="B4168" s="1" t="n">
        <v>45799</v>
      </c>
      <c r="C4168" s="1" t="n">
        <v>45832</v>
      </c>
      <c r="D4168" t="inlineStr">
        <is>
          <t>VÄSTERBOTTENS LÄN</t>
        </is>
      </c>
      <c r="E4168" t="inlineStr">
        <is>
          <t>SKELLEFTEÅ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24858-2025</t>
        </is>
      </c>
      <c r="B4169" s="1" t="n">
        <v>45799</v>
      </c>
      <c r="C4169" s="1" t="n">
        <v>45832</v>
      </c>
      <c r="D4169" t="inlineStr">
        <is>
          <t>VÄSTERBOTTENS LÄN</t>
        </is>
      </c>
      <c r="E4169" t="inlineStr">
        <is>
          <t>SKELLEFTEÅ</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24829-2025</t>
        </is>
      </c>
      <c r="B4170" s="1" t="n">
        <v>45799</v>
      </c>
      <c r="C4170" s="1" t="n">
        <v>45832</v>
      </c>
      <c r="D4170" t="inlineStr">
        <is>
          <t>VÄSTERBOTTENS LÄN</t>
        </is>
      </c>
      <c r="E4170" t="inlineStr">
        <is>
          <t>SKELLEFTEÅ</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24727-2025</t>
        </is>
      </c>
      <c r="B4171" s="1" t="n">
        <v>45799</v>
      </c>
      <c r="C4171" s="1" t="n">
        <v>45832</v>
      </c>
      <c r="D4171" t="inlineStr">
        <is>
          <t>VÄSTERBOTTENS LÄN</t>
        </is>
      </c>
      <c r="E4171" t="inlineStr">
        <is>
          <t>SKELLEFTEÅ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24986-2025</t>
        </is>
      </c>
      <c r="B4172" s="1" t="n">
        <v>45799</v>
      </c>
      <c r="C4172" s="1" t="n">
        <v>45832</v>
      </c>
      <c r="D4172" t="inlineStr">
        <is>
          <t>VÄSTERBOTTENS LÄN</t>
        </is>
      </c>
      <c r="E4172" t="inlineStr">
        <is>
          <t>SKELLEFTEÅ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24825-2025</t>
        </is>
      </c>
      <c r="B4173" s="1" t="n">
        <v>45799</v>
      </c>
      <c r="C4173" s="1" t="n">
        <v>45832</v>
      </c>
      <c r="D4173" t="inlineStr">
        <is>
          <t>VÄSTERBOTTENS LÄN</t>
        </is>
      </c>
      <c r="E4173" t="inlineStr">
        <is>
          <t>SKELLEFTEÅ</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25688-2025</t>
        </is>
      </c>
      <c r="B4174" s="1" t="n">
        <v>45800</v>
      </c>
      <c r="C4174" s="1" t="n">
        <v>45832</v>
      </c>
      <c r="D4174" t="inlineStr">
        <is>
          <t>VÄSTERBOTTENS LÄN</t>
        </is>
      </c>
      <c r="E4174" t="inlineStr">
        <is>
          <t>SKELLEFTEÅ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25403-2025</t>
        </is>
      </c>
      <c r="B4175" s="1" t="n">
        <v>45800</v>
      </c>
      <c r="C4175" s="1" t="n">
        <v>45832</v>
      </c>
      <c r="D4175" t="inlineStr">
        <is>
          <t>VÄSTERBOTTENS LÄN</t>
        </is>
      </c>
      <c r="E4175" t="inlineStr">
        <is>
          <t>SKELLEFTEÅ</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25182-2025</t>
        </is>
      </c>
      <c r="B4176" s="1" t="n">
        <v>45800</v>
      </c>
      <c r="C4176" s="1" t="n">
        <v>45832</v>
      </c>
      <c r="D4176" t="inlineStr">
        <is>
          <t>VÄSTERBOTTENS LÄN</t>
        </is>
      </c>
      <c r="E4176" t="inlineStr">
        <is>
          <t>SKELLEFTEÅ</t>
        </is>
      </c>
      <c r="G4176" t="n">
        <v>19.3</v>
      </c>
      <c r="H4176" t="n">
        <v>0</v>
      </c>
      <c r="I4176" t="n">
        <v>0</v>
      </c>
      <c r="J4176" t="n">
        <v>0</v>
      </c>
      <c r="K4176" t="n">
        <v>0</v>
      </c>
      <c r="L4176" t="n">
        <v>0</v>
      </c>
      <c r="M4176" t="n">
        <v>0</v>
      </c>
      <c r="N4176" t="n">
        <v>0</v>
      </c>
      <c r="O4176" t="n">
        <v>0</v>
      </c>
      <c r="P4176" t="n">
        <v>0</v>
      </c>
      <c r="Q4176" t="n">
        <v>0</v>
      </c>
      <c r="R4176" s="2" t="inlineStr"/>
    </row>
    <row r="4177" ht="15" customHeight="1">
      <c r="A4177" t="inlineStr">
        <is>
          <t>A 25641-2025</t>
        </is>
      </c>
      <c r="B4177" s="1" t="n">
        <v>45803</v>
      </c>
      <c r="C4177" s="1" t="n">
        <v>45832</v>
      </c>
      <c r="D4177" t="inlineStr">
        <is>
          <t>VÄSTERBOTTENS LÄN</t>
        </is>
      </c>
      <c r="E4177" t="inlineStr">
        <is>
          <t>SKELLEFTEÅ</t>
        </is>
      </c>
      <c r="F4177" t="inlineStr">
        <is>
          <t>Holmen skog AB</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25526-2025</t>
        </is>
      </c>
      <c r="B4178" s="1" t="n">
        <v>45803</v>
      </c>
      <c r="C4178" s="1" t="n">
        <v>45832</v>
      </c>
      <c r="D4178" t="inlineStr">
        <is>
          <t>VÄSTERBOTTENS LÄN</t>
        </is>
      </c>
      <c r="E4178" t="inlineStr">
        <is>
          <t>SKELLEFTEÅ</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25527-2025</t>
        </is>
      </c>
      <c r="B4179" s="1" t="n">
        <v>45803</v>
      </c>
      <c r="C4179" s="1" t="n">
        <v>45832</v>
      </c>
      <c r="D4179" t="inlineStr">
        <is>
          <t>VÄSTERBOTTENS LÄN</t>
        </is>
      </c>
      <c r="E4179" t="inlineStr">
        <is>
          <t>SKELLEFTEÅ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25801-2025</t>
        </is>
      </c>
      <c r="B4180" s="1" t="n">
        <v>45803</v>
      </c>
      <c r="C4180" s="1" t="n">
        <v>45832</v>
      </c>
      <c r="D4180" t="inlineStr">
        <is>
          <t>VÄSTERBOTTENS LÄN</t>
        </is>
      </c>
      <c r="E4180" t="inlineStr">
        <is>
          <t>SKELLEFTEÅ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25542-2025</t>
        </is>
      </c>
      <c r="B4181" s="1" t="n">
        <v>45803</v>
      </c>
      <c r="C4181" s="1" t="n">
        <v>45832</v>
      </c>
      <c r="D4181" t="inlineStr">
        <is>
          <t>VÄSTERBOTTENS LÄN</t>
        </is>
      </c>
      <c r="E4181" t="inlineStr">
        <is>
          <t>SKELLEFTEÅ</t>
        </is>
      </c>
      <c r="F4181" t="inlineStr">
        <is>
          <t>Holmen skog AB</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25514-2025</t>
        </is>
      </c>
      <c r="B4182" s="1" t="n">
        <v>45803</v>
      </c>
      <c r="C4182" s="1" t="n">
        <v>45832</v>
      </c>
      <c r="D4182" t="inlineStr">
        <is>
          <t>VÄSTERBOTTENS LÄN</t>
        </is>
      </c>
      <c r="E4182" t="inlineStr">
        <is>
          <t>SKELLEFTEÅ</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25525-2025</t>
        </is>
      </c>
      <c r="B4183" s="1" t="n">
        <v>45803</v>
      </c>
      <c r="C4183" s="1" t="n">
        <v>45832</v>
      </c>
      <c r="D4183" t="inlineStr">
        <is>
          <t>VÄSTERBOTTENS LÄN</t>
        </is>
      </c>
      <c r="E4183" t="inlineStr">
        <is>
          <t>SKELLEFTEÅ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25679-2025</t>
        </is>
      </c>
      <c r="B4184" s="1" t="n">
        <v>45803</v>
      </c>
      <c r="C4184" s="1" t="n">
        <v>45832</v>
      </c>
      <c r="D4184" t="inlineStr">
        <is>
          <t>VÄSTERBOTTENS LÄN</t>
        </is>
      </c>
      <c r="E4184" t="inlineStr">
        <is>
          <t>SKELLEFTEÅ</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25804-2025</t>
        </is>
      </c>
      <c r="B4185" s="1" t="n">
        <v>45803</v>
      </c>
      <c r="C4185" s="1" t="n">
        <v>45832</v>
      </c>
      <c r="D4185" t="inlineStr">
        <is>
          <t>VÄSTERBOTTENS LÄN</t>
        </is>
      </c>
      <c r="E4185" t="inlineStr">
        <is>
          <t>SKELLEFTEÅ</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26045-2025</t>
        </is>
      </c>
      <c r="B4186" s="1" t="n">
        <v>45804</v>
      </c>
      <c r="C4186" s="1" t="n">
        <v>45832</v>
      </c>
      <c r="D4186" t="inlineStr">
        <is>
          <t>VÄSTERBOTTENS LÄN</t>
        </is>
      </c>
      <c r="E4186" t="inlineStr">
        <is>
          <t>SKELLEFTEÅ</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25958-2025</t>
        </is>
      </c>
      <c r="B4187" s="1" t="n">
        <v>45804</v>
      </c>
      <c r="C4187" s="1" t="n">
        <v>45832</v>
      </c>
      <c r="D4187" t="inlineStr">
        <is>
          <t>VÄSTERBOTTENS LÄN</t>
        </is>
      </c>
      <c r="E4187" t="inlineStr">
        <is>
          <t>SKELLEFTEÅ</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26049-2025</t>
        </is>
      </c>
      <c r="B4188" s="1" t="n">
        <v>45804</v>
      </c>
      <c r="C4188" s="1" t="n">
        <v>45832</v>
      </c>
      <c r="D4188" t="inlineStr">
        <is>
          <t>VÄSTERBOTTENS LÄN</t>
        </is>
      </c>
      <c r="E4188" t="inlineStr">
        <is>
          <t>SKELLEFTEÅ</t>
        </is>
      </c>
      <c r="G4188" t="n">
        <v>12.5</v>
      </c>
      <c r="H4188" t="n">
        <v>0</v>
      </c>
      <c r="I4188" t="n">
        <v>0</v>
      </c>
      <c r="J4188" t="n">
        <v>0</v>
      </c>
      <c r="K4188" t="n">
        <v>0</v>
      </c>
      <c r="L4188" t="n">
        <v>0</v>
      </c>
      <c r="M4188" t="n">
        <v>0</v>
      </c>
      <c r="N4188" t="n">
        <v>0</v>
      </c>
      <c r="O4188" t="n">
        <v>0</v>
      </c>
      <c r="P4188" t="n">
        <v>0</v>
      </c>
      <c r="Q4188" t="n">
        <v>0</v>
      </c>
      <c r="R4188" s="2" t="inlineStr"/>
    </row>
    <row r="4189" ht="15" customHeight="1">
      <c r="A4189" t="inlineStr">
        <is>
          <t>A 25876-2025</t>
        </is>
      </c>
      <c r="B4189" s="1" t="n">
        <v>45804</v>
      </c>
      <c r="C4189" s="1" t="n">
        <v>45832</v>
      </c>
      <c r="D4189" t="inlineStr">
        <is>
          <t>VÄSTERBOTTENS LÄN</t>
        </is>
      </c>
      <c r="E4189" t="inlineStr">
        <is>
          <t>SKELLEFTEÅ</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25868-2025</t>
        </is>
      </c>
      <c r="B4190" s="1" t="n">
        <v>45804</v>
      </c>
      <c r="C4190" s="1" t="n">
        <v>45832</v>
      </c>
      <c r="D4190" t="inlineStr">
        <is>
          <t>VÄSTERBOTTENS LÄN</t>
        </is>
      </c>
      <c r="E4190" t="inlineStr">
        <is>
          <t>SKELLEFTEÅ</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25774-2025</t>
        </is>
      </c>
      <c r="B4191" s="1" t="n">
        <v>45804</v>
      </c>
      <c r="C4191" s="1" t="n">
        <v>45832</v>
      </c>
      <c r="D4191" t="inlineStr">
        <is>
          <t>VÄSTERBOTTENS LÄN</t>
        </is>
      </c>
      <c r="E4191" t="inlineStr">
        <is>
          <t>SKELLEFTEÅ</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45832</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26286-2025</t>
        </is>
      </c>
      <c r="B4193" s="1" t="n">
        <v>45805</v>
      </c>
      <c r="C4193" s="1" t="n">
        <v>45832</v>
      </c>
      <c r="D4193" t="inlineStr">
        <is>
          <t>VÄSTERBOTTENS LÄN</t>
        </is>
      </c>
      <c r="E4193" t="inlineStr">
        <is>
          <t>SKELLEFTEÅ</t>
        </is>
      </c>
      <c r="F4193" t="inlineStr">
        <is>
          <t>Sveaskog</t>
        </is>
      </c>
      <c r="G4193" t="n">
        <v>10.9</v>
      </c>
      <c r="H4193" t="n">
        <v>0</v>
      </c>
      <c r="I4193" t="n">
        <v>0</v>
      </c>
      <c r="J4193" t="n">
        <v>0</v>
      </c>
      <c r="K4193" t="n">
        <v>0</v>
      </c>
      <c r="L4193" t="n">
        <v>0</v>
      </c>
      <c r="M4193" t="n">
        <v>0</v>
      </c>
      <c r="N4193" t="n">
        <v>0</v>
      </c>
      <c r="O4193" t="n">
        <v>0</v>
      </c>
      <c r="P4193" t="n">
        <v>0</v>
      </c>
      <c r="Q4193" t="n">
        <v>0</v>
      </c>
      <c r="R4193" s="2" t="inlineStr"/>
    </row>
    <row r="4194" ht="15" customHeight="1">
      <c r="A4194" t="inlineStr">
        <is>
          <t>A 26194-2025</t>
        </is>
      </c>
      <c r="B4194" s="1" t="n">
        <v>45805</v>
      </c>
      <c r="C4194" s="1" t="n">
        <v>45832</v>
      </c>
      <c r="D4194" t="inlineStr">
        <is>
          <t>VÄSTERBOTTENS LÄN</t>
        </is>
      </c>
      <c r="E4194" t="inlineStr">
        <is>
          <t>SKELLEFTEÅ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45832</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26318-2025</t>
        </is>
      </c>
      <c r="B4196" s="1" t="n">
        <v>45805</v>
      </c>
      <c r="C4196" s="1" t="n">
        <v>45832</v>
      </c>
      <c r="D4196" t="inlineStr">
        <is>
          <t>VÄSTERBOTTENS LÄN</t>
        </is>
      </c>
      <c r="E4196" t="inlineStr">
        <is>
          <t>SKELLEFTEÅ</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26425-2025</t>
        </is>
      </c>
      <c r="B4197" s="1" t="n">
        <v>45807</v>
      </c>
      <c r="C4197" s="1" t="n">
        <v>45832</v>
      </c>
      <c r="D4197" t="inlineStr">
        <is>
          <t>VÄSTERBOTTENS LÄN</t>
        </is>
      </c>
      <c r="E4197" t="inlineStr">
        <is>
          <t>SKELLEFTEÅ</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26542-2025</t>
        </is>
      </c>
      <c r="B4198" s="1" t="n">
        <v>45807</v>
      </c>
      <c r="C4198" s="1" t="n">
        <v>45832</v>
      </c>
      <c r="D4198" t="inlineStr">
        <is>
          <t>VÄSTERBOTTENS LÄN</t>
        </is>
      </c>
      <c r="E4198" t="inlineStr">
        <is>
          <t>SKELLEFTEÅ</t>
        </is>
      </c>
      <c r="F4198" t="inlineStr">
        <is>
          <t>Holmen skog AB</t>
        </is>
      </c>
      <c r="G4198" t="n">
        <v>11.8</v>
      </c>
      <c r="H4198" t="n">
        <v>0</v>
      </c>
      <c r="I4198" t="n">
        <v>0</v>
      </c>
      <c r="J4198" t="n">
        <v>0</v>
      </c>
      <c r="K4198" t="n">
        <v>0</v>
      </c>
      <c r="L4198" t="n">
        <v>0</v>
      </c>
      <c r="M4198" t="n">
        <v>0</v>
      </c>
      <c r="N4198" t="n">
        <v>0</v>
      </c>
      <c r="O4198" t="n">
        <v>0</v>
      </c>
      <c r="P4198" t="n">
        <v>0</v>
      </c>
      <c r="Q4198" t="n">
        <v>0</v>
      </c>
      <c r="R4198" s="2" t="inlineStr"/>
    </row>
    <row r="4199" ht="15" customHeight="1">
      <c r="A4199" t="inlineStr">
        <is>
          <t>A 26601-2025</t>
        </is>
      </c>
      <c r="B4199" s="1" t="n">
        <v>45808</v>
      </c>
      <c r="C4199" s="1" t="n">
        <v>45832</v>
      </c>
      <c r="D4199" t="inlineStr">
        <is>
          <t>VÄSTERBOTTENS LÄN</t>
        </is>
      </c>
      <c r="E4199" t="inlineStr">
        <is>
          <t>SKELLEFTEÅ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26767-2025</t>
        </is>
      </c>
      <c r="B4200" s="1" t="n">
        <v>45810</v>
      </c>
      <c r="C4200" s="1" t="n">
        <v>45832</v>
      </c>
      <c r="D4200" t="inlineStr">
        <is>
          <t>VÄSTERBOTTENS LÄN</t>
        </is>
      </c>
      <c r="E4200" t="inlineStr">
        <is>
          <t>SKELLEFTEÅ</t>
        </is>
      </c>
      <c r="F4200" t="inlineStr">
        <is>
          <t>Holmen skog AB</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v>
      </c>
      <c r="C4201" s="1" t="n">
        <v>45832</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27010-2025</t>
        </is>
      </c>
      <c r="B4202" s="1" t="n">
        <v>45811</v>
      </c>
      <c r="C4202" s="1" t="n">
        <v>45832</v>
      </c>
      <c r="D4202" t="inlineStr">
        <is>
          <t>VÄSTERBOTTENS LÄN</t>
        </is>
      </c>
      <c r="E4202" t="inlineStr">
        <is>
          <t>SKELLEFTEÅ</t>
        </is>
      </c>
      <c r="G4202" t="n">
        <v>10.4</v>
      </c>
      <c r="H4202" t="n">
        <v>0</v>
      </c>
      <c r="I4202" t="n">
        <v>0</v>
      </c>
      <c r="J4202" t="n">
        <v>0</v>
      </c>
      <c r="K4202" t="n">
        <v>0</v>
      </c>
      <c r="L4202" t="n">
        <v>0</v>
      </c>
      <c r="M4202" t="n">
        <v>0</v>
      </c>
      <c r="N4202" t="n">
        <v>0</v>
      </c>
      <c r="O4202" t="n">
        <v>0</v>
      </c>
      <c r="P4202" t="n">
        <v>0</v>
      </c>
      <c r="Q4202" t="n">
        <v>0</v>
      </c>
      <c r="R4202" s="2" t="inlineStr"/>
    </row>
    <row r="4203" ht="15" customHeight="1">
      <c r="A4203" t="inlineStr">
        <is>
          <t>A 27082-2025</t>
        </is>
      </c>
      <c r="B4203" s="1" t="n">
        <v>45811</v>
      </c>
      <c r="C4203" s="1" t="n">
        <v>45832</v>
      </c>
      <c r="D4203" t="inlineStr">
        <is>
          <t>VÄSTERBOTTENS LÄN</t>
        </is>
      </c>
      <c r="E4203" t="inlineStr">
        <is>
          <t>SKELLEFTEÅ</t>
        </is>
      </c>
      <c r="F4203" t="inlineStr">
        <is>
          <t>Sveaskog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27091-2025</t>
        </is>
      </c>
      <c r="B4204" s="1" t="n">
        <v>45811</v>
      </c>
      <c r="C4204" s="1" t="n">
        <v>45832</v>
      </c>
      <c r="D4204" t="inlineStr">
        <is>
          <t>VÄSTERBOTTENS LÄN</t>
        </is>
      </c>
      <c r="E4204" t="inlineStr">
        <is>
          <t>SKELLEFTEÅ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26962-2025</t>
        </is>
      </c>
      <c r="B4205" s="1" t="n">
        <v>45811</v>
      </c>
      <c r="C4205" s="1" t="n">
        <v>45832</v>
      </c>
      <c r="D4205" t="inlineStr">
        <is>
          <t>VÄSTERBOTTENS LÄN</t>
        </is>
      </c>
      <c r="E4205" t="inlineStr">
        <is>
          <t>SKELLEFTEÅ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26909-2025</t>
        </is>
      </c>
      <c r="B4206" s="1" t="n">
        <v>45811</v>
      </c>
      <c r="C4206" s="1" t="n">
        <v>45832</v>
      </c>
      <c r="D4206" t="inlineStr">
        <is>
          <t>VÄSTERBOTTENS LÄN</t>
        </is>
      </c>
      <c r="E4206" t="inlineStr">
        <is>
          <t>SKELLEFTEÅ</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27331-2025</t>
        </is>
      </c>
      <c r="B4207" s="1" t="n">
        <v>45812</v>
      </c>
      <c r="C4207" s="1" t="n">
        <v>45832</v>
      </c>
      <c r="D4207" t="inlineStr">
        <is>
          <t>VÄSTERBOTTENS LÄN</t>
        </is>
      </c>
      <c r="E4207" t="inlineStr">
        <is>
          <t>SKELLEFTEÅ</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27400-2025</t>
        </is>
      </c>
      <c r="B4208" s="1" t="n">
        <v>45812</v>
      </c>
      <c r="C4208" s="1" t="n">
        <v>45832</v>
      </c>
      <c r="D4208" t="inlineStr">
        <is>
          <t>VÄSTERBOTTENS LÄN</t>
        </is>
      </c>
      <c r="E4208" t="inlineStr">
        <is>
          <t>SKELLEFTEÅ</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27157-2025</t>
        </is>
      </c>
      <c r="B4209" s="1" t="n">
        <v>45812</v>
      </c>
      <c r="C4209" s="1" t="n">
        <v>45832</v>
      </c>
      <c r="D4209" t="inlineStr">
        <is>
          <t>VÄSTERBOTTENS LÄN</t>
        </is>
      </c>
      <c r="E4209" t="inlineStr">
        <is>
          <t>SKELLEFTEÅ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27219-2025</t>
        </is>
      </c>
      <c r="B4210" s="1" t="n">
        <v>45812</v>
      </c>
      <c r="C4210" s="1" t="n">
        <v>45832</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27144-2025</t>
        </is>
      </c>
      <c r="B4211" s="1" t="n">
        <v>45812</v>
      </c>
      <c r="C4211" s="1" t="n">
        <v>45832</v>
      </c>
      <c r="D4211" t="inlineStr">
        <is>
          <t>VÄSTERBOTTENS LÄN</t>
        </is>
      </c>
      <c r="E4211" t="inlineStr">
        <is>
          <t>SKELLEFTEÅ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27641-2025</t>
        </is>
      </c>
      <c r="B4212" s="1" t="n">
        <v>45813</v>
      </c>
      <c r="C4212" s="1" t="n">
        <v>45832</v>
      </c>
      <c r="D4212" t="inlineStr">
        <is>
          <t>VÄSTERBOTTENS LÄN</t>
        </is>
      </c>
      <c r="E4212" t="inlineStr">
        <is>
          <t>SKELLEFTEÅ</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27437-2025</t>
        </is>
      </c>
      <c r="B4213" s="1" t="n">
        <v>45813</v>
      </c>
      <c r="C4213" s="1" t="n">
        <v>45832</v>
      </c>
      <c r="D4213" t="inlineStr">
        <is>
          <t>VÄSTERBOTTENS LÄN</t>
        </is>
      </c>
      <c r="E4213" t="inlineStr">
        <is>
          <t>SKELLEFTEÅ</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27715-2025</t>
        </is>
      </c>
      <c r="B4214" s="1" t="n">
        <v>45814</v>
      </c>
      <c r="C4214" s="1" t="n">
        <v>45832</v>
      </c>
      <c r="D4214" t="inlineStr">
        <is>
          <t>VÄSTERBOTTENS LÄN</t>
        </is>
      </c>
      <c r="E4214" t="inlineStr">
        <is>
          <t>SKELLEFTEÅ</t>
        </is>
      </c>
      <c r="F4214" t="inlineStr">
        <is>
          <t>Sveaskog</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27442-2025</t>
        </is>
      </c>
      <c r="B4215" s="1" t="n">
        <v>45813</v>
      </c>
      <c r="C4215" s="1" t="n">
        <v>45832</v>
      </c>
      <c r="D4215" t="inlineStr">
        <is>
          <t>VÄSTERBOTTENS LÄN</t>
        </is>
      </c>
      <c r="E4215" t="inlineStr">
        <is>
          <t>SKELLEFTEÅ</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27433-2025</t>
        </is>
      </c>
      <c r="B4216" s="1" t="n">
        <v>45813</v>
      </c>
      <c r="C4216" s="1" t="n">
        <v>45832</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27477-2025</t>
        </is>
      </c>
      <c r="B4217" s="1" t="n">
        <v>45813</v>
      </c>
      <c r="C4217" s="1" t="n">
        <v>45832</v>
      </c>
      <c r="D4217" t="inlineStr">
        <is>
          <t>VÄSTERBOTTENS LÄN</t>
        </is>
      </c>
      <c r="E4217" t="inlineStr">
        <is>
          <t>SKELLEFTEÅ</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27579-2025</t>
        </is>
      </c>
      <c r="B4218" s="1" t="n">
        <v>45813</v>
      </c>
      <c r="C4218" s="1" t="n">
        <v>45832</v>
      </c>
      <c r="D4218" t="inlineStr">
        <is>
          <t>VÄSTERBOTTENS LÄN</t>
        </is>
      </c>
      <c r="E4218" t="inlineStr">
        <is>
          <t>SKELLEFTEÅ</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27578-2025</t>
        </is>
      </c>
      <c r="B4219" s="1" t="n">
        <v>45813</v>
      </c>
      <c r="C4219" s="1" t="n">
        <v>45832</v>
      </c>
      <c r="D4219" t="inlineStr">
        <is>
          <t>VÄSTERBOTTENS LÄN</t>
        </is>
      </c>
      <c r="E4219" t="inlineStr">
        <is>
          <t>SKELLEFTEÅ</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27727-2025</t>
        </is>
      </c>
      <c r="B4220" s="1" t="n">
        <v>45814</v>
      </c>
      <c r="C4220" s="1" t="n">
        <v>45832</v>
      </c>
      <c r="D4220" t="inlineStr">
        <is>
          <t>VÄSTERBOTTENS LÄN</t>
        </is>
      </c>
      <c r="E4220" t="inlineStr">
        <is>
          <t>SKELLEFTEÅ</t>
        </is>
      </c>
      <c r="F4220" t="inlineStr">
        <is>
          <t>Sveaskog</t>
        </is>
      </c>
      <c r="G4220" t="n">
        <v>12.5</v>
      </c>
      <c r="H4220" t="n">
        <v>0</v>
      </c>
      <c r="I4220" t="n">
        <v>0</v>
      </c>
      <c r="J4220" t="n">
        <v>0</v>
      </c>
      <c r="K4220" t="n">
        <v>0</v>
      </c>
      <c r="L4220" t="n">
        <v>0</v>
      </c>
      <c r="M4220" t="n">
        <v>0</v>
      </c>
      <c r="N4220" t="n">
        <v>0</v>
      </c>
      <c r="O4220" t="n">
        <v>0</v>
      </c>
      <c r="P4220" t="n">
        <v>0</v>
      </c>
      <c r="Q4220" t="n">
        <v>0</v>
      </c>
      <c r="R4220" s="2" t="inlineStr"/>
    </row>
    <row r="4221" ht="15" customHeight="1">
      <c r="A4221" t="inlineStr">
        <is>
          <t>A 27864-2025</t>
        </is>
      </c>
      <c r="B4221" s="1" t="n">
        <v>45817</v>
      </c>
      <c r="C4221" s="1" t="n">
        <v>45832</v>
      </c>
      <c r="D4221" t="inlineStr">
        <is>
          <t>VÄSTERBOTTENS LÄN</t>
        </is>
      </c>
      <c r="E4221" t="inlineStr">
        <is>
          <t>SKELLEFTEÅ</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27869-2025</t>
        </is>
      </c>
      <c r="B4222" s="1" t="n">
        <v>45817</v>
      </c>
      <c r="C4222" s="1" t="n">
        <v>45832</v>
      </c>
      <c r="D4222" t="inlineStr">
        <is>
          <t>VÄSTERBOTTENS LÄN</t>
        </is>
      </c>
      <c r="E4222" t="inlineStr">
        <is>
          <t>SKELLEFTEÅ</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27876-2025</t>
        </is>
      </c>
      <c r="B4223" s="1" t="n">
        <v>45817</v>
      </c>
      <c r="C4223" s="1" t="n">
        <v>45832</v>
      </c>
      <c r="D4223" t="inlineStr">
        <is>
          <t>VÄSTERBOTTENS LÄN</t>
        </is>
      </c>
      <c r="E4223" t="inlineStr">
        <is>
          <t>SKELLEFTEÅ</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27877-2025</t>
        </is>
      </c>
      <c r="B4224" s="1" t="n">
        <v>45817</v>
      </c>
      <c r="C4224" s="1" t="n">
        <v>45832</v>
      </c>
      <c r="D4224" t="inlineStr">
        <is>
          <t>VÄSTERBOTTENS LÄN</t>
        </is>
      </c>
      <c r="E4224" t="inlineStr">
        <is>
          <t>SKELLEFTEÅ</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28114-2025</t>
        </is>
      </c>
      <c r="B4225" s="1" t="n">
        <v>45818</v>
      </c>
      <c r="C4225" s="1" t="n">
        <v>45832</v>
      </c>
      <c r="D4225" t="inlineStr">
        <is>
          <t>VÄSTERBOTTENS LÄN</t>
        </is>
      </c>
      <c r="E4225" t="inlineStr">
        <is>
          <t>SKELLEFTEÅ</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27875-2025</t>
        </is>
      </c>
      <c r="B4226" s="1" t="n">
        <v>45817</v>
      </c>
      <c r="C4226" s="1" t="n">
        <v>45832</v>
      </c>
      <c r="D4226" t="inlineStr">
        <is>
          <t>VÄSTERBOTTENS LÄN</t>
        </is>
      </c>
      <c r="E4226" t="inlineStr">
        <is>
          <t>SKELLEFTEÅ</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28337-2025</t>
        </is>
      </c>
      <c r="B4227" s="1" t="n">
        <v>45817</v>
      </c>
      <c r="C4227" s="1" t="n">
        <v>45832</v>
      </c>
      <c r="D4227" t="inlineStr">
        <is>
          <t>VÄSTERBOTTENS LÄN</t>
        </is>
      </c>
      <c r="E4227" t="inlineStr">
        <is>
          <t>SKELLEFTEÅ</t>
        </is>
      </c>
      <c r="G4227" t="n">
        <v>16.4</v>
      </c>
      <c r="H4227" t="n">
        <v>0</v>
      </c>
      <c r="I4227" t="n">
        <v>0</v>
      </c>
      <c r="J4227" t="n">
        <v>0</v>
      </c>
      <c r="K4227" t="n">
        <v>0</v>
      </c>
      <c r="L4227" t="n">
        <v>0</v>
      </c>
      <c r="M4227" t="n">
        <v>0</v>
      </c>
      <c r="N4227" t="n">
        <v>0</v>
      </c>
      <c r="O4227" t="n">
        <v>0</v>
      </c>
      <c r="P4227" t="n">
        <v>0</v>
      </c>
      <c r="Q4227" t="n">
        <v>0</v>
      </c>
      <c r="R4227" s="2" t="inlineStr"/>
    </row>
    <row r="4228" ht="15" customHeight="1">
      <c r="A4228" t="inlineStr">
        <is>
          <t>A 28327-2025</t>
        </is>
      </c>
      <c r="B4228" s="1" t="n">
        <v>45817</v>
      </c>
      <c r="C4228" s="1" t="n">
        <v>45832</v>
      </c>
      <c r="D4228" t="inlineStr">
        <is>
          <t>VÄSTERBOTTENS LÄN</t>
        </is>
      </c>
      <c r="E4228" t="inlineStr">
        <is>
          <t>SKELLEFTEÅ</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28311-2025</t>
        </is>
      </c>
      <c r="B4229" s="1" t="n">
        <v>45818</v>
      </c>
      <c r="C4229" s="1" t="n">
        <v>45832</v>
      </c>
      <c r="D4229" t="inlineStr">
        <is>
          <t>VÄSTERBOTTENS LÄN</t>
        </is>
      </c>
      <c r="E4229" t="inlineStr">
        <is>
          <t>SKELLEFTEÅ</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28358-2025</t>
        </is>
      </c>
      <c r="B4230" s="1" t="n">
        <v>45818</v>
      </c>
      <c r="C4230" s="1" t="n">
        <v>45832</v>
      </c>
      <c r="D4230" t="inlineStr">
        <is>
          <t>VÄSTERBOTTENS LÄN</t>
        </is>
      </c>
      <c r="E4230" t="inlineStr">
        <is>
          <t>SKELLEFTEÅ</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28364-2025</t>
        </is>
      </c>
      <c r="B4231" s="1" t="n">
        <v>45818</v>
      </c>
      <c r="C4231" s="1" t="n">
        <v>45832</v>
      </c>
      <c r="D4231" t="inlineStr">
        <is>
          <t>VÄSTERBOTTENS LÄN</t>
        </is>
      </c>
      <c r="E4231" t="inlineStr">
        <is>
          <t>SKELLEFTEÅ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28365-2025</t>
        </is>
      </c>
      <c r="B4232" s="1" t="n">
        <v>45818</v>
      </c>
      <c r="C4232" s="1" t="n">
        <v>45832</v>
      </c>
      <c r="D4232" t="inlineStr">
        <is>
          <t>VÄSTERBOTTENS LÄN</t>
        </is>
      </c>
      <c r="E4232" t="inlineStr">
        <is>
          <t>SKELLEFTEÅ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28220-2025</t>
        </is>
      </c>
      <c r="B4233" s="1" t="n">
        <v>45818</v>
      </c>
      <c r="C4233" s="1" t="n">
        <v>45832</v>
      </c>
      <c r="D4233" t="inlineStr">
        <is>
          <t>VÄSTERBOTTENS LÄN</t>
        </is>
      </c>
      <c r="E4233" t="inlineStr">
        <is>
          <t>SKELLEFTEÅ</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28329-2025</t>
        </is>
      </c>
      <c r="B4234" s="1" t="n">
        <v>45818</v>
      </c>
      <c r="C4234" s="1" t="n">
        <v>45832</v>
      </c>
      <c r="D4234" t="inlineStr">
        <is>
          <t>VÄSTERBOTTENS LÄN</t>
        </is>
      </c>
      <c r="E4234" t="inlineStr">
        <is>
          <t>SKELLEFTEÅ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28316-2025</t>
        </is>
      </c>
      <c r="B4235" s="1" t="n">
        <v>45818</v>
      </c>
      <c r="C4235" s="1" t="n">
        <v>45832</v>
      </c>
      <c r="D4235" t="inlineStr">
        <is>
          <t>VÄSTERBOTTENS LÄN</t>
        </is>
      </c>
      <c r="E4235" t="inlineStr">
        <is>
          <t>SKELLEFTEÅ</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28221-2025</t>
        </is>
      </c>
      <c r="B4236" s="1" t="n">
        <v>45818</v>
      </c>
      <c r="C4236" s="1" t="n">
        <v>45832</v>
      </c>
      <c r="D4236" t="inlineStr">
        <is>
          <t>VÄSTERBOTTENS LÄN</t>
        </is>
      </c>
      <c r="E4236" t="inlineStr">
        <is>
          <t>SKELLEFTEÅ</t>
        </is>
      </c>
      <c r="F4236" t="inlineStr">
        <is>
          <t>Holmen skog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28359-2025</t>
        </is>
      </c>
      <c r="B4237" s="1" t="n">
        <v>45818</v>
      </c>
      <c r="C4237" s="1" t="n">
        <v>45832</v>
      </c>
      <c r="D4237" t="inlineStr">
        <is>
          <t>VÄSTERBOTTENS LÄN</t>
        </is>
      </c>
      <c r="E4237" t="inlineStr">
        <is>
          <t>SKELLEFTEÅ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28360-2025</t>
        </is>
      </c>
      <c r="B4238" s="1" t="n">
        <v>45818</v>
      </c>
      <c r="C4238" s="1" t="n">
        <v>45832</v>
      </c>
      <c r="D4238" t="inlineStr">
        <is>
          <t>VÄSTERBOTTENS LÄN</t>
        </is>
      </c>
      <c r="E4238" t="inlineStr">
        <is>
          <t>SKELLEFTEÅ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28169-2025</t>
        </is>
      </c>
      <c r="B4239" s="1" t="n">
        <v>45818</v>
      </c>
      <c r="C4239" s="1" t="n">
        <v>45832</v>
      </c>
      <c r="D4239" t="inlineStr">
        <is>
          <t>VÄSTERBOTTENS LÄN</t>
        </is>
      </c>
      <c r="E4239" t="inlineStr">
        <is>
          <t>SKELLEFTEÅ</t>
        </is>
      </c>
      <c r="F4239" t="inlineStr">
        <is>
          <t>Holmen skog AB</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28354-2025</t>
        </is>
      </c>
      <c r="B4240" s="1" t="n">
        <v>45818</v>
      </c>
      <c r="C4240" s="1" t="n">
        <v>45832</v>
      </c>
      <c r="D4240" t="inlineStr">
        <is>
          <t>VÄSTERBOTTENS LÄN</t>
        </is>
      </c>
      <c r="E4240" t="inlineStr">
        <is>
          <t>SKELLEFTEÅ</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28355-2025</t>
        </is>
      </c>
      <c r="B4241" s="1" t="n">
        <v>45818</v>
      </c>
      <c r="C4241" s="1" t="n">
        <v>45832</v>
      </c>
      <c r="D4241" t="inlineStr">
        <is>
          <t>VÄSTERBOTTENS LÄN</t>
        </is>
      </c>
      <c r="E4241" t="inlineStr">
        <is>
          <t>SKELLEFTEÅ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28602-2025</t>
        </is>
      </c>
      <c r="B4242" s="1" t="n">
        <v>45819</v>
      </c>
      <c r="C4242" s="1" t="n">
        <v>45832</v>
      </c>
      <c r="D4242" t="inlineStr">
        <is>
          <t>VÄSTERBOTTENS LÄN</t>
        </is>
      </c>
      <c r="E4242" t="inlineStr">
        <is>
          <t>SKELLEFTEÅ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28573-2025</t>
        </is>
      </c>
      <c r="B4243" s="1" t="n">
        <v>45819</v>
      </c>
      <c r="C4243" s="1" t="n">
        <v>45832</v>
      </c>
      <c r="D4243" t="inlineStr">
        <is>
          <t>VÄSTERBOTTENS LÄN</t>
        </is>
      </c>
      <c r="E4243" t="inlineStr">
        <is>
          <t>SKELLEFTEÅ</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28577-2025</t>
        </is>
      </c>
      <c r="B4244" s="1" t="n">
        <v>45819</v>
      </c>
      <c r="C4244" s="1" t="n">
        <v>45832</v>
      </c>
      <c r="D4244" t="inlineStr">
        <is>
          <t>VÄSTERBOTTENS LÄN</t>
        </is>
      </c>
      <c r="E4244" t="inlineStr">
        <is>
          <t>SKELLEFTEÅ</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28378-2025</t>
        </is>
      </c>
      <c r="B4245" s="1" t="n">
        <v>45819</v>
      </c>
      <c r="C4245" s="1" t="n">
        <v>45832</v>
      </c>
      <c r="D4245" t="inlineStr">
        <is>
          <t>VÄSTERBOTTENS LÄN</t>
        </is>
      </c>
      <c r="E4245" t="inlineStr">
        <is>
          <t>SKELLEFTEÅ</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28408-2025</t>
        </is>
      </c>
      <c r="B4246" s="1" t="n">
        <v>45819</v>
      </c>
      <c r="C4246" s="1" t="n">
        <v>45832</v>
      </c>
      <c r="D4246" t="inlineStr">
        <is>
          <t>VÄSTERBOTTENS LÄN</t>
        </is>
      </c>
      <c r="E4246" t="inlineStr">
        <is>
          <t>SKELLEFTEÅ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28804-2025</t>
        </is>
      </c>
      <c r="B4247" s="1" t="n">
        <v>45820</v>
      </c>
      <c r="C4247" s="1" t="n">
        <v>45832</v>
      </c>
      <c r="D4247" t="inlineStr">
        <is>
          <t>VÄSTERBOTTENS LÄN</t>
        </is>
      </c>
      <c r="E4247" t="inlineStr">
        <is>
          <t>SKELLEFTEÅ</t>
        </is>
      </c>
      <c r="F4247" t="inlineStr">
        <is>
          <t>Holmen skog AB</t>
        </is>
      </c>
      <c r="G4247" t="n">
        <v>10.5</v>
      </c>
      <c r="H4247" t="n">
        <v>0</v>
      </c>
      <c r="I4247" t="n">
        <v>0</v>
      </c>
      <c r="J4247" t="n">
        <v>0</v>
      </c>
      <c r="K4247" t="n">
        <v>0</v>
      </c>
      <c r="L4247" t="n">
        <v>0</v>
      </c>
      <c r="M4247" t="n">
        <v>0</v>
      </c>
      <c r="N4247" t="n">
        <v>0</v>
      </c>
      <c r="O4247" t="n">
        <v>0</v>
      </c>
      <c r="P4247" t="n">
        <v>0</v>
      </c>
      <c r="Q4247" t="n">
        <v>0</v>
      </c>
      <c r="R4247" s="2" t="inlineStr"/>
    </row>
    <row r="4248" ht="15" customHeight="1">
      <c r="A4248" t="inlineStr">
        <is>
          <t>A 28778-2025</t>
        </is>
      </c>
      <c r="B4248" s="1" t="n">
        <v>45820</v>
      </c>
      <c r="C4248" s="1" t="n">
        <v>45832</v>
      </c>
      <c r="D4248" t="inlineStr">
        <is>
          <t>VÄSTERBOTTENS LÄN</t>
        </is>
      </c>
      <c r="E4248" t="inlineStr">
        <is>
          <t>SKELLEFTEÅ</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28787-2025</t>
        </is>
      </c>
      <c r="B4249" s="1" t="n">
        <v>45820</v>
      </c>
      <c r="C4249" s="1" t="n">
        <v>45832</v>
      </c>
      <c r="D4249" t="inlineStr">
        <is>
          <t>VÄSTERBOTTENS LÄN</t>
        </is>
      </c>
      <c r="E4249" t="inlineStr">
        <is>
          <t>SKELLEFTEÅ</t>
        </is>
      </c>
      <c r="F4249" t="inlineStr">
        <is>
          <t>Holmen skog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28777-2025</t>
        </is>
      </c>
      <c r="B4250" s="1" t="n">
        <v>45820</v>
      </c>
      <c r="C4250" s="1" t="n">
        <v>45832</v>
      </c>
      <c r="D4250" t="inlineStr">
        <is>
          <t>VÄSTERBOTTENS LÄN</t>
        </is>
      </c>
      <c r="E4250" t="inlineStr">
        <is>
          <t>SKELLEFTEÅ</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29101-2025</t>
        </is>
      </c>
      <c r="B4251" s="1" t="n">
        <v>45821</v>
      </c>
      <c r="C4251" s="1" t="n">
        <v>45832</v>
      </c>
      <c r="D4251" t="inlineStr">
        <is>
          <t>VÄSTERBOTTENS LÄN</t>
        </is>
      </c>
      <c r="E4251" t="inlineStr">
        <is>
          <t>SKELLEFTEÅ</t>
        </is>
      </c>
      <c r="F4251" t="inlineStr">
        <is>
          <t>Holmen skog AB</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28961-2025</t>
        </is>
      </c>
      <c r="B4252" s="1" t="n">
        <v>45821</v>
      </c>
      <c r="C4252" s="1" t="n">
        <v>45832</v>
      </c>
      <c r="D4252" t="inlineStr">
        <is>
          <t>VÄSTERBOTTENS LÄN</t>
        </is>
      </c>
      <c r="E4252" t="inlineStr">
        <is>
          <t>SKELLEFTEÅ</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28989-2025</t>
        </is>
      </c>
      <c r="B4253" s="1" t="n">
        <v>45821</v>
      </c>
      <c r="C4253" s="1" t="n">
        <v>45832</v>
      </c>
      <c r="D4253" t="inlineStr">
        <is>
          <t>VÄSTERBOTTENS LÄN</t>
        </is>
      </c>
      <c r="E4253" t="inlineStr">
        <is>
          <t>SKELLEFTEÅ</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29134-2025</t>
        </is>
      </c>
      <c r="B4254" s="1" t="n">
        <v>45821</v>
      </c>
      <c r="C4254" s="1" t="n">
        <v>45832</v>
      </c>
      <c r="D4254" t="inlineStr">
        <is>
          <t>VÄSTERBOTTENS LÄN</t>
        </is>
      </c>
      <c r="E4254" t="inlineStr">
        <is>
          <t>SKELLEFTEÅ</t>
        </is>
      </c>
      <c r="F4254" t="inlineStr">
        <is>
          <t>Holmen skog AB</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28984-2025</t>
        </is>
      </c>
      <c r="B4255" s="1" t="n">
        <v>45821</v>
      </c>
      <c r="C4255" s="1" t="n">
        <v>45832</v>
      </c>
      <c r="D4255" t="inlineStr">
        <is>
          <t>VÄSTERBOTTENS LÄN</t>
        </is>
      </c>
      <c r="E4255" t="inlineStr">
        <is>
          <t>SKELLEFTEÅ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28986-2025</t>
        </is>
      </c>
      <c r="B4256" s="1" t="n">
        <v>45821</v>
      </c>
      <c r="C4256" s="1" t="n">
        <v>45832</v>
      </c>
      <c r="D4256" t="inlineStr">
        <is>
          <t>VÄSTERBOTTENS LÄN</t>
        </is>
      </c>
      <c r="E4256" t="inlineStr">
        <is>
          <t>SKELLEFTEÅ</t>
        </is>
      </c>
      <c r="F4256" t="inlineStr">
        <is>
          <t>Holmen skog AB</t>
        </is>
      </c>
      <c r="G4256" t="n">
        <v>12.5</v>
      </c>
      <c r="H4256" t="n">
        <v>0</v>
      </c>
      <c r="I4256" t="n">
        <v>0</v>
      </c>
      <c r="J4256" t="n">
        <v>0</v>
      </c>
      <c r="K4256" t="n">
        <v>0</v>
      </c>
      <c r="L4256" t="n">
        <v>0</v>
      </c>
      <c r="M4256" t="n">
        <v>0</v>
      </c>
      <c r="N4256" t="n">
        <v>0</v>
      </c>
      <c r="O4256" t="n">
        <v>0</v>
      </c>
      <c r="P4256" t="n">
        <v>0</v>
      </c>
      <c r="Q4256" t="n">
        <v>0</v>
      </c>
      <c r="R4256" s="2" t="inlineStr"/>
    </row>
    <row r="4257" ht="15" customHeight="1">
      <c r="A4257" t="inlineStr">
        <is>
          <t>A 29194-2025</t>
        </is>
      </c>
      <c r="B4257" s="1" t="n">
        <v>45823</v>
      </c>
      <c r="C4257" s="1" t="n">
        <v>45832</v>
      </c>
      <c r="D4257" t="inlineStr">
        <is>
          <t>VÄSTERBOTTENS LÄN</t>
        </is>
      </c>
      <c r="E4257" t="inlineStr">
        <is>
          <t>SKELLEFTEÅ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29264-2025</t>
        </is>
      </c>
      <c r="B4258" s="1" t="n">
        <v>45824</v>
      </c>
      <c r="C4258" s="1" t="n">
        <v>45832</v>
      </c>
      <c r="D4258" t="inlineStr">
        <is>
          <t>VÄSTERBOTTENS LÄN</t>
        </is>
      </c>
      <c r="E4258" t="inlineStr">
        <is>
          <t>SKELLEFTEÅ</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29442-2025</t>
        </is>
      </c>
      <c r="B4259" s="1" t="n">
        <v>45824</v>
      </c>
      <c r="C4259" s="1" t="n">
        <v>45832</v>
      </c>
      <c r="D4259" t="inlineStr">
        <is>
          <t>VÄSTERBOTTENS LÄN</t>
        </is>
      </c>
      <c r="E4259" t="inlineStr">
        <is>
          <t>SKELLEFTEÅ</t>
        </is>
      </c>
      <c r="F4259" t="inlineStr">
        <is>
          <t>Holmen skog AB</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29455-2025</t>
        </is>
      </c>
      <c r="B4260" s="1" t="n">
        <v>45824</v>
      </c>
      <c r="C4260" s="1" t="n">
        <v>45832</v>
      </c>
      <c r="D4260" t="inlineStr">
        <is>
          <t>VÄSTERBOTTENS LÄN</t>
        </is>
      </c>
      <c r="E4260" t="inlineStr">
        <is>
          <t>SKELLEFTEÅ</t>
        </is>
      </c>
      <c r="F4260" t="inlineStr">
        <is>
          <t>Holmen skog AB</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29267-2025</t>
        </is>
      </c>
      <c r="B4261" s="1" t="n">
        <v>45824</v>
      </c>
      <c r="C4261" s="1" t="n">
        <v>45832</v>
      </c>
      <c r="D4261" t="inlineStr">
        <is>
          <t>VÄSTERBOTTENS LÄN</t>
        </is>
      </c>
      <c r="E4261" t="inlineStr">
        <is>
          <t>SKELLEFTEÅ</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29277-2025</t>
        </is>
      </c>
      <c r="B4262" s="1" t="n">
        <v>45824</v>
      </c>
      <c r="C4262" s="1" t="n">
        <v>45832</v>
      </c>
      <c r="D4262" t="inlineStr">
        <is>
          <t>VÄSTERBOTTENS LÄN</t>
        </is>
      </c>
      <c r="E4262" t="inlineStr">
        <is>
          <t>SKELLEFTEÅ</t>
        </is>
      </c>
      <c r="G4262" t="n">
        <v>9.199999999999999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29413-2025</t>
        </is>
      </c>
      <c r="B4263" s="1" t="n">
        <v>45824</v>
      </c>
      <c r="C4263" s="1" t="n">
        <v>45832</v>
      </c>
      <c r="D4263" t="inlineStr">
        <is>
          <t>VÄSTERBOTTENS LÄN</t>
        </is>
      </c>
      <c r="E4263" t="inlineStr">
        <is>
          <t>SKELLEFTEÅ</t>
        </is>
      </c>
      <c r="F4263" t="inlineStr">
        <is>
          <t>Holmen skog AB</t>
        </is>
      </c>
      <c r="G4263" t="n">
        <v>13.2</v>
      </c>
      <c r="H4263" t="n">
        <v>0</v>
      </c>
      <c r="I4263" t="n">
        <v>0</v>
      </c>
      <c r="J4263" t="n">
        <v>0</v>
      </c>
      <c r="K4263" t="n">
        <v>0</v>
      </c>
      <c r="L4263" t="n">
        <v>0</v>
      </c>
      <c r="M4263" t="n">
        <v>0</v>
      </c>
      <c r="N4263" t="n">
        <v>0</v>
      </c>
      <c r="O4263" t="n">
        <v>0</v>
      </c>
      <c r="P4263" t="n">
        <v>0</v>
      </c>
      <c r="Q4263" t="n">
        <v>0</v>
      </c>
      <c r="R4263" s="2" t="inlineStr"/>
    </row>
    <row r="4264" ht="15" customHeight="1">
      <c r="A4264" t="inlineStr">
        <is>
          <t>A 29263-2025</t>
        </is>
      </c>
      <c r="B4264" s="1" t="n">
        <v>45824</v>
      </c>
      <c r="C4264" s="1" t="n">
        <v>45832</v>
      </c>
      <c r="D4264" t="inlineStr">
        <is>
          <t>VÄSTERBOTTENS LÄN</t>
        </is>
      </c>
      <c r="E4264" t="inlineStr">
        <is>
          <t>SKELLEFTEÅ</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29500-2025</t>
        </is>
      </c>
      <c r="B4265" s="1" t="n">
        <v>45825</v>
      </c>
      <c r="C4265" s="1" t="n">
        <v>45832</v>
      </c>
      <c r="D4265" t="inlineStr">
        <is>
          <t>VÄSTERBOTTENS LÄN</t>
        </is>
      </c>
      <c r="E4265" t="inlineStr">
        <is>
          <t>SKELLEFTEÅ</t>
        </is>
      </c>
      <c r="G4265" t="n">
        <v>19.6</v>
      </c>
      <c r="H4265" t="n">
        <v>0</v>
      </c>
      <c r="I4265" t="n">
        <v>0</v>
      </c>
      <c r="J4265" t="n">
        <v>0</v>
      </c>
      <c r="K4265" t="n">
        <v>0</v>
      </c>
      <c r="L4265" t="n">
        <v>0</v>
      </c>
      <c r="M4265" t="n">
        <v>0</v>
      </c>
      <c r="N4265" t="n">
        <v>0</v>
      </c>
      <c r="O4265" t="n">
        <v>0</v>
      </c>
      <c r="P4265" t="n">
        <v>0</v>
      </c>
      <c r="Q4265" t="n">
        <v>0</v>
      </c>
      <c r="R4265" s="2" t="inlineStr"/>
    </row>
    <row r="4266" ht="15" customHeight="1">
      <c r="A4266" t="inlineStr">
        <is>
          <t>A 29665-2025</t>
        </is>
      </c>
      <c r="B4266" s="1" t="n">
        <v>45825</v>
      </c>
      <c r="C4266" s="1" t="n">
        <v>45832</v>
      </c>
      <c r="D4266" t="inlineStr">
        <is>
          <t>VÄSTERBOTTENS LÄN</t>
        </is>
      </c>
      <c r="E4266" t="inlineStr">
        <is>
          <t>SKELLEFTEÅ</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29693-2025</t>
        </is>
      </c>
      <c r="B4267" s="1" t="n">
        <v>45825</v>
      </c>
      <c r="C4267" s="1" t="n">
        <v>45832</v>
      </c>
      <c r="D4267" t="inlineStr">
        <is>
          <t>VÄSTERBOTTENS LÄN</t>
        </is>
      </c>
      <c r="E4267" t="inlineStr">
        <is>
          <t>SKELLEFTEÅ</t>
        </is>
      </c>
      <c r="G4267" t="n">
        <v>17.8</v>
      </c>
      <c r="H4267" t="n">
        <v>0</v>
      </c>
      <c r="I4267" t="n">
        <v>0</v>
      </c>
      <c r="J4267" t="n">
        <v>0</v>
      </c>
      <c r="K4267" t="n">
        <v>0</v>
      </c>
      <c r="L4267" t="n">
        <v>0</v>
      </c>
      <c r="M4267" t="n">
        <v>0</v>
      </c>
      <c r="N4267" t="n">
        <v>0</v>
      </c>
      <c r="O4267" t="n">
        <v>0</v>
      </c>
      <c r="P4267" t="n">
        <v>0</v>
      </c>
      <c r="Q4267" t="n">
        <v>0</v>
      </c>
      <c r="R4267" s="2" t="inlineStr"/>
    </row>
    <row r="4268" ht="15" customHeight="1">
      <c r="A4268" t="inlineStr">
        <is>
          <t>A 29765-2025</t>
        </is>
      </c>
      <c r="B4268" s="1" t="n">
        <v>45825</v>
      </c>
      <c r="C4268" s="1" t="n">
        <v>45832</v>
      </c>
      <c r="D4268" t="inlineStr">
        <is>
          <t>VÄSTERBOTTENS LÄN</t>
        </is>
      </c>
      <c r="E4268" t="inlineStr">
        <is>
          <t>SKELLEFTEÅ</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29706-2025</t>
        </is>
      </c>
      <c r="B4269" s="1" t="n">
        <v>45825</v>
      </c>
      <c r="C4269" s="1" t="n">
        <v>45832</v>
      </c>
      <c r="D4269" t="inlineStr">
        <is>
          <t>VÄSTERBOTTENS LÄN</t>
        </is>
      </c>
      <c r="E4269" t="inlineStr">
        <is>
          <t>SKELLEFTEÅ</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29757-2025</t>
        </is>
      </c>
      <c r="B4270" s="1" t="n">
        <v>45825</v>
      </c>
      <c r="C4270" s="1" t="n">
        <v>45832</v>
      </c>
      <c r="D4270" t="inlineStr">
        <is>
          <t>VÄSTERBOTTENS LÄN</t>
        </is>
      </c>
      <c r="E4270" t="inlineStr">
        <is>
          <t>SKELLEFTEÅ</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29613-2025</t>
        </is>
      </c>
      <c r="B4271" s="1" t="n">
        <v>45825</v>
      </c>
      <c r="C4271" s="1" t="n">
        <v>45832</v>
      </c>
      <c r="D4271" t="inlineStr">
        <is>
          <t>VÄSTERBOTTENS LÄN</t>
        </is>
      </c>
      <c r="E4271" t="inlineStr">
        <is>
          <t>SKELLEFTEÅ</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29663-2025</t>
        </is>
      </c>
      <c r="B4272" s="1" t="n">
        <v>45825</v>
      </c>
      <c r="C4272" s="1" t="n">
        <v>45832</v>
      </c>
      <c r="D4272" t="inlineStr">
        <is>
          <t>VÄSTERBOTTENS LÄN</t>
        </is>
      </c>
      <c r="E4272" t="inlineStr">
        <is>
          <t>SKELLEFTEÅ</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29694-2025</t>
        </is>
      </c>
      <c r="B4273" s="1" t="n">
        <v>45825</v>
      </c>
      <c r="C4273" s="1" t="n">
        <v>45832</v>
      </c>
      <c r="D4273" t="inlineStr">
        <is>
          <t>VÄSTERBOTTENS LÄN</t>
        </is>
      </c>
      <c r="E4273" t="inlineStr">
        <is>
          <t>SKELLEFTEÅ</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29750-2025</t>
        </is>
      </c>
      <c r="B4274" s="1" t="n">
        <v>45825</v>
      </c>
      <c r="C4274" s="1" t="n">
        <v>45832</v>
      </c>
      <c r="D4274" t="inlineStr">
        <is>
          <t>VÄSTERBOTTENS LÄN</t>
        </is>
      </c>
      <c r="E4274" t="inlineStr">
        <is>
          <t>SKELLEFTEÅ</t>
        </is>
      </c>
      <c r="F4274" t="inlineStr">
        <is>
          <t>Holmen skog AB</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30081-2025</t>
        </is>
      </c>
      <c r="B4275" s="1" t="n">
        <v>45826</v>
      </c>
      <c r="C4275" s="1" t="n">
        <v>45832</v>
      </c>
      <c r="D4275" t="inlineStr">
        <is>
          <t>VÄSTERBOTTENS LÄN</t>
        </is>
      </c>
      <c r="E4275" t="inlineStr">
        <is>
          <t>SKELLEFTEÅ</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30195-2025</t>
        </is>
      </c>
      <c r="B4276" s="1" t="n">
        <v>45827</v>
      </c>
      <c r="C4276" s="1" t="n">
        <v>45832</v>
      </c>
      <c r="D4276" t="inlineStr">
        <is>
          <t>VÄSTERBOTTENS LÄN</t>
        </is>
      </c>
      <c r="E4276" t="inlineStr">
        <is>
          <t>SKELLEFTEÅ</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30438-2025</t>
        </is>
      </c>
      <c r="B4277" s="1" t="n">
        <v>45827</v>
      </c>
      <c r="C4277" s="1" t="n">
        <v>45832</v>
      </c>
      <c r="D4277" t="inlineStr">
        <is>
          <t>VÄSTERBOTTENS LÄN</t>
        </is>
      </c>
      <c r="E4277" t="inlineStr">
        <is>
          <t>SKELLEFTEÅ</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30432-2025</t>
        </is>
      </c>
      <c r="B4278" s="1" t="n">
        <v>45827</v>
      </c>
      <c r="C4278" s="1" t="n">
        <v>45832</v>
      </c>
      <c r="D4278" t="inlineStr">
        <is>
          <t>VÄSTERBOTTENS LÄN</t>
        </is>
      </c>
      <c r="E4278" t="inlineStr">
        <is>
          <t>SKELLEFTEÅ</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30711-2025</t>
        </is>
      </c>
      <c r="B4279" s="1" t="n">
        <v>45831</v>
      </c>
      <c r="C4279" s="1" t="n">
        <v>45832</v>
      </c>
      <c r="D4279" t="inlineStr">
        <is>
          <t>VÄSTERBOTTENS LÄN</t>
        </is>
      </c>
      <c r="E4279" t="inlineStr">
        <is>
          <t>SKELLEFTEÅ</t>
        </is>
      </c>
      <c r="F4279" t="inlineStr">
        <is>
          <t>Sveaskog</t>
        </is>
      </c>
      <c r="G4279" t="n">
        <v>21.5</v>
      </c>
      <c r="H4279" t="n">
        <v>0</v>
      </c>
      <c r="I4279" t="n">
        <v>0</v>
      </c>
      <c r="J4279" t="n">
        <v>0</v>
      </c>
      <c r="K4279" t="n">
        <v>0</v>
      </c>
      <c r="L4279" t="n">
        <v>0</v>
      </c>
      <c r="M4279" t="n">
        <v>0</v>
      </c>
      <c r="N4279" t="n">
        <v>0</v>
      </c>
      <c r="O4279" t="n">
        <v>0</v>
      </c>
      <c r="P4279" t="n">
        <v>0</v>
      </c>
      <c r="Q4279" t="n">
        <v>0</v>
      </c>
      <c r="R4279" s="2" t="inlineStr"/>
    </row>
    <row r="4280">
      <c r="A4280" t="inlineStr">
        <is>
          <t>A 30791-2025</t>
        </is>
      </c>
      <c r="B4280" s="1" t="n">
        <v>45831</v>
      </c>
      <c r="C4280" s="1" t="n">
        <v>45832</v>
      </c>
      <c r="D4280" t="inlineStr">
        <is>
          <t>VÄSTERBOTTENS LÄN</t>
        </is>
      </c>
      <c r="E4280" t="inlineStr">
        <is>
          <t>SKELLEFTEÅ</t>
        </is>
      </c>
      <c r="G4280" t="n">
        <v>3.1</v>
      </c>
      <c r="H4280" t="n">
        <v>0</v>
      </c>
      <c r="I4280" t="n">
        <v>0</v>
      </c>
      <c r="J4280" t="n">
        <v>0</v>
      </c>
      <c r="K4280" t="n">
        <v>0</v>
      </c>
      <c r="L4280" t="n">
        <v>0</v>
      </c>
      <c r="M4280" t="n">
        <v>0</v>
      </c>
      <c r="N4280" t="n">
        <v>0</v>
      </c>
      <c r="O4280" t="n">
        <v>0</v>
      </c>
      <c r="P4280" t="n">
        <v>0</v>
      </c>
      <c r="Q4280" t="n">
        <v>0</v>
      </c>
      <c r="R4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2025-06-24T19:53:54Z</dcterms:created>
  <dcterms:modified xmlns:dcterms="http://purl.org/dc/terms/" xmlns:xsi="http://www.w3.org/2001/XMLSchema-instance" xsi:type="dcterms:W3CDTF">2025-06-24T19:53:58Z</dcterms:modified>
</cp:coreProperties>
</file>