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45792</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45792</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45792</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45792</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45792</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45792</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45792</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45792</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45792</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45792</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45792</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45792</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45792</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45792</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45792</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45792</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45792</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45792</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45792</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45792</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45792</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45792</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45792</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45792</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45792</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45792</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45792</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45792</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45792</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45792</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45792</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45792</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45792</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45792</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45792</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45792</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45792</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45792</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45792</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45792</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45792</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45792</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45792</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45792</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45792</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45792</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45792</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45792</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45792</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45792</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45792</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45792</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45792</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45792</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45792</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45792</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45792</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45792</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45792</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45792</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45792</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45792</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45792</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45792</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45792</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45792</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45792</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45792</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45792</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45792</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45792</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45792</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45792</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45792</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45792</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45792</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45792</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45792</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45792</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45792</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45792</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45792</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45792</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45792</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45792</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45792</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45792</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45792</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45792</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45792</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45792</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45792</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45792</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45792</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45792</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45792</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45792</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45792</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45792</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45792</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45792</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45792</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45792</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45792</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45792</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45792</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45792</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45792</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45792</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45792</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45792</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45792</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45792</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45792</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45792</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45792</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45792</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45792</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45792</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45792</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45792</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45792</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45792</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45792</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45792</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45792</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45792</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45792</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45792</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45792</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45792</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45792</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45792</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18882-2019</t>
        </is>
      </c>
      <c r="B139" s="1" t="n">
        <v>43563</v>
      </c>
      <c r="C139" s="1" t="n">
        <v>45792</v>
      </c>
      <c r="D139" t="inlineStr">
        <is>
          <t>VÄSTERBOTTENS LÄN</t>
        </is>
      </c>
      <c r="E139" t="inlineStr">
        <is>
          <t>SKELLEFTEÅ</t>
        </is>
      </c>
      <c r="F139" t="inlineStr">
        <is>
          <t>Kommuner</t>
        </is>
      </c>
      <c r="G139" t="n">
        <v>33.1</v>
      </c>
      <c r="H139" t="n">
        <v>2</v>
      </c>
      <c r="I139" t="n">
        <v>1</v>
      </c>
      <c r="J139" t="n">
        <v>0</v>
      </c>
      <c r="K139" t="n">
        <v>0</v>
      </c>
      <c r="L139" t="n">
        <v>0</v>
      </c>
      <c r="M139" t="n">
        <v>0</v>
      </c>
      <c r="N139" t="n">
        <v>0</v>
      </c>
      <c r="O139" t="n">
        <v>0</v>
      </c>
      <c r="P139" t="n">
        <v>0</v>
      </c>
      <c r="Q139" t="n">
        <v>2</v>
      </c>
      <c r="R139" s="2" t="inlineStr">
        <is>
          <t>Plattlummer
Revlummer</t>
        </is>
      </c>
      <c r="S139">
        <f>HYPERLINK("https://klasma.github.io/Logging_2482/artfynd/A 18882-2019 artfynd.xlsx", "A 18882-2019")</f>
        <v/>
      </c>
      <c r="T139">
        <f>HYPERLINK("https://klasma.github.io/Logging_2482/kartor/A 18882-2019 karta.png", "A 18882-2019")</f>
        <v/>
      </c>
      <c r="V139">
        <f>HYPERLINK("https://klasma.github.io/Logging_2482/klagomål/A 18882-2019 FSC-klagomål.docx", "A 18882-2019")</f>
        <v/>
      </c>
      <c r="W139">
        <f>HYPERLINK("https://klasma.github.io/Logging_2482/klagomålsmail/A 18882-2019 FSC-klagomål mail.docx", "A 18882-2019")</f>
        <v/>
      </c>
      <c r="X139">
        <f>HYPERLINK("https://klasma.github.io/Logging_2482/tillsyn/A 18882-2019 tillsynsbegäran.docx", "A 18882-2019")</f>
        <v/>
      </c>
      <c r="Y139">
        <f>HYPERLINK("https://klasma.github.io/Logging_2482/tillsynsmail/A 18882-2019 tillsynsbegäran mail.docx", "A 18882-2019")</f>
        <v/>
      </c>
    </row>
    <row r="140" ht="15" customHeight="1">
      <c r="A140" t="inlineStr">
        <is>
          <t>A 29514-2019</t>
        </is>
      </c>
      <c r="B140" s="1" t="n">
        <v>43627</v>
      </c>
      <c r="C140" s="1" t="n">
        <v>45792</v>
      </c>
      <c r="D140" t="inlineStr">
        <is>
          <t>VÄSTERBOTTENS LÄN</t>
        </is>
      </c>
      <c r="E140" t="inlineStr">
        <is>
          <t>SKELLEFTEÅ</t>
        </is>
      </c>
      <c r="G140" t="n">
        <v>9.5</v>
      </c>
      <c r="H140" t="n">
        <v>1</v>
      </c>
      <c r="I140" t="n">
        <v>1</v>
      </c>
      <c r="J140" t="n">
        <v>1</v>
      </c>
      <c r="K140" t="n">
        <v>0</v>
      </c>
      <c r="L140" t="n">
        <v>0</v>
      </c>
      <c r="M140" t="n">
        <v>0</v>
      </c>
      <c r="N140" t="n">
        <v>0</v>
      </c>
      <c r="O140" t="n">
        <v>1</v>
      </c>
      <c r="P140" t="n">
        <v>0</v>
      </c>
      <c r="Q140" t="n">
        <v>2</v>
      </c>
      <c r="R140" s="2" t="inlineStr">
        <is>
          <t>Ullticka
Lappranunkel</t>
        </is>
      </c>
      <c r="S140">
        <f>HYPERLINK("https://klasma.github.io/Logging_2482/artfynd/A 29514-2019 artfynd.xlsx", "A 29514-2019")</f>
        <v/>
      </c>
      <c r="T140">
        <f>HYPERLINK("https://klasma.github.io/Logging_2482/kartor/A 29514-2019 karta.png", "A 29514-2019")</f>
        <v/>
      </c>
      <c r="V140">
        <f>HYPERLINK("https://klasma.github.io/Logging_2482/klagomål/A 29514-2019 FSC-klagomål.docx", "A 29514-2019")</f>
        <v/>
      </c>
      <c r="W140">
        <f>HYPERLINK("https://klasma.github.io/Logging_2482/klagomålsmail/A 29514-2019 FSC-klagomål mail.docx", "A 29514-2019")</f>
        <v/>
      </c>
      <c r="X140">
        <f>HYPERLINK("https://klasma.github.io/Logging_2482/tillsyn/A 29514-2019 tillsynsbegäran.docx", "A 29514-2019")</f>
        <v/>
      </c>
      <c r="Y140">
        <f>HYPERLINK("https://klasma.github.io/Logging_2482/tillsynsmail/A 29514-2019 tillsynsbegäran mail.docx", "A 29514-2019")</f>
        <v/>
      </c>
    </row>
    <row r="141" ht="15" customHeight="1">
      <c r="A141" t="inlineStr">
        <is>
          <t>A 35097-2019</t>
        </is>
      </c>
      <c r="B141" s="1" t="n">
        <v>43661</v>
      </c>
      <c r="C141" s="1" t="n">
        <v>45792</v>
      </c>
      <c r="D141" t="inlineStr">
        <is>
          <t>VÄSTERBOTTENS LÄN</t>
        </is>
      </c>
      <c r="E141" t="inlineStr">
        <is>
          <t>SKELLEFTEÅ</t>
        </is>
      </c>
      <c r="F141" t="inlineStr">
        <is>
          <t>Sveaskog</t>
        </is>
      </c>
      <c r="G141" t="n">
        <v>19.2</v>
      </c>
      <c r="H141" t="n">
        <v>0</v>
      </c>
      <c r="I141" t="n">
        <v>1</v>
      </c>
      <c r="J141" t="n">
        <v>1</v>
      </c>
      <c r="K141" t="n">
        <v>0</v>
      </c>
      <c r="L141" t="n">
        <v>0</v>
      </c>
      <c r="M141" t="n">
        <v>0</v>
      </c>
      <c r="N141" t="n">
        <v>0</v>
      </c>
      <c r="O141" t="n">
        <v>1</v>
      </c>
      <c r="P141" t="n">
        <v>0</v>
      </c>
      <c r="Q141" t="n">
        <v>2</v>
      </c>
      <c r="R141" s="2" t="inlineStr">
        <is>
          <t>Grönhjon
Bronshjon</t>
        </is>
      </c>
      <c r="S141">
        <f>HYPERLINK("https://klasma.github.io/Logging_2482/artfynd/A 35097-2019 artfynd.xlsx", "A 35097-2019")</f>
        <v/>
      </c>
      <c r="T141">
        <f>HYPERLINK("https://klasma.github.io/Logging_2482/kartor/A 35097-2019 karta.png", "A 35097-2019")</f>
        <v/>
      </c>
      <c r="V141">
        <f>HYPERLINK("https://klasma.github.io/Logging_2482/klagomål/A 35097-2019 FSC-klagomål.docx", "A 35097-2019")</f>
        <v/>
      </c>
      <c r="W141">
        <f>HYPERLINK("https://klasma.github.io/Logging_2482/klagomålsmail/A 35097-2019 FSC-klagomål mail.docx", "A 35097-2019")</f>
        <v/>
      </c>
      <c r="X141">
        <f>HYPERLINK("https://klasma.github.io/Logging_2482/tillsyn/A 35097-2019 tillsynsbegäran.docx", "A 35097-2019")</f>
        <v/>
      </c>
      <c r="Y141">
        <f>HYPERLINK("https://klasma.github.io/Logging_2482/tillsynsmail/A 35097-2019 tillsynsbegäran mail.docx", "A 35097-2019")</f>
        <v/>
      </c>
    </row>
    <row r="142" ht="15" customHeight="1">
      <c r="A142" t="inlineStr">
        <is>
          <t>A 46354-2019</t>
        </is>
      </c>
      <c r="B142" s="1" t="n">
        <v>43718</v>
      </c>
      <c r="C142" s="1" t="n">
        <v>45792</v>
      </c>
      <c r="D142" t="inlineStr">
        <is>
          <t>VÄSTERBOTTENS LÄN</t>
        </is>
      </c>
      <c r="E142" t="inlineStr">
        <is>
          <t>SKELLEFTEÅ</t>
        </is>
      </c>
      <c r="F142" t="inlineStr">
        <is>
          <t>SCA</t>
        </is>
      </c>
      <c r="G142" t="n">
        <v>5.5</v>
      </c>
      <c r="H142" t="n">
        <v>2</v>
      </c>
      <c r="I142" t="n">
        <v>0</v>
      </c>
      <c r="J142" t="n">
        <v>0</v>
      </c>
      <c r="K142" t="n">
        <v>0</v>
      </c>
      <c r="L142" t="n">
        <v>0</v>
      </c>
      <c r="M142" t="n">
        <v>0</v>
      </c>
      <c r="N142" t="n">
        <v>0</v>
      </c>
      <c r="O142" t="n">
        <v>0</v>
      </c>
      <c r="P142" t="n">
        <v>0</v>
      </c>
      <c r="Q142" t="n">
        <v>2</v>
      </c>
      <c r="R142" s="2" t="inlineStr">
        <is>
          <t>Vanlig groda
Revlummer</t>
        </is>
      </c>
      <c r="S142">
        <f>HYPERLINK("https://klasma.github.io/Logging_2482/artfynd/A 46354-2019 artfynd.xlsx", "A 46354-2019")</f>
        <v/>
      </c>
      <c r="T142">
        <f>HYPERLINK("https://klasma.github.io/Logging_2482/kartor/A 46354-2019 karta.png", "A 46354-2019")</f>
        <v/>
      </c>
      <c r="V142">
        <f>HYPERLINK("https://klasma.github.io/Logging_2482/klagomål/A 46354-2019 FSC-klagomål.docx", "A 46354-2019")</f>
        <v/>
      </c>
      <c r="W142">
        <f>HYPERLINK("https://klasma.github.io/Logging_2482/klagomålsmail/A 46354-2019 FSC-klagomål mail.docx", "A 46354-2019")</f>
        <v/>
      </c>
      <c r="X142">
        <f>HYPERLINK("https://klasma.github.io/Logging_2482/tillsyn/A 46354-2019 tillsynsbegäran.docx", "A 46354-2019")</f>
        <v/>
      </c>
      <c r="Y142">
        <f>HYPERLINK("https://klasma.github.io/Logging_2482/tillsynsmail/A 46354-2019 tillsynsbegäran mail.docx", "A 46354-2019")</f>
        <v/>
      </c>
    </row>
    <row r="143" ht="15" customHeight="1">
      <c r="A143" t="inlineStr">
        <is>
          <t>A 65623-2019</t>
        </is>
      </c>
      <c r="B143" s="1" t="n">
        <v>43804</v>
      </c>
      <c r="C143" s="1" t="n">
        <v>45792</v>
      </c>
      <c r="D143" t="inlineStr">
        <is>
          <t>VÄSTERBOTTENS LÄN</t>
        </is>
      </c>
      <c r="E143" t="inlineStr">
        <is>
          <t>SKELLEFTEÅ</t>
        </is>
      </c>
      <c r="G143" t="n">
        <v>1.2</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65623-2019 artfynd.xlsx", "A 65623-2019")</f>
        <v/>
      </c>
      <c r="T143">
        <f>HYPERLINK("https://klasma.github.io/Logging_2482/kartor/A 65623-2019 karta.png", "A 65623-2019")</f>
        <v/>
      </c>
      <c r="V143">
        <f>HYPERLINK("https://klasma.github.io/Logging_2482/klagomål/A 65623-2019 FSC-klagomål.docx", "A 65623-2019")</f>
        <v/>
      </c>
      <c r="W143">
        <f>HYPERLINK("https://klasma.github.io/Logging_2482/klagomålsmail/A 65623-2019 FSC-klagomål mail.docx", "A 65623-2019")</f>
        <v/>
      </c>
      <c r="X143">
        <f>HYPERLINK("https://klasma.github.io/Logging_2482/tillsyn/A 65623-2019 tillsynsbegäran.docx", "A 65623-2019")</f>
        <v/>
      </c>
      <c r="Y143">
        <f>HYPERLINK("https://klasma.github.io/Logging_2482/tillsynsmail/A 65623-2019 tillsynsbegäran mail.docx", "A 65623-2019")</f>
        <v/>
      </c>
    </row>
    <row r="144" ht="15" customHeight="1">
      <c r="A144" t="inlineStr">
        <is>
          <t>A 40134-2020</t>
        </is>
      </c>
      <c r="B144" s="1" t="n">
        <v>44067</v>
      </c>
      <c r="C144" s="1" t="n">
        <v>45792</v>
      </c>
      <c r="D144" t="inlineStr">
        <is>
          <t>VÄSTERBOTTENS LÄN</t>
        </is>
      </c>
      <c r="E144" t="inlineStr">
        <is>
          <t>SKELLEFTEÅ</t>
        </is>
      </c>
      <c r="G144" t="n">
        <v>6.1</v>
      </c>
      <c r="H144" t="n">
        <v>0</v>
      </c>
      <c r="I144" t="n">
        <v>1</v>
      </c>
      <c r="J144" t="n">
        <v>0</v>
      </c>
      <c r="K144" t="n">
        <v>0</v>
      </c>
      <c r="L144" t="n">
        <v>1</v>
      </c>
      <c r="M144" t="n">
        <v>0</v>
      </c>
      <c r="N144" t="n">
        <v>0</v>
      </c>
      <c r="O144" t="n">
        <v>1</v>
      </c>
      <c r="P144" t="n">
        <v>1</v>
      </c>
      <c r="Q144" t="n">
        <v>2</v>
      </c>
      <c r="R144" s="2" t="inlineStr">
        <is>
          <t>Större svartbagge
Stekelbock</t>
        </is>
      </c>
      <c r="S144">
        <f>HYPERLINK("https://klasma.github.io/Logging_2482/artfynd/A 40134-2020 artfynd.xlsx", "A 40134-2020")</f>
        <v/>
      </c>
      <c r="T144">
        <f>HYPERLINK("https://klasma.github.io/Logging_2482/kartor/A 40134-2020 karta.png", "A 40134-2020")</f>
        <v/>
      </c>
      <c r="V144">
        <f>HYPERLINK("https://klasma.github.io/Logging_2482/klagomål/A 40134-2020 FSC-klagomål.docx", "A 40134-2020")</f>
        <v/>
      </c>
      <c r="W144">
        <f>HYPERLINK("https://klasma.github.io/Logging_2482/klagomålsmail/A 40134-2020 FSC-klagomål mail.docx", "A 40134-2020")</f>
        <v/>
      </c>
      <c r="X144">
        <f>HYPERLINK("https://klasma.github.io/Logging_2482/tillsyn/A 40134-2020 tillsynsbegäran.docx", "A 40134-2020")</f>
        <v/>
      </c>
      <c r="Y144">
        <f>HYPERLINK("https://klasma.github.io/Logging_2482/tillsynsmail/A 40134-2020 tillsynsbegäran mail.docx", "A 40134-2020")</f>
        <v/>
      </c>
    </row>
    <row r="145" ht="15" customHeight="1">
      <c r="A145" t="inlineStr">
        <is>
          <t>A 53541-2020</t>
        </is>
      </c>
      <c r="B145" s="1" t="n">
        <v>44124</v>
      </c>
      <c r="C145" s="1" t="n">
        <v>45792</v>
      </c>
      <c r="D145" t="inlineStr">
        <is>
          <t>VÄSTERBOTTENS LÄN</t>
        </is>
      </c>
      <c r="E145" t="inlineStr">
        <is>
          <t>SKELLEFTEÅ</t>
        </is>
      </c>
      <c r="F145" t="inlineStr">
        <is>
          <t>Sveaskog</t>
        </is>
      </c>
      <c r="G145" t="n">
        <v>4.4</v>
      </c>
      <c r="H145" t="n">
        <v>0</v>
      </c>
      <c r="I145" t="n">
        <v>1</v>
      </c>
      <c r="J145" t="n">
        <v>1</v>
      </c>
      <c r="K145" t="n">
        <v>0</v>
      </c>
      <c r="L145" t="n">
        <v>0</v>
      </c>
      <c r="M145" t="n">
        <v>0</v>
      </c>
      <c r="N145" t="n">
        <v>0</v>
      </c>
      <c r="O145" t="n">
        <v>1</v>
      </c>
      <c r="P145" t="n">
        <v>0</v>
      </c>
      <c r="Q145" t="n">
        <v>2</v>
      </c>
      <c r="R145" s="2" t="inlineStr">
        <is>
          <t>Motaggsvamp
Dropptaggsvamp</t>
        </is>
      </c>
      <c r="S145">
        <f>HYPERLINK("https://klasma.github.io/Logging_2482/artfynd/A 53541-2020 artfynd.xlsx", "A 53541-2020")</f>
        <v/>
      </c>
      <c r="T145">
        <f>HYPERLINK("https://klasma.github.io/Logging_2482/kartor/A 53541-2020 karta.png", "A 53541-2020")</f>
        <v/>
      </c>
      <c r="V145">
        <f>HYPERLINK("https://klasma.github.io/Logging_2482/klagomål/A 53541-2020 FSC-klagomål.docx", "A 53541-2020")</f>
        <v/>
      </c>
      <c r="W145">
        <f>HYPERLINK("https://klasma.github.io/Logging_2482/klagomålsmail/A 53541-2020 FSC-klagomål mail.docx", "A 53541-2020")</f>
        <v/>
      </c>
      <c r="X145">
        <f>HYPERLINK("https://klasma.github.io/Logging_2482/tillsyn/A 53541-2020 tillsynsbegäran.docx", "A 53541-2020")</f>
        <v/>
      </c>
      <c r="Y145">
        <f>HYPERLINK("https://klasma.github.io/Logging_2482/tillsynsmail/A 53541-2020 tillsynsbegäran mail.docx", "A 53541-2020")</f>
        <v/>
      </c>
    </row>
    <row r="146" ht="15" customHeight="1">
      <c r="A146" t="inlineStr">
        <is>
          <t>A 55809-2020</t>
        </is>
      </c>
      <c r="B146" s="1" t="n">
        <v>44132</v>
      </c>
      <c r="C146" s="1" t="n">
        <v>45792</v>
      </c>
      <c r="D146" t="inlineStr">
        <is>
          <t>VÄSTERBOTTENS LÄN</t>
        </is>
      </c>
      <c r="E146" t="inlineStr">
        <is>
          <t>SKELLEFTEÅ</t>
        </is>
      </c>
      <c r="F146" t="inlineStr">
        <is>
          <t>Sveaskog</t>
        </is>
      </c>
      <c r="G146" t="n">
        <v>9.9</v>
      </c>
      <c r="H146" t="n">
        <v>2</v>
      </c>
      <c r="I146" t="n">
        <v>0</v>
      </c>
      <c r="J146" t="n">
        <v>1</v>
      </c>
      <c r="K146" t="n">
        <v>0</v>
      </c>
      <c r="L146" t="n">
        <v>0</v>
      </c>
      <c r="M146" t="n">
        <v>0</v>
      </c>
      <c r="N146" t="n">
        <v>0</v>
      </c>
      <c r="O146" t="n">
        <v>1</v>
      </c>
      <c r="P146" t="n">
        <v>0</v>
      </c>
      <c r="Q146" t="n">
        <v>2</v>
      </c>
      <c r="R146" s="2" t="inlineStr">
        <is>
          <t>Nordfladdermus
Fläcknycklar</t>
        </is>
      </c>
      <c r="S146">
        <f>HYPERLINK("https://klasma.github.io/Logging_2482/artfynd/A 55809-2020 artfynd.xlsx", "A 55809-2020")</f>
        <v/>
      </c>
      <c r="T146">
        <f>HYPERLINK("https://klasma.github.io/Logging_2482/kartor/A 55809-2020 karta.png", "A 55809-2020")</f>
        <v/>
      </c>
      <c r="V146">
        <f>HYPERLINK("https://klasma.github.io/Logging_2482/klagomål/A 55809-2020 FSC-klagomål.docx", "A 55809-2020")</f>
        <v/>
      </c>
      <c r="W146">
        <f>HYPERLINK("https://klasma.github.io/Logging_2482/klagomålsmail/A 55809-2020 FSC-klagomål mail.docx", "A 55809-2020")</f>
        <v/>
      </c>
      <c r="X146">
        <f>HYPERLINK("https://klasma.github.io/Logging_2482/tillsyn/A 55809-2020 tillsynsbegäran.docx", "A 55809-2020")</f>
        <v/>
      </c>
      <c r="Y146">
        <f>HYPERLINK("https://klasma.github.io/Logging_2482/tillsynsmail/A 55809-2020 tillsynsbegäran mail.docx", "A 55809-2020")</f>
        <v/>
      </c>
    </row>
    <row r="147" ht="15" customHeight="1">
      <c r="A147" t="inlineStr">
        <is>
          <t>A 64203-2020</t>
        </is>
      </c>
      <c r="B147" s="1" t="n">
        <v>44167</v>
      </c>
      <c r="C147" s="1" t="n">
        <v>45792</v>
      </c>
      <c r="D147" t="inlineStr">
        <is>
          <t>VÄSTERBOTTENS LÄN</t>
        </is>
      </c>
      <c r="E147" t="inlineStr">
        <is>
          <t>SKELLEFTEÅ</t>
        </is>
      </c>
      <c r="G147" t="n">
        <v>9.800000000000001</v>
      </c>
      <c r="H147" t="n">
        <v>2</v>
      </c>
      <c r="I147" t="n">
        <v>0</v>
      </c>
      <c r="J147" t="n">
        <v>0</v>
      </c>
      <c r="K147" t="n">
        <v>0</v>
      </c>
      <c r="L147" t="n">
        <v>0</v>
      </c>
      <c r="M147" t="n">
        <v>0</v>
      </c>
      <c r="N147" t="n">
        <v>0</v>
      </c>
      <c r="O147" t="n">
        <v>0</v>
      </c>
      <c r="P147" t="n">
        <v>0</v>
      </c>
      <c r="Q147" t="n">
        <v>2</v>
      </c>
      <c r="R147" s="2" t="inlineStr">
        <is>
          <t>Brudsporre
Fläcknycklar</t>
        </is>
      </c>
      <c r="S147">
        <f>HYPERLINK("https://klasma.github.io/Logging_2482/artfynd/A 64203-2020 artfynd.xlsx", "A 64203-2020")</f>
        <v/>
      </c>
      <c r="T147">
        <f>HYPERLINK("https://klasma.github.io/Logging_2482/kartor/A 64203-2020 karta.png", "A 64203-2020")</f>
        <v/>
      </c>
      <c r="V147">
        <f>HYPERLINK("https://klasma.github.io/Logging_2482/klagomål/A 64203-2020 FSC-klagomål.docx", "A 64203-2020")</f>
        <v/>
      </c>
      <c r="W147">
        <f>HYPERLINK("https://klasma.github.io/Logging_2482/klagomålsmail/A 64203-2020 FSC-klagomål mail.docx", "A 64203-2020")</f>
        <v/>
      </c>
      <c r="X147">
        <f>HYPERLINK("https://klasma.github.io/Logging_2482/tillsyn/A 64203-2020 tillsynsbegäran.docx", "A 64203-2020")</f>
        <v/>
      </c>
      <c r="Y147">
        <f>HYPERLINK("https://klasma.github.io/Logging_2482/tillsynsmail/A 64203-2020 tillsynsbegäran mail.docx", "A 64203-2020")</f>
        <v/>
      </c>
    </row>
    <row r="148" ht="15" customHeight="1">
      <c r="A148" t="inlineStr">
        <is>
          <t>A 35733-2021</t>
        </is>
      </c>
      <c r="B148" s="1" t="n">
        <v>44385</v>
      </c>
      <c r="C148" s="1" t="n">
        <v>45792</v>
      </c>
      <c r="D148" t="inlineStr">
        <is>
          <t>VÄSTERBOTTENS LÄN</t>
        </is>
      </c>
      <c r="E148" t="inlineStr">
        <is>
          <t>SKELLEFTEÅ</t>
        </is>
      </c>
      <c r="G148" t="n">
        <v>0.9</v>
      </c>
      <c r="H148" t="n">
        <v>2</v>
      </c>
      <c r="I148" t="n">
        <v>0</v>
      </c>
      <c r="J148" t="n">
        <v>1</v>
      </c>
      <c r="K148" t="n">
        <v>0</v>
      </c>
      <c r="L148" t="n">
        <v>0</v>
      </c>
      <c r="M148" t="n">
        <v>0</v>
      </c>
      <c r="N148" t="n">
        <v>0</v>
      </c>
      <c r="O148" t="n">
        <v>1</v>
      </c>
      <c r="P148" t="n">
        <v>0</v>
      </c>
      <c r="Q148" t="n">
        <v>2</v>
      </c>
      <c r="R148" s="2" t="inlineStr">
        <is>
          <t>Spillkråka
Tjäder</t>
        </is>
      </c>
      <c r="S148">
        <f>HYPERLINK("https://klasma.github.io/Logging_2482/artfynd/A 35733-2021 artfynd.xlsx", "A 35733-2021")</f>
        <v/>
      </c>
      <c r="T148">
        <f>HYPERLINK("https://klasma.github.io/Logging_2482/kartor/A 35733-2021 karta.png", "A 35733-2021")</f>
        <v/>
      </c>
      <c r="V148">
        <f>HYPERLINK("https://klasma.github.io/Logging_2482/klagomål/A 35733-2021 FSC-klagomål.docx", "A 35733-2021")</f>
        <v/>
      </c>
      <c r="W148">
        <f>HYPERLINK("https://klasma.github.io/Logging_2482/klagomålsmail/A 35733-2021 FSC-klagomål mail.docx", "A 35733-2021")</f>
        <v/>
      </c>
      <c r="X148">
        <f>HYPERLINK("https://klasma.github.io/Logging_2482/tillsyn/A 35733-2021 tillsynsbegäran.docx", "A 35733-2021")</f>
        <v/>
      </c>
      <c r="Y148">
        <f>HYPERLINK("https://klasma.github.io/Logging_2482/tillsynsmail/A 35733-2021 tillsynsbegäran mail.docx", "A 35733-2021")</f>
        <v/>
      </c>
      <c r="Z148">
        <f>HYPERLINK("https://klasma.github.io/Logging_2482/fåglar/A 35733-2021 prioriterade fågelarter.docx", "A 35733-2021")</f>
        <v/>
      </c>
    </row>
    <row r="149" ht="15" customHeight="1">
      <c r="A149" t="inlineStr">
        <is>
          <t>A 35585-2021</t>
        </is>
      </c>
      <c r="B149" s="1" t="n">
        <v>44386</v>
      </c>
      <c r="C149" s="1" t="n">
        <v>45792</v>
      </c>
      <c r="D149" t="inlineStr">
        <is>
          <t>VÄSTERBOTTENS LÄN</t>
        </is>
      </c>
      <c r="E149" t="inlineStr">
        <is>
          <t>SKELLEFTEÅ</t>
        </is>
      </c>
      <c r="F149" t="inlineStr">
        <is>
          <t>Holmen skog AB</t>
        </is>
      </c>
      <c r="G149" t="n">
        <v>8.4</v>
      </c>
      <c r="H149" t="n">
        <v>0</v>
      </c>
      <c r="I149" t="n">
        <v>0</v>
      </c>
      <c r="J149" t="n">
        <v>2</v>
      </c>
      <c r="K149" t="n">
        <v>0</v>
      </c>
      <c r="L149" t="n">
        <v>0</v>
      </c>
      <c r="M149" t="n">
        <v>0</v>
      </c>
      <c r="N149" t="n">
        <v>0</v>
      </c>
      <c r="O149" t="n">
        <v>2</v>
      </c>
      <c r="P149" t="n">
        <v>0</v>
      </c>
      <c r="Q149" t="n">
        <v>2</v>
      </c>
      <c r="R149" s="2" t="inlineStr">
        <is>
          <t>Garnlav
Ullticka</t>
        </is>
      </c>
      <c r="S149">
        <f>HYPERLINK("https://klasma.github.io/Logging_2482/artfynd/A 35585-2021 artfynd.xlsx", "A 35585-2021")</f>
        <v/>
      </c>
      <c r="T149">
        <f>HYPERLINK("https://klasma.github.io/Logging_2482/kartor/A 35585-2021 karta.png", "A 35585-2021")</f>
        <v/>
      </c>
      <c r="V149">
        <f>HYPERLINK("https://klasma.github.io/Logging_2482/klagomål/A 35585-2021 FSC-klagomål.docx", "A 35585-2021")</f>
        <v/>
      </c>
      <c r="W149">
        <f>HYPERLINK("https://klasma.github.io/Logging_2482/klagomålsmail/A 35585-2021 FSC-klagomål mail.docx", "A 35585-2021")</f>
        <v/>
      </c>
      <c r="X149">
        <f>HYPERLINK("https://klasma.github.io/Logging_2482/tillsyn/A 35585-2021 tillsynsbegäran.docx", "A 35585-2021")</f>
        <v/>
      </c>
      <c r="Y149">
        <f>HYPERLINK("https://klasma.github.io/Logging_2482/tillsynsmail/A 35585-2021 tillsynsbegäran mail.docx", "A 35585-2021")</f>
        <v/>
      </c>
    </row>
    <row r="150" ht="15" customHeight="1">
      <c r="A150" t="inlineStr">
        <is>
          <t>A 58661-2021</t>
        </is>
      </c>
      <c r="B150" s="1" t="n">
        <v>44489</v>
      </c>
      <c r="C150" s="1" t="n">
        <v>45792</v>
      </c>
      <c r="D150" t="inlineStr">
        <is>
          <t>VÄSTERBOTTENS LÄN</t>
        </is>
      </c>
      <c r="E150" t="inlineStr">
        <is>
          <t>SKELLEFTEÅ</t>
        </is>
      </c>
      <c r="F150" t="inlineStr">
        <is>
          <t>Sveaskog</t>
        </is>
      </c>
      <c r="G150" t="n">
        <v>3.2</v>
      </c>
      <c r="H150" t="n">
        <v>0</v>
      </c>
      <c r="I150" t="n">
        <v>1</v>
      </c>
      <c r="J150" t="n">
        <v>1</v>
      </c>
      <c r="K150" t="n">
        <v>0</v>
      </c>
      <c r="L150" t="n">
        <v>0</v>
      </c>
      <c r="M150" t="n">
        <v>0</v>
      </c>
      <c r="N150" t="n">
        <v>0</v>
      </c>
      <c r="O150" t="n">
        <v>1</v>
      </c>
      <c r="P150" t="n">
        <v>0</v>
      </c>
      <c r="Q150" t="n">
        <v>2</v>
      </c>
      <c r="R150" s="2" t="inlineStr">
        <is>
          <t>Vedskivlav
Bronshjon</t>
        </is>
      </c>
      <c r="S150">
        <f>HYPERLINK("https://klasma.github.io/Logging_2482/artfynd/A 58661-2021 artfynd.xlsx", "A 58661-2021")</f>
        <v/>
      </c>
      <c r="T150">
        <f>HYPERLINK("https://klasma.github.io/Logging_2482/kartor/A 58661-2021 karta.png", "A 58661-2021")</f>
        <v/>
      </c>
      <c r="V150">
        <f>HYPERLINK("https://klasma.github.io/Logging_2482/klagomål/A 58661-2021 FSC-klagomål.docx", "A 58661-2021")</f>
        <v/>
      </c>
      <c r="W150">
        <f>HYPERLINK("https://klasma.github.io/Logging_2482/klagomålsmail/A 58661-2021 FSC-klagomål mail.docx", "A 58661-2021")</f>
        <v/>
      </c>
      <c r="X150">
        <f>HYPERLINK("https://klasma.github.io/Logging_2482/tillsyn/A 58661-2021 tillsynsbegäran.docx", "A 58661-2021")</f>
        <v/>
      </c>
      <c r="Y150">
        <f>HYPERLINK("https://klasma.github.io/Logging_2482/tillsynsmail/A 58661-2021 tillsynsbegäran mail.docx", "A 58661-2021")</f>
        <v/>
      </c>
    </row>
    <row r="151" ht="15" customHeight="1">
      <c r="A151" t="inlineStr">
        <is>
          <t>A 58885-2021</t>
        </is>
      </c>
      <c r="B151" s="1" t="n">
        <v>44489</v>
      </c>
      <c r="C151" s="1" t="n">
        <v>45792</v>
      </c>
      <c r="D151" t="inlineStr">
        <is>
          <t>VÄSTERBOTTENS LÄN</t>
        </is>
      </c>
      <c r="E151" t="inlineStr">
        <is>
          <t>SKELLEFTEÅ</t>
        </is>
      </c>
      <c r="F151" t="inlineStr">
        <is>
          <t>Sveaskog</t>
        </is>
      </c>
      <c r="G151" t="n">
        <v>13.7</v>
      </c>
      <c r="H151" t="n">
        <v>0</v>
      </c>
      <c r="I151" t="n">
        <v>1</v>
      </c>
      <c r="J151" t="n">
        <v>1</v>
      </c>
      <c r="K151" t="n">
        <v>0</v>
      </c>
      <c r="L151" t="n">
        <v>0</v>
      </c>
      <c r="M151" t="n">
        <v>0</v>
      </c>
      <c r="N151" t="n">
        <v>0</v>
      </c>
      <c r="O151" t="n">
        <v>1</v>
      </c>
      <c r="P151" t="n">
        <v>0</v>
      </c>
      <c r="Q151" t="n">
        <v>2</v>
      </c>
      <c r="R151" s="2" t="inlineStr">
        <is>
          <t>Lunglav
Stuplav</t>
        </is>
      </c>
      <c r="S151">
        <f>HYPERLINK("https://klasma.github.io/Logging_2482/artfynd/A 58885-2021 artfynd.xlsx", "A 58885-2021")</f>
        <v/>
      </c>
      <c r="T151">
        <f>HYPERLINK("https://klasma.github.io/Logging_2482/kartor/A 58885-2021 karta.png", "A 58885-2021")</f>
        <v/>
      </c>
      <c r="V151">
        <f>HYPERLINK("https://klasma.github.io/Logging_2482/klagomål/A 58885-2021 FSC-klagomål.docx", "A 58885-2021")</f>
        <v/>
      </c>
      <c r="W151">
        <f>HYPERLINK("https://klasma.github.io/Logging_2482/klagomålsmail/A 58885-2021 FSC-klagomål mail.docx", "A 58885-2021")</f>
        <v/>
      </c>
      <c r="X151">
        <f>HYPERLINK("https://klasma.github.io/Logging_2482/tillsyn/A 58885-2021 tillsynsbegäran.docx", "A 58885-2021")</f>
        <v/>
      </c>
      <c r="Y151">
        <f>HYPERLINK("https://klasma.github.io/Logging_2482/tillsynsmail/A 58885-2021 tillsynsbegäran mail.docx", "A 58885-2021")</f>
        <v/>
      </c>
    </row>
    <row r="152" ht="15" customHeight="1">
      <c r="A152" t="inlineStr">
        <is>
          <t>A 59706-2021</t>
        </is>
      </c>
      <c r="B152" s="1" t="n">
        <v>44494</v>
      </c>
      <c r="C152" s="1" t="n">
        <v>45792</v>
      </c>
      <c r="D152" t="inlineStr">
        <is>
          <t>VÄSTERBOTTENS LÄN</t>
        </is>
      </c>
      <c r="E152" t="inlineStr">
        <is>
          <t>SKELLEFTEÅ</t>
        </is>
      </c>
      <c r="F152" t="inlineStr">
        <is>
          <t>Sveaskog</t>
        </is>
      </c>
      <c r="G152" t="n">
        <v>2.5</v>
      </c>
      <c r="H152" t="n">
        <v>0</v>
      </c>
      <c r="I152" t="n">
        <v>0</v>
      </c>
      <c r="J152" t="n">
        <v>2</v>
      </c>
      <c r="K152" t="n">
        <v>0</v>
      </c>
      <c r="L152" t="n">
        <v>0</v>
      </c>
      <c r="M152" t="n">
        <v>0</v>
      </c>
      <c r="N152" t="n">
        <v>0</v>
      </c>
      <c r="O152" t="n">
        <v>2</v>
      </c>
      <c r="P152" t="n">
        <v>0</v>
      </c>
      <c r="Q152" t="n">
        <v>2</v>
      </c>
      <c r="R152" s="2" t="inlineStr">
        <is>
          <t>Garnlav
Violettgrå tagellav</t>
        </is>
      </c>
      <c r="S152">
        <f>HYPERLINK("https://klasma.github.io/Logging_2482/artfynd/A 59706-2021 artfynd.xlsx", "A 59706-2021")</f>
        <v/>
      </c>
      <c r="T152">
        <f>HYPERLINK("https://klasma.github.io/Logging_2482/kartor/A 59706-2021 karta.png", "A 59706-2021")</f>
        <v/>
      </c>
      <c r="V152">
        <f>HYPERLINK("https://klasma.github.io/Logging_2482/klagomål/A 59706-2021 FSC-klagomål.docx", "A 59706-2021")</f>
        <v/>
      </c>
      <c r="W152">
        <f>HYPERLINK("https://klasma.github.io/Logging_2482/klagomålsmail/A 59706-2021 FSC-klagomål mail.docx", "A 59706-2021")</f>
        <v/>
      </c>
      <c r="X152">
        <f>HYPERLINK("https://klasma.github.io/Logging_2482/tillsyn/A 59706-2021 tillsynsbegäran.docx", "A 59706-2021")</f>
        <v/>
      </c>
      <c r="Y152">
        <f>HYPERLINK("https://klasma.github.io/Logging_2482/tillsynsmail/A 59706-2021 tillsynsbegäran mail.docx", "A 59706-2021")</f>
        <v/>
      </c>
    </row>
    <row r="153" ht="15" customHeight="1">
      <c r="A153" t="inlineStr">
        <is>
          <t>A 42694-2022</t>
        </is>
      </c>
      <c r="B153" s="1" t="n">
        <v>44831</v>
      </c>
      <c r="C153" s="1" t="n">
        <v>45792</v>
      </c>
      <c r="D153" t="inlineStr">
        <is>
          <t>VÄSTERBOTTENS LÄN</t>
        </is>
      </c>
      <c r="E153" t="inlineStr">
        <is>
          <t>SKELLEFTEÅ</t>
        </is>
      </c>
      <c r="G153" t="n">
        <v>5.6</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42694-2022 artfynd.xlsx", "A 42694-2022")</f>
        <v/>
      </c>
      <c r="T153">
        <f>HYPERLINK("https://klasma.github.io/Logging_2482/kartor/A 42694-2022 karta.png", "A 42694-2022")</f>
        <v/>
      </c>
      <c r="V153">
        <f>HYPERLINK("https://klasma.github.io/Logging_2482/klagomål/A 42694-2022 FSC-klagomål.docx", "A 42694-2022")</f>
        <v/>
      </c>
      <c r="W153">
        <f>HYPERLINK("https://klasma.github.io/Logging_2482/klagomålsmail/A 42694-2022 FSC-klagomål mail.docx", "A 42694-2022")</f>
        <v/>
      </c>
      <c r="X153">
        <f>HYPERLINK("https://klasma.github.io/Logging_2482/tillsyn/A 42694-2022 tillsynsbegäran.docx", "A 42694-2022")</f>
        <v/>
      </c>
      <c r="Y153">
        <f>HYPERLINK("https://klasma.github.io/Logging_2482/tillsynsmail/A 42694-2022 tillsynsbegäran mail.docx", "A 42694-2022")</f>
        <v/>
      </c>
    </row>
    <row r="154" ht="15" customHeight="1">
      <c r="A154" t="inlineStr">
        <is>
          <t>A 49440-2022</t>
        </is>
      </c>
      <c r="B154" s="1" t="n">
        <v>44859</v>
      </c>
      <c r="C154" s="1" t="n">
        <v>45792</v>
      </c>
      <c r="D154" t="inlineStr">
        <is>
          <t>VÄSTERBOTTENS LÄN</t>
        </is>
      </c>
      <c r="E154" t="inlineStr">
        <is>
          <t>SKELLEFTEÅ</t>
        </is>
      </c>
      <c r="G154" t="n">
        <v>1.5</v>
      </c>
      <c r="H154" t="n">
        <v>0</v>
      </c>
      <c r="I154" t="n">
        <v>0</v>
      </c>
      <c r="J154" t="n">
        <v>2</v>
      </c>
      <c r="K154" t="n">
        <v>0</v>
      </c>
      <c r="L154" t="n">
        <v>0</v>
      </c>
      <c r="M154" t="n">
        <v>0</v>
      </c>
      <c r="N154" t="n">
        <v>0</v>
      </c>
      <c r="O154" t="n">
        <v>2</v>
      </c>
      <c r="P154" t="n">
        <v>0</v>
      </c>
      <c r="Q154" t="n">
        <v>2</v>
      </c>
      <c r="R154" s="2" t="inlineStr">
        <is>
          <t>Gränsticka
Ullticka</t>
        </is>
      </c>
      <c r="S154">
        <f>HYPERLINK("https://klasma.github.io/Logging_2482/artfynd/A 49440-2022 artfynd.xlsx", "A 49440-2022")</f>
        <v/>
      </c>
      <c r="T154">
        <f>HYPERLINK("https://klasma.github.io/Logging_2482/kartor/A 49440-2022 karta.png", "A 49440-2022")</f>
        <v/>
      </c>
      <c r="V154">
        <f>HYPERLINK("https://klasma.github.io/Logging_2482/klagomål/A 49440-2022 FSC-klagomål.docx", "A 49440-2022")</f>
        <v/>
      </c>
      <c r="W154">
        <f>HYPERLINK("https://klasma.github.io/Logging_2482/klagomålsmail/A 49440-2022 FSC-klagomål mail.docx", "A 49440-2022")</f>
        <v/>
      </c>
      <c r="X154">
        <f>HYPERLINK("https://klasma.github.io/Logging_2482/tillsyn/A 49440-2022 tillsynsbegäran.docx", "A 49440-2022")</f>
        <v/>
      </c>
      <c r="Y154">
        <f>HYPERLINK("https://klasma.github.io/Logging_2482/tillsynsmail/A 49440-2022 tillsynsbegäran mail.docx", "A 49440-2022")</f>
        <v/>
      </c>
    </row>
    <row r="155" ht="15" customHeight="1">
      <c r="A155" t="inlineStr">
        <is>
          <t>A 49578-2022</t>
        </is>
      </c>
      <c r="B155" s="1" t="n">
        <v>44862</v>
      </c>
      <c r="C155" s="1" t="n">
        <v>45792</v>
      </c>
      <c r="D155" t="inlineStr">
        <is>
          <t>VÄSTERBOTTENS LÄN</t>
        </is>
      </c>
      <c r="E155" t="inlineStr">
        <is>
          <t>SKELLEFTEÅ</t>
        </is>
      </c>
      <c r="F155" t="inlineStr">
        <is>
          <t>Holmen skog AB</t>
        </is>
      </c>
      <c r="G155" t="n">
        <v>7.6</v>
      </c>
      <c r="H155" t="n">
        <v>2</v>
      </c>
      <c r="I155" t="n">
        <v>0</v>
      </c>
      <c r="J155" t="n">
        <v>0</v>
      </c>
      <c r="K155" t="n">
        <v>0</v>
      </c>
      <c r="L155" t="n">
        <v>0</v>
      </c>
      <c r="M155" t="n">
        <v>0</v>
      </c>
      <c r="N155" t="n">
        <v>0</v>
      </c>
      <c r="O155" t="n">
        <v>0</v>
      </c>
      <c r="P155" t="n">
        <v>0</v>
      </c>
      <c r="Q155" t="n">
        <v>2</v>
      </c>
      <c r="R155" s="2" t="inlineStr">
        <is>
          <t>Orre
Tjäder</t>
        </is>
      </c>
      <c r="S155">
        <f>HYPERLINK("https://klasma.github.io/Logging_2482/artfynd/A 49578-2022 artfynd.xlsx", "A 49578-2022")</f>
        <v/>
      </c>
      <c r="T155">
        <f>HYPERLINK("https://klasma.github.io/Logging_2482/kartor/A 49578-2022 karta.png", "A 49578-2022")</f>
        <v/>
      </c>
      <c r="V155">
        <f>HYPERLINK("https://klasma.github.io/Logging_2482/klagomål/A 49578-2022 FSC-klagomål.docx", "A 49578-2022")</f>
        <v/>
      </c>
      <c r="W155">
        <f>HYPERLINK("https://klasma.github.io/Logging_2482/klagomålsmail/A 49578-2022 FSC-klagomål mail.docx", "A 49578-2022")</f>
        <v/>
      </c>
      <c r="X155">
        <f>HYPERLINK("https://klasma.github.io/Logging_2482/tillsyn/A 49578-2022 tillsynsbegäran.docx", "A 49578-2022")</f>
        <v/>
      </c>
      <c r="Y155">
        <f>HYPERLINK("https://klasma.github.io/Logging_2482/tillsynsmail/A 49578-2022 tillsynsbegäran mail.docx", "A 49578-2022")</f>
        <v/>
      </c>
      <c r="Z155">
        <f>HYPERLINK("https://klasma.github.io/Logging_2482/fåglar/A 49578-2022 prioriterade fågelarter.docx", "A 49578-2022")</f>
        <v/>
      </c>
    </row>
    <row r="156" ht="15" customHeight="1">
      <c r="A156" t="inlineStr">
        <is>
          <t>A 51945-2022</t>
        </is>
      </c>
      <c r="B156" s="1" t="n">
        <v>44872</v>
      </c>
      <c r="C156" s="1" t="n">
        <v>45792</v>
      </c>
      <c r="D156" t="inlineStr">
        <is>
          <t>VÄSTERBOTTENS LÄN</t>
        </is>
      </c>
      <c r="E156" t="inlineStr">
        <is>
          <t>SKELLEFTEÅ</t>
        </is>
      </c>
      <c r="F156" t="inlineStr">
        <is>
          <t>Holmen skog AB</t>
        </is>
      </c>
      <c r="G156" t="n">
        <v>7.1</v>
      </c>
      <c r="H156" t="n">
        <v>1</v>
      </c>
      <c r="I156" t="n">
        <v>1</v>
      </c>
      <c r="J156" t="n">
        <v>0</v>
      </c>
      <c r="K156" t="n">
        <v>0</v>
      </c>
      <c r="L156" t="n">
        <v>0</v>
      </c>
      <c r="M156" t="n">
        <v>0</v>
      </c>
      <c r="N156" t="n">
        <v>0</v>
      </c>
      <c r="O156" t="n">
        <v>0</v>
      </c>
      <c r="P156" t="n">
        <v>0</v>
      </c>
      <c r="Q156" t="n">
        <v>2</v>
      </c>
      <c r="R156" s="2" t="inlineStr">
        <is>
          <t>Trådticka
Revlummer</t>
        </is>
      </c>
      <c r="S156">
        <f>HYPERLINK("https://klasma.github.io/Logging_2482/artfynd/A 51945-2022 artfynd.xlsx", "A 51945-2022")</f>
        <v/>
      </c>
      <c r="T156">
        <f>HYPERLINK("https://klasma.github.io/Logging_2482/kartor/A 51945-2022 karta.png", "A 51945-2022")</f>
        <v/>
      </c>
      <c r="V156">
        <f>HYPERLINK("https://klasma.github.io/Logging_2482/klagomål/A 51945-2022 FSC-klagomål.docx", "A 51945-2022")</f>
        <v/>
      </c>
      <c r="W156">
        <f>HYPERLINK("https://klasma.github.io/Logging_2482/klagomålsmail/A 51945-2022 FSC-klagomål mail.docx", "A 51945-2022")</f>
        <v/>
      </c>
      <c r="X156">
        <f>HYPERLINK("https://klasma.github.io/Logging_2482/tillsyn/A 51945-2022 tillsynsbegäran.docx", "A 51945-2022")</f>
        <v/>
      </c>
      <c r="Y156">
        <f>HYPERLINK("https://klasma.github.io/Logging_2482/tillsynsmail/A 51945-2022 tillsynsbegäran mail.docx", "A 51945-2022")</f>
        <v/>
      </c>
    </row>
    <row r="157" ht="15" customHeight="1">
      <c r="A157" t="inlineStr">
        <is>
          <t>A 53137-2022</t>
        </is>
      </c>
      <c r="B157" s="1" t="n">
        <v>44876</v>
      </c>
      <c r="C157" s="1" t="n">
        <v>45792</v>
      </c>
      <c r="D157" t="inlineStr">
        <is>
          <t>VÄSTERBOTTENS LÄN</t>
        </is>
      </c>
      <c r="E157" t="inlineStr">
        <is>
          <t>SKELLEFTEÅ</t>
        </is>
      </c>
      <c r="F157" t="inlineStr">
        <is>
          <t>Holmen skog AB</t>
        </is>
      </c>
      <c r="G157" t="n">
        <v>7.5</v>
      </c>
      <c r="H157" t="n">
        <v>0</v>
      </c>
      <c r="I157" t="n">
        <v>1</v>
      </c>
      <c r="J157" t="n">
        <v>1</v>
      </c>
      <c r="K157" t="n">
        <v>0</v>
      </c>
      <c r="L157" t="n">
        <v>0</v>
      </c>
      <c r="M157" t="n">
        <v>0</v>
      </c>
      <c r="N157" t="n">
        <v>0</v>
      </c>
      <c r="O157" t="n">
        <v>1</v>
      </c>
      <c r="P157" t="n">
        <v>0</v>
      </c>
      <c r="Q157" t="n">
        <v>2</v>
      </c>
      <c r="R157" s="2" t="inlineStr">
        <is>
          <t>Garnlav
Dropptaggsvamp</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56157-2022</t>
        </is>
      </c>
      <c r="B158" s="1" t="n">
        <v>44889</v>
      </c>
      <c r="C158" s="1" t="n">
        <v>45792</v>
      </c>
      <c r="D158" t="inlineStr">
        <is>
          <t>VÄSTERBOTTENS LÄN</t>
        </is>
      </c>
      <c r="E158" t="inlineStr">
        <is>
          <t>SKELLEFTEÅ</t>
        </is>
      </c>
      <c r="G158" t="n">
        <v>3.9</v>
      </c>
      <c r="H158" t="n">
        <v>2</v>
      </c>
      <c r="I158" t="n">
        <v>0</v>
      </c>
      <c r="J158" t="n">
        <v>0</v>
      </c>
      <c r="K158" t="n">
        <v>0</v>
      </c>
      <c r="L158" t="n">
        <v>0</v>
      </c>
      <c r="M158" t="n">
        <v>0</v>
      </c>
      <c r="N158" t="n">
        <v>0</v>
      </c>
      <c r="O158" t="n">
        <v>0</v>
      </c>
      <c r="P158" t="n">
        <v>0</v>
      </c>
      <c r="Q158" t="n">
        <v>2</v>
      </c>
      <c r="R158" s="2" t="inlineStr">
        <is>
          <t>Fläcknycklar
Revlummer</t>
        </is>
      </c>
      <c r="S158">
        <f>HYPERLINK("https://klasma.github.io/Logging_2482/artfynd/A 56157-2022 artfynd.xlsx", "A 56157-2022")</f>
        <v/>
      </c>
      <c r="T158">
        <f>HYPERLINK("https://klasma.github.io/Logging_2482/kartor/A 56157-2022 karta.png", "A 56157-2022")</f>
        <v/>
      </c>
      <c r="V158">
        <f>HYPERLINK("https://klasma.github.io/Logging_2482/klagomål/A 56157-2022 FSC-klagomål.docx", "A 56157-2022")</f>
        <v/>
      </c>
      <c r="W158">
        <f>HYPERLINK("https://klasma.github.io/Logging_2482/klagomålsmail/A 56157-2022 FSC-klagomål mail.docx", "A 56157-2022")</f>
        <v/>
      </c>
      <c r="X158">
        <f>HYPERLINK("https://klasma.github.io/Logging_2482/tillsyn/A 56157-2022 tillsynsbegäran.docx", "A 56157-2022")</f>
        <v/>
      </c>
      <c r="Y158">
        <f>HYPERLINK("https://klasma.github.io/Logging_2482/tillsynsmail/A 56157-2022 tillsynsbegäran mail.docx", "A 56157-2022")</f>
        <v/>
      </c>
    </row>
    <row r="159" ht="15" customHeight="1">
      <c r="A159" t="inlineStr">
        <is>
          <t>A 787-2023</t>
        </is>
      </c>
      <c r="B159" s="1" t="n">
        <v>44931</v>
      </c>
      <c r="C159" s="1" t="n">
        <v>45792</v>
      </c>
      <c r="D159" t="inlineStr">
        <is>
          <t>VÄSTERBOTTENS LÄN</t>
        </is>
      </c>
      <c r="E159" t="inlineStr">
        <is>
          <t>SKELLEFTEÅ</t>
        </is>
      </c>
      <c r="G159" t="n">
        <v>13.9</v>
      </c>
      <c r="H159" t="n">
        <v>0</v>
      </c>
      <c r="I159" t="n">
        <v>1</v>
      </c>
      <c r="J159" t="n">
        <v>1</v>
      </c>
      <c r="K159" t="n">
        <v>0</v>
      </c>
      <c r="L159" t="n">
        <v>0</v>
      </c>
      <c r="M159" t="n">
        <v>0</v>
      </c>
      <c r="N159" t="n">
        <v>0</v>
      </c>
      <c r="O159" t="n">
        <v>1</v>
      </c>
      <c r="P159" t="n">
        <v>0</v>
      </c>
      <c r="Q159" t="n">
        <v>2</v>
      </c>
      <c r="R159" s="2" t="inlineStr">
        <is>
          <t>Storgröe
Ögonpyrola</t>
        </is>
      </c>
      <c r="S159">
        <f>HYPERLINK("https://klasma.github.io/Logging_2482/artfynd/A 787-2023 artfynd.xlsx", "A 787-2023")</f>
        <v/>
      </c>
      <c r="T159">
        <f>HYPERLINK("https://klasma.github.io/Logging_2482/kartor/A 787-2023 karta.png", "A 787-2023")</f>
        <v/>
      </c>
      <c r="V159">
        <f>HYPERLINK("https://klasma.github.io/Logging_2482/klagomål/A 787-2023 FSC-klagomål.docx", "A 787-2023")</f>
        <v/>
      </c>
      <c r="W159">
        <f>HYPERLINK("https://klasma.github.io/Logging_2482/klagomålsmail/A 787-2023 FSC-klagomål mail.docx", "A 787-2023")</f>
        <v/>
      </c>
      <c r="X159">
        <f>HYPERLINK("https://klasma.github.io/Logging_2482/tillsyn/A 787-2023 tillsynsbegäran.docx", "A 787-2023")</f>
        <v/>
      </c>
      <c r="Y159">
        <f>HYPERLINK("https://klasma.github.io/Logging_2482/tillsynsmail/A 787-2023 tillsynsbegäran mail.docx", "A 787-2023")</f>
        <v/>
      </c>
    </row>
    <row r="160" ht="15" customHeight="1">
      <c r="A160" t="inlineStr">
        <is>
          <t>A 901-2023</t>
        </is>
      </c>
      <c r="B160" s="1" t="n">
        <v>44931</v>
      </c>
      <c r="C160" s="1" t="n">
        <v>45792</v>
      </c>
      <c r="D160" t="inlineStr">
        <is>
          <t>VÄSTERBOTTENS LÄN</t>
        </is>
      </c>
      <c r="E160" t="inlineStr">
        <is>
          <t>SKELLEFTEÅ</t>
        </is>
      </c>
      <c r="G160" t="n">
        <v>7.7</v>
      </c>
      <c r="H160" t="n">
        <v>0</v>
      </c>
      <c r="I160" t="n">
        <v>0</v>
      </c>
      <c r="J160" t="n">
        <v>2</v>
      </c>
      <c r="K160" t="n">
        <v>0</v>
      </c>
      <c r="L160" t="n">
        <v>0</v>
      </c>
      <c r="M160" t="n">
        <v>0</v>
      </c>
      <c r="N160" t="n">
        <v>0</v>
      </c>
      <c r="O160" t="n">
        <v>2</v>
      </c>
      <c r="P160" t="n">
        <v>0</v>
      </c>
      <c r="Q160" t="n">
        <v>2</v>
      </c>
      <c r="R160" s="2" t="inlineStr">
        <is>
          <t>Garnlav
Skogshare</t>
        </is>
      </c>
      <c r="S160">
        <f>HYPERLINK("https://klasma.github.io/Logging_2482/artfynd/A 901-2023 artfynd.xlsx", "A 901-2023")</f>
        <v/>
      </c>
      <c r="T160">
        <f>HYPERLINK("https://klasma.github.io/Logging_2482/kartor/A 901-2023 karta.png", "A 901-2023")</f>
        <v/>
      </c>
      <c r="V160">
        <f>HYPERLINK("https://klasma.github.io/Logging_2482/klagomål/A 901-2023 FSC-klagomål.docx", "A 901-2023")</f>
        <v/>
      </c>
      <c r="W160">
        <f>HYPERLINK("https://klasma.github.io/Logging_2482/klagomålsmail/A 901-2023 FSC-klagomål mail.docx", "A 901-2023")</f>
        <v/>
      </c>
      <c r="X160">
        <f>HYPERLINK("https://klasma.github.io/Logging_2482/tillsyn/A 901-2023 tillsynsbegäran.docx", "A 901-2023")</f>
        <v/>
      </c>
      <c r="Y160">
        <f>HYPERLINK("https://klasma.github.io/Logging_2482/tillsynsmail/A 901-2023 tillsynsbegäran mail.docx", "A 901-2023")</f>
        <v/>
      </c>
    </row>
    <row r="161" ht="15" customHeight="1">
      <c r="A161" t="inlineStr">
        <is>
          <t>A 11627-2023</t>
        </is>
      </c>
      <c r="B161" s="1" t="n">
        <v>44994</v>
      </c>
      <c r="C161" s="1" t="n">
        <v>45792</v>
      </c>
      <c r="D161" t="inlineStr">
        <is>
          <t>VÄSTERBOTTENS LÄN</t>
        </is>
      </c>
      <c r="E161" t="inlineStr">
        <is>
          <t>SKELLEFTEÅ</t>
        </is>
      </c>
      <c r="G161" t="n">
        <v>16.6</v>
      </c>
      <c r="H161" t="n">
        <v>1</v>
      </c>
      <c r="I161" t="n">
        <v>1</v>
      </c>
      <c r="J161" t="n">
        <v>0</v>
      </c>
      <c r="K161" t="n">
        <v>0</v>
      </c>
      <c r="L161" t="n">
        <v>0</v>
      </c>
      <c r="M161" t="n">
        <v>0</v>
      </c>
      <c r="N161" t="n">
        <v>0</v>
      </c>
      <c r="O161" t="n">
        <v>0</v>
      </c>
      <c r="P161" t="n">
        <v>0</v>
      </c>
      <c r="Q161" t="n">
        <v>2</v>
      </c>
      <c r="R161" s="2" t="inlineStr">
        <is>
          <t>Norrlandslav
Revlummer</t>
        </is>
      </c>
      <c r="S161">
        <f>HYPERLINK("https://klasma.github.io/Logging_2482/artfynd/A 11627-2023 artfynd.xlsx", "A 11627-2023")</f>
        <v/>
      </c>
      <c r="T161">
        <f>HYPERLINK("https://klasma.github.io/Logging_2482/kartor/A 11627-2023 karta.png", "A 11627-2023")</f>
        <v/>
      </c>
      <c r="V161">
        <f>HYPERLINK("https://klasma.github.io/Logging_2482/klagomål/A 11627-2023 FSC-klagomål.docx", "A 11627-2023")</f>
        <v/>
      </c>
      <c r="W161">
        <f>HYPERLINK("https://klasma.github.io/Logging_2482/klagomålsmail/A 11627-2023 FSC-klagomål mail.docx", "A 11627-2023")</f>
        <v/>
      </c>
      <c r="X161">
        <f>HYPERLINK("https://klasma.github.io/Logging_2482/tillsyn/A 11627-2023 tillsynsbegäran.docx", "A 11627-2023")</f>
        <v/>
      </c>
      <c r="Y161">
        <f>HYPERLINK("https://klasma.github.io/Logging_2482/tillsynsmail/A 11627-2023 tillsynsbegäran mail.docx", "A 11627-2023")</f>
        <v/>
      </c>
    </row>
    <row r="162" ht="15" customHeight="1">
      <c r="A162" t="inlineStr">
        <is>
          <t>A 29998-2023</t>
        </is>
      </c>
      <c r="B162" s="1" t="n">
        <v>45109</v>
      </c>
      <c r="C162" s="1" t="n">
        <v>45792</v>
      </c>
      <c r="D162" t="inlineStr">
        <is>
          <t>VÄSTERBOTTENS LÄN</t>
        </is>
      </c>
      <c r="E162" t="inlineStr">
        <is>
          <t>SKELLEFTEÅ</t>
        </is>
      </c>
      <c r="F162" t="inlineStr">
        <is>
          <t>Sveaskog</t>
        </is>
      </c>
      <c r="G162" t="n">
        <v>10.2</v>
      </c>
      <c r="H162" t="n">
        <v>0</v>
      </c>
      <c r="I162" t="n">
        <v>1</v>
      </c>
      <c r="J162" t="n">
        <v>1</v>
      </c>
      <c r="K162" t="n">
        <v>0</v>
      </c>
      <c r="L162" t="n">
        <v>0</v>
      </c>
      <c r="M162" t="n">
        <v>0</v>
      </c>
      <c r="N162" t="n">
        <v>0</v>
      </c>
      <c r="O162" t="n">
        <v>1</v>
      </c>
      <c r="P162" t="n">
        <v>0</v>
      </c>
      <c r="Q162" t="n">
        <v>2</v>
      </c>
      <c r="R162" s="2" t="inlineStr">
        <is>
          <t>Ullticka
Luddlav</t>
        </is>
      </c>
      <c r="S162">
        <f>HYPERLINK("https://klasma.github.io/Logging_2482/artfynd/A 29998-2023 artfynd.xlsx", "A 29998-2023")</f>
        <v/>
      </c>
      <c r="T162">
        <f>HYPERLINK("https://klasma.github.io/Logging_2482/kartor/A 29998-2023 karta.png", "A 29998-2023")</f>
        <v/>
      </c>
      <c r="V162">
        <f>HYPERLINK("https://klasma.github.io/Logging_2482/klagomål/A 29998-2023 FSC-klagomål.docx", "A 29998-2023")</f>
        <v/>
      </c>
      <c r="W162">
        <f>HYPERLINK("https://klasma.github.io/Logging_2482/klagomålsmail/A 29998-2023 FSC-klagomål mail.docx", "A 29998-2023")</f>
        <v/>
      </c>
      <c r="X162">
        <f>HYPERLINK("https://klasma.github.io/Logging_2482/tillsyn/A 29998-2023 tillsynsbegäran.docx", "A 29998-2023")</f>
        <v/>
      </c>
      <c r="Y162">
        <f>HYPERLINK("https://klasma.github.io/Logging_2482/tillsynsmail/A 29998-2023 tillsynsbegäran mail.docx", "A 29998-2023")</f>
        <v/>
      </c>
    </row>
    <row r="163" ht="15" customHeight="1">
      <c r="A163" t="inlineStr">
        <is>
          <t>A 35513-2023</t>
        </is>
      </c>
      <c r="B163" s="1" t="n">
        <v>45147</v>
      </c>
      <c r="C163" s="1" t="n">
        <v>45792</v>
      </c>
      <c r="D163" t="inlineStr">
        <is>
          <t>VÄSTERBOTTENS LÄN</t>
        </is>
      </c>
      <c r="E163" t="inlineStr">
        <is>
          <t>SKELLEFTEÅ</t>
        </is>
      </c>
      <c r="F163" t="inlineStr">
        <is>
          <t>Holmen skog AB</t>
        </is>
      </c>
      <c r="G163" t="n">
        <v>16.9</v>
      </c>
      <c r="H163" t="n">
        <v>0</v>
      </c>
      <c r="I163" t="n">
        <v>0</v>
      </c>
      <c r="J163" t="n">
        <v>2</v>
      </c>
      <c r="K163" t="n">
        <v>0</v>
      </c>
      <c r="L163" t="n">
        <v>0</v>
      </c>
      <c r="M163" t="n">
        <v>0</v>
      </c>
      <c r="N163" t="n">
        <v>0</v>
      </c>
      <c r="O163" t="n">
        <v>2</v>
      </c>
      <c r="P163" t="n">
        <v>0</v>
      </c>
      <c r="Q163" t="n">
        <v>2</v>
      </c>
      <c r="R163" s="2" t="inlineStr">
        <is>
          <t>Gultoppig fingersvamp
Orange taggsvamp</t>
        </is>
      </c>
      <c r="S163">
        <f>HYPERLINK("https://klasma.github.io/Logging_2482/artfynd/A 35513-2023 artfynd.xlsx", "A 35513-2023")</f>
        <v/>
      </c>
      <c r="T163">
        <f>HYPERLINK("https://klasma.github.io/Logging_2482/kartor/A 35513-2023 karta.png", "A 35513-2023")</f>
        <v/>
      </c>
      <c r="V163">
        <f>HYPERLINK("https://klasma.github.io/Logging_2482/klagomål/A 35513-2023 FSC-klagomål.docx", "A 35513-2023")</f>
        <v/>
      </c>
      <c r="W163">
        <f>HYPERLINK("https://klasma.github.io/Logging_2482/klagomålsmail/A 35513-2023 FSC-klagomål mail.docx", "A 35513-2023")</f>
        <v/>
      </c>
      <c r="X163">
        <f>HYPERLINK("https://klasma.github.io/Logging_2482/tillsyn/A 35513-2023 tillsynsbegäran.docx", "A 35513-2023")</f>
        <v/>
      </c>
      <c r="Y163">
        <f>HYPERLINK("https://klasma.github.io/Logging_2482/tillsynsmail/A 35513-2023 tillsynsbegäran mail.docx", "A 35513-2023")</f>
        <v/>
      </c>
    </row>
    <row r="164" ht="15" customHeight="1">
      <c r="A164" t="inlineStr">
        <is>
          <t>A 40742-2023</t>
        </is>
      </c>
      <c r="B164" s="1" t="n">
        <v>45170</v>
      </c>
      <c r="C164" s="1" t="n">
        <v>45792</v>
      </c>
      <c r="D164" t="inlineStr">
        <is>
          <t>VÄSTERBOTTENS LÄN</t>
        </is>
      </c>
      <c r="E164" t="inlineStr">
        <is>
          <t>SKELLEFTEÅ</t>
        </is>
      </c>
      <c r="F164" t="inlineStr">
        <is>
          <t>Sveaskog</t>
        </is>
      </c>
      <c r="G164" t="n">
        <v>13.6</v>
      </c>
      <c r="H164" t="n">
        <v>0</v>
      </c>
      <c r="I164" t="n">
        <v>1</v>
      </c>
      <c r="J164" t="n">
        <v>1</v>
      </c>
      <c r="K164" t="n">
        <v>0</v>
      </c>
      <c r="L164" t="n">
        <v>0</v>
      </c>
      <c r="M164" t="n">
        <v>0</v>
      </c>
      <c r="N164" t="n">
        <v>0</v>
      </c>
      <c r="O164" t="n">
        <v>1</v>
      </c>
      <c r="P164" t="n">
        <v>0</v>
      </c>
      <c r="Q164" t="n">
        <v>2</v>
      </c>
      <c r="R164" s="2" t="inlineStr">
        <is>
          <t>Kolflarnlav
Stuplav</t>
        </is>
      </c>
      <c r="S164">
        <f>HYPERLINK("https://klasma.github.io/Logging_2482/artfynd/A 40742-2023 artfynd.xlsx", "A 40742-2023")</f>
        <v/>
      </c>
      <c r="T164">
        <f>HYPERLINK("https://klasma.github.io/Logging_2482/kartor/A 40742-2023 karta.png", "A 40742-2023")</f>
        <v/>
      </c>
      <c r="V164">
        <f>HYPERLINK("https://klasma.github.io/Logging_2482/klagomål/A 40742-2023 FSC-klagomål.docx", "A 40742-2023")</f>
        <v/>
      </c>
      <c r="W164">
        <f>HYPERLINK("https://klasma.github.io/Logging_2482/klagomålsmail/A 40742-2023 FSC-klagomål mail.docx", "A 40742-2023")</f>
        <v/>
      </c>
      <c r="X164">
        <f>HYPERLINK("https://klasma.github.io/Logging_2482/tillsyn/A 40742-2023 tillsynsbegäran.docx", "A 40742-2023")</f>
        <v/>
      </c>
      <c r="Y164">
        <f>HYPERLINK("https://klasma.github.io/Logging_2482/tillsynsmail/A 40742-2023 tillsynsbegäran mail.docx", "A 40742-2023")</f>
        <v/>
      </c>
    </row>
    <row r="165" ht="15" customHeight="1">
      <c r="A165" t="inlineStr">
        <is>
          <t>A 43250-2023</t>
        </is>
      </c>
      <c r="B165" s="1" t="n">
        <v>45180</v>
      </c>
      <c r="C165" s="1" t="n">
        <v>45792</v>
      </c>
      <c r="D165" t="inlineStr">
        <is>
          <t>VÄSTERBOTTENS LÄN</t>
        </is>
      </c>
      <c r="E165" t="inlineStr">
        <is>
          <t>SKELLEFTEÅ</t>
        </is>
      </c>
      <c r="G165" t="n">
        <v>3.3</v>
      </c>
      <c r="H165" t="n">
        <v>1</v>
      </c>
      <c r="I165" t="n">
        <v>0</v>
      </c>
      <c r="J165" t="n">
        <v>1</v>
      </c>
      <c r="K165" t="n">
        <v>1</v>
      </c>
      <c r="L165" t="n">
        <v>0</v>
      </c>
      <c r="M165" t="n">
        <v>0</v>
      </c>
      <c r="N165" t="n">
        <v>0</v>
      </c>
      <c r="O165" t="n">
        <v>2</v>
      </c>
      <c r="P165" t="n">
        <v>1</v>
      </c>
      <c r="Q165" t="n">
        <v>2</v>
      </c>
      <c r="R165" s="2" t="inlineStr">
        <is>
          <t>Knärot
Gammelgransskål</t>
        </is>
      </c>
      <c r="S165">
        <f>HYPERLINK("https://klasma.github.io/Logging_2482/artfynd/A 43250-2023 artfynd.xlsx", "A 43250-2023")</f>
        <v/>
      </c>
      <c r="T165">
        <f>HYPERLINK("https://klasma.github.io/Logging_2482/kartor/A 43250-2023 karta.png", "A 43250-2023")</f>
        <v/>
      </c>
      <c r="U165">
        <f>HYPERLINK("https://klasma.github.io/Logging_2482/knärot/A 43250-2023 karta knärot.png", "A 43250-2023")</f>
        <v/>
      </c>
      <c r="V165">
        <f>HYPERLINK("https://klasma.github.io/Logging_2482/klagomål/A 43250-2023 FSC-klagomål.docx", "A 43250-2023")</f>
        <v/>
      </c>
      <c r="W165">
        <f>HYPERLINK("https://klasma.github.io/Logging_2482/klagomålsmail/A 43250-2023 FSC-klagomål mail.docx", "A 43250-2023")</f>
        <v/>
      </c>
      <c r="X165">
        <f>HYPERLINK("https://klasma.github.io/Logging_2482/tillsyn/A 43250-2023 tillsynsbegäran.docx", "A 43250-2023")</f>
        <v/>
      </c>
      <c r="Y165">
        <f>HYPERLINK("https://klasma.github.io/Logging_2482/tillsynsmail/A 43250-2023 tillsynsbegäran mail.docx", "A 43250-2023")</f>
        <v/>
      </c>
    </row>
    <row r="166" ht="15" customHeight="1">
      <c r="A166" t="inlineStr">
        <is>
          <t>A 42786-2023</t>
        </is>
      </c>
      <c r="B166" s="1" t="n">
        <v>45181</v>
      </c>
      <c r="C166" s="1" t="n">
        <v>45792</v>
      </c>
      <c r="D166" t="inlineStr">
        <is>
          <t>VÄSTERBOTTENS LÄN</t>
        </is>
      </c>
      <c r="E166" t="inlineStr">
        <is>
          <t>SKELLEFTEÅ</t>
        </is>
      </c>
      <c r="G166" t="n">
        <v>9.199999999999999</v>
      </c>
      <c r="H166" t="n">
        <v>0</v>
      </c>
      <c r="I166" t="n">
        <v>0</v>
      </c>
      <c r="J166" t="n">
        <v>2</v>
      </c>
      <c r="K166" t="n">
        <v>0</v>
      </c>
      <c r="L166" t="n">
        <v>0</v>
      </c>
      <c r="M166" t="n">
        <v>0</v>
      </c>
      <c r="N166" t="n">
        <v>0</v>
      </c>
      <c r="O166" t="n">
        <v>2</v>
      </c>
      <c r="P166" t="n">
        <v>0</v>
      </c>
      <c r="Q166" t="n">
        <v>2</v>
      </c>
      <c r="R166" s="2" t="inlineStr">
        <is>
          <t>Garnlav
Kärrängsfly</t>
        </is>
      </c>
      <c r="S166">
        <f>HYPERLINK("https://klasma.github.io/Logging_2482/artfynd/A 42786-2023 artfynd.xlsx", "A 42786-2023")</f>
        <v/>
      </c>
      <c r="T166">
        <f>HYPERLINK("https://klasma.github.io/Logging_2482/kartor/A 42786-2023 karta.png", "A 42786-2023")</f>
        <v/>
      </c>
      <c r="V166">
        <f>HYPERLINK("https://klasma.github.io/Logging_2482/klagomål/A 42786-2023 FSC-klagomål.docx", "A 42786-2023")</f>
        <v/>
      </c>
      <c r="W166">
        <f>HYPERLINK("https://klasma.github.io/Logging_2482/klagomålsmail/A 42786-2023 FSC-klagomål mail.docx", "A 42786-2023")</f>
        <v/>
      </c>
      <c r="X166">
        <f>HYPERLINK("https://klasma.github.io/Logging_2482/tillsyn/A 42786-2023 tillsynsbegäran.docx", "A 42786-2023")</f>
        <v/>
      </c>
      <c r="Y166">
        <f>HYPERLINK("https://klasma.github.io/Logging_2482/tillsynsmail/A 42786-2023 tillsynsbegäran mail.docx", "A 42786-2023")</f>
        <v/>
      </c>
    </row>
    <row r="167" ht="15" customHeight="1">
      <c r="A167" t="inlineStr">
        <is>
          <t>A 52484-2023</t>
        </is>
      </c>
      <c r="B167" s="1" t="n">
        <v>45225</v>
      </c>
      <c r="C167" s="1" t="n">
        <v>45792</v>
      </c>
      <c r="D167" t="inlineStr">
        <is>
          <t>VÄSTERBOTTENS LÄN</t>
        </is>
      </c>
      <c r="E167" t="inlineStr">
        <is>
          <t>SKELLEFTEÅ</t>
        </is>
      </c>
      <c r="G167" t="n">
        <v>2.4</v>
      </c>
      <c r="H167" t="n">
        <v>2</v>
      </c>
      <c r="I167" t="n">
        <v>0</v>
      </c>
      <c r="J167" t="n">
        <v>2</v>
      </c>
      <c r="K167" t="n">
        <v>0</v>
      </c>
      <c r="L167" t="n">
        <v>0</v>
      </c>
      <c r="M167" t="n">
        <v>0</v>
      </c>
      <c r="N167" t="n">
        <v>0</v>
      </c>
      <c r="O167" t="n">
        <v>2</v>
      </c>
      <c r="P167" t="n">
        <v>0</v>
      </c>
      <c r="Q167" t="n">
        <v>2</v>
      </c>
      <c r="R167" s="2" t="inlineStr">
        <is>
          <t>Blå kärrhök
Pilgrimsfalk</t>
        </is>
      </c>
      <c r="S167">
        <f>HYPERLINK("https://klasma.github.io/Logging_2482/artfynd/A 52484-2023 artfynd.xlsx", "A 52484-2023")</f>
        <v/>
      </c>
      <c r="T167">
        <f>HYPERLINK("https://klasma.github.io/Logging_2482/kartor/A 52484-2023 karta.png", "A 52484-2023")</f>
        <v/>
      </c>
      <c r="V167">
        <f>HYPERLINK("https://klasma.github.io/Logging_2482/klagomål/A 52484-2023 FSC-klagomål.docx", "A 52484-2023")</f>
        <v/>
      </c>
      <c r="W167">
        <f>HYPERLINK("https://klasma.github.io/Logging_2482/klagomålsmail/A 52484-2023 FSC-klagomål mail.docx", "A 52484-2023")</f>
        <v/>
      </c>
      <c r="X167">
        <f>HYPERLINK("https://klasma.github.io/Logging_2482/tillsyn/A 52484-2023 tillsynsbegäran.docx", "A 52484-2023")</f>
        <v/>
      </c>
      <c r="Y167">
        <f>HYPERLINK("https://klasma.github.io/Logging_2482/tillsynsmail/A 52484-2023 tillsynsbegäran mail.docx", "A 52484-2023")</f>
        <v/>
      </c>
      <c r="Z167">
        <f>HYPERLINK("https://klasma.github.io/Logging_2482/fåglar/A 52484-2023 prioriterade fågelarter.docx", "A 52484-2023")</f>
        <v/>
      </c>
    </row>
    <row r="168" ht="15" customHeight="1">
      <c r="A168" t="inlineStr">
        <is>
          <t>A 62191-2023</t>
        </is>
      </c>
      <c r="B168" s="1" t="n">
        <v>45267</v>
      </c>
      <c r="C168" s="1" t="n">
        <v>45792</v>
      </c>
      <c r="D168" t="inlineStr">
        <is>
          <t>VÄSTERBOTTENS LÄN</t>
        </is>
      </c>
      <c r="E168" t="inlineStr">
        <is>
          <t>SKELLEFTEÅ</t>
        </is>
      </c>
      <c r="G168" t="n">
        <v>14.5</v>
      </c>
      <c r="H168" t="n">
        <v>1</v>
      </c>
      <c r="I168" t="n">
        <v>0</v>
      </c>
      <c r="J168" t="n">
        <v>1</v>
      </c>
      <c r="K168" t="n">
        <v>1</v>
      </c>
      <c r="L168" t="n">
        <v>0</v>
      </c>
      <c r="M168" t="n">
        <v>0</v>
      </c>
      <c r="N168" t="n">
        <v>0</v>
      </c>
      <c r="O168" t="n">
        <v>2</v>
      </c>
      <c r="P168" t="n">
        <v>1</v>
      </c>
      <c r="Q168" t="n">
        <v>2</v>
      </c>
      <c r="R168" s="2" t="inlineStr">
        <is>
          <t>Knärot
Lunglav</t>
        </is>
      </c>
      <c r="S168">
        <f>HYPERLINK("https://klasma.github.io/Logging_2482/artfynd/A 62191-2023 artfynd.xlsx", "A 62191-2023")</f>
        <v/>
      </c>
      <c r="T168">
        <f>HYPERLINK("https://klasma.github.io/Logging_2482/kartor/A 62191-2023 karta.png", "A 62191-2023")</f>
        <v/>
      </c>
      <c r="U168">
        <f>HYPERLINK("https://klasma.github.io/Logging_2482/knärot/A 62191-2023 karta knärot.png", "A 62191-2023")</f>
        <v/>
      </c>
      <c r="V168">
        <f>HYPERLINK("https://klasma.github.io/Logging_2482/klagomål/A 62191-2023 FSC-klagomål.docx", "A 62191-2023")</f>
        <v/>
      </c>
      <c r="W168">
        <f>HYPERLINK("https://klasma.github.io/Logging_2482/klagomålsmail/A 62191-2023 FSC-klagomål mail.docx", "A 62191-2023")</f>
        <v/>
      </c>
      <c r="X168">
        <f>HYPERLINK("https://klasma.github.io/Logging_2482/tillsyn/A 62191-2023 tillsynsbegäran.docx", "A 62191-2023")</f>
        <v/>
      </c>
      <c r="Y168">
        <f>HYPERLINK("https://klasma.github.io/Logging_2482/tillsynsmail/A 62191-2023 tillsynsbegäran mail.docx", "A 62191-2023")</f>
        <v/>
      </c>
    </row>
    <row r="169" ht="15" customHeight="1">
      <c r="A169" t="inlineStr">
        <is>
          <t>A 65013-2023</t>
        </is>
      </c>
      <c r="B169" s="1" t="n">
        <v>45287</v>
      </c>
      <c r="C169" s="1" t="n">
        <v>45792</v>
      </c>
      <c r="D169" t="inlineStr">
        <is>
          <t>VÄSTERBOTTENS LÄN</t>
        </is>
      </c>
      <c r="E169" t="inlineStr">
        <is>
          <t>SKELLEFTEÅ</t>
        </is>
      </c>
      <c r="G169" t="n">
        <v>7.7</v>
      </c>
      <c r="H169" t="n">
        <v>0</v>
      </c>
      <c r="I169" t="n">
        <v>0</v>
      </c>
      <c r="J169" t="n">
        <v>1</v>
      </c>
      <c r="K169" t="n">
        <v>1</v>
      </c>
      <c r="L169" t="n">
        <v>0</v>
      </c>
      <c r="M169" t="n">
        <v>0</v>
      </c>
      <c r="N169" t="n">
        <v>0</v>
      </c>
      <c r="O169" t="n">
        <v>2</v>
      </c>
      <c r="P169" t="n">
        <v>1</v>
      </c>
      <c r="Q169" t="n">
        <v>2</v>
      </c>
      <c r="R169" s="2" t="inlineStr">
        <is>
          <t>Smalfotad taggsvamp
Svartvit taggsvamp</t>
        </is>
      </c>
      <c r="S169">
        <f>HYPERLINK("https://klasma.github.io/Logging_2482/artfynd/A 65013-2023 artfynd.xlsx", "A 65013-2023")</f>
        <v/>
      </c>
      <c r="T169">
        <f>HYPERLINK("https://klasma.github.io/Logging_2482/kartor/A 65013-2023 karta.png", "A 65013-2023")</f>
        <v/>
      </c>
      <c r="V169">
        <f>HYPERLINK("https://klasma.github.io/Logging_2482/klagomål/A 65013-2023 FSC-klagomål.docx", "A 65013-2023")</f>
        <v/>
      </c>
      <c r="W169">
        <f>HYPERLINK("https://klasma.github.io/Logging_2482/klagomålsmail/A 65013-2023 FSC-klagomål mail.docx", "A 65013-2023")</f>
        <v/>
      </c>
      <c r="X169">
        <f>HYPERLINK("https://klasma.github.io/Logging_2482/tillsyn/A 65013-2023 tillsynsbegäran.docx", "A 65013-2023")</f>
        <v/>
      </c>
      <c r="Y169">
        <f>HYPERLINK("https://klasma.github.io/Logging_2482/tillsynsmail/A 65013-2023 tillsynsbegäran mail.docx", "A 65013-2023")</f>
        <v/>
      </c>
    </row>
    <row r="170" ht="15" customHeight="1">
      <c r="A170" t="inlineStr">
        <is>
          <t>A 1259-2024</t>
        </is>
      </c>
      <c r="B170" s="1" t="n">
        <v>45302</v>
      </c>
      <c r="C170" s="1" t="n">
        <v>45792</v>
      </c>
      <c r="D170" t="inlineStr">
        <is>
          <t>VÄSTERBOTTENS LÄN</t>
        </is>
      </c>
      <c r="E170" t="inlineStr">
        <is>
          <t>SKELLEFTEÅ</t>
        </is>
      </c>
      <c r="G170" t="n">
        <v>1.6</v>
      </c>
      <c r="H170" t="n">
        <v>0</v>
      </c>
      <c r="I170" t="n">
        <v>0</v>
      </c>
      <c r="J170" t="n">
        <v>2</v>
      </c>
      <c r="K170" t="n">
        <v>0</v>
      </c>
      <c r="L170" t="n">
        <v>0</v>
      </c>
      <c r="M170" t="n">
        <v>0</v>
      </c>
      <c r="N170" t="n">
        <v>0</v>
      </c>
      <c r="O170" t="n">
        <v>2</v>
      </c>
      <c r="P170" t="n">
        <v>0</v>
      </c>
      <c r="Q170" t="n">
        <v>2</v>
      </c>
      <c r="R170" s="2" t="inlineStr">
        <is>
          <t>Månlåsbräken
Nordlåsbräken</t>
        </is>
      </c>
      <c r="S170">
        <f>HYPERLINK("https://klasma.github.io/Logging_2482/artfynd/A 1259-2024 artfynd.xlsx", "A 1259-2024")</f>
        <v/>
      </c>
      <c r="T170">
        <f>HYPERLINK("https://klasma.github.io/Logging_2482/kartor/A 1259-2024 karta.png", "A 1259-2024")</f>
        <v/>
      </c>
      <c r="V170">
        <f>HYPERLINK("https://klasma.github.io/Logging_2482/klagomål/A 1259-2024 FSC-klagomål.docx", "A 1259-2024")</f>
        <v/>
      </c>
      <c r="W170">
        <f>HYPERLINK("https://klasma.github.io/Logging_2482/klagomålsmail/A 1259-2024 FSC-klagomål mail.docx", "A 1259-2024")</f>
        <v/>
      </c>
      <c r="X170">
        <f>HYPERLINK("https://klasma.github.io/Logging_2482/tillsyn/A 1259-2024 tillsynsbegäran.docx", "A 1259-2024")</f>
        <v/>
      </c>
      <c r="Y170">
        <f>HYPERLINK("https://klasma.github.io/Logging_2482/tillsynsmail/A 1259-2024 tillsynsbegäran mail.docx", "A 1259-2024")</f>
        <v/>
      </c>
    </row>
    <row r="171" ht="15" customHeight="1">
      <c r="A171" t="inlineStr">
        <is>
          <t>A 2056-2024</t>
        </is>
      </c>
      <c r="B171" s="1" t="n">
        <v>45308</v>
      </c>
      <c r="C171" s="1" t="n">
        <v>45792</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2056-2024 artfynd.xlsx", "A 2056-2024")</f>
        <v/>
      </c>
      <c r="T171">
        <f>HYPERLINK("https://klasma.github.io/Logging_2482/kartor/A 2056-2024 karta.png", "A 2056-2024")</f>
        <v/>
      </c>
      <c r="V171">
        <f>HYPERLINK("https://klasma.github.io/Logging_2482/klagomål/A 2056-2024 FSC-klagomål.docx", "A 2056-2024")</f>
        <v/>
      </c>
      <c r="W171">
        <f>HYPERLINK("https://klasma.github.io/Logging_2482/klagomålsmail/A 2056-2024 FSC-klagomål mail.docx", "A 2056-2024")</f>
        <v/>
      </c>
      <c r="X171">
        <f>HYPERLINK("https://klasma.github.io/Logging_2482/tillsyn/A 2056-2024 tillsynsbegäran.docx", "A 2056-2024")</f>
        <v/>
      </c>
      <c r="Y171">
        <f>HYPERLINK("https://klasma.github.io/Logging_2482/tillsynsmail/A 2056-2024 tillsynsbegäran mail.docx", "A 2056-2024")</f>
        <v/>
      </c>
      <c r="Z171">
        <f>HYPERLINK("https://klasma.github.io/Logging_2482/fåglar/A 2056-2024 prioriterade fågelarter.docx", "A 2056-2024")</f>
        <v/>
      </c>
    </row>
    <row r="172" ht="15" customHeight="1">
      <c r="A172" t="inlineStr">
        <is>
          <t>A 36338-2024</t>
        </is>
      </c>
      <c r="B172" s="1" t="n">
        <v>45534</v>
      </c>
      <c r="C172" s="1" t="n">
        <v>45792</v>
      </c>
      <c r="D172" t="inlineStr">
        <is>
          <t>VÄSTERBOTTENS LÄN</t>
        </is>
      </c>
      <c r="E172" t="inlineStr">
        <is>
          <t>SKELLEFTEÅ</t>
        </is>
      </c>
      <c r="F172" t="inlineStr">
        <is>
          <t>SCA</t>
        </is>
      </c>
      <c r="G172" t="n">
        <v>1.1</v>
      </c>
      <c r="H172" t="n">
        <v>0</v>
      </c>
      <c r="I172" t="n">
        <v>0</v>
      </c>
      <c r="J172" t="n">
        <v>2</v>
      </c>
      <c r="K172" t="n">
        <v>0</v>
      </c>
      <c r="L172" t="n">
        <v>0</v>
      </c>
      <c r="M172" t="n">
        <v>0</v>
      </c>
      <c r="N172" t="n">
        <v>0</v>
      </c>
      <c r="O172" t="n">
        <v>2</v>
      </c>
      <c r="P172" t="n">
        <v>0</v>
      </c>
      <c r="Q172" t="n">
        <v>2</v>
      </c>
      <c r="R172" s="2" t="inlineStr">
        <is>
          <t>Rosenticka
Ullticka</t>
        </is>
      </c>
      <c r="S172">
        <f>HYPERLINK("https://klasma.github.io/Logging_2482/artfynd/A 36338-2024 artfynd.xlsx", "A 36338-2024")</f>
        <v/>
      </c>
      <c r="T172">
        <f>HYPERLINK("https://klasma.github.io/Logging_2482/kartor/A 36338-2024 karta.png", "A 36338-2024")</f>
        <v/>
      </c>
      <c r="V172">
        <f>HYPERLINK("https://klasma.github.io/Logging_2482/klagomål/A 36338-2024 FSC-klagomål.docx", "A 36338-2024")</f>
        <v/>
      </c>
      <c r="W172">
        <f>HYPERLINK("https://klasma.github.io/Logging_2482/klagomålsmail/A 36338-2024 FSC-klagomål mail.docx", "A 36338-2024")</f>
        <v/>
      </c>
      <c r="X172">
        <f>HYPERLINK("https://klasma.github.io/Logging_2482/tillsyn/A 36338-2024 tillsynsbegäran.docx", "A 36338-2024")</f>
        <v/>
      </c>
      <c r="Y172">
        <f>HYPERLINK("https://klasma.github.io/Logging_2482/tillsynsmail/A 36338-2024 tillsynsbegäran mail.docx", "A 36338-2024")</f>
        <v/>
      </c>
    </row>
    <row r="173" ht="15" customHeight="1">
      <c r="A173" t="inlineStr">
        <is>
          <t>A 43743-2024</t>
        </is>
      </c>
      <c r="B173" s="1" t="n">
        <v>45569</v>
      </c>
      <c r="C173" s="1" t="n">
        <v>45792</v>
      </c>
      <c r="D173" t="inlineStr">
        <is>
          <t>VÄSTERBOTTENS LÄN</t>
        </is>
      </c>
      <c r="E173" t="inlineStr">
        <is>
          <t>SKELLEFTEÅ</t>
        </is>
      </c>
      <c r="G173" t="n">
        <v>2.6</v>
      </c>
      <c r="H173" t="n">
        <v>1</v>
      </c>
      <c r="I173" t="n">
        <v>1</v>
      </c>
      <c r="J173" t="n">
        <v>0</v>
      </c>
      <c r="K173" t="n">
        <v>0</v>
      </c>
      <c r="L173" t="n">
        <v>0</v>
      </c>
      <c r="M173" t="n">
        <v>0</v>
      </c>
      <c r="N173" t="n">
        <v>0</v>
      </c>
      <c r="O173" t="n">
        <v>0</v>
      </c>
      <c r="P173" t="n">
        <v>0</v>
      </c>
      <c r="Q173" t="n">
        <v>2</v>
      </c>
      <c r="R173" s="2" t="inlineStr">
        <is>
          <t>Stuplav
Fläcknycklar</t>
        </is>
      </c>
      <c r="S173">
        <f>HYPERLINK("https://klasma.github.io/Logging_2482/artfynd/A 43743-2024 artfynd.xlsx", "A 43743-2024")</f>
        <v/>
      </c>
      <c r="T173">
        <f>HYPERLINK("https://klasma.github.io/Logging_2482/kartor/A 43743-2024 karta.png", "A 43743-2024")</f>
        <v/>
      </c>
      <c r="V173">
        <f>HYPERLINK("https://klasma.github.io/Logging_2482/klagomål/A 43743-2024 FSC-klagomål.docx", "A 43743-2024")</f>
        <v/>
      </c>
      <c r="W173">
        <f>HYPERLINK("https://klasma.github.io/Logging_2482/klagomålsmail/A 43743-2024 FSC-klagomål mail.docx", "A 43743-2024")</f>
        <v/>
      </c>
      <c r="X173">
        <f>HYPERLINK("https://klasma.github.io/Logging_2482/tillsyn/A 43743-2024 tillsynsbegäran.docx", "A 43743-2024")</f>
        <v/>
      </c>
      <c r="Y173">
        <f>HYPERLINK("https://klasma.github.io/Logging_2482/tillsynsmail/A 43743-2024 tillsynsbegäran mail.docx", "A 43743-2024")</f>
        <v/>
      </c>
    </row>
    <row r="174" ht="15" customHeight="1">
      <c r="A174" t="inlineStr">
        <is>
          <t>A 52416-2024</t>
        </is>
      </c>
      <c r="B174" s="1" t="n">
        <v>45608</v>
      </c>
      <c r="C174" s="1" t="n">
        <v>45792</v>
      </c>
      <c r="D174" t="inlineStr">
        <is>
          <t>VÄSTERBOTTENS LÄN</t>
        </is>
      </c>
      <c r="E174" t="inlineStr">
        <is>
          <t>SKELLEFTEÅ</t>
        </is>
      </c>
      <c r="G174" t="n">
        <v>5.1</v>
      </c>
      <c r="H174" t="n">
        <v>0</v>
      </c>
      <c r="I174" t="n">
        <v>0</v>
      </c>
      <c r="J174" t="n">
        <v>2</v>
      </c>
      <c r="K174" t="n">
        <v>0</v>
      </c>
      <c r="L174" t="n">
        <v>0</v>
      </c>
      <c r="M174" t="n">
        <v>0</v>
      </c>
      <c r="N174" t="n">
        <v>0</v>
      </c>
      <c r="O174" t="n">
        <v>2</v>
      </c>
      <c r="P174" t="n">
        <v>0</v>
      </c>
      <c r="Q174" t="n">
        <v>2</v>
      </c>
      <c r="R174" s="2" t="inlineStr">
        <is>
          <t>Garnlav
Granticka</t>
        </is>
      </c>
      <c r="S174">
        <f>HYPERLINK("https://klasma.github.io/Logging_2482/artfynd/A 52416-2024 artfynd.xlsx", "A 52416-2024")</f>
        <v/>
      </c>
      <c r="T174">
        <f>HYPERLINK("https://klasma.github.io/Logging_2482/kartor/A 52416-2024 karta.png", "A 52416-2024")</f>
        <v/>
      </c>
      <c r="V174">
        <f>HYPERLINK("https://klasma.github.io/Logging_2482/klagomål/A 52416-2024 FSC-klagomål.docx", "A 52416-2024")</f>
        <v/>
      </c>
      <c r="W174">
        <f>HYPERLINK("https://klasma.github.io/Logging_2482/klagomålsmail/A 52416-2024 FSC-klagomål mail.docx", "A 52416-2024")</f>
        <v/>
      </c>
      <c r="X174">
        <f>HYPERLINK("https://klasma.github.io/Logging_2482/tillsyn/A 52416-2024 tillsynsbegäran.docx", "A 52416-2024")</f>
        <v/>
      </c>
      <c r="Y174">
        <f>HYPERLINK("https://klasma.github.io/Logging_2482/tillsynsmail/A 52416-2024 tillsynsbegäran mail.docx", "A 52416-2024")</f>
        <v/>
      </c>
    </row>
    <row r="175" ht="15" customHeight="1">
      <c r="A175" t="inlineStr">
        <is>
          <t>A 52525-2024</t>
        </is>
      </c>
      <c r="B175" s="1" t="n">
        <v>45609</v>
      </c>
      <c r="C175" s="1" t="n">
        <v>45792</v>
      </c>
      <c r="D175" t="inlineStr">
        <is>
          <t>VÄSTERBOTTENS LÄN</t>
        </is>
      </c>
      <c r="E175" t="inlineStr">
        <is>
          <t>SKELLEFTEÅ</t>
        </is>
      </c>
      <c r="G175" t="n">
        <v>8.6</v>
      </c>
      <c r="H175" t="n">
        <v>0</v>
      </c>
      <c r="I175" t="n">
        <v>1</v>
      </c>
      <c r="J175" t="n">
        <v>1</v>
      </c>
      <c r="K175" t="n">
        <v>0</v>
      </c>
      <c r="L175" t="n">
        <v>0</v>
      </c>
      <c r="M175" t="n">
        <v>0</v>
      </c>
      <c r="N175" t="n">
        <v>0</v>
      </c>
      <c r="O175" t="n">
        <v>1</v>
      </c>
      <c r="P175" t="n">
        <v>0</v>
      </c>
      <c r="Q175" t="n">
        <v>2</v>
      </c>
      <c r="R175" s="2" t="inlineStr">
        <is>
          <t>Lunglav
Stuplav</t>
        </is>
      </c>
      <c r="S175">
        <f>HYPERLINK("https://klasma.github.io/Logging_2482/artfynd/A 52525-2024 artfynd.xlsx", "A 52525-2024")</f>
        <v/>
      </c>
      <c r="T175">
        <f>HYPERLINK("https://klasma.github.io/Logging_2482/kartor/A 52525-2024 karta.png", "A 52525-2024")</f>
        <v/>
      </c>
      <c r="V175">
        <f>HYPERLINK("https://klasma.github.io/Logging_2482/klagomål/A 52525-2024 FSC-klagomål.docx", "A 52525-2024")</f>
        <v/>
      </c>
      <c r="W175">
        <f>HYPERLINK("https://klasma.github.io/Logging_2482/klagomålsmail/A 52525-2024 FSC-klagomål mail.docx", "A 52525-2024")</f>
        <v/>
      </c>
      <c r="X175">
        <f>HYPERLINK("https://klasma.github.io/Logging_2482/tillsyn/A 52525-2024 tillsynsbegäran.docx", "A 52525-2024")</f>
        <v/>
      </c>
      <c r="Y175">
        <f>HYPERLINK("https://klasma.github.io/Logging_2482/tillsynsmail/A 52525-2024 tillsynsbegäran mail.docx", "A 52525-2024")</f>
        <v/>
      </c>
    </row>
    <row r="176" ht="15" customHeight="1">
      <c r="A176" t="inlineStr">
        <is>
          <t>A 53422-2024</t>
        </is>
      </c>
      <c r="B176" s="1" t="n">
        <v>45614</v>
      </c>
      <c r="C176" s="1" t="n">
        <v>45792</v>
      </c>
      <c r="D176" t="inlineStr">
        <is>
          <t>VÄSTERBOTTENS LÄN</t>
        </is>
      </c>
      <c r="E176" t="inlineStr">
        <is>
          <t>SKELLEFTEÅ</t>
        </is>
      </c>
      <c r="G176" t="n">
        <v>1.6</v>
      </c>
      <c r="H176" t="n">
        <v>1</v>
      </c>
      <c r="I176" t="n">
        <v>0</v>
      </c>
      <c r="J176" t="n">
        <v>2</v>
      </c>
      <c r="K176" t="n">
        <v>0</v>
      </c>
      <c r="L176" t="n">
        <v>0</v>
      </c>
      <c r="M176" t="n">
        <v>0</v>
      </c>
      <c r="N176" t="n">
        <v>0</v>
      </c>
      <c r="O176" t="n">
        <v>2</v>
      </c>
      <c r="P176" t="n">
        <v>0</v>
      </c>
      <c r="Q176" t="n">
        <v>2</v>
      </c>
      <c r="R176" s="2" t="inlineStr">
        <is>
          <t>Järpe
Talltaggsvamp</t>
        </is>
      </c>
      <c r="S176">
        <f>HYPERLINK("https://klasma.github.io/Logging_2482/artfynd/A 53422-2024 artfynd.xlsx", "A 53422-2024")</f>
        <v/>
      </c>
      <c r="T176">
        <f>HYPERLINK("https://klasma.github.io/Logging_2482/kartor/A 53422-2024 karta.png", "A 53422-2024")</f>
        <v/>
      </c>
      <c r="V176">
        <f>HYPERLINK("https://klasma.github.io/Logging_2482/klagomål/A 53422-2024 FSC-klagomål.docx", "A 53422-2024")</f>
        <v/>
      </c>
      <c r="W176">
        <f>HYPERLINK("https://klasma.github.io/Logging_2482/klagomålsmail/A 53422-2024 FSC-klagomål mail.docx", "A 53422-2024")</f>
        <v/>
      </c>
      <c r="X176">
        <f>HYPERLINK("https://klasma.github.io/Logging_2482/tillsyn/A 53422-2024 tillsynsbegäran.docx", "A 53422-2024")</f>
        <v/>
      </c>
      <c r="Y176">
        <f>HYPERLINK("https://klasma.github.io/Logging_2482/tillsynsmail/A 53422-2024 tillsynsbegäran mail.docx", "A 53422-2024")</f>
        <v/>
      </c>
      <c r="Z176">
        <f>HYPERLINK("https://klasma.github.io/Logging_2482/fåglar/A 53422-2024 prioriterade fågelarter.docx", "A 53422-2024")</f>
        <v/>
      </c>
    </row>
    <row r="177" ht="15" customHeight="1">
      <c r="A177" t="inlineStr">
        <is>
          <t>A 53271-2024</t>
        </is>
      </c>
      <c r="B177" s="1" t="n">
        <v>45614</v>
      </c>
      <c r="C177" s="1" t="n">
        <v>45792</v>
      </c>
      <c r="D177" t="inlineStr">
        <is>
          <t>VÄSTERBOTTENS LÄN</t>
        </is>
      </c>
      <c r="E177" t="inlineStr">
        <is>
          <t>SKELLEFTEÅ</t>
        </is>
      </c>
      <c r="F177" t="inlineStr">
        <is>
          <t>Holmen skog AB</t>
        </is>
      </c>
      <c r="G177" t="n">
        <v>11.1</v>
      </c>
      <c r="H177" t="n">
        <v>0</v>
      </c>
      <c r="I177" t="n">
        <v>1</v>
      </c>
      <c r="J177" t="n">
        <v>1</v>
      </c>
      <c r="K177" t="n">
        <v>0</v>
      </c>
      <c r="L177" t="n">
        <v>0</v>
      </c>
      <c r="M177" t="n">
        <v>0</v>
      </c>
      <c r="N177" t="n">
        <v>0</v>
      </c>
      <c r="O177" t="n">
        <v>1</v>
      </c>
      <c r="P177" t="n">
        <v>0</v>
      </c>
      <c r="Q177" t="n">
        <v>2</v>
      </c>
      <c r="R177" s="2" t="inlineStr">
        <is>
          <t>Orange taggsvamp
Ögonpyrola</t>
        </is>
      </c>
      <c r="S177">
        <f>HYPERLINK("https://klasma.github.io/Logging_2482/artfynd/A 53271-2024 artfynd.xlsx", "A 53271-2024")</f>
        <v/>
      </c>
      <c r="T177">
        <f>HYPERLINK("https://klasma.github.io/Logging_2482/kartor/A 53271-2024 karta.png", "A 53271-2024")</f>
        <v/>
      </c>
      <c r="V177">
        <f>HYPERLINK("https://klasma.github.io/Logging_2482/klagomål/A 53271-2024 FSC-klagomål.docx", "A 53271-2024")</f>
        <v/>
      </c>
      <c r="W177">
        <f>HYPERLINK("https://klasma.github.io/Logging_2482/klagomålsmail/A 53271-2024 FSC-klagomål mail.docx", "A 53271-2024")</f>
        <v/>
      </c>
      <c r="X177">
        <f>HYPERLINK("https://klasma.github.io/Logging_2482/tillsyn/A 53271-2024 tillsynsbegäran.docx", "A 53271-2024")</f>
        <v/>
      </c>
      <c r="Y177">
        <f>HYPERLINK("https://klasma.github.io/Logging_2482/tillsynsmail/A 53271-2024 tillsynsbegäran mail.docx", "A 53271-2024")</f>
        <v/>
      </c>
    </row>
    <row r="178" ht="15" customHeight="1">
      <c r="A178" t="inlineStr">
        <is>
          <t>A 55198-2024</t>
        </is>
      </c>
      <c r="B178" s="1" t="n">
        <v>45620</v>
      </c>
      <c r="C178" s="1" t="n">
        <v>45792</v>
      </c>
      <c r="D178" t="inlineStr">
        <is>
          <t>VÄSTERBOTTENS LÄN</t>
        </is>
      </c>
      <c r="E178" t="inlineStr">
        <is>
          <t>SKELLEFTEÅ</t>
        </is>
      </c>
      <c r="G178" t="n">
        <v>1.8</v>
      </c>
      <c r="H178" t="n">
        <v>0</v>
      </c>
      <c r="I178" t="n">
        <v>1</v>
      </c>
      <c r="J178" t="n">
        <v>1</v>
      </c>
      <c r="K178" t="n">
        <v>0</v>
      </c>
      <c r="L178" t="n">
        <v>0</v>
      </c>
      <c r="M178" t="n">
        <v>0</v>
      </c>
      <c r="N178" t="n">
        <v>0</v>
      </c>
      <c r="O178" t="n">
        <v>1</v>
      </c>
      <c r="P178" t="n">
        <v>0</v>
      </c>
      <c r="Q178" t="n">
        <v>2</v>
      </c>
      <c r="R178" s="2" t="inlineStr">
        <is>
          <t>Blanksvart spiklav
Nästlav</t>
        </is>
      </c>
      <c r="S178">
        <f>HYPERLINK("https://klasma.github.io/Logging_2482/artfynd/A 55198-2024 artfynd.xlsx", "A 55198-2024")</f>
        <v/>
      </c>
      <c r="T178">
        <f>HYPERLINK("https://klasma.github.io/Logging_2482/kartor/A 55198-2024 karta.png", "A 55198-2024")</f>
        <v/>
      </c>
      <c r="V178">
        <f>HYPERLINK("https://klasma.github.io/Logging_2482/klagomål/A 55198-2024 FSC-klagomål.docx", "A 55198-2024")</f>
        <v/>
      </c>
      <c r="W178">
        <f>HYPERLINK("https://klasma.github.io/Logging_2482/klagomålsmail/A 55198-2024 FSC-klagomål mail.docx", "A 55198-2024")</f>
        <v/>
      </c>
      <c r="X178">
        <f>HYPERLINK("https://klasma.github.io/Logging_2482/tillsyn/A 55198-2024 tillsynsbegäran.docx", "A 55198-2024")</f>
        <v/>
      </c>
      <c r="Y178">
        <f>HYPERLINK("https://klasma.github.io/Logging_2482/tillsynsmail/A 55198-2024 tillsynsbegäran mail.docx", "A 55198-2024")</f>
        <v/>
      </c>
    </row>
    <row r="179" ht="15" customHeight="1">
      <c r="A179" t="inlineStr">
        <is>
          <t>A 57222-2024</t>
        </is>
      </c>
      <c r="B179" s="1" t="n">
        <v>45629</v>
      </c>
      <c r="C179" s="1" t="n">
        <v>45792</v>
      </c>
      <c r="D179" t="inlineStr">
        <is>
          <t>VÄSTERBOTTENS LÄN</t>
        </is>
      </c>
      <c r="E179" t="inlineStr">
        <is>
          <t>SKELLEFTEÅ</t>
        </is>
      </c>
      <c r="F179" t="inlineStr">
        <is>
          <t>Holmen skog AB</t>
        </is>
      </c>
      <c r="G179" t="n">
        <v>3.9</v>
      </c>
      <c r="H179" t="n">
        <v>1</v>
      </c>
      <c r="I179" t="n">
        <v>0</v>
      </c>
      <c r="J179" t="n">
        <v>1</v>
      </c>
      <c r="K179" t="n">
        <v>1</v>
      </c>
      <c r="L179" t="n">
        <v>0</v>
      </c>
      <c r="M179" t="n">
        <v>0</v>
      </c>
      <c r="N179" t="n">
        <v>0</v>
      </c>
      <c r="O179" t="n">
        <v>2</v>
      </c>
      <c r="P179" t="n">
        <v>1</v>
      </c>
      <c r="Q179" t="n">
        <v>2</v>
      </c>
      <c r="R179" s="2" t="inlineStr">
        <is>
          <t>Knärot
Gammelgransskål</t>
        </is>
      </c>
      <c r="S179">
        <f>HYPERLINK("https://klasma.github.io/Logging_2482/artfynd/A 57222-2024 artfynd.xlsx", "A 57222-2024")</f>
        <v/>
      </c>
      <c r="T179">
        <f>HYPERLINK("https://klasma.github.io/Logging_2482/kartor/A 57222-2024 karta.png", "A 57222-2024")</f>
        <v/>
      </c>
      <c r="U179">
        <f>HYPERLINK("https://klasma.github.io/Logging_2482/knärot/A 57222-2024 karta knärot.png", "A 57222-2024")</f>
        <v/>
      </c>
      <c r="V179">
        <f>HYPERLINK("https://klasma.github.io/Logging_2482/klagomål/A 57222-2024 FSC-klagomål.docx", "A 57222-2024")</f>
        <v/>
      </c>
      <c r="W179">
        <f>HYPERLINK("https://klasma.github.io/Logging_2482/klagomålsmail/A 57222-2024 FSC-klagomål mail.docx", "A 57222-2024")</f>
        <v/>
      </c>
      <c r="X179">
        <f>HYPERLINK("https://klasma.github.io/Logging_2482/tillsyn/A 57222-2024 tillsynsbegäran.docx", "A 57222-2024")</f>
        <v/>
      </c>
      <c r="Y179">
        <f>HYPERLINK("https://klasma.github.io/Logging_2482/tillsynsmail/A 57222-2024 tillsynsbegäran mail.docx", "A 57222-2024")</f>
        <v/>
      </c>
    </row>
    <row r="180" ht="15" customHeight="1">
      <c r="A180" t="inlineStr">
        <is>
          <t>A 57565-2024</t>
        </is>
      </c>
      <c r="B180" s="1" t="n">
        <v>45630</v>
      </c>
      <c r="C180" s="1" t="n">
        <v>45792</v>
      </c>
      <c r="D180" t="inlineStr">
        <is>
          <t>VÄSTERBOTTENS LÄN</t>
        </is>
      </c>
      <c r="E180" t="inlineStr">
        <is>
          <t>SKELLEFTEÅ</t>
        </is>
      </c>
      <c r="F180" t="inlineStr">
        <is>
          <t>Sveaskog</t>
        </is>
      </c>
      <c r="G180" t="n">
        <v>5.5</v>
      </c>
      <c r="H180" t="n">
        <v>1</v>
      </c>
      <c r="I180" t="n">
        <v>0</v>
      </c>
      <c r="J180" t="n">
        <v>2</v>
      </c>
      <c r="K180" t="n">
        <v>0</v>
      </c>
      <c r="L180" t="n">
        <v>0</v>
      </c>
      <c r="M180" t="n">
        <v>0</v>
      </c>
      <c r="N180" t="n">
        <v>0</v>
      </c>
      <c r="O180" t="n">
        <v>2</v>
      </c>
      <c r="P180" t="n">
        <v>0</v>
      </c>
      <c r="Q180" t="n">
        <v>2</v>
      </c>
      <c r="R180" s="2" t="inlineStr">
        <is>
          <t>Garnlav
Spillkråka</t>
        </is>
      </c>
      <c r="S180">
        <f>HYPERLINK("https://klasma.github.io/Logging_2482/artfynd/A 57565-2024 artfynd.xlsx", "A 57565-2024")</f>
        <v/>
      </c>
      <c r="T180">
        <f>HYPERLINK("https://klasma.github.io/Logging_2482/kartor/A 57565-2024 karta.png", "A 57565-2024")</f>
        <v/>
      </c>
      <c r="V180">
        <f>HYPERLINK("https://klasma.github.io/Logging_2482/klagomål/A 57565-2024 FSC-klagomål.docx", "A 57565-2024")</f>
        <v/>
      </c>
      <c r="W180">
        <f>HYPERLINK("https://klasma.github.io/Logging_2482/klagomålsmail/A 57565-2024 FSC-klagomål mail.docx", "A 57565-2024")</f>
        <v/>
      </c>
      <c r="X180">
        <f>HYPERLINK("https://klasma.github.io/Logging_2482/tillsyn/A 57565-2024 tillsynsbegäran.docx", "A 57565-2024")</f>
        <v/>
      </c>
      <c r="Y180">
        <f>HYPERLINK("https://klasma.github.io/Logging_2482/tillsynsmail/A 57565-2024 tillsynsbegäran mail.docx", "A 57565-2024")</f>
        <v/>
      </c>
      <c r="Z180">
        <f>HYPERLINK("https://klasma.github.io/Logging_2482/fåglar/A 57565-2024 prioriterade fågelarter.docx", "A 57565-2024")</f>
        <v/>
      </c>
    </row>
    <row r="181" ht="15" customHeight="1">
      <c r="A181" t="inlineStr">
        <is>
          <t>A 57851-2024</t>
        </is>
      </c>
      <c r="B181" s="1" t="n">
        <v>45631</v>
      </c>
      <c r="C181" s="1" t="n">
        <v>45792</v>
      </c>
      <c r="D181" t="inlineStr">
        <is>
          <t>VÄSTERBOTTENS LÄN</t>
        </is>
      </c>
      <c r="E181" t="inlineStr">
        <is>
          <t>SKELLEFTEÅ</t>
        </is>
      </c>
      <c r="F181" t="inlineStr">
        <is>
          <t>Sveaskog</t>
        </is>
      </c>
      <c r="G181" t="n">
        <v>15.7</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57851-2024 artfynd.xlsx", "A 57851-2024")</f>
        <v/>
      </c>
      <c r="T181">
        <f>HYPERLINK("https://klasma.github.io/Logging_2482/kartor/A 57851-2024 karta.png", "A 57851-2024")</f>
        <v/>
      </c>
      <c r="V181">
        <f>HYPERLINK("https://klasma.github.io/Logging_2482/klagomål/A 57851-2024 FSC-klagomål.docx", "A 57851-2024")</f>
        <v/>
      </c>
      <c r="W181">
        <f>HYPERLINK("https://klasma.github.io/Logging_2482/klagomålsmail/A 57851-2024 FSC-klagomål mail.docx", "A 57851-2024")</f>
        <v/>
      </c>
      <c r="X181">
        <f>HYPERLINK("https://klasma.github.io/Logging_2482/tillsyn/A 57851-2024 tillsynsbegäran.docx", "A 57851-2024")</f>
        <v/>
      </c>
      <c r="Y181">
        <f>HYPERLINK("https://klasma.github.io/Logging_2482/tillsynsmail/A 57851-2024 tillsynsbegäran mail.docx", "A 57851-2024")</f>
        <v/>
      </c>
    </row>
    <row r="182" ht="15" customHeight="1">
      <c r="A182" t="inlineStr">
        <is>
          <t>A 5110-2025</t>
        </is>
      </c>
      <c r="B182" s="1" t="n">
        <v>45691</v>
      </c>
      <c r="C182" s="1" t="n">
        <v>45792</v>
      </c>
      <c r="D182" t="inlineStr">
        <is>
          <t>VÄSTERBOTTENS LÄN</t>
        </is>
      </c>
      <c r="E182" t="inlineStr">
        <is>
          <t>SKELLEFTEÅ</t>
        </is>
      </c>
      <c r="G182" t="n">
        <v>3.5</v>
      </c>
      <c r="H182" t="n">
        <v>0</v>
      </c>
      <c r="I182" t="n">
        <v>0</v>
      </c>
      <c r="J182" t="n">
        <v>2</v>
      </c>
      <c r="K182" t="n">
        <v>0</v>
      </c>
      <c r="L182" t="n">
        <v>0</v>
      </c>
      <c r="M182" t="n">
        <v>0</v>
      </c>
      <c r="N182" t="n">
        <v>0</v>
      </c>
      <c r="O182" t="n">
        <v>2</v>
      </c>
      <c r="P182" t="n">
        <v>0</v>
      </c>
      <c r="Q182" t="n">
        <v>2</v>
      </c>
      <c r="R182" s="2" t="inlineStr">
        <is>
          <t>Gammelgransskål
Harticka</t>
        </is>
      </c>
      <c r="S182">
        <f>HYPERLINK("https://klasma.github.io/Logging_2482/artfynd/A 5110-2025 artfynd.xlsx", "A 5110-2025")</f>
        <v/>
      </c>
      <c r="T182">
        <f>HYPERLINK("https://klasma.github.io/Logging_2482/kartor/A 5110-2025 karta.png", "A 5110-2025")</f>
        <v/>
      </c>
      <c r="V182">
        <f>HYPERLINK("https://klasma.github.io/Logging_2482/klagomål/A 5110-2025 FSC-klagomål.docx", "A 5110-2025")</f>
        <v/>
      </c>
      <c r="W182">
        <f>HYPERLINK("https://klasma.github.io/Logging_2482/klagomålsmail/A 5110-2025 FSC-klagomål mail.docx", "A 5110-2025")</f>
        <v/>
      </c>
      <c r="X182">
        <f>HYPERLINK("https://klasma.github.io/Logging_2482/tillsyn/A 5110-2025 tillsynsbegäran.docx", "A 5110-2025")</f>
        <v/>
      </c>
      <c r="Y182">
        <f>HYPERLINK("https://klasma.github.io/Logging_2482/tillsynsmail/A 5110-2025 tillsynsbegäran mail.docx", "A 5110-2025")</f>
        <v/>
      </c>
    </row>
    <row r="183" ht="15" customHeight="1">
      <c r="A183" t="inlineStr">
        <is>
          <t>A 4996-2025</t>
        </is>
      </c>
      <c r="B183" s="1" t="n">
        <v>45691</v>
      </c>
      <c r="C183" s="1" t="n">
        <v>45792</v>
      </c>
      <c r="D183" t="inlineStr">
        <is>
          <t>VÄSTERBOTTENS LÄN</t>
        </is>
      </c>
      <c r="E183" t="inlineStr">
        <is>
          <t>SKELLEFTEÅ</t>
        </is>
      </c>
      <c r="G183" t="n">
        <v>25.4</v>
      </c>
      <c r="H183" t="n">
        <v>0</v>
      </c>
      <c r="I183" t="n">
        <v>0</v>
      </c>
      <c r="J183" t="n">
        <v>2</v>
      </c>
      <c r="K183" t="n">
        <v>0</v>
      </c>
      <c r="L183" t="n">
        <v>0</v>
      </c>
      <c r="M183" t="n">
        <v>0</v>
      </c>
      <c r="N183" t="n">
        <v>0</v>
      </c>
      <c r="O183" t="n">
        <v>2</v>
      </c>
      <c r="P183" t="n">
        <v>0</v>
      </c>
      <c r="Q183" t="n">
        <v>2</v>
      </c>
      <c r="R183" s="2" t="inlineStr">
        <is>
          <t>Garnlav
Ullticka</t>
        </is>
      </c>
      <c r="S183">
        <f>HYPERLINK("https://klasma.github.io/Logging_2482/artfynd/A 4996-2025 artfynd.xlsx", "A 4996-2025")</f>
        <v/>
      </c>
      <c r="T183">
        <f>HYPERLINK("https://klasma.github.io/Logging_2482/kartor/A 4996-2025 karta.png", "A 4996-2025")</f>
        <v/>
      </c>
      <c r="U183">
        <f>HYPERLINK("https://klasma.github.io/Logging_2482/knärot/A 4996-2025 karta knärot.png", "A 4996-2025")</f>
        <v/>
      </c>
      <c r="V183">
        <f>HYPERLINK("https://klasma.github.io/Logging_2482/klagomål/A 4996-2025 FSC-klagomål.docx", "A 4996-2025")</f>
        <v/>
      </c>
      <c r="W183">
        <f>HYPERLINK("https://klasma.github.io/Logging_2482/klagomålsmail/A 4996-2025 FSC-klagomål mail.docx", "A 4996-2025")</f>
        <v/>
      </c>
      <c r="X183">
        <f>HYPERLINK("https://klasma.github.io/Logging_2482/tillsyn/A 4996-2025 tillsynsbegäran.docx", "A 4996-2025")</f>
        <v/>
      </c>
      <c r="Y183">
        <f>HYPERLINK("https://klasma.github.io/Logging_2482/tillsynsmail/A 4996-2025 tillsynsbegäran mail.docx", "A 4996-2025")</f>
        <v/>
      </c>
    </row>
    <row r="184" ht="15" customHeight="1">
      <c r="A184" t="inlineStr">
        <is>
          <t>A 9699-2025</t>
        </is>
      </c>
      <c r="B184" s="1" t="n">
        <v>45716</v>
      </c>
      <c r="C184" s="1" t="n">
        <v>45792</v>
      </c>
      <c r="D184" t="inlineStr">
        <is>
          <t>VÄSTERBOTTENS LÄN</t>
        </is>
      </c>
      <c r="E184" t="inlineStr">
        <is>
          <t>SKELLEFTEÅ</t>
        </is>
      </c>
      <c r="G184" t="n">
        <v>12</v>
      </c>
      <c r="H184" t="n">
        <v>1</v>
      </c>
      <c r="I184" t="n">
        <v>0</v>
      </c>
      <c r="J184" t="n">
        <v>2</v>
      </c>
      <c r="K184" t="n">
        <v>0</v>
      </c>
      <c r="L184" t="n">
        <v>0</v>
      </c>
      <c r="M184" t="n">
        <v>0</v>
      </c>
      <c r="N184" t="n">
        <v>0</v>
      </c>
      <c r="O184" t="n">
        <v>2</v>
      </c>
      <c r="P184" t="n">
        <v>0</v>
      </c>
      <c r="Q184" t="n">
        <v>2</v>
      </c>
      <c r="R184" s="2" t="inlineStr">
        <is>
          <t>Spillkråka
Violettgrå tagellav</t>
        </is>
      </c>
      <c r="S184">
        <f>HYPERLINK("https://klasma.github.io/Logging_242482/artfynd/A 9699-2025 artfynd.xlsx", "A 9699-2025")</f>
        <v/>
      </c>
      <c r="T184">
        <f>HYPERLINK("https://klasma.github.io/Logging_242482/kartor/A 9699-2025 karta.png", "A 9699-2025")</f>
        <v/>
      </c>
      <c r="V184">
        <f>HYPERLINK("https://klasma.github.io/Logging_242482/klagomål/A 9699-2025 FSC-klagomål.docx", "A 9699-2025")</f>
        <v/>
      </c>
      <c r="W184">
        <f>HYPERLINK("https://klasma.github.io/Logging_242482/klagomålsmail/A 9699-2025 FSC-klagomål mail.docx", "A 9699-2025")</f>
        <v/>
      </c>
      <c r="X184">
        <f>HYPERLINK("https://klasma.github.io/Logging_242482/tillsyn/A 9699-2025 tillsynsbegäran.docx", "A 9699-2025")</f>
        <v/>
      </c>
      <c r="Y184">
        <f>HYPERLINK("https://klasma.github.io/Logging_242482/tillsynsmail/A 9699-2025 tillsynsbegäran mail.docx", "A 9699-2025")</f>
        <v/>
      </c>
      <c r="Z184">
        <f>HYPERLINK("https://klasma.github.io/Logging_242482/fåglar/A 9699-2025 prioriterade fågelarter.docx", "A 9699-2025")</f>
        <v/>
      </c>
    </row>
    <row r="185" ht="15" customHeight="1">
      <c r="A185" t="inlineStr">
        <is>
          <t>A 14391-2025</t>
        </is>
      </c>
      <c r="B185" s="1" t="n">
        <v>45741</v>
      </c>
      <c r="C185" s="1" t="n">
        <v>45792</v>
      </c>
      <c r="D185" t="inlineStr">
        <is>
          <t>VÄSTERBOTTENS LÄN</t>
        </is>
      </c>
      <c r="E185" t="inlineStr">
        <is>
          <t>SKELLEFTEÅ</t>
        </is>
      </c>
      <c r="G185" t="n">
        <v>3.2</v>
      </c>
      <c r="H185" t="n">
        <v>2</v>
      </c>
      <c r="I185" t="n">
        <v>0</v>
      </c>
      <c r="J185" t="n">
        <v>0</v>
      </c>
      <c r="K185" t="n">
        <v>0</v>
      </c>
      <c r="L185" t="n">
        <v>0</v>
      </c>
      <c r="M185" t="n">
        <v>0</v>
      </c>
      <c r="N185" t="n">
        <v>0</v>
      </c>
      <c r="O185" t="n">
        <v>0</v>
      </c>
      <c r="P185" t="n">
        <v>0</v>
      </c>
      <c r="Q185" t="n">
        <v>2</v>
      </c>
      <c r="R185" s="2" t="inlineStr">
        <is>
          <t>Enkelbeckasin
Grönsiska</t>
        </is>
      </c>
      <c r="S185">
        <f>HYPERLINK("https://klasma.github.io/Logging_242482/artfynd/A 14391-2025 artfynd.xlsx", "A 14391-2025")</f>
        <v/>
      </c>
      <c r="T185">
        <f>HYPERLINK("https://klasma.github.io/Logging_242482/kartor/A 14391-2025 karta.png", "A 14391-2025")</f>
        <v/>
      </c>
      <c r="V185">
        <f>HYPERLINK("https://klasma.github.io/Logging_242482/klagomål/A 14391-2025 FSC-klagomål.docx", "A 14391-2025")</f>
        <v/>
      </c>
      <c r="W185">
        <f>HYPERLINK("https://klasma.github.io/Logging_242482/klagomålsmail/A 14391-2025 FSC-klagomål mail.docx", "A 14391-2025")</f>
        <v/>
      </c>
      <c r="X185">
        <f>HYPERLINK("https://klasma.github.io/Logging_242482/tillsyn/A 14391-2025 tillsynsbegäran.docx", "A 14391-2025")</f>
        <v/>
      </c>
      <c r="Y185">
        <f>HYPERLINK("https://klasma.github.io/Logging_242482/tillsynsmail/A 14391-2025 tillsynsbegäran mail.docx", "A 14391-2025")</f>
        <v/>
      </c>
      <c r="Z185">
        <f>HYPERLINK("https://klasma.github.io/Logging_242482/fåglar/A 14391-2025 prioriterade fågelarter.docx", "A 14391-2025")</f>
        <v/>
      </c>
    </row>
    <row r="186" ht="15" customHeight="1">
      <c r="A186" t="inlineStr">
        <is>
          <t>A 20367-2025</t>
        </is>
      </c>
      <c r="B186" s="1" t="n">
        <v>45775</v>
      </c>
      <c r="C186" s="1" t="n">
        <v>45792</v>
      </c>
      <c r="D186" t="inlineStr">
        <is>
          <t>VÄSTERBOTTENS LÄN</t>
        </is>
      </c>
      <c r="E186" t="inlineStr">
        <is>
          <t>SKELLEFTEÅ</t>
        </is>
      </c>
      <c r="G186" t="n">
        <v>3</v>
      </c>
      <c r="H186" t="n">
        <v>1</v>
      </c>
      <c r="I186" t="n">
        <v>0</v>
      </c>
      <c r="J186" t="n">
        <v>1</v>
      </c>
      <c r="K186" t="n">
        <v>1</v>
      </c>
      <c r="L186" t="n">
        <v>0</v>
      </c>
      <c r="M186" t="n">
        <v>0</v>
      </c>
      <c r="N186" t="n">
        <v>0</v>
      </c>
      <c r="O186" t="n">
        <v>2</v>
      </c>
      <c r="P186" t="n">
        <v>1</v>
      </c>
      <c r="Q186" t="n">
        <v>2</v>
      </c>
      <c r="R186" s="2" t="inlineStr">
        <is>
          <t>Knärot
Ullticka</t>
        </is>
      </c>
      <c r="S186">
        <f>HYPERLINK("https://klasma.github.io/Logging_242482/artfynd/A 20367-2025 artfynd.xlsx", "A 20367-2025")</f>
        <v/>
      </c>
      <c r="T186">
        <f>HYPERLINK("https://klasma.github.io/Logging_242482/kartor/A 20367-2025 karta.png", "A 20367-2025")</f>
        <v/>
      </c>
      <c r="U186">
        <f>HYPERLINK("https://klasma.github.io/Logging_242482/knärot/A 20367-2025 karta knärot.png", "A 20367-2025")</f>
        <v/>
      </c>
      <c r="V186">
        <f>HYPERLINK("https://klasma.github.io/Logging_242482/klagomål/A 20367-2025 FSC-klagomål.docx", "A 20367-2025")</f>
        <v/>
      </c>
      <c r="W186">
        <f>HYPERLINK("https://klasma.github.io/Logging_242482/klagomålsmail/A 20367-2025 FSC-klagomål mail.docx", "A 20367-2025")</f>
        <v/>
      </c>
      <c r="X186">
        <f>HYPERLINK("https://klasma.github.io/Logging_242482/tillsyn/A 20367-2025 tillsynsbegäran.docx", "A 20367-2025")</f>
        <v/>
      </c>
      <c r="Y186">
        <f>HYPERLINK("https://klasma.github.io/Logging_242482/tillsynsmail/A 20367-2025 tillsynsbegäran mail.docx", "A 20367-2025")</f>
        <v/>
      </c>
    </row>
    <row r="187" ht="15" customHeight="1">
      <c r="A187" t="inlineStr">
        <is>
          <t>A 20465-2019</t>
        </is>
      </c>
      <c r="B187" s="1" t="n">
        <v>43572</v>
      </c>
      <c r="C187" s="1" t="n">
        <v>45792</v>
      </c>
      <c r="D187" t="inlineStr">
        <is>
          <t>VÄSTERBOTTENS LÄN</t>
        </is>
      </c>
      <c r="E187" t="inlineStr">
        <is>
          <t>SKELLEFTEÅ</t>
        </is>
      </c>
      <c r="G187" t="n">
        <v>2.1</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20465-2019 artfynd.xlsx", "A 20465-2019")</f>
        <v/>
      </c>
      <c r="T187">
        <f>HYPERLINK("https://klasma.github.io/Logging_2482/kartor/A 20465-2019 karta.png", "A 20465-2019")</f>
        <v/>
      </c>
      <c r="V187">
        <f>HYPERLINK("https://klasma.github.io/Logging_2482/klagomål/A 20465-2019 FSC-klagomål.docx", "A 20465-2019")</f>
        <v/>
      </c>
      <c r="W187">
        <f>HYPERLINK("https://klasma.github.io/Logging_2482/klagomålsmail/A 20465-2019 FSC-klagomål mail.docx", "A 20465-2019")</f>
        <v/>
      </c>
      <c r="X187">
        <f>HYPERLINK("https://klasma.github.io/Logging_2482/tillsyn/A 20465-2019 tillsynsbegäran.docx", "A 20465-2019")</f>
        <v/>
      </c>
      <c r="Y187">
        <f>HYPERLINK("https://klasma.github.io/Logging_2482/tillsynsmail/A 20465-2019 tillsynsbegäran mail.docx", "A 20465-2019")</f>
        <v/>
      </c>
    </row>
    <row r="188" ht="15" customHeight="1">
      <c r="A188" t="inlineStr">
        <is>
          <t>A 25651-2019</t>
        </is>
      </c>
      <c r="B188" s="1" t="n">
        <v>43602</v>
      </c>
      <c r="C188" s="1" t="n">
        <v>45792</v>
      </c>
      <c r="D188" t="inlineStr">
        <is>
          <t>VÄSTERBOTTENS LÄN</t>
        </is>
      </c>
      <c r="E188" t="inlineStr">
        <is>
          <t>SKELLEFTEÅ</t>
        </is>
      </c>
      <c r="G188" t="n">
        <v>16.9</v>
      </c>
      <c r="H188" t="n">
        <v>1</v>
      </c>
      <c r="I188" t="n">
        <v>0</v>
      </c>
      <c r="J188" t="n">
        <v>0</v>
      </c>
      <c r="K188" t="n">
        <v>0</v>
      </c>
      <c r="L188" t="n">
        <v>0</v>
      </c>
      <c r="M188" t="n">
        <v>0</v>
      </c>
      <c r="N188" t="n">
        <v>0</v>
      </c>
      <c r="O188" t="n">
        <v>0</v>
      </c>
      <c r="P188" t="n">
        <v>0</v>
      </c>
      <c r="Q188" t="n">
        <v>1</v>
      </c>
      <c r="R188" s="2" t="inlineStr">
        <is>
          <t>Fläcknycklar</t>
        </is>
      </c>
      <c r="S188">
        <f>HYPERLINK("https://klasma.github.io/Logging_2482/artfynd/A 25651-2019 artfynd.xlsx", "A 25651-2019")</f>
        <v/>
      </c>
      <c r="T188">
        <f>HYPERLINK("https://klasma.github.io/Logging_2482/kartor/A 25651-2019 karta.png", "A 25651-2019")</f>
        <v/>
      </c>
      <c r="V188">
        <f>HYPERLINK("https://klasma.github.io/Logging_2482/klagomål/A 25651-2019 FSC-klagomål.docx", "A 25651-2019")</f>
        <v/>
      </c>
      <c r="W188">
        <f>HYPERLINK("https://klasma.github.io/Logging_2482/klagomålsmail/A 25651-2019 FSC-klagomål mail.docx", "A 25651-2019")</f>
        <v/>
      </c>
      <c r="X188">
        <f>HYPERLINK("https://klasma.github.io/Logging_2482/tillsyn/A 25651-2019 tillsynsbegäran.docx", "A 25651-2019")</f>
        <v/>
      </c>
      <c r="Y188">
        <f>HYPERLINK("https://klasma.github.io/Logging_2482/tillsynsmail/A 25651-2019 tillsynsbegäran mail.docx", "A 25651-2019")</f>
        <v/>
      </c>
    </row>
    <row r="189" ht="15" customHeight="1">
      <c r="A189" t="inlineStr">
        <is>
          <t>A 49035-2019</t>
        </is>
      </c>
      <c r="B189" s="1" t="n">
        <v>43731</v>
      </c>
      <c r="C189" s="1" t="n">
        <v>45792</v>
      </c>
      <c r="D189" t="inlineStr">
        <is>
          <t>VÄSTERBOTTENS LÄN</t>
        </is>
      </c>
      <c r="E189" t="inlineStr">
        <is>
          <t>SKELLEFTEÅ</t>
        </is>
      </c>
      <c r="F189" t="inlineStr">
        <is>
          <t>Kommuner</t>
        </is>
      </c>
      <c r="G189" t="n">
        <v>1.4</v>
      </c>
      <c r="H189" t="n">
        <v>1</v>
      </c>
      <c r="I189" t="n">
        <v>0</v>
      </c>
      <c r="J189" t="n">
        <v>0</v>
      </c>
      <c r="K189" t="n">
        <v>0</v>
      </c>
      <c r="L189" t="n">
        <v>0</v>
      </c>
      <c r="M189" t="n">
        <v>0</v>
      </c>
      <c r="N189" t="n">
        <v>0</v>
      </c>
      <c r="O189" t="n">
        <v>0</v>
      </c>
      <c r="P189" t="n">
        <v>0</v>
      </c>
      <c r="Q189" t="n">
        <v>1</v>
      </c>
      <c r="R189" s="2" t="inlineStr">
        <is>
          <t>Huggorm</t>
        </is>
      </c>
      <c r="S189">
        <f>HYPERLINK("https://klasma.github.io/Logging_2482/artfynd/A 49035-2019 artfynd.xlsx", "A 49035-2019")</f>
        <v/>
      </c>
      <c r="T189">
        <f>HYPERLINK("https://klasma.github.io/Logging_2482/kartor/A 49035-2019 karta.png", "A 49035-2019")</f>
        <v/>
      </c>
      <c r="V189">
        <f>HYPERLINK("https://klasma.github.io/Logging_2482/klagomål/A 49035-2019 FSC-klagomål.docx", "A 49035-2019")</f>
        <v/>
      </c>
      <c r="W189">
        <f>HYPERLINK("https://klasma.github.io/Logging_2482/klagomålsmail/A 49035-2019 FSC-klagomål mail.docx", "A 49035-2019")</f>
        <v/>
      </c>
      <c r="X189">
        <f>HYPERLINK("https://klasma.github.io/Logging_2482/tillsyn/A 49035-2019 tillsynsbegäran.docx", "A 49035-2019")</f>
        <v/>
      </c>
      <c r="Y189">
        <f>HYPERLINK("https://klasma.github.io/Logging_2482/tillsynsmail/A 49035-2019 tillsynsbegäran mail.docx", "A 49035-2019")</f>
        <v/>
      </c>
    </row>
    <row r="190" ht="15" customHeight="1">
      <c r="A190" t="inlineStr">
        <is>
          <t>A 51461-2019</t>
        </is>
      </c>
      <c r="B190" s="1" t="n">
        <v>43740</v>
      </c>
      <c r="C190" s="1" t="n">
        <v>45792</v>
      </c>
      <c r="D190" t="inlineStr">
        <is>
          <t>VÄSTERBOTTENS LÄN</t>
        </is>
      </c>
      <c r="E190" t="inlineStr">
        <is>
          <t>SKELLEFTEÅ</t>
        </is>
      </c>
      <c r="F190" t="inlineStr">
        <is>
          <t>Sveaskog</t>
        </is>
      </c>
      <c r="G190" t="n">
        <v>12.2</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51461-2019 artfynd.xlsx", "A 51461-2019")</f>
        <v/>
      </c>
      <c r="T190">
        <f>HYPERLINK("https://klasma.github.io/Logging_2482/kartor/A 51461-2019 karta.png", "A 51461-2019")</f>
        <v/>
      </c>
      <c r="V190">
        <f>HYPERLINK("https://klasma.github.io/Logging_2482/klagomål/A 51461-2019 FSC-klagomål.docx", "A 51461-2019")</f>
        <v/>
      </c>
      <c r="W190">
        <f>HYPERLINK("https://klasma.github.io/Logging_2482/klagomålsmail/A 51461-2019 FSC-klagomål mail.docx", "A 51461-2019")</f>
        <v/>
      </c>
      <c r="X190">
        <f>HYPERLINK("https://klasma.github.io/Logging_2482/tillsyn/A 51461-2019 tillsynsbegäran.docx", "A 51461-2019")</f>
        <v/>
      </c>
      <c r="Y190">
        <f>HYPERLINK("https://klasma.github.io/Logging_2482/tillsynsmail/A 51461-2019 tillsynsbegäran mail.docx", "A 51461-2019")</f>
        <v/>
      </c>
    </row>
    <row r="191" ht="15" customHeight="1">
      <c r="A191" t="inlineStr">
        <is>
          <t>A 63709-2019</t>
        </is>
      </c>
      <c r="B191" s="1" t="n">
        <v>43795</v>
      </c>
      <c r="C191" s="1" t="n">
        <v>45792</v>
      </c>
      <c r="D191" t="inlineStr">
        <is>
          <t>VÄSTERBOTTENS LÄN</t>
        </is>
      </c>
      <c r="E191" t="inlineStr">
        <is>
          <t>SKELLEFTEÅ</t>
        </is>
      </c>
      <c r="F191" t="inlineStr">
        <is>
          <t>Sveaskog</t>
        </is>
      </c>
      <c r="G191" t="n">
        <v>39.7</v>
      </c>
      <c r="H191" t="n">
        <v>1</v>
      </c>
      <c r="I191" t="n">
        <v>0</v>
      </c>
      <c r="J191" t="n">
        <v>0</v>
      </c>
      <c r="K191" t="n">
        <v>0</v>
      </c>
      <c r="L191" t="n">
        <v>0</v>
      </c>
      <c r="M191" t="n">
        <v>0</v>
      </c>
      <c r="N191" t="n">
        <v>0</v>
      </c>
      <c r="O191" t="n">
        <v>0</v>
      </c>
      <c r="P191" t="n">
        <v>0</v>
      </c>
      <c r="Q191" t="n">
        <v>1</v>
      </c>
      <c r="R191" s="2" t="inlineStr">
        <is>
          <t>Fläcknycklar</t>
        </is>
      </c>
      <c r="S191">
        <f>HYPERLINK("https://klasma.github.io/Logging_2482/artfynd/A 63709-2019 artfynd.xlsx", "A 63709-2019")</f>
        <v/>
      </c>
      <c r="T191">
        <f>HYPERLINK("https://klasma.github.io/Logging_2482/kartor/A 63709-2019 karta.png", "A 63709-2019")</f>
        <v/>
      </c>
      <c r="V191">
        <f>HYPERLINK("https://klasma.github.io/Logging_2482/klagomål/A 63709-2019 FSC-klagomål.docx", "A 63709-2019")</f>
        <v/>
      </c>
      <c r="W191">
        <f>HYPERLINK("https://klasma.github.io/Logging_2482/klagomålsmail/A 63709-2019 FSC-klagomål mail.docx", "A 63709-2019")</f>
        <v/>
      </c>
      <c r="X191">
        <f>HYPERLINK("https://klasma.github.io/Logging_2482/tillsyn/A 63709-2019 tillsynsbegäran.docx", "A 63709-2019")</f>
        <v/>
      </c>
      <c r="Y191">
        <f>HYPERLINK("https://klasma.github.io/Logging_2482/tillsynsmail/A 63709-2019 tillsynsbegäran mail.docx", "A 63709-2019")</f>
        <v/>
      </c>
    </row>
    <row r="192" ht="15" customHeight="1">
      <c r="A192" t="inlineStr">
        <is>
          <t>A 43180-2020</t>
        </is>
      </c>
      <c r="B192" s="1" t="n">
        <v>44076</v>
      </c>
      <c r="C192" s="1" t="n">
        <v>45792</v>
      </c>
      <c r="D192" t="inlineStr">
        <is>
          <t>VÄSTERBOTTENS LÄN</t>
        </is>
      </c>
      <c r="E192" t="inlineStr">
        <is>
          <t>SKELLEFTEÅ</t>
        </is>
      </c>
      <c r="G192" t="n">
        <v>0.6</v>
      </c>
      <c r="H192" t="n">
        <v>0</v>
      </c>
      <c r="I192" t="n">
        <v>0</v>
      </c>
      <c r="J192" t="n">
        <v>1</v>
      </c>
      <c r="K192" t="n">
        <v>0</v>
      </c>
      <c r="L192" t="n">
        <v>0</v>
      </c>
      <c r="M192" t="n">
        <v>0</v>
      </c>
      <c r="N192" t="n">
        <v>0</v>
      </c>
      <c r="O192" t="n">
        <v>1</v>
      </c>
      <c r="P192" t="n">
        <v>0</v>
      </c>
      <c r="Q192" t="n">
        <v>1</v>
      </c>
      <c r="R192" s="2" t="inlineStr">
        <is>
          <t>Garnlav</t>
        </is>
      </c>
      <c r="S192">
        <f>HYPERLINK("https://klasma.github.io/Logging_2482/artfynd/A 43180-2020 artfynd.xlsx", "A 43180-2020")</f>
        <v/>
      </c>
      <c r="T192">
        <f>HYPERLINK("https://klasma.github.io/Logging_2482/kartor/A 43180-2020 karta.png", "A 43180-2020")</f>
        <v/>
      </c>
      <c r="V192">
        <f>HYPERLINK("https://klasma.github.io/Logging_2482/klagomål/A 43180-2020 FSC-klagomål.docx", "A 43180-2020")</f>
        <v/>
      </c>
      <c r="W192">
        <f>HYPERLINK("https://klasma.github.io/Logging_2482/klagomålsmail/A 43180-2020 FSC-klagomål mail.docx", "A 43180-2020")</f>
        <v/>
      </c>
      <c r="X192">
        <f>HYPERLINK("https://klasma.github.io/Logging_2482/tillsyn/A 43180-2020 tillsynsbegäran.docx", "A 43180-2020")</f>
        <v/>
      </c>
      <c r="Y192">
        <f>HYPERLINK("https://klasma.github.io/Logging_2482/tillsynsmail/A 43180-2020 tillsynsbegäran mail.docx", "A 43180-2020")</f>
        <v/>
      </c>
    </row>
    <row r="193" ht="15" customHeight="1">
      <c r="A193" t="inlineStr">
        <is>
          <t>A 42794-2020</t>
        </is>
      </c>
      <c r="B193" s="1" t="n">
        <v>44078</v>
      </c>
      <c r="C193" s="1" t="n">
        <v>45792</v>
      </c>
      <c r="D193" t="inlineStr">
        <is>
          <t>VÄSTERBOTTENS LÄN</t>
        </is>
      </c>
      <c r="E193" t="inlineStr">
        <is>
          <t>SKELLEFTEÅ</t>
        </is>
      </c>
      <c r="F193" t="inlineStr">
        <is>
          <t>Kommuner</t>
        </is>
      </c>
      <c r="G193" t="n">
        <v>3.4</v>
      </c>
      <c r="H193" t="n">
        <v>0</v>
      </c>
      <c r="I193" t="n">
        <v>0</v>
      </c>
      <c r="J193" t="n">
        <v>1</v>
      </c>
      <c r="K193" t="n">
        <v>0</v>
      </c>
      <c r="L193" t="n">
        <v>0</v>
      </c>
      <c r="M193" t="n">
        <v>0</v>
      </c>
      <c r="N193" t="n">
        <v>0</v>
      </c>
      <c r="O193" t="n">
        <v>1</v>
      </c>
      <c r="P193" t="n">
        <v>0</v>
      </c>
      <c r="Q193" t="n">
        <v>1</v>
      </c>
      <c r="R193" s="2" t="inlineStr">
        <is>
          <t>Motaggsvamp</t>
        </is>
      </c>
      <c r="S193">
        <f>HYPERLINK("https://klasma.github.io/Logging_2482/artfynd/A 42794-2020 artfynd.xlsx", "A 42794-2020")</f>
        <v/>
      </c>
      <c r="T193">
        <f>HYPERLINK("https://klasma.github.io/Logging_2482/kartor/A 42794-2020 karta.png", "A 42794-2020")</f>
        <v/>
      </c>
      <c r="V193">
        <f>HYPERLINK("https://klasma.github.io/Logging_2482/klagomål/A 42794-2020 FSC-klagomål.docx", "A 42794-2020")</f>
        <v/>
      </c>
      <c r="W193">
        <f>HYPERLINK("https://klasma.github.io/Logging_2482/klagomålsmail/A 42794-2020 FSC-klagomål mail.docx", "A 42794-2020")</f>
        <v/>
      </c>
      <c r="X193">
        <f>HYPERLINK("https://klasma.github.io/Logging_2482/tillsyn/A 42794-2020 tillsynsbegäran.docx", "A 42794-2020")</f>
        <v/>
      </c>
      <c r="Y193">
        <f>HYPERLINK("https://klasma.github.io/Logging_2482/tillsynsmail/A 42794-2020 tillsynsbegäran mail.docx", "A 42794-2020")</f>
        <v/>
      </c>
    </row>
    <row r="194" ht="15" customHeight="1">
      <c r="A194" t="inlineStr">
        <is>
          <t>A 43297-2020</t>
        </is>
      </c>
      <c r="B194" s="1" t="n">
        <v>44081</v>
      </c>
      <c r="C194" s="1" t="n">
        <v>45792</v>
      </c>
      <c r="D194" t="inlineStr">
        <is>
          <t>VÄSTERBOTTENS LÄN</t>
        </is>
      </c>
      <c r="E194" t="inlineStr">
        <is>
          <t>SKELLEFTEÅ</t>
        </is>
      </c>
      <c r="F194" t="inlineStr">
        <is>
          <t>Sveaskog</t>
        </is>
      </c>
      <c r="G194" t="n">
        <v>6</v>
      </c>
      <c r="H194" t="n">
        <v>0</v>
      </c>
      <c r="I194" t="n">
        <v>1</v>
      </c>
      <c r="J194" t="n">
        <v>0</v>
      </c>
      <c r="K194" t="n">
        <v>0</v>
      </c>
      <c r="L194" t="n">
        <v>0</v>
      </c>
      <c r="M194" t="n">
        <v>0</v>
      </c>
      <c r="N194" t="n">
        <v>0</v>
      </c>
      <c r="O194" t="n">
        <v>0</v>
      </c>
      <c r="P194" t="n">
        <v>0</v>
      </c>
      <c r="Q194" t="n">
        <v>1</v>
      </c>
      <c r="R194" s="2" t="inlineStr">
        <is>
          <t>Vedticka</t>
        </is>
      </c>
      <c r="S194">
        <f>HYPERLINK("https://klasma.github.io/Logging_2482/artfynd/A 43297-2020 artfynd.xlsx", "A 43297-2020")</f>
        <v/>
      </c>
      <c r="T194">
        <f>HYPERLINK("https://klasma.github.io/Logging_2482/kartor/A 43297-2020 karta.png", "A 43297-2020")</f>
        <v/>
      </c>
      <c r="V194">
        <f>HYPERLINK("https://klasma.github.io/Logging_2482/klagomål/A 43297-2020 FSC-klagomål.docx", "A 43297-2020")</f>
        <v/>
      </c>
      <c r="W194">
        <f>HYPERLINK("https://klasma.github.io/Logging_2482/klagomålsmail/A 43297-2020 FSC-klagomål mail.docx", "A 43297-2020")</f>
        <v/>
      </c>
      <c r="X194">
        <f>HYPERLINK("https://klasma.github.io/Logging_2482/tillsyn/A 43297-2020 tillsynsbegäran.docx", "A 43297-2020")</f>
        <v/>
      </c>
      <c r="Y194">
        <f>HYPERLINK("https://klasma.github.io/Logging_2482/tillsynsmail/A 43297-2020 tillsynsbegäran mail.docx", "A 43297-2020")</f>
        <v/>
      </c>
    </row>
    <row r="195" ht="15" customHeight="1">
      <c r="A195" t="inlineStr">
        <is>
          <t>A 43303-2020</t>
        </is>
      </c>
      <c r="B195" s="1" t="n">
        <v>44081</v>
      </c>
      <c r="C195" s="1" t="n">
        <v>45792</v>
      </c>
      <c r="D195" t="inlineStr">
        <is>
          <t>VÄSTERBOTTENS LÄN</t>
        </is>
      </c>
      <c r="E195" t="inlineStr">
        <is>
          <t>SKELLEFTEÅ</t>
        </is>
      </c>
      <c r="F195" t="inlineStr">
        <is>
          <t>Sveaskog</t>
        </is>
      </c>
      <c r="G195" t="n">
        <v>2.8</v>
      </c>
      <c r="H195" t="n">
        <v>0</v>
      </c>
      <c r="I195" t="n">
        <v>1</v>
      </c>
      <c r="J195" t="n">
        <v>0</v>
      </c>
      <c r="K195" t="n">
        <v>0</v>
      </c>
      <c r="L195" t="n">
        <v>0</v>
      </c>
      <c r="M195" t="n">
        <v>0</v>
      </c>
      <c r="N195" t="n">
        <v>0</v>
      </c>
      <c r="O195" t="n">
        <v>0</v>
      </c>
      <c r="P195" t="n">
        <v>0</v>
      </c>
      <c r="Q195" t="n">
        <v>1</v>
      </c>
      <c r="R195" s="2" t="inlineStr">
        <is>
          <t>Stuplav</t>
        </is>
      </c>
      <c r="S195">
        <f>HYPERLINK("https://klasma.github.io/Logging_2482/artfynd/A 43303-2020 artfynd.xlsx", "A 43303-2020")</f>
        <v/>
      </c>
      <c r="T195">
        <f>HYPERLINK("https://klasma.github.io/Logging_2482/kartor/A 43303-2020 karta.png", "A 43303-2020")</f>
        <v/>
      </c>
      <c r="V195">
        <f>HYPERLINK("https://klasma.github.io/Logging_2482/klagomål/A 43303-2020 FSC-klagomål.docx", "A 43303-2020")</f>
        <v/>
      </c>
      <c r="W195">
        <f>HYPERLINK("https://klasma.github.io/Logging_2482/klagomålsmail/A 43303-2020 FSC-klagomål mail.docx", "A 43303-2020")</f>
        <v/>
      </c>
      <c r="X195">
        <f>HYPERLINK("https://klasma.github.io/Logging_2482/tillsyn/A 43303-2020 tillsynsbegäran.docx", "A 43303-2020")</f>
        <v/>
      </c>
      <c r="Y195">
        <f>HYPERLINK("https://klasma.github.io/Logging_2482/tillsynsmail/A 43303-2020 tillsynsbegäran mail.docx", "A 43303-2020")</f>
        <v/>
      </c>
    </row>
    <row r="196" ht="15" customHeight="1">
      <c r="A196" t="inlineStr">
        <is>
          <t>A 55810-2020</t>
        </is>
      </c>
      <c r="B196" s="1" t="n">
        <v>44132</v>
      </c>
      <c r="C196" s="1" t="n">
        <v>45792</v>
      </c>
      <c r="D196" t="inlineStr">
        <is>
          <t>VÄSTERBOTTENS LÄN</t>
        </is>
      </c>
      <c r="E196" t="inlineStr">
        <is>
          <t>SKELLEFTEÅ</t>
        </is>
      </c>
      <c r="F196" t="inlineStr">
        <is>
          <t>Sveaskog</t>
        </is>
      </c>
      <c r="G196" t="n">
        <v>20.1</v>
      </c>
      <c r="H196" t="n">
        <v>1</v>
      </c>
      <c r="I196" t="n">
        <v>0</v>
      </c>
      <c r="J196" t="n">
        <v>0</v>
      </c>
      <c r="K196" t="n">
        <v>0</v>
      </c>
      <c r="L196" t="n">
        <v>0</v>
      </c>
      <c r="M196" t="n">
        <v>0</v>
      </c>
      <c r="N196" t="n">
        <v>0</v>
      </c>
      <c r="O196" t="n">
        <v>0</v>
      </c>
      <c r="P196" t="n">
        <v>0</v>
      </c>
      <c r="Q196" t="n">
        <v>1</v>
      </c>
      <c r="R196" s="2" t="inlineStr">
        <is>
          <t>Fläcknycklar</t>
        </is>
      </c>
      <c r="S196">
        <f>HYPERLINK("https://klasma.github.io/Logging_2482/artfynd/A 55810-2020 artfynd.xlsx", "A 55810-2020")</f>
        <v/>
      </c>
      <c r="T196">
        <f>HYPERLINK("https://klasma.github.io/Logging_2482/kartor/A 55810-2020 karta.png", "A 55810-2020")</f>
        <v/>
      </c>
      <c r="V196">
        <f>HYPERLINK("https://klasma.github.io/Logging_2482/klagomål/A 55810-2020 FSC-klagomål.docx", "A 55810-2020")</f>
        <v/>
      </c>
      <c r="W196">
        <f>HYPERLINK("https://klasma.github.io/Logging_2482/klagomålsmail/A 55810-2020 FSC-klagomål mail.docx", "A 55810-2020")</f>
        <v/>
      </c>
      <c r="X196">
        <f>HYPERLINK("https://klasma.github.io/Logging_2482/tillsyn/A 55810-2020 tillsynsbegäran.docx", "A 55810-2020")</f>
        <v/>
      </c>
      <c r="Y196">
        <f>HYPERLINK("https://klasma.github.io/Logging_2482/tillsynsmail/A 55810-2020 tillsynsbegäran mail.docx", "A 55810-2020")</f>
        <v/>
      </c>
    </row>
    <row r="197" ht="15" customHeight="1">
      <c r="A197" t="inlineStr">
        <is>
          <t>A 14857-2021</t>
        </is>
      </c>
      <c r="B197" s="1" t="n">
        <v>44280</v>
      </c>
      <c r="C197" s="1" t="n">
        <v>45792</v>
      </c>
      <c r="D197" t="inlineStr">
        <is>
          <t>VÄSTERBOTTENS LÄN</t>
        </is>
      </c>
      <c r="E197" t="inlineStr">
        <is>
          <t>SKELLEFTEÅ</t>
        </is>
      </c>
      <c r="F197" t="inlineStr">
        <is>
          <t>SCA</t>
        </is>
      </c>
      <c r="G197" t="n">
        <v>3.7</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14857-2021 artfynd.xlsx", "A 14857-2021")</f>
        <v/>
      </c>
      <c r="T197">
        <f>HYPERLINK("https://klasma.github.io/Logging_2482/kartor/A 14857-2021 karta.png", "A 14857-2021")</f>
        <v/>
      </c>
      <c r="V197">
        <f>HYPERLINK("https://klasma.github.io/Logging_2482/klagomål/A 14857-2021 FSC-klagomål.docx", "A 14857-2021")</f>
        <v/>
      </c>
      <c r="W197">
        <f>HYPERLINK("https://klasma.github.io/Logging_2482/klagomålsmail/A 14857-2021 FSC-klagomål mail.docx", "A 14857-2021")</f>
        <v/>
      </c>
      <c r="X197">
        <f>HYPERLINK("https://klasma.github.io/Logging_2482/tillsyn/A 14857-2021 tillsynsbegäran.docx", "A 14857-2021")</f>
        <v/>
      </c>
      <c r="Y197">
        <f>HYPERLINK("https://klasma.github.io/Logging_2482/tillsynsmail/A 14857-2021 tillsynsbegäran mail.docx", "A 14857-2021")</f>
        <v/>
      </c>
      <c r="Z197">
        <f>HYPERLINK("https://klasma.github.io/Logging_2482/fåglar/A 14857-2021 prioriterade fågelarter.docx", "A 14857-2021")</f>
        <v/>
      </c>
    </row>
    <row r="198" ht="15" customHeight="1">
      <c r="A198" t="inlineStr">
        <is>
          <t>A 32964-2021</t>
        </is>
      </c>
      <c r="B198" s="1" t="n">
        <v>44376</v>
      </c>
      <c r="C198" s="1" t="n">
        <v>45792</v>
      </c>
      <c r="D198" t="inlineStr">
        <is>
          <t>VÄSTERBOTTENS LÄN</t>
        </is>
      </c>
      <c r="E198" t="inlineStr">
        <is>
          <t>SKELLEFTEÅ</t>
        </is>
      </c>
      <c r="G198" t="n">
        <v>16</v>
      </c>
      <c r="H198" t="n">
        <v>0</v>
      </c>
      <c r="I198" t="n">
        <v>0</v>
      </c>
      <c r="J198" t="n">
        <v>1</v>
      </c>
      <c r="K198" t="n">
        <v>0</v>
      </c>
      <c r="L198" t="n">
        <v>0</v>
      </c>
      <c r="M198" t="n">
        <v>0</v>
      </c>
      <c r="N198" t="n">
        <v>0</v>
      </c>
      <c r="O198" t="n">
        <v>1</v>
      </c>
      <c r="P198" t="n">
        <v>0</v>
      </c>
      <c r="Q198" t="n">
        <v>1</v>
      </c>
      <c r="R198" s="2" t="inlineStr">
        <is>
          <t>Kådvaxskinn</t>
        </is>
      </c>
      <c r="S198">
        <f>HYPERLINK("https://klasma.github.io/Logging_2482/artfynd/A 32964-2021 artfynd.xlsx", "A 32964-2021")</f>
        <v/>
      </c>
      <c r="T198">
        <f>HYPERLINK("https://klasma.github.io/Logging_2482/kartor/A 32964-2021 karta.png", "A 32964-2021")</f>
        <v/>
      </c>
      <c r="V198">
        <f>HYPERLINK("https://klasma.github.io/Logging_2482/klagomål/A 32964-2021 FSC-klagomål.docx", "A 32964-2021")</f>
        <v/>
      </c>
      <c r="W198">
        <f>HYPERLINK("https://klasma.github.io/Logging_2482/klagomålsmail/A 32964-2021 FSC-klagomål mail.docx", "A 32964-2021")</f>
        <v/>
      </c>
      <c r="X198">
        <f>HYPERLINK("https://klasma.github.io/Logging_2482/tillsyn/A 32964-2021 tillsynsbegäran.docx", "A 32964-2021")</f>
        <v/>
      </c>
      <c r="Y198">
        <f>HYPERLINK("https://klasma.github.io/Logging_2482/tillsynsmail/A 32964-2021 tillsynsbegäran mail.docx", "A 32964-2021")</f>
        <v/>
      </c>
    </row>
    <row r="199" ht="15" customHeight="1">
      <c r="A199" t="inlineStr">
        <is>
          <t>A 35047-2021</t>
        </is>
      </c>
      <c r="B199" s="1" t="n">
        <v>44384</v>
      </c>
      <c r="C199" s="1" t="n">
        <v>45792</v>
      </c>
      <c r="D199" t="inlineStr">
        <is>
          <t>VÄSTERBOTTENS LÄN</t>
        </is>
      </c>
      <c r="E199" t="inlineStr">
        <is>
          <t>SKELLEFTEÅ</t>
        </is>
      </c>
      <c r="G199" t="n">
        <v>3.1</v>
      </c>
      <c r="H199" t="n">
        <v>0</v>
      </c>
      <c r="I199" t="n">
        <v>0</v>
      </c>
      <c r="J199" t="n">
        <v>1</v>
      </c>
      <c r="K199" t="n">
        <v>0</v>
      </c>
      <c r="L199" t="n">
        <v>0</v>
      </c>
      <c r="M199" t="n">
        <v>0</v>
      </c>
      <c r="N199" t="n">
        <v>0</v>
      </c>
      <c r="O199" t="n">
        <v>1</v>
      </c>
      <c r="P199" t="n">
        <v>0</v>
      </c>
      <c r="Q199" t="n">
        <v>1</v>
      </c>
      <c r="R199" s="2" t="inlineStr">
        <is>
          <t>Garnlav</t>
        </is>
      </c>
      <c r="S199">
        <f>HYPERLINK("https://klasma.github.io/Logging_2482/artfynd/A 35047-2021 artfynd.xlsx", "A 35047-2021")</f>
        <v/>
      </c>
      <c r="T199">
        <f>HYPERLINK("https://klasma.github.io/Logging_2482/kartor/A 35047-2021 karta.png", "A 35047-2021")</f>
        <v/>
      </c>
      <c r="V199">
        <f>HYPERLINK("https://klasma.github.io/Logging_2482/klagomål/A 35047-2021 FSC-klagomål.docx", "A 35047-2021")</f>
        <v/>
      </c>
      <c r="W199">
        <f>HYPERLINK("https://klasma.github.io/Logging_2482/klagomålsmail/A 35047-2021 FSC-klagomål mail.docx", "A 35047-2021")</f>
        <v/>
      </c>
      <c r="X199">
        <f>HYPERLINK("https://klasma.github.io/Logging_2482/tillsyn/A 35047-2021 tillsynsbegäran.docx", "A 35047-2021")</f>
        <v/>
      </c>
      <c r="Y199">
        <f>HYPERLINK("https://klasma.github.io/Logging_2482/tillsynsmail/A 35047-2021 tillsynsbegäran mail.docx", "A 35047-2021")</f>
        <v/>
      </c>
    </row>
    <row r="200" ht="15" customHeight="1">
      <c r="A200" t="inlineStr">
        <is>
          <t>A 35625-2021</t>
        </is>
      </c>
      <c r="B200" s="1" t="n">
        <v>44386</v>
      </c>
      <c r="C200" s="1" t="n">
        <v>45792</v>
      </c>
      <c r="D200" t="inlineStr">
        <is>
          <t>VÄSTERBOTTENS LÄN</t>
        </is>
      </c>
      <c r="E200" t="inlineStr">
        <is>
          <t>SKELLEFTEÅ</t>
        </is>
      </c>
      <c r="F200" t="inlineStr">
        <is>
          <t>Holmen skog AB</t>
        </is>
      </c>
      <c r="G200" t="n">
        <v>3.5</v>
      </c>
      <c r="H200" t="n">
        <v>0</v>
      </c>
      <c r="I200" t="n">
        <v>1</v>
      </c>
      <c r="J200" t="n">
        <v>0</v>
      </c>
      <c r="K200" t="n">
        <v>0</v>
      </c>
      <c r="L200" t="n">
        <v>0</v>
      </c>
      <c r="M200" t="n">
        <v>0</v>
      </c>
      <c r="N200" t="n">
        <v>0</v>
      </c>
      <c r="O200" t="n">
        <v>0</v>
      </c>
      <c r="P200" t="n">
        <v>0</v>
      </c>
      <c r="Q200" t="n">
        <v>1</v>
      </c>
      <c r="R200" s="2" t="inlineStr">
        <is>
          <t>Vedticka</t>
        </is>
      </c>
      <c r="S200">
        <f>HYPERLINK("https://klasma.github.io/Logging_2482/artfynd/A 35625-2021 artfynd.xlsx", "A 35625-2021")</f>
        <v/>
      </c>
      <c r="T200">
        <f>HYPERLINK("https://klasma.github.io/Logging_2482/kartor/A 35625-2021 karta.png", "A 35625-2021")</f>
        <v/>
      </c>
      <c r="V200">
        <f>HYPERLINK("https://klasma.github.io/Logging_2482/klagomål/A 35625-2021 FSC-klagomål.docx", "A 35625-2021")</f>
        <v/>
      </c>
      <c r="W200">
        <f>HYPERLINK("https://klasma.github.io/Logging_2482/klagomålsmail/A 35625-2021 FSC-klagomål mail.docx", "A 35625-2021")</f>
        <v/>
      </c>
      <c r="X200">
        <f>HYPERLINK("https://klasma.github.io/Logging_2482/tillsyn/A 35625-2021 tillsynsbegäran.docx", "A 35625-2021")</f>
        <v/>
      </c>
      <c r="Y200">
        <f>HYPERLINK("https://klasma.github.io/Logging_2482/tillsynsmail/A 35625-2021 tillsynsbegäran mail.docx", "A 35625-2021")</f>
        <v/>
      </c>
    </row>
    <row r="201" ht="15" customHeight="1">
      <c r="A201" t="inlineStr">
        <is>
          <t>A 39946-2021</t>
        </is>
      </c>
      <c r="B201" s="1" t="n">
        <v>44417</v>
      </c>
      <c r="C201" s="1" t="n">
        <v>45792</v>
      </c>
      <c r="D201" t="inlineStr">
        <is>
          <t>VÄSTERBOTTENS LÄN</t>
        </is>
      </c>
      <c r="E201" t="inlineStr">
        <is>
          <t>SKELLEFTEÅ</t>
        </is>
      </c>
      <c r="F201" t="inlineStr">
        <is>
          <t>SCA</t>
        </is>
      </c>
      <c r="G201" t="n">
        <v>3.4</v>
      </c>
      <c r="H201" t="n">
        <v>1</v>
      </c>
      <c r="I201" t="n">
        <v>0</v>
      </c>
      <c r="J201" t="n">
        <v>0</v>
      </c>
      <c r="K201" t="n">
        <v>0</v>
      </c>
      <c r="L201" t="n">
        <v>0</v>
      </c>
      <c r="M201" t="n">
        <v>0</v>
      </c>
      <c r="N201" t="n">
        <v>0</v>
      </c>
      <c r="O201" t="n">
        <v>0</v>
      </c>
      <c r="P201" t="n">
        <v>0</v>
      </c>
      <c r="Q201" t="n">
        <v>1</v>
      </c>
      <c r="R201" s="2" t="inlineStr">
        <is>
          <t>Fläcknycklar</t>
        </is>
      </c>
      <c r="S201">
        <f>HYPERLINK("https://klasma.github.io/Logging_2482/artfynd/A 39946-2021 artfynd.xlsx", "A 39946-2021")</f>
        <v/>
      </c>
      <c r="T201">
        <f>HYPERLINK("https://klasma.github.io/Logging_2482/kartor/A 39946-2021 karta.png", "A 39946-2021")</f>
        <v/>
      </c>
      <c r="V201">
        <f>HYPERLINK("https://klasma.github.io/Logging_2482/klagomål/A 39946-2021 FSC-klagomål.docx", "A 39946-2021")</f>
        <v/>
      </c>
      <c r="W201">
        <f>HYPERLINK("https://klasma.github.io/Logging_2482/klagomålsmail/A 39946-2021 FSC-klagomål mail.docx", "A 39946-2021")</f>
        <v/>
      </c>
      <c r="X201">
        <f>HYPERLINK("https://klasma.github.io/Logging_2482/tillsyn/A 39946-2021 tillsynsbegäran.docx", "A 39946-2021")</f>
        <v/>
      </c>
      <c r="Y201">
        <f>HYPERLINK("https://klasma.github.io/Logging_2482/tillsynsmail/A 39946-2021 tillsynsbegäran mail.docx", "A 39946-2021")</f>
        <v/>
      </c>
    </row>
    <row r="202" ht="15" customHeight="1">
      <c r="A202" t="inlineStr">
        <is>
          <t>A 58766-2021</t>
        </is>
      </c>
      <c r="B202" s="1" t="n">
        <v>44489</v>
      </c>
      <c r="C202" s="1" t="n">
        <v>45792</v>
      </c>
      <c r="D202" t="inlineStr">
        <is>
          <t>VÄSTERBOTTENS LÄN</t>
        </is>
      </c>
      <c r="E202" t="inlineStr">
        <is>
          <t>SKELLEFTEÅ</t>
        </is>
      </c>
      <c r="G202" t="n">
        <v>5.5</v>
      </c>
      <c r="H202" t="n">
        <v>0</v>
      </c>
      <c r="I202" t="n">
        <v>0</v>
      </c>
      <c r="J202" t="n">
        <v>1</v>
      </c>
      <c r="K202" t="n">
        <v>0</v>
      </c>
      <c r="L202" t="n">
        <v>0</v>
      </c>
      <c r="M202" t="n">
        <v>0</v>
      </c>
      <c r="N202" t="n">
        <v>0</v>
      </c>
      <c r="O202" t="n">
        <v>1</v>
      </c>
      <c r="P202" t="n">
        <v>0</v>
      </c>
      <c r="Q202" t="n">
        <v>1</v>
      </c>
      <c r="R202" s="2" t="inlineStr">
        <is>
          <t>Stjärntagging</t>
        </is>
      </c>
      <c r="S202">
        <f>HYPERLINK("https://klasma.github.io/Logging_2482/artfynd/A 58766-2021 artfynd.xlsx", "A 58766-2021")</f>
        <v/>
      </c>
      <c r="T202">
        <f>HYPERLINK("https://klasma.github.io/Logging_2482/kartor/A 58766-2021 karta.png", "A 58766-2021")</f>
        <v/>
      </c>
      <c r="V202">
        <f>HYPERLINK("https://klasma.github.io/Logging_2482/klagomål/A 58766-2021 FSC-klagomål.docx", "A 58766-2021")</f>
        <v/>
      </c>
      <c r="W202">
        <f>HYPERLINK("https://klasma.github.io/Logging_2482/klagomålsmail/A 58766-2021 FSC-klagomål mail.docx", "A 58766-2021")</f>
        <v/>
      </c>
      <c r="X202">
        <f>HYPERLINK("https://klasma.github.io/Logging_2482/tillsyn/A 58766-2021 tillsynsbegäran.docx", "A 58766-2021")</f>
        <v/>
      </c>
      <c r="Y202">
        <f>HYPERLINK("https://klasma.github.io/Logging_2482/tillsynsmail/A 58766-2021 tillsynsbegäran mail.docx", "A 58766-2021")</f>
        <v/>
      </c>
    </row>
    <row r="203" ht="15" customHeight="1">
      <c r="A203" t="inlineStr">
        <is>
          <t>A 61658-2021</t>
        </is>
      </c>
      <c r="B203" s="1" t="n">
        <v>44501</v>
      </c>
      <c r="C203" s="1" t="n">
        <v>45792</v>
      </c>
      <c r="D203" t="inlineStr">
        <is>
          <t>VÄSTERBOTTENS LÄN</t>
        </is>
      </c>
      <c r="E203" t="inlineStr">
        <is>
          <t>SKELLEFTEÅ</t>
        </is>
      </c>
      <c r="F203" t="inlineStr">
        <is>
          <t>Sveaskog</t>
        </is>
      </c>
      <c r="G203" t="n">
        <v>16.3</v>
      </c>
      <c r="H203" t="n">
        <v>1</v>
      </c>
      <c r="I203" t="n">
        <v>0</v>
      </c>
      <c r="J203" t="n">
        <v>0</v>
      </c>
      <c r="K203" t="n">
        <v>0</v>
      </c>
      <c r="L203" t="n">
        <v>0</v>
      </c>
      <c r="M203" t="n">
        <v>0</v>
      </c>
      <c r="N203" t="n">
        <v>0</v>
      </c>
      <c r="O203" t="n">
        <v>0</v>
      </c>
      <c r="P203" t="n">
        <v>0</v>
      </c>
      <c r="Q203" t="n">
        <v>1</v>
      </c>
      <c r="R203" s="2" t="inlineStr">
        <is>
          <t>Revlummer</t>
        </is>
      </c>
      <c r="S203">
        <f>HYPERLINK("https://klasma.github.io/Logging_2482/artfynd/A 61658-2021 artfynd.xlsx", "A 61658-2021")</f>
        <v/>
      </c>
      <c r="T203">
        <f>HYPERLINK("https://klasma.github.io/Logging_2482/kartor/A 61658-2021 karta.png", "A 61658-2021")</f>
        <v/>
      </c>
      <c r="V203">
        <f>HYPERLINK("https://klasma.github.io/Logging_2482/klagomål/A 61658-2021 FSC-klagomål.docx", "A 61658-2021")</f>
        <v/>
      </c>
      <c r="W203">
        <f>HYPERLINK("https://klasma.github.io/Logging_2482/klagomålsmail/A 61658-2021 FSC-klagomål mail.docx", "A 61658-2021")</f>
        <v/>
      </c>
      <c r="X203">
        <f>HYPERLINK("https://klasma.github.io/Logging_2482/tillsyn/A 61658-2021 tillsynsbegäran.docx", "A 61658-2021")</f>
        <v/>
      </c>
      <c r="Y203">
        <f>HYPERLINK("https://klasma.github.io/Logging_2482/tillsynsmail/A 61658-2021 tillsynsbegäran mail.docx", "A 61658-2021")</f>
        <v/>
      </c>
    </row>
    <row r="204" ht="15" customHeight="1">
      <c r="A204" t="inlineStr">
        <is>
          <t>A 62436-2021</t>
        </is>
      </c>
      <c r="B204" s="1" t="n">
        <v>44503</v>
      </c>
      <c r="C204" s="1" t="n">
        <v>45792</v>
      </c>
      <c r="D204" t="inlineStr">
        <is>
          <t>VÄSTERBOTTENS LÄN</t>
        </is>
      </c>
      <c r="E204" t="inlineStr">
        <is>
          <t>SKELLEFTEÅ</t>
        </is>
      </c>
      <c r="F204" t="inlineStr">
        <is>
          <t>Holmen skog AB</t>
        </is>
      </c>
      <c r="G204" t="n">
        <v>19.5</v>
      </c>
      <c r="H204" t="n">
        <v>0</v>
      </c>
      <c r="I204" t="n">
        <v>0</v>
      </c>
      <c r="J204" t="n">
        <v>1</v>
      </c>
      <c r="K204" t="n">
        <v>0</v>
      </c>
      <c r="L204" t="n">
        <v>0</v>
      </c>
      <c r="M204" t="n">
        <v>0</v>
      </c>
      <c r="N204" t="n">
        <v>0</v>
      </c>
      <c r="O204" t="n">
        <v>1</v>
      </c>
      <c r="P204" t="n">
        <v>0</v>
      </c>
      <c r="Q204" t="n">
        <v>1</v>
      </c>
      <c r="R204" s="2" t="inlineStr">
        <is>
          <t>Lunglav</t>
        </is>
      </c>
      <c r="S204">
        <f>HYPERLINK("https://klasma.github.io/Logging_2482/artfynd/A 62436-2021 artfynd.xlsx", "A 62436-2021")</f>
        <v/>
      </c>
      <c r="T204">
        <f>HYPERLINK("https://klasma.github.io/Logging_2482/kartor/A 62436-2021 karta.png", "A 62436-2021")</f>
        <v/>
      </c>
      <c r="V204">
        <f>HYPERLINK("https://klasma.github.io/Logging_2482/klagomål/A 62436-2021 FSC-klagomål.docx", "A 62436-2021")</f>
        <v/>
      </c>
      <c r="W204">
        <f>HYPERLINK("https://klasma.github.io/Logging_2482/klagomålsmail/A 62436-2021 FSC-klagomål mail.docx", "A 62436-2021")</f>
        <v/>
      </c>
      <c r="X204">
        <f>HYPERLINK("https://klasma.github.io/Logging_2482/tillsyn/A 62436-2021 tillsynsbegäran.docx", "A 62436-2021")</f>
        <v/>
      </c>
      <c r="Y204">
        <f>HYPERLINK("https://klasma.github.io/Logging_2482/tillsynsmail/A 62436-2021 tillsynsbegäran mail.docx", "A 62436-2021")</f>
        <v/>
      </c>
    </row>
    <row r="205" ht="15" customHeight="1">
      <c r="A205" t="inlineStr">
        <is>
          <t>A 72939-2021</t>
        </is>
      </c>
      <c r="B205" s="1" t="n">
        <v>44547</v>
      </c>
      <c r="C205" s="1" t="n">
        <v>45792</v>
      </c>
      <c r="D205" t="inlineStr">
        <is>
          <t>VÄSTERBOTTENS LÄN</t>
        </is>
      </c>
      <c r="E205" t="inlineStr">
        <is>
          <t>SKELLEFTEÅ</t>
        </is>
      </c>
      <c r="G205" t="n">
        <v>14.8</v>
      </c>
      <c r="H205" t="n">
        <v>0</v>
      </c>
      <c r="I205" t="n">
        <v>1</v>
      </c>
      <c r="J205" t="n">
        <v>0</v>
      </c>
      <c r="K205" t="n">
        <v>0</v>
      </c>
      <c r="L205" t="n">
        <v>0</v>
      </c>
      <c r="M205" t="n">
        <v>0</v>
      </c>
      <c r="N205" t="n">
        <v>0</v>
      </c>
      <c r="O205" t="n">
        <v>0</v>
      </c>
      <c r="P205" t="n">
        <v>0</v>
      </c>
      <c r="Q205" t="n">
        <v>1</v>
      </c>
      <c r="R205" s="2" t="inlineStr">
        <is>
          <t>Dropptaggsvamp</t>
        </is>
      </c>
      <c r="S205">
        <f>HYPERLINK("https://klasma.github.io/Logging_2482/artfynd/A 72939-2021 artfynd.xlsx", "A 72939-2021")</f>
        <v/>
      </c>
      <c r="T205">
        <f>HYPERLINK("https://klasma.github.io/Logging_2482/kartor/A 72939-2021 karta.png", "A 72939-2021")</f>
        <v/>
      </c>
      <c r="V205">
        <f>HYPERLINK("https://klasma.github.io/Logging_2482/klagomål/A 72939-2021 FSC-klagomål.docx", "A 72939-2021")</f>
        <v/>
      </c>
      <c r="W205">
        <f>HYPERLINK("https://klasma.github.io/Logging_2482/klagomålsmail/A 72939-2021 FSC-klagomål mail.docx", "A 72939-2021")</f>
        <v/>
      </c>
      <c r="X205">
        <f>HYPERLINK("https://klasma.github.io/Logging_2482/tillsyn/A 72939-2021 tillsynsbegäran.docx", "A 72939-2021")</f>
        <v/>
      </c>
      <c r="Y205">
        <f>HYPERLINK("https://klasma.github.io/Logging_2482/tillsynsmail/A 72939-2021 tillsynsbegäran mail.docx", "A 72939-2021")</f>
        <v/>
      </c>
    </row>
    <row r="206" ht="15" customHeight="1">
      <c r="A206" t="inlineStr">
        <is>
          <t>A 12963-2022</t>
        </is>
      </c>
      <c r="B206" s="1" t="n">
        <v>44642</v>
      </c>
      <c r="C206" s="1" t="n">
        <v>45792</v>
      </c>
      <c r="D206" t="inlineStr">
        <is>
          <t>VÄSTERBOTTENS LÄN</t>
        </is>
      </c>
      <c r="E206" t="inlineStr">
        <is>
          <t>SKELLEFTEÅ</t>
        </is>
      </c>
      <c r="G206" t="n">
        <v>4.3</v>
      </c>
      <c r="H206" t="n">
        <v>1</v>
      </c>
      <c r="I206" t="n">
        <v>0</v>
      </c>
      <c r="J206" t="n">
        <v>1</v>
      </c>
      <c r="K206" t="n">
        <v>0</v>
      </c>
      <c r="L206" t="n">
        <v>0</v>
      </c>
      <c r="M206" t="n">
        <v>0</v>
      </c>
      <c r="N206" t="n">
        <v>0</v>
      </c>
      <c r="O206" t="n">
        <v>1</v>
      </c>
      <c r="P206" t="n">
        <v>0</v>
      </c>
      <c r="Q206" t="n">
        <v>1</v>
      </c>
      <c r="R206" s="2" t="inlineStr">
        <is>
          <t>Duvhök</t>
        </is>
      </c>
      <c r="S206">
        <f>HYPERLINK("https://klasma.github.io/Logging_2482/artfynd/A 12963-2022 artfynd.xlsx", "A 12963-2022")</f>
        <v/>
      </c>
      <c r="T206">
        <f>HYPERLINK("https://klasma.github.io/Logging_2482/kartor/A 12963-2022 karta.png", "A 12963-2022")</f>
        <v/>
      </c>
      <c r="V206">
        <f>HYPERLINK("https://klasma.github.io/Logging_2482/klagomål/A 12963-2022 FSC-klagomål.docx", "A 12963-2022")</f>
        <v/>
      </c>
      <c r="W206">
        <f>HYPERLINK("https://klasma.github.io/Logging_2482/klagomålsmail/A 12963-2022 FSC-klagomål mail.docx", "A 12963-2022")</f>
        <v/>
      </c>
      <c r="X206">
        <f>HYPERLINK("https://klasma.github.io/Logging_2482/tillsyn/A 12963-2022 tillsynsbegäran.docx", "A 12963-2022")</f>
        <v/>
      </c>
      <c r="Y206">
        <f>HYPERLINK("https://klasma.github.io/Logging_2482/tillsynsmail/A 12963-2022 tillsynsbegäran mail.docx", "A 12963-2022")</f>
        <v/>
      </c>
      <c r="Z206">
        <f>HYPERLINK("https://klasma.github.io/Logging_2482/fåglar/A 12963-2022 prioriterade fågelarter.docx", "A 12963-2022")</f>
        <v/>
      </c>
    </row>
    <row r="207" ht="15" customHeight="1">
      <c r="A207" t="inlineStr">
        <is>
          <t>A 14277-2022</t>
        </is>
      </c>
      <c r="B207" s="1" t="n">
        <v>44651</v>
      </c>
      <c r="C207" s="1" t="n">
        <v>45792</v>
      </c>
      <c r="D207" t="inlineStr">
        <is>
          <t>VÄSTERBOTTENS LÄN</t>
        </is>
      </c>
      <c r="E207" t="inlineStr">
        <is>
          <t>SKELLEFTEÅ</t>
        </is>
      </c>
      <c r="G207" t="n">
        <v>7.4</v>
      </c>
      <c r="H207" t="n">
        <v>1</v>
      </c>
      <c r="I207" t="n">
        <v>0</v>
      </c>
      <c r="J207" t="n">
        <v>0</v>
      </c>
      <c r="K207" t="n">
        <v>0</v>
      </c>
      <c r="L207" t="n">
        <v>0</v>
      </c>
      <c r="M207" t="n">
        <v>0</v>
      </c>
      <c r="N207" t="n">
        <v>0</v>
      </c>
      <c r="O207" t="n">
        <v>0</v>
      </c>
      <c r="P207" t="n">
        <v>0</v>
      </c>
      <c r="Q207" t="n">
        <v>1</v>
      </c>
      <c r="R207" s="2" t="inlineStr">
        <is>
          <t>Fläcknycklar</t>
        </is>
      </c>
      <c r="S207">
        <f>HYPERLINK("https://klasma.github.io/Logging_2482/artfynd/A 14277-2022 artfynd.xlsx", "A 14277-2022")</f>
        <v/>
      </c>
      <c r="T207">
        <f>HYPERLINK("https://klasma.github.io/Logging_2482/kartor/A 14277-2022 karta.png", "A 14277-2022")</f>
        <v/>
      </c>
      <c r="V207">
        <f>HYPERLINK("https://klasma.github.io/Logging_2482/klagomål/A 14277-2022 FSC-klagomål.docx", "A 14277-2022")</f>
        <v/>
      </c>
      <c r="W207">
        <f>HYPERLINK("https://klasma.github.io/Logging_2482/klagomålsmail/A 14277-2022 FSC-klagomål mail.docx", "A 14277-2022")</f>
        <v/>
      </c>
      <c r="X207">
        <f>HYPERLINK("https://klasma.github.io/Logging_2482/tillsyn/A 14277-2022 tillsynsbegäran.docx", "A 14277-2022")</f>
        <v/>
      </c>
      <c r="Y207">
        <f>HYPERLINK("https://klasma.github.io/Logging_2482/tillsynsmail/A 14277-2022 tillsynsbegäran mail.docx", "A 14277-2022")</f>
        <v/>
      </c>
    </row>
    <row r="208" ht="15" customHeight="1">
      <c r="A208" t="inlineStr">
        <is>
          <t>A 17336-2022</t>
        </is>
      </c>
      <c r="B208" s="1" t="n">
        <v>44678</v>
      </c>
      <c r="C208" s="1" t="n">
        <v>45792</v>
      </c>
      <c r="D208" t="inlineStr">
        <is>
          <t>VÄSTERBOTTENS LÄN</t>
        </is>
      </c>
      <c r="E208" t="inlineStr">
        <is>
          <t>SKELLEFTEÅ</t>
        </is>
      </c>
      <c r="G208" t="n">
        <v>0.5</v>
      </c>
      <c r="H208" t="n">
        <v>0</v>
      </c>
      <c r="I208" t="n">
        <v>0</v>
      </c>
      <c r="J208" t="n">
        <v>1</v>
      </c>
      <c r="K208" t="n">
        <v>0</v>
      </c>
      <c r="L208" t="n">
        <v>0</v>
      </c>
      <c r="M208" t="n">
        <v>0</v>
      </c>
      <c r="N208" t="n">
        <v>0</v>
      </c>
      <c r="O208" t="n">
        <v>1</v>
      </c>
      <c r="P208" t="n">
        <v>0</v>
      </c>
      <c r="Q208" t="n">
        <v>1</v>
      </c>
      <c r="R208" s="2" t="inlineStr">
        <is>
          <t>Doftskinn</t>
        </is>
      </c>
      <c r="S208">
        <f>HYPERLINK("https://klasma.github.io/Logging_2482/artfynd/A 17336-2022 artfynd.xlsx", "A 17336-2022")</f>
        <v/>
      </c>
      <c r="T208">
        <f>HYPERLINK("https://klasma.github.io/Logging_2482/kartor/A 17336-2022 karta.png", "A 17336-2022")</f>
        <v/>
      </c>
      <c r="V208">
        <f>HYPERLINK("https://klasma.github.io/Logging_2482/klagomål/A 17336-2022 FSC-klagomål.docx", "A 17336-2022")</f>
        <v/>
      </c>
      <c r="W208">
        <f>HYPERLINK("https://klasma.github.io/Logging_2482/klagomålsmail/A 17336-2022 FSC-klagomål mail.docx", "A 17336-2022")</f>
        <v/>
      </c>
      <c r="X208">
        <f>HYPERLINK("https://klasma.github.io/Logging_2482/tillsyn/A 17336-2022 tillsynsbegäran.docx", "A 17336-2022")</f>
        <v/>
      </c>
      <c r="Y208">
        <f>HYPERLINK("https://klasma.github.io/Logging_2482/tillsynsmail/A 17336-2022 tillsynsbegäran mail.docx", "A 17336-2022")</f>
        <v/>
      </c>
    </row>
    <row r="209" ht="15" customHeight="1">
      <c r="A209" t="inlineStr">
        <is>
          <t>A 24885-2022</t>
        </is>
      </c>
      <c r="B209" s="1" t="n">
        <v>44728</v>
      </c>
      <c r="C209" s="1" t="n">
        <v>45792</v>
      </c>
      <c r="D209" t="inlineStr">
        <is>
          <t>VÄSTERBOTTENS LÄN</t>
        </is>
      </c>
      <c r="E209" t="inlineStr">
        <is>
          <t>SKELLEFTEÅ</t>
        </is>
      </c>
      <c r="F209" t="inlineStr">
        <is>
          <t>Holmen skog AB</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HYPERLINK("https://klasma.github.io/Logging_2482/artfynd/A 24885-2022 artfynd.xlsx", "A 24885-2022")</f>
        <v/>
      </c>
      <c r="T209">
        <f>HYPERLINK("https://klasma.github.io/Logging_2482/kartor/A 24885-2022 karta.png", "A 24885-2022")</f>
        <v/>
      </c>
      <c r="V209">
        <f>HYPERLINK("https://klasma.github.io/Logging_2482/klagomål/A 24885-2022 FSC-klagomål.docx", "A 24885-2022")</f>
        <v/>
      </c>
      <c r="W209">
        <f>HYPERLINK("https://klasma.github.io/Logging_2482/klagomålsmail/A 24885-2022 FSC-klagomål mail.docx", "A 24885-2022")</f>
        <v/>
      </c>
      <c r="X209">
        <f>HYPERLINK("https://klasma.github.io/Logging_2482/tillsyn/A 24885-2022 tillsynsbegäran.docx", "A 24885-2022")</f>
        <v/>
      </c>
      <c r="Y209">
        <f>HYPERLINK("https://klasma.github.io/Logging_2482/tillsynsmail/A 24885-2022 tillsynsbegäran mail.docx", "A 24885-2022")</f>
        <v/>
      </c>
    </row>
    <row r="210" ht="15" customHeight="1">
      <c r="A210" t="inlineStr">
        <is>
          <t>A 36531-2022</t>
        </is>
      </c>
      <c r="B210" s="1" t="n">
        <v>44804</v>
      </c>
      <c r="C210" s="1" t="n">
        <v>45792</v>
      </c>
      <c r="D210" t="inlineStr">
        <is>
          <t>VÄSTERBOTTENS LÄN</t>
        </is>
      </c>
      <c r="E210" t="inlineStr">
        <is>
          <t>SKELLEFTEÅ</t>
        </is>
      </c>
      <c r="F210" t="inlineStr">
        <is>
          <t>Kommuner</t>
        </is>
      </c>
      <c r="G210" t="n">
        <v>3.1</v>
      </c>
      <c r="H210" t="n">
        <v>0</v>
      </c>
      <c r="I210" t="n">
        <v>1</v>
      </c>
      <c r="J210" t="n">
        <v>0</v>
      </c>
      <c r="K210" t="n">
        <v>0</v>
      </c>
      <c r="L210" t="n">
        <v>0</v>
      </c>
      <c r="M210" t="n">
        <v>0</v>
      </c>
      <c r="N210" t="n">
        <v>0</v>
      </c>
      <c r="O210" t="n">
        <v>0</v>
      </c>
      <c r="P210" t="n">
        <v>0</v>
      </c>
      <c r="Q210" t="n">
        <v>1</v>
      </c>
      <c r="R210" s="2" t="inlineStr">
        <is>
          <t>Dropptaggsvamp</t>
        </is>
      </c>
      <c r="S210">
        <f>HYPERLINK("https://klasma.github.io/Logging_2482/artfynd/A 36531-2022 artfynd.xlsx", "A 36531-2022")</f>
        <v/>
      </c>
      <c r="T210">
        <f>HYPERLINK("https://klasma.github.io/Logging_2482/kartor/A 36531-2022 karta.png", "A 36531-2022")</f>
        <v/>
      </c>
      <c r="V210">
        <f>HYPERLINK("https://klasma.github.io/Logging_2482/klagomål/A 36531-2022 FSC-klagomål.docx", "A 36531-2022")</f>
        <v/>
      </c>
      <c r="W210">
        <f>HYPERLINK("https://klasma.github.io/Logging_2482/klagomålsmail/A 36531-2022 FSC-klagomål mail.docx", "A 36531-2022")</f>
        <v/>
      </c>
      <c r="X210">
        <f>HYPERLINK("https://klasma.github.io/Logging_2482/tillsyn/A 36531-2022 tillsynsbegäran.docx", "A 36531-2022")</f>
        <v/>
      </c>
      <c r="Y210">
        <f>HYPERLINK("https://klasma.github.io/Logging_2482/tillsynsmail/A 36531-2022 tillsynsbegäran mail.docx", "A 36531-2022")</f>
        <v/>
      </c>
    </row>
    <row r="211" ht="15" customHeight="1">
      <c r="A211" t="inlineStr">
        <is>
          <t>A 42674-2022</t>
        </is>
      </c>
      <c r="B211" s="1" t="n">
        <v>44831</v>
      </c>
      <c r="C211" s="1" t="n">
        <v>45792</v>
      </c>
      <c r="D211" t="inlineStr">
        <is>
          <t>VÄSTERBOTTENS LÄN</t>
        </is>
      </c>
      <c r="E211" t="inlineStr">
        <is>
          <t>SKELLEFTEÅ</t>
        </is>
      </c>
      <c r="G211" t="n">
        <v>4.4</v>
      </c>
      <c r="H211" t="n">
        <v>0</v>
      </c>
      <c r="I211" t="n">
        <v>0</v>
      </c>
      <c r="J211" t="n">
        <v>1</v>
      </c>
      <c r="K211" t="n">
        <v>0</v>
      </c>
      <c r="L211" t="n">
        <v>0</v>
      </c>
      <c r="M211" t="n">
        <v>0</v>
      </c>
      <c r="N211" t="n">
        <v>0</v>
      </c>
      <c r="O211" t="n">
        <v>1</v>
      </c>
      <c r="P211" t="n">
        <v>0</v>
      </c>
      <c r="Q211" t="n">
        <v>1</v>
      </c>
      <c r="R211" s="2" t="inlineStr">
        <is>
          <t>Granticka</t>
        </is>
      </c>
      <c r="S211">
        <f>HYPERLINK("https://klasma.github.io/Logging_2482/artfynd/A 42674-2022 artfynd.xlsx", "A 42674-2022")</f>
        <v/>
      </c>
      <c r="T211">
        <f>HYPERLINK("https://klasma.github.io/Logging_2482/kartor/A 42674-2022 karta.png", "A 42674-2022")</f>
        <v/>
      </c>
      <c r="V211">
        <f>HYPERLINK("https://klasma.github.io/Logging_2482/klagomål/A 42674-2022 FSC-klagomål.docx", "A 42674-2022")</f>
        <v/>
      </c>
      <c r="W211">
        <f>HYPERLINK("https://klasma.github.io/Logging_2482/klagomålsmail/A 42674-2022 FSC-klagomål mail.docx", "A 42674-2022")</f>
        <v/>
      </c>
      <c r="X211">
        <f>HYPERLINK("https://klasma.github.io/Logging_2482/tillsyn/A 42674-2022 tillsynsbegäran.docx", "A 42674-2022")</f>
        <v/>
      </c>
      <c r="Y211">
        <f>HYPERLINK("https://klasma.github.io/Logging_2482/tillsynsmail/A 42674-2022 tillsynsbegäran mail.docx", "A 42674-2022")</f>
        <v/>
      </c>
    </row>
    <row r="212" ht="15" customHeight="1">
      <c r="A212" t="inlineStr">
        <is>
          <t>A 47963-2022</t>
        </is>
      </c>
      <c r="B212" s="1" t="n">
        <v>44855</v>
      </c>
      <c r="C212" s="1" t="n">
        <v>45792</v>
      </c>
      <c r="D212" t="inlineStr">
        <is>
          <t>VÄSTERBOTTENS LÄN</t>
        </is>
      </c>
      <c r="E212" t="inlineStr">
        <is>
          <t>SKELLEFTEÅ</t>
        </is>
      </c>
      <c r="F212" t="inlineStr">
        <is>
          <t>Holmen skog AB</t>
        </is>
      </c>
      <c r="G212" t="n">
        <v>18.7</v>
      </c>
      <c r="H212" t="n">
        <v>0</v>
      </c>
      <c r="I212" t="n">
        <v>1</v>
      </c>
      <c r="J212" t="n">
        <v>0</v>
      </c>
      <c r="K212" t="n">
        <v>0</v>
      </c>
      <c r="L212" t="n">
        <v>0</v>
      </c>
      <c r="M212" t="n">
        <v>0</v>
      </c>
      <c r="N212" t="n">
        <v>0</v>
      </c>
      <c r="O212" t="n">
        <v>0</v>
      </c>
      <c r="P212" t="n">
        <v>0</v>
      </c>
      <c r="Q212" t="n">
        <v>1</v>
      </c>
      <c r="R212" s="2" t="inlineStr">
        <is>
          <t>Skinnlav</t>
        </is>
      </c>
      <c r="S212">
        <f>HYPERLINK("https://klasma.github.io/Logging_2482/artfynd/A 47963-2022 artfynd.xlsx", "A 47963-2022")</f>
        <v/>
      </c>
      <c r="T212">
        <f>HYPERLINK("https://klasma.github.io/Logging_2482/kartor/A 47963-2022 karta.png", "A 47963-2022")</f>
        <v/>
      </c>
      <c r="V212">
        <f>HYPERLINK("https://klasma.github.io/Logging_2482/klagomål/A 47963-2022 FSC-klagomål.docx", "A 47963-2022")</f>
        <v/>
      </c>
      <c r="W212">
        <f>HYPERLINK("https://klasma.github.io/Logging_2482/klagomålsmail/A 47963-2022 FSC-klagomål mail.docx", "A 47963-2022")</f>
        <v/>
      </c>
      <c r="X212">
        <f>HYPERLINK("https://klasma.github.io/Logging_2482/tillsyn/A 47963-2022 tillsynsbegäran.docx", "A 47963-2022")</f>
        <v/>
      </c>
      <c r="Y212">
        <f>HYPERLINK("https://klasma.github.io/Logging_2482/tillsynsmail/A 47963-2022 tillsynsbegäran mail.docx", "A 47963-2022")</f>
        <v/>
      </c>
    </row>
    <row r="213" ht="15" customHeight="1">
      <c r="A213" t="inlineStr">
        <is>
          <t>A 49588-2022</t>
        </is>
      </c>
      <c r="B213" s="1" t="n">
        <v>44862</v>
      </c>
      <c r="C213" s="1" t="n">
        <v>45792</v>
      </c>
      <c r="D213" t="inlineStr">
        <is>
          <t>VÄSTERBOTTENS LÄN</t>
        </is>
      </c>
      <c r="E213" t="inlineStr">
        <is>
          <t>SKELLEFTEÅ</t>
        </is>
      </c>
      <c r="F213" t="inlineStr">
        <is>
          <t>Holmen skog AB</t>
        </is>
      </c>
      <c r="G213" t="n">
        <v>6.1</v>
      </c>
      <c r="H213" t="n">
        <v>0</v>
      </c>
      <c r="I213" t="n">
        <v>0</v>
      </c>
      <c r="J213" t="n">
        <v>1</v>
      </c>
      <c r="K213" t="n">
        <v>0</v>
      </c>
      <c r="L213" t="n">
        <v>0</v>
      </c>
      <c r="M213" t="n">
        <v>0</v>
      </c>
      <c r="N213" t="n">
        <v>0</v>
      </c>
      <c r="O213" t="n">
        <v>1</v>
      </c>
      <c r="P213" t="n">
        <v>0</v>
      </c>
      <c r="Q213" t="n">
        <v>1</v>
      </c>
      <c r="R213" s="2" t="inlineStr">
        <is>
          <t>Lunglav</t>
        </is>
      </c>
      <c r="S213">
        <f>HYPERLINK("https://klasma.github.io/Logging_2482/artfynd/A 49588-2022 artfynd.xlsx", "A 49588-2022")</f>
        <v/>
      </c>
      <c r="T213">
        <f>HYPERLINK("https://klasma.github.io/Logging_2482/kartor/A 49588-2022 karta.png", "A 49588-2022")</f>
        <v/>
      </c>
      <c r="V213">
        <f>HYPERLINK("https://klasma.github.io/Logging_2482/klagomål/A 49588-2022 FSC-klagomål.docx", "A 49588-2022")</f>
        <v/>
      </c>
      <c r="W213">
        <f>HYPERLINK("https://klasma.github.io/Logging_2482/klagomålsmail/A 49588-2022 FSC-klagomål mail.docx", "A 49588-2022")</f>
        <v/>
      </c>
      <c r="X213">
        <f>HYPERLINK("https://klasma.github.io/Logging_2482/tillsyn/A 49588-2022 tillsynsbegäran.docx", "A 49588-2022")</f>
        <v/>
      </c>
      <c r="Y213">
        <f>HYPERLINK("https://klasma.github.io/Logging_2482/tillsynsmail/A 49588-2022 tillsynsbegäran mail.docx", "A 49588-2022")</f>
        <v/>
      </c>
    </row>
    <row r="214" ht="15" customHeight="1">
      <c r="A214" t="inlineStr">
        <is>
          <t>A 49842-2022</t>
        </is>
      </c>
      <c r="B214" s="1" t="n">
        <v>44862</v>
      </c>
      <c r="C214" s="1" t="n">
        <v>45792</v>
      </c>
      <c r="D214" t="inlineStr">
        <is>
          <t>VÄSTERBOTTENS LÄN</t>
        </is>
      </c>
      <c r="E214" t="inlineStr">
        <is>
          <t>SKELLEFTEÅ</t>
        </is>
      </c>
      <c r="G214" t="n">
        <v>7</v>
      </c>
      <c r="H214" t="n">
        <v>0</v>
      </c>
      <c r="I214" t="n">
        <v>0</v>
      </c>
      <c r="J214" t="n">
        <v>1</v>
      </c>
      <c r="K214" t="n">
        <v>0</v>
      </c>
      <c r="L214" t="n">
        <v>0</v>
      </c>
      <c r="M214" t="n">
        <v>0</v>
      </c>
      <c r="N214" t="n">
        <v>0</v>
      </c>
      <c r="O214" t="n">
        <v>1</v>
      </c>
      <c r="P214" t="n">
        <v>0</v>
      </c>
      <c r="Q214" t="n">
        <v>1</v>
      </c>
      <c r="R214" s="2" t="inlineStr">
        <is>
          <t>Blå taggsvamp</t>
        </is>
      </c>
      <c r="S214">
        <f>HYPERLINK("https://klasma.github.io/Logging_2482/artfynd/A 49842-2022 artfynd.xlsx", "A 49842-2022")</f>
        <v/>
      </c>
      <c r="T214">
        <f>HYPERLINK("https://klasma.github.io/Logging_2482/kartor/A 49842-2022 karta.png", "A 49842-2022")</f>
        <v/>
      </c>
      <c r="V214">
        <f>HYPERLINK("https://klasma.github.io/Logging_2482/klagomål/A 49842-2022 FSC-klagomål.docx", "A 49842-2022")</f>
        <v/>
      </c>
      <c r="W214">
        <f>HYPERLINK("https://klasma.github.io/Logging_2482/klagomålsmail/A 49842-2022 FSC-klagomål mail.docx", "A 49842-2022")</f>
        <v/>
      </c>
      <c r="X214">
        <f>HYPERLINK("https://klasma.github.io/Logging_2482/tillsyn/A 49842-2022 tillsynsbegäran.docx", "A 49842-2022")</f>
        <v/>
      </c>
      <c r="Y214">
        <f>HYPERLINK("https://klasma.github.io/Logging_2482/tillsynsmail/A 49842-2022 tillsynsbegäran mail.docx", "A 49842-2022")</f>
        <v/>
      </c>
    </row>
    <row r="215" ht="15" customHeight="1">
      <c r="A215" t="inlineStr">
        <is>
          <t>A 53071-2022</t>
        </is>
      </c>
      <c r="B215" s="1" t="n">
        <v>44873</v>
      </c>
      <c r="C215" s="1" t="n">
        <v>45792</v>
      </c>
      <c r="D215" t="inlineStr">
        <is>
          <t>VÄSTERBOTTENS LÄN</t>
        </is>
      </c>
      <c r="E215" t="inlineStr">
        <is>
          <t>SKELLEFTEÅ</t>
        </is>
      </c>
      <c r="G215" t="n">
        <v>10.6</v>
      </c>
      <c r="H215" t="n">
        <v>0</v>
      </c>
      <c r="I215" t="n">
        <v>0</v>
      </c>
      <c r="J215" t="n">
        <v>1</v>
      </c>
      <c r="K215" t="n">
        <v>0</v>
      </c>
      <c r="L215" t="n">
        <v>0</v>
      </c>
      <c r="M215" t="n">
        <v>0</v>
      </c>
      <c r="N215" t="n">
        <v>0</v>
      </c>
      <c r="O215" t="n">
        <v>1</v>
      </c>
      <c r="P215" t="n">
        <v>0</v>
      </c>
      <c r="Q215" t="n">
        <v>1</v>
      </c>
      <c r="R215" s="2" t="inlineStr">
        <is>
          <t>Granticka</t>
        </is>
      </c>
      <c r="S215">
        <f>HYPERLINK("https://klasma.github.io/Logging_2482/artfynd/A 53071-2022 artfynd.xlsx", "A 53071-2022")</f>
        <v/>
      </c>
      <c r="T215">
        <f>HYPERLINK("https://klasma.github.io/Logging_2482/kartor/A 53071-2022 karta.png", "A 53071-2022")</f>
        <v/>
      </c>
      <c r="V215">
        <f>HYPERLINK("https://klasma.github.io/Logging_2482/klagomål/A 53071-2022 FSC-klagomål.docx", "A 53071-2022")</f>
        <v/>
      </c>
      <c r="W215">
        <f>HYPERLINK("https://klasma.github.io/Logging_2482/klagomålsmail/A 53071-2022 FSC-klagomål mail.docx", "A 53071-2022")</f>
        <v/>
      </c>
      <c r="X215">
        <f>HYPERLINK("https://klasma.github.io/Logging_2482/tillsyn/A 53071-2022 tillsynsbegäran.docx", "A 53071-2022")</f>
        <v/>
      </c>
      <c r="Y215">
        <f>HYPERLINK("https://klasma.github.io/Logging_2482/tillsynsmail/A 53071-2022 tillsynsbegäran mail.docx", "A 53071-2022")</f>
        <v/>
      </c>
    </row>
    <row r="216" ht="15" customHeight="1">
      <c r="A216" t="inlineStr">
        <is>
          <t>A 54058-2022</t>
        </is>
      </c>
      <c r="B216" s="1" t="n">
        <v>44881</v>
      </c>
      <c r="C216" s="1" t="n">
        <v>45792</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45792</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45792</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45792</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45792</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45792</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45792</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45792</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45792</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45792</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45792</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45792</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45792</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45792</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45792</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45792</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45792</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45792</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45792</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45792</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45792</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45792</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45792</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45792</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45792</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45792</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45792</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45792</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45792</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45792</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45792</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45792</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45792</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45792</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45792</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45792</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45792</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45792</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45792</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45792</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45792</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45792</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45792</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45792</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45792</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45792</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45792</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45792</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45792</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45792</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45792</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45792</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45792</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45792</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45792</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45792</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45792</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45792</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45792</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45792</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45792</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45792</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45792</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45792</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45792</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45792</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45792</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45792</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45792</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45792</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45792</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45792</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45792</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45792</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45792</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45792</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45792</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45792</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45792</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45792</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45792</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45792</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45792</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45792</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45792</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45792</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45792</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45792</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45792</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45792</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45792</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45792</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45792</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45792</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45792</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45792</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45792</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45792</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45792</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45792</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45792</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45792</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45792</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45792</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45792</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45792</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45792</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45792</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45792</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45792</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45792</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45792</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45792</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45792</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45792</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45792</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45792</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45792</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45792</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45792</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45792</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45792</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45792</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45792</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45792</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45792</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45792</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45792</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45792</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45792</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45792</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45792</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45792</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45792</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45792</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45792</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45792</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45792</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45792</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45792</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45792</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45792</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45792</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45792</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45792</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45792</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45792</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45792</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45792</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45792</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45792</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45792</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45792</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45792</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45792</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45792</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45792</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45792</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45792</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45792</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45792</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45792</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45792</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45792</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45792</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45792</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45792</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45792</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45792</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45792</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45792</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45792</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45792</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45792</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45792</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45792</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45792</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45792</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45792</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45792</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45792</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45792</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45792</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45792</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45792</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45792</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45792</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45792</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45792</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45792</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45792</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45792</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45792</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45792</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45792</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45792</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45792</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45792</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45792</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45792</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45792</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45792</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45792</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45792</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45792</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45792</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45792</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45792</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45792</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45792</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45792</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45792</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45792</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45792</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45792</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45792</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45792</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45792</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45792</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45792</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45792</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45792</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45792</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45792</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45792</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45792</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45792</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45792</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45792</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45792</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45792</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45792</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45792</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45792</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45792</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45792</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45792</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45792</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45792</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45792</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45792</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45792</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45792</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45792</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45792</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45792</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45792</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45792</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45792</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45792</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45792</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45792</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45792</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45792</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45792</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45792</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45792</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45792</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45792</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45792</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45792</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45792</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45792</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45792</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45792</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45792</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45792</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45792</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45792</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45792</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45792</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45792</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45792</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45792</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45792</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45792</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45792</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45792</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45792</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45792</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45792</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45792</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45792</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45792</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45792</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45792</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45792</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45792</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45792</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45792</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45792</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45792</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45792</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45792</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45792</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45792</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45792</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45792</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45792</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45792</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45792</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45792</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45792</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45792</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45792</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45792</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45792</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45792</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45792</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45792</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45792</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45792</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45792</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45792</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45792</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45792</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45792</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45792</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45792</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45792</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45792</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45792</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45792</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45792</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45792</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45792</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45792</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45792</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45792</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45792</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45792</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45792</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45792</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45792</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45792</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45792</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45792</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45792</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45792</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45792</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45792</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45792</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45792</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45792</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45792</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45792</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45792</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45792</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45792</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45792</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45792</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45792</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45792</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45792</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45792</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45792</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45792</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45792</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45792</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45792</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45792</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45792</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45792</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45792</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45792</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45792</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45792</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45792</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45792</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45792</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45792</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45792</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45792</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45792</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45792</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45792</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45792</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45792</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45792</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45792</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45792</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45792</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45792</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45792</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45792</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45792</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45792</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45792</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45792</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45792</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45792</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45792</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45792</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45792</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45792</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45792</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45792</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45792</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45792</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45792</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45792</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45792</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45792</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45792</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45792</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45792</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45792</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45792</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45792</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45792</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45792</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45792</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45792</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45792</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45792</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45792</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45792</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45792</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45792</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45792</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45792</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45792</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45792</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45792</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45792</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45792</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45792</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45792</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45792</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45792</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45792</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45792</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45792</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45792</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45792</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45792</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45792</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45792</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45792</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45792</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45792</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45792</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45792</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45792</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45792</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45792</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45792</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45792</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45792</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45792</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45792</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45792</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45792</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45792</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45792</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45792</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45792</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45792</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45792</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45792</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45792</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45792</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45792</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45792</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45792</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45792</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45792</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45792</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45792</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45792</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45792</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45792</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45792</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45792</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45792</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45792</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45792</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45792</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45792</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45792</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45792</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45792</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45792</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45792</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45792</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45792</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45792</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45792</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45792</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45792</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45792</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45792</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45792</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45792</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45792</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45792</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45792</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45792</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45792</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45792</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45792</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45792</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45792</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45792</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45792</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45792</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45792</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45792</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45792</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45792</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45792</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45792</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45792</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45792</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45792</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45792</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45792</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45792</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45792</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45792</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45792</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45792</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45792</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45792</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45792</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45792</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45792</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45792</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45792</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45792</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45792</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45792</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45792</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45792</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45792</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45792</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45792</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45792</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45792</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45792</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45792</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45792</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45792</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45792</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45792</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45792</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45792</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45792</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45792</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45792</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45792</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45792</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45792</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45792</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45792</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45792</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45792</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45792</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45792</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45792</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45792</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45792</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45792</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45792</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45792</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45792</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45792</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45792</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45792</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45792</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45792</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45792</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45792</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45792</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45792</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45792</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45792</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45792</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45792</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45792</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45792</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45792</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45792</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45792</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45792</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45792</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45792</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45792</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45792</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45792</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45792</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45792</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45792</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45792</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45792</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45792</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45792</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45792</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45792</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45792</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45792</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45792</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45792</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45792</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45792</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45792</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45792</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45792</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45792</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45792</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45792</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45792</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45792</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45792</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45792</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45792</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45792</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45792</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45792</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45792</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45792</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45792</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45792</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45792</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45792</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45792</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45792</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45792</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45792</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45792</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45792</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45792</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45792</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45792</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45792</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45792</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45792</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45792</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45792</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45792</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45792</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45792</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45792</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45792</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45792</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45792</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45792</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45792</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45792</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45792</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45792</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45792</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45792</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45792</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45792</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45792</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45792</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45792</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45792</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45792</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45792</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45792</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45792</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45792</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45792</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45792</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45792</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45792</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45792</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45792</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45792</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45792</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45792</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45792</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45792</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45792</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45792</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45792</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45792</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45792</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45792</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45792</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45792</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45792</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45792</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45792</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45792</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45792</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45792</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45792</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45792</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45792</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45792</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45792</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45792</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45792</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45792</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45792</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45792</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45792</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45792</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45792</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45792</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45792</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45792</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45792</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45792</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45792</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45792</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45792</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45792</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45792</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45792</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45792</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45792</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45792</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45792</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45792</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45792</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45792</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45792</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45792</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45792</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45792</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45792</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45792</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45792</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45792</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45792</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45792</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45792</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45792</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45792</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45792</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45792</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45792</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45792</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45792</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45792</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45792</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45792</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45792</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45792</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45792</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45792</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45792</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45792</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45792</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45792</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45792</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45792</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45792</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45792</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45792</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45792</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45792</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45792</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45792</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45792</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45792</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45792</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45792</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45792</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45792</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45792</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45792</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45792</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45792</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45792</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45792</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45792</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45792</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45792</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45792</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45792</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45792</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45792</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45792</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45792</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45792</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45792</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45792</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45792</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45792</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45792</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45792</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45792</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45792</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45792</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45792</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45792</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45792</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45792</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45792</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45792</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45792</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45792</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45792</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45792</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45792</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45792</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45792</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45792</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45792</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45792</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45792</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45792</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45792</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45792</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45792</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45792</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45792</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45792</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45792</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45792</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45792</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45792</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45792</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45792</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45792</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45792</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45792</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45792</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45792</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45792</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45792</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45792</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45792</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45792</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45792</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45792</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45792</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45792</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45792</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45792</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45792</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45792</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45792</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45792</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45792</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45792</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45792</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45792</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45792</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45792</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45792</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45792</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45792</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45792</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45792</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45792</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45792</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45792</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45792</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45792</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45792</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45792</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45792</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45792</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45792</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45792</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45792</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45792</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45792</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45792</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45792</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45792</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45792</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45792</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45792</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45792</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45792</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45792</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45792</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45792</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45792</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45792</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45792</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45792</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45792</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45792</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45792</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45792</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45792</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45792</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45792</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45792</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45792</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45792</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45792</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45792</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45792</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45792</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45792</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45792</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45792</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45792</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45792</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45792</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45792</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45792</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45792</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45792</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45792</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45792</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45792</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45792</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45792</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45792</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45792</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45792</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45792</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45792</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45792</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45792</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45792</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45792</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45792</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45792</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45792</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45792</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45792</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45792</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45792</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45792</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45792</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45792</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45792</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45792</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45792</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45792</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45792</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45792</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45792</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45792</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45792</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45792</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45792</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45792</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45792</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45792</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45792</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45792</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45792</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45792</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45792</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45792</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45792</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45792</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45792</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45792</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45792</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45792</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45792</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45792</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45792</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45792</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45792</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45792</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45792</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45792</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45792</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45792</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45792</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45792</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45792</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45792</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45792</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45792</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45792</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45792</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45792</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45792</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45792</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45792</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45792</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45792</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45792</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45792</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45792</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45792</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45792</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45792</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45792</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45792</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45792</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45792</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45792</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45792</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45792</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45792</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45792</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45792</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45792</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45792</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45792</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45792</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45792</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45792</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45792</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45792</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45792</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45792</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45792</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45792</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45792</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45792</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45792</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45792</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45792</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45792</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45792</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45792</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45792</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45792</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45792</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45792</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45792</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45792</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45792</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45792</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45792</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45792</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45792</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45792</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45792</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45792</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45792</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45792</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45792</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45792</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45792</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45792</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45792</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45792</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45792</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45792</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45792</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45792</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45792</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45792</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45792</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45792</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45792</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45792</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45792</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45792</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45792</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45792</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45792</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45792</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45792</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45792</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45792</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45792</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45792</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45792</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45792</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45792</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45792</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45792</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45792</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45792</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45792</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45792</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45792</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45792</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45792</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45792</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45792</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45792</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45792</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45792</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45792</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45792</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45792</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45792</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45792</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45792</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45792</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45792</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45792</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45792</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45792</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45792</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45792</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45792</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45792</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45792</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45792</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45792</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45792</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45792</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45792</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45792</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45792</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45792</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45792</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45792</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45792</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45792</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45792</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45792</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45792</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45792</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45792</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45792</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45792</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45792</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45792</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45792</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45792</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45792</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45792</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45792</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45792</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45792</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45792</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45792</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45792</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45792</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45792</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45792</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45792</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45792</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45792</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45792</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45792</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45792</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45792</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45792</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45792</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45792</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45792</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45792</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45792</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45792</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45792</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45792</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45792</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45792</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45792</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45792</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45792</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45792</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45792</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45792</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45792</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45792</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45792</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45792</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45792</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45792</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45792</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45792</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45792</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45792</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45792</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45792</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45792</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45792</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45792</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45792</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45792</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45792</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45792</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45792</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45792</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45792</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45792</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45792</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45792</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45792</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45792</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45792</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45792</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45792</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45792</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45792</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45792</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45792</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45792</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45792</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45792</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45792</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45792</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45792</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45792</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45792</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45792</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45792</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45792</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45792</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45792</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45792</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45792</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45792</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45792</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45792</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45792</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45792</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45792</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45792</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45792</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45792</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45792</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45792</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45792</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45792</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45792</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45792</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45792</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45792</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45792</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45792</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45792</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45792</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45792</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45792</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45792</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45792</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45792</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45792</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45792</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45792</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45792</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45792</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45792</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45792</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45792</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45792</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45792</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45792</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45792</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45792</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45792</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45792</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45792</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45792</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45792</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45792</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45792</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45792</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45792</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45792</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45792</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45792</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45792</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45792</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45792</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45792</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45792</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45792</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45792</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45792</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45792</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45792</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45792</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45792</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45792</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45792</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45792</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45792</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45792</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45792</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45792</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45792</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45792</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45792</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45792</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45792</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45792</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45792</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45792</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45792</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45792</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45792</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45792</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45792</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45792</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45792</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45792</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45792</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45792</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45792</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45792</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45792</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45792</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45792</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45792</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45792</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45792</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45792</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45792</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45792</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45792</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45792</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45792</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45792</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45792</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45792</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45792</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45792</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45792</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45792</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45792</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45792</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45792</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45792</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45792</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45792</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45792</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45792</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45792</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45792</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45792</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45792</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45792</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45792</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45792</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45792</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45792</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45792</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45792</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45792</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45792</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45792</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45792</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45792</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45792</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45792</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45792</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45792</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45792</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45792</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45792</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45792</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45792</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45792</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45792</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45792</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45792</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45792</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45792</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45792</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45792</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45792</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45792</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45792</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45792</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45792</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45792</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45792</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45792</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45792</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45792</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45792</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45792</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45792</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45792</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45792</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45792</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45792</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45792</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45792</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45792</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45792</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45792</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45792</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45792</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45792</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45792</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45792</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45792</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45792</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45792</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45792</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45792</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45792</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45792</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45792</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45792</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45792</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45792</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45792</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45792</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45792</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45792</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45792</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45792</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45792</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45792</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45792</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45792</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45792</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45792</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45792</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45792</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45792</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45792</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45792</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45792</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45792</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45792</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45792</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45792</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45792</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45792</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45792</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45792</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45792</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45792</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45792</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45792</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45792</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45792</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45792</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45792</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45792</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45792</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45792</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45792</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45792</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45792</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45792</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45792</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45792</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45792</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45792</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45792</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45792</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45792</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45792</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45792</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45792</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45792</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45792</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45792</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45792</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45792</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45792</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45792</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45792</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45792</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45792</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45792</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45792</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45792</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45792</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45792</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45792</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45792</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45792</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45792</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45792</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45792</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45792</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45792</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45792</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45792</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45792</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45792</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45792</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45792</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45792</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45792</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45792</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45792</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45792</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45792</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45792</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45792</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45792</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45792</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45792</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45792</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45792</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45792</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45792</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45792</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45792</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45792</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45792</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45792</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45792</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45792</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45792</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45792</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45792</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45792</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45792</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45792</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45792</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45792</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45792</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45792</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45792</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45792</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45792</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45792</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45792</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45792</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45792</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45792</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45792</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45792</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45792</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45792</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45792</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45792</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45792</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45792</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45792</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45792</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45792</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45792</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45792</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45792</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45792</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45792</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45792</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45792</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45792</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45792</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45792</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45792</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45792</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45792</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45792</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45792</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45792</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45792</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45792</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45792</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45792</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45792</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45792</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45792</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45792</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45792</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45792</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45792</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45792</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45792</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45792</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45792</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45792</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45792</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45792</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45792</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45792</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45792</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45792</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45792</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45792</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45792</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45792</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45792</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45792</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45792</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45792</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45792</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45792</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45792</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45792</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45792</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45792</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45792</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45792</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45792</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45792</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45792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45792</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45792</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45792</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45792</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45792</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45792</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45792</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45792</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45792</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45792</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45792</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45792</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45792</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45792</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45792</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45792</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45792</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45792</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45792</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45792</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45792</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45792</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45792</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45792</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45792</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45792</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45792</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45792</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45792</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45792</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45792</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45792</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45792</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45792</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45792</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45792</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45792</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45792</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45792</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45792</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45792</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45792</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45792</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45792</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45792</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45792</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45792</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45792</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45792</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45792</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45792</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45792</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45792</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45792</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45792</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45792</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45792</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45792</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45792</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45792</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45792</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45792</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45792</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45792</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45792</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45792</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45792</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45792</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45792</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45792</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45792</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45792</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45792</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45792</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45792</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45792</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45792</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45792</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45792</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45792</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45792</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45792</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45792</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45792</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45792</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45792</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45792</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45792</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45792</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45792</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45792</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45792</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45792</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45792</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45792</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45792</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45792</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45792</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45792</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45792</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45792</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45792</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45792</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45792</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45792</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45792</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45792</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45792</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45792</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45792</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45792</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45792</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45792</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45792</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45792</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45792</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45792</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45792</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45792</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45792</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45792</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45792</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45792</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45792</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45792</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45792</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45792</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45792</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45792</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45792</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45792</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45792</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45792</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45792</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45792</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45792</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45792</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45792</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45792</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45792</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45792</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45792</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45792</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45792</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45792</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45792</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45792</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45792</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45792</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45792</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45792</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45792</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45792</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45792</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45792</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45792</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45792</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45792</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45792</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45792</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45792</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45792</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45792</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45792</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45792</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45792</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45792</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45792</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45792</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45792</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45792</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45792</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45792</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45792</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45792</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45792</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45792</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45792</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45792</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45792</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45792</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45792</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45792</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45792</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45792</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45792</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45792</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45792</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45792</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45792</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45792</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45792</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45792</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45792</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45792</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45792</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45792</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45792</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45792</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45792</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45792</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45792</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45792</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45792</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45792</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45792</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45792</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45792</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45792</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45792</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45792</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45792</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45792</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45792</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45792</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45792</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45792</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45792</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45792</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45792</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45792</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45792</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45792</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45792</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45792</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45792</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45792</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45792</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45792</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45792</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45792</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45792</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45792</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45792</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45792</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45792</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45792</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45792</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45792</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45792</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45792</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45792</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45792</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45792</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45792</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45792</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45792</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45792</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45792</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45792</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45792</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45792</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45792</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45792</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45792</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45792</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45792</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45792</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45792</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45792</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45792</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45792</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45792</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45792</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45792</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45792</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45792</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45792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45792</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45792</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45792</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45792</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45792</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45792</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45792</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45792</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45792</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45792</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45792</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45792</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45792</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45792</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45792</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45792</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45792</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45792</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45792</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45792</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45792</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45792</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45792</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45792</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45792</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45792</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45792</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45792</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45792</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45792</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45792</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45792</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45792</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45792</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45792</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45792</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45792</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45792</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45792</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45792</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45792</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45792</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45792</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45792</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45792</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45792</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45792</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45792</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45792</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45792</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45792</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45792</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45792</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45792</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45792</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45792</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45792</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45792</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45792</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45792</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45792</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45792</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45792</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45792</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45792</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45792</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45792</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45792</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45792</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45792</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45792</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45792</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45792</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45792</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45792</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45792</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45792</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45792</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45792</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45792</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45792</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45792</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45792</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45792</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45792</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45792</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45792</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45792</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45792</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45792</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45792</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45792</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45792</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45792</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45792</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45792</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45792</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45792</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45792</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45792</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45792</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45792</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45792</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45792</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45792</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45792</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45792</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45792</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45792</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45792</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45792</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45792</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45792</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45792</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45792</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45792</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45792</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45792</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45792</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45792</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45792</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45792</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45792</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45792</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45792</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45792</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45792</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45792</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45792</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45792</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45792</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45792</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45792</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45792</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45792</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45792</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45792</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45792</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45792</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45792</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45792</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45792</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45792</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45792</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45792</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45792</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45792</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45792</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45792</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45792</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45792</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45792</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45792</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45792</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45792</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45792</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45792</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45792</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45792</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45792</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45792</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45792</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45792</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45792</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45792</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45792</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45792</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45792</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45792</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45792</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45792</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45792</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45792</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45792</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45792</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45792</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45792</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45792</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45792</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45792</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45792</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45792</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45792</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45792</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45792</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45792</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45792</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45792</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45792</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45792</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45792</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45792</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45792</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45792</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45792</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45792</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45792</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45792</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45792</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45792</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45792</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45792</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45792</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45792</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45792</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45792</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45792</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45792</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45792</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45792</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45792</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45792</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45792</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45792</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45792</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45792</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45792</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45792</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45792</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45792</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45792</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45792</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45792</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45792</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45792</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45792</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45792</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45792</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45792</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45792</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45792</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45792</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45792</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45792</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45792</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45792</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45792</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45792</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45792</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45792</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45792</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45792</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45792</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45792</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45792</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45792</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45792</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45792</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45792</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45792</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45792</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45792</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45792</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45792</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45792</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45792</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45792</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45792</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45792</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45792</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45792</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45792</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45792</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45792</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45792</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45792</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45792</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45792</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45792</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45792</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45792</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45792</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45792</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45792</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45792</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45792</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45792</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45792</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45792</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45792</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45792</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45792</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45792</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45792</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45792</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45792</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45792</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45792</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45792</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45792</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45792</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45792</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45792</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45792</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45792</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45792</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45792</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45792</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45792</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45792</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45792</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45792</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45792</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45792</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45792</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45792</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45792</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45792</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45792</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45792</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45792</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45792</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45792</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45792</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45792</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45792</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45792</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45792</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45792</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45792</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45792</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45792</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45792</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45792</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45792</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45792</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45792</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45792</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45792</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45792</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45792</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45792</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45792</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45792</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45792</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45792</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45792</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45792</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45792</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45792</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45792</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45792</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45792</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45792</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45792</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45792</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45792</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45792</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45792</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45792</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45792</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45792</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45792</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45792</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45792</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45792</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45792</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45792</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45792</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45792</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45792</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45792</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45792</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45792</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45792</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45792</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45792</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45792</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45792</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45792</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45792</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45792</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45792</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45792</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45792</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45792</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45792</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45792</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45792</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45792</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45792</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45792</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45792</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45792</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45792</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45792</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45792</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45792</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45792</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45792</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45792</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45792</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45792</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45792</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45792</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45792</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45792</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45792</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45792</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45792</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45792</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45792</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45792</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45792</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45792</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45792</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45792</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45792</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45792</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45792</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45792</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45792</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45792</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45792</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45792</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45792</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45792</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45792</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45792</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45792</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45792</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45792</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45792</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45792</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45792</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45792</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45792</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45792</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45792</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45792</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45792</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45792</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45792</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45792</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45792</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45792</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45792</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45792</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45792</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45792</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45792</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45792</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45792</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45792</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45792</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45792</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45792</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45792</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45792</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45792</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45792</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45792</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45792</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45792</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45792</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45792</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45792</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45792</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45792</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45792</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45792</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45792</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45792</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45792</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45792</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45792</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45792</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45792</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45792</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45792</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45792</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45792</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45792</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45792</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45792</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45792</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45792</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45792</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45792</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45792</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45792</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45792</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45792</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45792</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45792</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45792</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45792</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45792</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45792</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45792</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45792</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45792</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45792</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45792</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45792</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45792</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45792</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45792</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45792</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45792</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45792</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45792</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45792</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45792</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45792</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45792</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45792</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45792</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45792</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45792</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45792</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45792</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45792</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45792</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45792</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45792</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45792</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45792</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45792</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45792</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45792</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45792</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45792</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45792</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45792</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45792</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45792</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45792</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45792</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45792</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45792</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45792</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45792</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45792</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45792</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45792</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45792</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45792</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45792</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45792</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45792</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45792</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45792</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45792</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45792</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45792</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45792</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45792</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45792</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45792</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45792</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45792</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45792</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45792</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45792</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45792</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45792</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45792</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45792</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45792</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45792</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45792</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45792</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45792</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45792</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45792</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45792</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45792</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45792</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45792</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45792</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45792</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45792</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45792</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45792</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45792</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45792</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45792</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45792</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45792</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45792</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45792</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45792</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45792</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45792</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45792</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45792</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45792</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45792</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45792</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45792</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45792</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45792</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45792</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45792</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45792</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45792</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45792</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45792</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45792</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45792</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45792</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45792</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45792</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45792</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45792</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45792</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45792</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45792</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45792</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45792</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45792</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45792</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45792</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45792</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45792</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45792</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45792</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45792</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45792</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45792</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45792</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45792</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45792</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45792</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45792</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45792</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45792</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45792</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45792</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45792</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45792</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45792</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45792</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45792</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45792</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45792</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45792</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45792</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45792</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45792</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45792</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45792</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45792</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45792</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45792</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45792</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45792</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45792</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45792</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45792</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45792</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45792</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45792</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45792</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45792</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45792</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45792</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45792</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45792</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45792</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45792</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45792</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45792</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45792</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45792</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45792</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45792</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45792</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45792</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45792</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45792</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45792</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45792</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45792</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45792</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45792</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45792</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45792</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45792</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45792</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45792</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45792</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45792</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45792</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45792</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45792</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45792</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45792</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45792</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45792</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45792</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45792</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45792</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45792</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45792</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45792</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45792</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45792</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45792</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45792</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45792</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45792</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45792</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45792</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45792</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45792</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45792</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45792</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45792</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45792</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45792</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45792</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45792</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45792</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45792</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45792</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45792</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45792</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45792</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45792</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45792</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45792</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45792</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45792</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45792</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45792</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45792</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45792</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45792</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45792</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45792</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45792</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45792</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45792</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45792</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45792</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45792</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45792</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45792</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45792</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45792</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45792</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45792</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45792</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45792</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45792</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45792</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45792</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45792</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45792</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45792</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45792</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45792</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45792</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45792</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45792</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45792</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45792</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45792</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45792</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45792</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45792</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45792</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45792</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45792</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45792</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45792</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45792</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45792</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45792</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45792</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45792</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45792</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45792</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45792</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45792</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45792</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45792</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45792</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45792</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45792</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45792</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45792</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45792</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45792</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45792</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45792</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45792</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45792</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45792</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45792</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45792</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45792</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45792</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45792</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45792</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45792</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45792</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45792</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45792</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45792</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45792</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45792</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45792</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45792</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45792</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45792</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45792</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45792</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45792</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45792</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45792</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45792</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45792</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45792</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45792</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45792</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45792</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45792</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45792</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45792</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45792</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45792</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45792</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45792</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45792</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45792</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45792</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45792</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45792</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45792</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45792</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45792</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45792</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45792</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45792</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45792</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45792</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45792</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45792</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45792</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45792</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45792</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45792</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45792</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45792</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45792</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45792</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45792</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45792</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45792</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45792</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45792</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45792</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45792</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45792</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45792</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45792</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45792</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45792</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45792</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45792</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45792</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45792</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45792</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45792</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45792</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45792</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45792</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45792</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45792</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45792</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45792</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45792</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45792</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45792</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45792</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45792</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45792</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45792</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45792</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45792</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45792</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45792</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45792</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45792</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45792</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45792</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45792</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45792</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45792</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45792</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45792</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45792</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45792</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45792</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45792</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45792</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45792</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45792</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45792</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45792</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45792</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45792</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45792</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45792</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45792</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45792</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45792</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45792</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45792</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45792</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45792</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45792</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45792</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45792</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45792</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45792</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45792</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45792</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45792</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45792</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45792</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45792</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45792</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45792</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45792</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45792</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45792</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45792</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45792</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45792</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45792</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45792</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45792</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45792</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45792</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45792</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45792</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45792</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45792</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45792</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45792</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45792</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45792</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45792</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45792</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45792</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45792</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45792</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45792</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45792</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45792</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45792</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45792</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45792</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45792</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45792</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45792</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45792</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45792</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45792</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45792</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45792</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45792</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45792</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45792</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45792</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45792</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45792</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45792</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45792</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45792</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45792</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45792</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45792</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45792</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45792</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45792</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45792</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45792</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45792</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45792</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45792</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45792</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45792</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45792</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45792</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45792</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45792</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45792</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45792</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45792</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45792</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45792</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45792</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45792</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45792</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45792</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45792</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45792</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45792</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45792</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45792</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45792</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45792</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45792</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45792</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45792</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45792</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45792</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45792</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45792</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45792</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45792</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45792</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45792</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45792</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45792</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45792</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45792</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45792</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45792</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45792</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45792</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45792</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45792</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45792</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45792</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45792</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45792</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45792</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45792</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45792</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45792</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45792</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45792</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45792</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45792</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45792</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45792</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45792</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45792</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45792</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45792</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45792</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45792</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45792</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45792</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45792</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45792</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45792</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45792</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45792</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45792</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45792</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45792</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45792</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45792</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45792</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45792</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45792</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45792</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45792</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45792</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45792</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45792</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45792</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45792</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45792</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45792</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45792</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45792</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45792</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45792</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45792</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45792</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45792</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45792</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45792</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45792</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45792</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45792</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45792</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45792</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45792</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45792</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45792</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45792</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45792</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45792</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45792</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45792</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45792</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45792</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45792</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45792</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45792</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45792</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45792</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45792</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45792</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45792</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45792</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45792</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45792</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45792</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45792</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45792</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45792</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45792</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45792</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45792</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45792</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45792</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45792</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45792</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45792</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45792</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45792</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45792</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45792</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45792</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45792</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45792</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45792</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45792</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45792</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45792</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45792</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45792</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45792</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45792</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45792</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45792</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45792</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45792</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45792</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45792</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45792</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45792</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45792</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45792</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45792</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45792</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45792</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45792</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45792</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45792</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45792</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45792</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45792</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45792</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45792</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45792</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45792</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45792</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45792</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45792</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45792</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45792</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45792</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45792</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45792</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45792</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45792</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45792</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45792</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45792</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45792</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45792</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45792</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45792</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45792</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45792</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45792</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45792</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45792</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45792</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45792</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45792</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45792</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45792</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45792</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45792</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45792</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45792</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45792</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45792</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45792</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45792</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45792</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45792</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45792</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45792</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45792</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45792</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45792</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45792</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45792</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45792</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45792</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45792</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45792</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45792</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45792</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45792</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45792</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45792</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45792</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45792</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45792</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45792</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45792</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45792</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45792</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45792</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45792</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45792</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45792</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45792</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45792</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45792</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45792</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45792</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45792</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45792</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45792</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45792</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45792</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45792</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45792</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45792</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45792</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45792</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45792</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45792</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45792</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45792</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45792</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45792</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45792</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45792</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45792</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45792</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45792</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45792</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45792</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45792</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45792</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45792</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45792</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45792</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45792</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45792</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45792</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45792</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45792</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45792</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45792</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45792</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45792</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45792</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45792</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45792</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45792</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45792</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45792</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45792</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45792</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45792</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45792</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45792</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45792</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45792</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45792</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45792</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45792</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45792</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45792</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45792</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45792</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45792</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45792</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45792</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45792</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45792</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45792</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45792</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45792</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45792</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45792</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45792</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45792</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45792</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45792</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45792</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45792</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45792</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45792</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45792</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45792</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45792</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45792</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45792</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45792</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45792</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45792</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45792</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45792</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45792</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45792</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45792</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45792</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45792</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45792</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45792</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45792</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45792</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45792</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45792</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45792</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45792</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45792</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45792</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45792</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45792</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45792</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45792</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45792</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45792</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45792</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45792</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45792</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45792</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45792</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45792</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45792</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45792</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45792</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45792</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45792</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45792</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45792</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45792</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45792</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45792</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45792</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45792</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45792</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45792</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45792</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45792</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45792</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45792</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45792</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45792</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45792</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45792</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45792</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45792</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45792</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45792</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45792</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45792</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45792</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45792</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45792</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45792</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45792</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45792</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45792</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45792</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45792</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45792</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45792</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45792</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45792</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45792</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45792</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45792</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45792</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45792</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45792</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45792</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45792</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45792</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45792</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45792</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45792</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45792</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45792</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45792</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45792</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45792</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45792</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45792</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45792</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45792</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45792</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45792</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45792</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45792</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45792</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45792</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45792</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45792</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45792</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45792</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45792</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45792</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45792</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45792</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45792</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45792</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45792</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45792</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45792</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45792</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45792</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45792</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45792</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45792</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45792</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45792</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45792</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45792</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45792</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45792</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45792</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45792</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45792</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45792</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45792</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45792</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45792</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45792</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45792</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45792</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45792</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45792</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45792</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45792</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45792</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45792</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45792</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45792</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45792</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45792</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45792</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45792</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45792</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45792</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45792</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45792</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45792</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45792</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45792</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45792</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45792</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45792</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45792</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45792</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45792</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45792</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45792</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45792</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45792</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45792</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45792</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45792</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45792</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45792</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45792</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45792</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45792</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45792</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45792</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45792</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45792</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45792</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45792</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45792</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45792</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45792</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45792</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45792</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45792</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45792</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45792</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45792</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45792</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45792</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45792</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45792</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45792</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45792</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45792</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45792</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45792</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45792</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45792</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45792</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45792</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45792</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45792</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45792</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45792</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45792</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45792</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45792</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45792</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45792</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45792</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45792</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45792</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45792</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45792</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45792</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45792</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45792</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45792</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45792</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45792</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45792</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45792</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45792</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45792</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45792</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45792</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45792</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45792</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45792</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45792</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45792</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45792</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45792</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45792</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45792</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45792</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45792</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45792</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45792</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45792</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45792</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45792</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45792</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45792</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45792</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45792</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45792</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45792</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45792</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45792</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45792</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45792</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45792</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45792</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45792</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45792</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45792</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45792</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45792</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45792</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45792</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45792</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45792</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45792</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45792</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45792</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45792</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45792</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45792</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45792</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45792</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45792</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45792</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45792</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45792</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45792</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45792</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45792</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45792</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45792</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45792</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45792</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45792</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45792</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45792</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45792</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45792</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45792</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45792</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45792</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45792</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45792</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45792</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45792</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45792</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45792</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45792</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45792</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45792</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45792</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45792</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45792</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45792</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45792</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45792</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45792</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45792</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45792</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45792</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45792</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45792</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45792</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45792</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45792</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45792</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45792</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45792</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45792</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45792</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45792</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45792</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45792</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45792</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45792</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45792</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45792</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45792</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45792</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45792</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45792</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45792</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45792</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45792</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45792</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45792</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45792</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45792</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45792</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45792</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45792</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45792</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45792</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45792</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45792</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45792</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45792</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45792</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45792</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45792</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45792</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45792</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45792</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45792</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45792</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45792</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45792</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45792</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45792</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45792</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45792</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45792</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45792</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45792</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45792</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45792</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45792</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45792</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45792</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45792</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45792</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45792</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45792</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45792</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45792</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45792</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45792</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45792</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45792</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45792</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45792</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45792</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45792</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45792</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45792</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45792</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45792</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45792</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45792</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45792</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45792</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45792</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45792</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45792</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45792</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45792</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45792</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45792</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45792</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45792</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45792</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45792</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45792</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45792</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45792</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45792</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45792</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45792</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45792</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45792</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45792</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45792</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45792</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45792</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45792</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45792</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45792</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45792</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45792</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45792</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45792</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45792</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45792</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45792</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45792</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45792</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45792</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45792</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45792</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45792</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45792</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45792</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45792</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45792</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45792</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45792</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45792</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45792</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45792</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45792</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45792</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45792</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45792</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45792</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45792</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45792</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45792</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45792</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45792</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45792</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45792</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45792</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45792</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45792</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45792</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45792</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45792</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45792</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45792</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45792</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45792</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45792</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45792</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45792</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45792</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45792</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45792</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45792</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45792</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45792</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45792</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45792</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45792</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45792</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45792</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45792</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45792</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45792</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45792</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45792</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45792</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45792</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45792</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45792</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45792</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45792</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45792</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45792</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45792</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45792</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45792</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45792</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45792</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45792</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45792</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45792</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45792</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45792</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45792</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45792</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45792</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45792</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45792</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45792</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45792</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45792</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45792</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45792</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45792</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45792</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45792</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45792</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45792</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45792</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45792</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45792</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45792</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45792</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45792</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45792</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45792</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45792</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45792</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45792</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45792</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45792</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45792</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45792</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45792</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45792</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45792</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45792</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45792</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45792</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45792</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45792</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45792</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45792</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45792</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45792</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45792</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45792</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45792</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45792</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45792</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45792</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45792</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45792</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45792</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45792</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45792</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45792</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45792</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45792</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45792</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45792</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45792</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45792</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45792</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45792</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45792</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45792</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45792</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45792</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45792</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45792</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45792</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45792</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45792</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45792</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45792</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45792</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45792</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45792</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45792</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45792</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45792</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45792</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45792</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45792</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45792</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45792</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45792</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45792</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45792</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45792</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45792</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45792</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45792</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45792</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45792</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45792</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45792</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45792</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45792</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45792</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45792</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45792</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45792</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45792</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45792</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45792</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45792</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45792</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45792</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45792</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45792</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45792</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45792</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45792</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45792</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45792</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45792</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45792</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45792</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45792</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45792</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45792</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45792</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45792</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45792</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45792</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45792</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45792</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45792</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45792</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45792</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45792</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45792</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45792</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45792</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45792</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45792</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45792</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45792</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45792</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45792</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45792</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45792</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45792</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45792</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45792</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45792</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45792</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45792</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45792</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45792</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45792</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45792</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45792</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45792</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45792</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45792</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45792</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45792</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45792</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45792</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45792</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45792</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45792</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45792</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45792</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45792</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45792</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45792</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45792</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45792</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45792</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45792</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18082-2025</t>
        </is>
      </c>
      <c r="B4029" s="1" t="n">
        <v>45761</v>
      </c>
      <c r="C4029" s="1" t="n">
        <v>45792</v>
      </c>
      <c r="D4029" t="inlineStr">
        <is>
          <t>VÄSTERBOTTENS LÄN</t>
        </is>
      </c>
      <c r="E4029" t="inlineStr">
        <is>
          <t>SKELLEFTEÅ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18030-2025</t>
        </is>
      </c>
      <c r="B4030" s="1" t="n">
        <v>45761</v>
      </c>
      <c r="C4030" s="1" t="n">
        <v>45792</v>
      </c>
      <c r="D4030" t="inlineStr">
        <is>
          <t>VÄSTERBOTTENS LÄN</t>
        </is>
      </c>
      <c r="E4030" t="inlineStr">
        <is>
          <t>SKELLEFTEÅ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18167-2025</t>
        </is>
      </c>
      <c r="B4031" s="1" t="n">
        <v>45761</v>
      </c>
      <c r="C4031" s="1" t="n">
        <v>45792</v>
      </c>
      <c r="D4031" t="inlineStr">
        <is>
          <t>VÄSTERBOTTENS LÄN</t>
        </is>
      </c>
      <c r="E4031" t="inlineStr">
        <is>
          <t>SKELLEFTEÅ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45792</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18098-2025</t>
        </is>
      </c>
      <c r="B4033" s="1" t="n">
        <v>45761</v>
      </c>
      <c r="C4033" s="1" t="n">
        <v>45792</v>
      </c>
      <c r="D4033" t="inlineStr">
        <is>
          <t>VÄSTERBOTTENS LÄN</t>
        </is>
      </c>
      <c r="E4033" t="inlineStr">
        <is>
          <t>SKELLEFTEÅ</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45792</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45792</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45792</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45792</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45792</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45792</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45792</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45792</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45792</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18498-2025</t>
        </is>
      </c>
      <c r="B4043" s="1" t="n">
        <v>45763</v>
      </c>
      <c r="C4043" s="1" t="n">
        <v>45792</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45792</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45792</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45792</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45792</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45792</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19160-2025</t>
        </is>
      </c>
      <c r="B4049" s="1" t="n">
        <v>45769</v>
      </c>
      <c r="C4049" s="1" t="n">
        <v>45792</v>
      </c>
      <c r="D4049" t="inlineStr">
        <is>
          <t>VÄSTERBOTTENS LÄN</t>
        </is>
      </c>
      <c r="E4049" t="inlineStr">
        <is>
          <t>SKELLEFTEÅ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19293-2025</t>
        </is>
      </c>
      <c r="B4050" s="1" t="n">
        <v>45769</v>
      </c>
      <c r="C4050" s="1" t="n">
        <v>45792</v>
      </c>
      <c r="D4050" t="inlineStr">
        <is>
          <t>VÄSTERBOTTENS LÄN</t>
        </is>
      </c>
      <c r="E4050" t="inlineStr">
        <is>
          <t>SKELLEFTEÅ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45792</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45792</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45792</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45792</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45792</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19778-2025</t>
        </is>
      </c>
      <c r="B4056" s="1" t="n">
        <v>45771</v>
      </c>
      <c r="C4056" s="1" t="n">
        <v>45792</v>
      </c>
      <c r="D4056" t="inlineStr">
        <is>
          <t>VÄSTERBOTTENS LÄN</t>
        </is>
      </c>
      <c r="E4056" t="inlineStr">
        <is>
          <t>SKELLEFTEÅ</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19795-2025</t>
        </is>
      </c>
      <c r="B4057" s="1" t="n">
        <v>45771</v>
      </c>
      <c r="C4057" s="1" t="n">
        <v>45792</v>
      </c>
      <c r="D4057" t="inlineStr">
        <is>
          <t>VÄSTERBOTTENS LÄN</t>
        </is>
      </c>
      <c r="E4057" t="inlineStr">
        <is>
          <t>SKELLEFTEÅ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19970-2025</t>
        </is>
      </c>
      <c r="B4058" s="1" t="n">
        <v>45771</v>
      </c>
      <c r="C4058" s="1" t="n">
        <v>45792</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19731-2025</t>
        </is>
      </c>
      <c r="B4059" s="1" t="n">
        <v>45771</v>
      </c>
      <c r="C4059" s="1" t="n">
        <v>45792</v>
      </c>
      <c r="D4059" t="inlineStr">
        <is>
          <t>VÄSTERBOTTENS LÄN</t>
        </is>
      </c>
      <c r="E4059" t="inlineStr">
        <is>
          <t>SKELLEFTEÅ</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19730-2025</t>
        </is>
      </c>
      <c r="B4060" s="1" t="n">
        <v>45771</v>
      </c>
      <c r="C4060" s="1" t="n">
        <v>45792</v>
      </c>
      <c r="D4060" t="inlineStr">
        <is>
          <t>VÄSTERBOTTENS LÄN</t>
        </is>
      </c>
      <c r="E4060" t="inlineStr">
        <is>
          <t>SKELLEFTEÅ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19951-2025</t>
        </is>
      </c>
      <c r="B4061" s="1" t="n">
        <v>45771</v>
      </c>
      <c r="C4061" s="1" t="n">
        <v>45792</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19765-2025</t>
        </is>
      </c>
      <c r="B4062" s="1" t="n">
        <v>45771</v>
      </c>
      <c r="C4062" s="1" t="n">
        <v>45792</v>
      </c>
      <c r="D4062" t="inlineStr">
        <is>
          <t>VÄSTERBOTTENS LÄN</t>
        </is>
      </c>
      <c r="E4062" t="inlineStr">
        <is>
          <t>SKELLEFTEÅ</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19779-2025</t>
        </is>
      </c>
      <c r="B4063" s="1" t="n">
        <v>45771</v>
      </c>
      <c r="C4063" s="1" t="n">
        <v>45792</v>
      </c>
      <c r="D4063" t="inlineStr">
        <is>
          <t>VÄSTERBOTTENS LÄN</t>
        </is>
      </c>
      <c r="E4063" t="inlineStr">
        <is>
          <t>SKELLEFTEÅ</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45792</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20216-2025</t>
        </is>
      </c>
      <c r="B4065" s="1" t="n">
        <v>45772</v>
      </c>
      <c r="C4065" s="1" t="n">
        <v>45792</v>
      </c>
      <c r="D4065" t="inlineStr">
        <is>
          <t>VÄSTERBOTTENS LÄN</t>
        </is>
      </c>
      <c r="E4065" t="inlineStr">
        <is>
          <t>SKELLEFTEÅ</t>
        </is>
      </c>
      <c r="G4065" t="n">
        <v>8.199999999999999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20084-2025</t>
        </is>
      </c>
      <c r="B4066" s="1" t="n">
        <v>45772</v>
      </c>
      <c r="C4066" s="1" t="n">
        <v>45792</v>
      </c>
      <c r="D4066" t="inlineStr">
        <is>
          <t>VÄSTERBOTTENS LÄN</t>
        </is>
      </c>
      <c r="E4066" t="inlineStr">
        <is>
          <t>SKELLEFTEÅ</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20220-2025</t>
        </is>
      </c>
      <c r="B4067" s="1" t="n">
        <v>45772</v>
      </c>
      <c r="C4067" s="1" t="n">
        <v>45792</v>
      </c>
      <c r="D4067" t="inlineStr">
        <is>
          <t>VÄSTERBOTTENS LÄN</t>
        </is>
      </c>
      <c r="E4067" t="inlineStr">
        <is>
          <t>SKELLEFTEÅ</t>
        </is>
      </c>
      <c r="G4067" t="n">
        <v>18.6</v>
      </c>
      <c r="H4067" t="n">
        <v>0</v>
      </c>
      <c r="I4067" t="n">
        <v>0</v>
      </c>
      <c r="J4067" t="n">
        <v>0</v>
      </c>
      <c r="K4067" t="n">
        <v>0</v>
      </c>
      <c r="L4067" t="n">
        <v>0</v>
      </c>
      <c r="M4067" t="n">
        <v>0</v>
      </c>
      <c r="N4067" t="n">
        <v>0</v>
      </c>
      <c r="O4067" t="n">
        <v>0</v>
      </c>
      <c r="P4067" t="n">
        <v>0</v>
      </c>
      <c r="Q4067" t="n">
        <v>0</v>
      </c>
      <c r="R4067" s="2" t="inlineStr"/>
    </row>
    <row r="4068" ht="15" customHeight="1">
      <c r="A4068" t="inlineStr">
        <is>
          <t>A 20163-2025</t>
        </is>
      </c>
      <c r="B4068" s="1" t="n">
        <v>45772</v>
      </c>
      <c r="C4068" s="1" t="n">
        <v>45792</v>
      </c>
      <c r="D4068" t="inlineStr">
        <is>
          <t>VÄSTERBOTTENS LÄN</t>
        </is>
      </c>
      <c r="E4068" t="inlineStr">
        <is>
          <t>SKELLEFTEÅ</t>
        </is>
      </c>
      <c r="F4068" t="inlineStr">
        <is>
          <t>Holmen skog AB</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20218-2025</t>
        </is>
      </c>
      <c r="B4069" s="1" t="n">
        <v>45772</v>
      </c>
      <c r="C4069" s="1" t="n">
        <v>45792</v>
      </c>
      <c r="D4069" t="inlineStr">
        <is>
          <t>VÄSTERBOTTENS LÄN</t>
        </is>
      </c>
      <c r="E4069" t="inlineStr">
        <is>
          <t>SKELLEFTEÅ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45792</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20245-2025</t>
        </is>
      </c>
      <c r="B4071" s="1" t="n">
        <v>45772</v>
      </c>
      <c r="C4071" s="1" t="n">
        <v>45792</v>
      </c>
      <c r="D4071" t="inlineStr">
        <is>
          <t>VÄSTERBOTTENS LÄN</t>
        </is>
      </c>
      <c r="E4071" t="inlineStr">
        <is>
          <t>SKELLEFTEÅ</t>
        </is>
      </c>
      <c r="G4071" t="n">
        <v>14.1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45792</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45792</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45792</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45792</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45792</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45792</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45792</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45792</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45792</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45792</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45792</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45792</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45792</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45792</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21222-2025</t>
        </is>
      </c>
      <c r="B4086" s="1" t="n">
        <v>45779</v>
      </c>
      <c r="C4086" s="1" t="n">
        <v>45792</v>
      </c>
      <c r="D4086" t="inlineStr">
        <is>
          <t>VÄSTERBOTTENS LÄN</t>
        </is>
      </c>
      <c r="E4086" t="inlineStr">
        <is>
          <t>SKELLEFTEÅ</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21207-2025</t>
        </is>
      </c>
      <c r="B4087" s="1" t="n">
        <v>45779</v>
      </c>
      <c r="C4087" s="1" t="n">
        <v>45792</v>
      </c>
      <c r="D4087" t="inlineStr">
        <is>
          <t>VÄSTERBOTTENS LÄN</t>
        </is>
      </c>
      <c r="E4087" t="inlineStr">
        <is>
          <t>SKELLEFTEÅ</t>
        </is>
      </c>
      <c r="F4087" t="inlineStr">
        <is>
          <t>Holmen skog AB</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45792</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21420-2025</t>
        </is>
      </c>
      <c r="B4089" s="1" t="n">
        <v>45782</v>
      </c>
      <c r="C4089" s="1" t="n">
        <v>45792</v>
      </c>
      <c r="D4089" t="inlineStr">
        <is>
          <t>VÄSTERBOTTENS LÄN</t>
        </is>
      </c>
      <c r="E4089" t="inlineStr">
        <is>
          <t>SKELLEFTEÅ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21427-2025</t>
        </is>
      </c>
      <c r="B4090" s="1" t="n">
        <v>45782</v>
      </c>
      <c r="C4090" s="1" t="n">
        <v>45792</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45792</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45792</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21381-2025</t>
        </is>
      </c>
      <c r="B4093" s="1" t="n">
        <v>45782</v>
      </c>
      <c r="C4093" s="1" t="n">
        <v>45792</v>
      </c>
      <c r="D4093" t="inlineStr">
        <is>
          <t>VÄSTERBOTTENS LÄN</t>
        </is>
      </c>
      <c r="E4093" t="inlineStr">
        <is>
          <t>SKELLEFTEÅ</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21316-2025</t>
        </is>
      </c>
      <c r="B4094" s="1" t="n">
        <v>45782</v>
      </c>
      <c r="C4094" s="1" t="n">
        <v>45792</v>
      </c>
      <c r="D4094" t="inlineStr">
        <is>
          <t>VÄSTERBOTTENS LÄN</t>
        </is>
      </c>
      <c r="E4094" t="inlineStr">
        <is>
          <t>SKELLEFTEÅ</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21755-2025</t>
        </is>
      </c>
      <c r="B4095" s="1" t="n">
        <v>45783</v>
      </c>
      <c r="C4095" s="1" t="n">
        <v>45792</v>
      </c>
      <c r="D4095" t="inlineStr">
        <is>
          <t>VÄSTERBOTTENS LÄN</t>
        </is>
      </c>
      <c r="E4095" t="inlineStr">
        <is>
          <t>SKELLEFTEÅ</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21619-2025</t>
        </is>
      </c>
      <c r="B4096" s="1" t="n">
        <v>45783</v>
      </c>
      <c r="C4096" s="1" t="n">
        <v>45792</v>
      </c>
      <c r="D4096" t="inlineStr">
        <is>
          <t>VÄSTERBOTTENS LÄN</t>
        </is>
      </c>
      <c r="E4096" t="inlineStr">
        <is>
          <t>SKELLEFTEÅ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21585-2025</t>
        </is>
      </c>
      <c r="B4097" s="1" t="n">
        <v>45783</v>
      </c>
      <c r="C4097" s="1" t="n">
        <v>45792</v>
      </c>
      <c r="D4097" t="inlineStr">
        <is>
          <t>VÄSTERBOTTENS LÄN</t>
        </is>
      </c>
      <c r="E4097" t="inlineStr">
        <is>
          <t>SKELLEFTEÅ</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21620-2025</t>
        </is>
      </c>
      <c r="B4098" s="1" t="n">
        <v>45783</v>
      </c>
      <c r="C4098" s="1" t="n">
        <v>45792</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45792</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45792</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45792</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21595-2025</t>
        </is>
      </c>
      <c r="B4102" s="1" t="n">
        <v>45783</v>
      </c>
      <c r="C4102" s="1" t="n">
        <v>45792</v>
      </c>
      <c r="D4102" t="inlineStr">
        <is>
          <t>VÄSTERBOTTENS LÄN</t>
        </is>
      </c>
      <c r="E4102" t="inlineStr">
        <is>
          <t>SKELLEFTEÅ</t>
        </is>
      </c>
      <c r="F4102" t="inlineStr">
        <is>
          <t>SCA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21750-2025</t>
        </is>
      </c>
      <c r="B4103" s="1" t="n">
        <v>45783</v>
      </c>
      <c r="C4103" s="1" t="n">
        <v>45792</v>
      </c>
      <c r="D4103" t="inlineStr">
        <is>
          <t>VÄSTERBOTTENS LÄN</t>
        </is>
      </c>
      <c r="E4103" t="inlineStr">
        <is>
          <t>SKELLEFTEÅ</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21763-2025</t>
        </is>
      </c>
      <c r="B4104" s="1" t="n">
        <v>45783</v>
      </c>
      <c r="C4104" s="1" t="n">
        <v>45792</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21590-2025</t>
        </is>
      </c>
      <c r="B4105" s="1" t="n">
        <v>45783</v>
      </c>
      <c r="C4105" s="1" t="n">
        <v>45792</v>
      </c>
      <c r="D4105" t="inlineStr">
        <is>
          <t>VÄSTERBOTTENS LÄN</t>
        </is>
      </c>
      <c r="E4105" t="inlineStr">
        <is>
          <t>SKELLEFTEÅ</t>
        </is>
      </c>
      <c r="F4105" t="inlineStr">
        <is>
          <t>Kommuner</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21910-2025</t>
        </is>
      </c>
      <c r="B4106" s="1" t="n">
        <v>45784</v>
      </c>
      <c r="C4106" s="1" t="n">
        <v>45792</v>
      </c>
      <c r="D4106" t="inlineStr">
        <is>
          <t>VÄSTERBOTTENS LÄN</t>
        </is>
      </c>
      <c r="E4106" t="inlineStr">
        <is>
          <t>SKELLEFTEÅ</t>
        </is>
      </c>
      <c r="F4106" t="inlineStr">
        <is>
          <t>Holmen skog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21992-2025</t>
        </is>
      </c>
      <c r="B4107" s="1" t="n">
        <v>45784</v>
      </c>
      <c r="C4107" s="1" t="n">
        <v>45792</v>
      </c>
      <c r="D4107" t="inlineStr">
        <is>
          <t>VÄSTERBOTTENS LÄN</t>
        </is>
      </c>
      <c r="E4107" t="inlineStr">
        <is>
          <t>SKELLEFTEÅ</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22031-2025</t>
        </is>
      </c>
      <c r="B4108" s="1" t="n">
        <v>45785</v>
      </c>
      <c r="C4108" s="1" t="n">
        <v>45792</v>
      </c>
      <c r="D4108" t="inlineStr">
        <is>
          <t>VÄSTERBOTTENS LÄN</t>
        </is>
      </c>
      <c r="E4108" t="inlineStr">
        <is>
          <t>SKELLEFTEÅ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22065-2025</t>
        </is>
      </c>
      <c r="B4109" s="1" t="n">
        <v>45785</v>
      </c>
      <c r="C4109" s="1" t="n">
        <v>45792</v>
      </c>
      <c r="D4109" t="inlineStr">
        <is>
          <t>VÄSTERBOTTENS LÄN</t>
        </is>
      </c>
      <c r="E4109" t="inlineStr">
        <is>
          <t>SKELLEFTEÅ</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22067-2025</t>
        </is>
      </c>
      <c r="B4110" s="1" t="n">
        <v>45785</v>
      </c>
      <c r="C4110" s="1" t="n">
        <v>45792</v>
      </c>
      <c r="D4110" t="inlineStr">
        <is>
          <t>VÄSTERBOTTENS LÄN</t>
        </is>
      </c>
      <c r="E4110" t="inlineStr">
        <is>
          <t>SKELLEFTEÅ</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22530-2025</t>
        </is>
      </c>
      <c r="B4111" s="1" t="n">
        <v>45786</v>
      </c>
      <c r="C4111" s="1" t="n">
        <v>45792</v>
      </c>
      <c r="D4111" t="inlineStr">
        <is>
          <t>VÄSTERBOTTENS LÄN</t>
        </is>
      </c>
      <c r="E4111" t="inlineStr">
        <is>
          <t>SKELLEFTEÅ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22531-2025</t>
        </is>
      </c>
      <c r="B4112" s="1" t="n">
        <v>45786</v>
      </c>
      <c r="C4112" s="1" t="n">
        <v>45792</v>
      </c>
      <c r="D4112" t="inlineStr">
        <is>
          <t>VÄSTERBOTTENS LÄN</t>
        </is>
      </c>
      <c r="E4112" t="inlineStr">
        <is>
          <t>SKELLEFTEÅ</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22311-2025</t>
        </is>
      </c>
      <c r="B4113" s="1" t="n">
        <v>45786</v>
      </c>
      <c r="C4113" s="1" t="n">
        <v>45792</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22284-2025</t>
        </is>
      </c>
      <c r="B4114" s="1" t="n">
        <v>45786</v>
      </c>
      <c r="C4114" s="1" t="n">
        <v>45792</v>
      </c>
      <c r="D4114" t="inlineStr">
        <is>
          <t>VÄSTERBOTTENS LÄN</t>
        </is>
      </c>
      <c r="E4114" t="inlineStr">
        <is>
          <t>SKELLEFTEÅ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45792</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22824-2025</t>
        </is>
      </c>
      <c r="B4116" s="1" t="n">
        <v>45789</v>
      </c>
      <c r="C4116" s="1" t="n">
        <v>45792</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22971-2025</t>
        </is>
      </c>
      <c r="B4117" s="1" t="n">
        <v>45790</v>
      </c>
      <c r="C4117" s="1" t="n">
        <v>45792</v>
      </c>
      <c r="D4117" t="inlineStr">
        <is>
          <t>VÄSTERBOTTENS LÄN</t>
        </is>
      </c>
      <c r="E4117" t="inlineStr">
        <is>
          <t>SKELLEFTEÅ</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23018-2025</t>
        </is>
      </c>
      <c r="B4118" s="1" t="n">
        <v>45790</v>
      </c>
      <c r="C4118" s="1" t="n">
        <v>45792</v>
      </c>
      <c r="D4118" t="inlineStr">
        <is>
          <t>VÄSTERBOTTENS LÄN</t>
        </is>
      </c>
      <c r="E4118" t="inlineStr">
        <is>
          <t>SKELLEFTEÅ</t>
        </is>
      </c>
      <c r="F4118" t="inlineStr">
        <is>
          <t>Holmen skog AB</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22838-2025</t>
        </is>
      </c>
      <c r="B4119" s="1" t="n">
        <v>45790</v>
      </c>
      <c r="C4119" s="1" t="n">
        <v>45792</v>
      </c>
      <c r="D4119" t="inlineStr">
        <is>
          <t>VÄSTERBOTTENS LÄN</t>
        </is>
      </c>
      <c r="E4119" t="inlineStr">
        <is>
          <t>SKELLEFTEÅ</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22921-2025</t>
        </is>
      </c>
      <c r="B4120" s="1" t="n">
        <v>45790</v>
      </c>
      <c r="C4120" s="1" t="n">
        <v>45792</v>
      </c>
      <c r="D4120" t="inlineStr">
        <is>
          <t>VÄSTERBOTTENS LÄN</t>
        </is>
      </c>
      <c r="E4120" t="inlineStr">
        <is>
          <t>SKELLEFTEÅ</t>
        </is>
      </c>
      <c r="F4120" t="inlineStr">
        <is>
          <t>Holmen skog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23104-2025</t>
        </is>
      </c>
      <c r="B4121" s="1" t="n">
        <v>45791</v>
      </c>
      <c r="C4121" s="1" t="n">
        <v>45792</v>
      </c>
      <c r="D4121" t="inlineStr">
        <is>
          <t>VÄSTERBOTTENS LÄN</t>
        </is>
      </c>
      <c r="E4121" t="inlineStr">
        <is>
          <t>SKELLEFTEÅ</t>
        </is>
      </c>
      <c r="F4121" t="inlineStr">
        <is>
          <t>Holmen skog AB</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23373-2025</t>
        </is>
      </c>
      <c r="B4122" s="1" t="n">
        <v>45791</v>
      </c>
      <c r="C4122" s="1" t="n">
        <v>45792</v>
      </c>
      <c r="D4122" t="inlineStr">
        <is>
          <t>VÄSTERBOTTENS LÄN</t>
        </is>
      </c>
      <c r="E4122" t="inlineStr">
        <is>
          <t>SKELLEFTEÅ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23144-2025</t>
        </is>
      </c>
      <c r="B4123" s="1" t="n">
        <v>45791</v>
      </c>
      <c r="C4123" s="1" t="n">
        <v>45792</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23153-2025</t>
        </is>
      </c>
      <c r="B4124" s="1" t="n">
        <v>45791</v>
      </c>
      <c r="C4124" s="1" t="n">
        <v>45792</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23147-2025</t>
        </is>
      </c>
      <c r="B4125" s="1" t="n">
        <v>45791</v>
      </c>
      <c r="C4125" s="1" t="n">
        <v>45792</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23299-2025</t>
        </is>
      </c>
      <c r="B4126" s="1" t="n">
        <v>45791</v>
      </c>
      <c r="C4126" s="1" t="n">
        <v>45792</v>
      </c>
      <c r="D4126" t="inlineStr">
        <is>
          <t>VÄSTERBOTTENS LÄN</t>
        </is>
      </c>
      <c r="E4126" t="inlineStr">
        <is>
          <t>SKELLEFTEÅ</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23327-2025</t>
        </is>
      </c>
      <c r="B4127" s="1" t="n">
        <v>45791</v>
      </c>
      <c r="C4127" s="1" t="n">
        <v>45792</v>
      </c>
      <c r="D4127" t="inlineStr">
        <is>
          <t>VÄSTERBOTTENS LÄN</t>
        </is>
      </c>
      <c r="E4127" t="inlineStr">
        <is>
          <t>SKELLEFTEÅ</t>
        </is>
      </c>
      <c r="F4127" t="inlineStr">
        <is>
          <t>Holmen skog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23329-2025</t>
        </is>
      </c>
      <c r="B4128" s="1" t="n">
        <v>45791</v>
      </c>
      <c r="C4128" s="1" t="n">
        <v>45792</v>
      </c>
      <c r="D4128" t="inlineStr">
        <is>
          <t>VÄSTERBOTTENS LÄN</t>
        </is>
      </c>
      <c r="E4128" t="inlineStr">
        <is>
          <t>SKELLEFTEÅ</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23208-2025</t>
        </is>
      </c>
      <c r="B4129" s="1" t="n">
        <v>45791</v>
      </c>
      <c r="C4129" s="1" t="n">
        <v>45792</v>
      </c>
      <c r="D4129" t="inlineStr">
        <is>
          <t>VÄSTERBOTTENS LÄN</t>
        </is>
      </c>
      <c r="E4129" t="inlineStr">
        <is>
          <t>SKELLEFTEÅ</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23213-2025</t>
        </is>
      </c>
      <c r="B4130" s="1" t="n">
        <v>45791</v>
      </c>
      <c r="C4130" s="1" t="n">
        <v>45792</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c r="A4131" t="inlineStr">
        <is>
          <t>A 23241-2025</t>
        </is>
      </c>
      <c r="B4131" s="1" t="n">
        <v>45791</v>
      </c>
      <c r="C4131" s="1" t="n">
        <v>45792</v>
      </c>
      <c r="D4131" t="inlineStr">
        <is>
          <t>VÄSTERBOTTENS LÄN</t>
        </is>
      </c>
      <c r="E4131" t="inlineStr">
        <is>
          <t>SKELLEFTEÅ</t>
        </is>
      </c>
      <c r="F4131" t="inlineStr">
        <is>
          <t>Holmen skog AB</t>
        </is>
      </c>
      <c r="G4131" t="n">
        <v>6.8</v>
      </c>
      <c r="H4131" t="n">
        <v>0</v>
      </c>
      <c r="I4131" t="n">
        <v>0</v>
      </c>
      <c r="J4131" t="n">
        <v>0</v>
      </c>
      <c r="K4131" t="n">
        <v>0</v>
      </c>
      <c r="L4131" t="n">
        <v>0</v>
      </c>
      <c r="M4131" t="n">
        <v>0</v>
      </c>
      <c r="N4131" t="n">
        <v>0</v>
      </c>
      <c r="O4131" t="n">
        <v>0</v>
      </c>
      <c r="P4131" t="n">
        <v>0</v>
      </c>
      <c r="Q4131" t="n">
        <v>0</v>
      </c>
      <c r="R4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2025-05-15T16:45:06Z</dcterms:created>
  <dcterms:modified xmlns:dcterms="http://purl.org/dc/terms/" xmlns:xsi="http://www.w3.org/2001/XMLSchema-instance" xsi:type="dcterms:W3CDTF">2025-05-15T16:45:10Z</dcterms:modified>
</cp:coreProperties>
</file>