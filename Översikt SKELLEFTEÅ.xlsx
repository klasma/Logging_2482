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45692</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45692</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45692</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45692</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45692</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45692</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45692</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45692</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45692</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45692</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45692</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45692</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45692</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45692</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45692</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45692</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45692</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45692</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45692</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45692</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45692</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45692</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45692</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45692</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45692</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45692</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45692</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45692</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45692</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45692</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45692</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45692</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45692</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45692</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45692</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45692</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45692</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45692</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45692</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45692</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45692</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45692</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45692</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45692</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45692</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45692</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45692</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45692</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45692</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45692</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45692</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45692</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45692</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45692</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45692</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45692</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45692</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45692</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45692</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45692</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45692</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45692</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45692</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45692</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45692</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45692</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45692</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45692</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45692</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45692</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45692</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45692</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45692</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45692</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45692</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45692</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45692</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45692</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45692</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45692</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45692</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45692</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45692</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45692</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45692</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45692</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45692</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45692</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45692</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45692</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45692</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45692</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45692</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45692</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45692</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45692</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45692</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45692</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45692</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45692</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45692</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45692</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45692</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45692</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45692</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45692</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45692</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45692</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45692</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45692</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45692</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45692</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45692</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45692</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45692</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45692</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45692</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45692</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45692</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45692</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45692</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45692</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45692</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45692</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45692</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45692</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45692</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45692</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45692</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45692</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45692</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45692</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45692</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45692</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45692</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45692</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45692</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45692</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45692</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45692</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45692</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45692</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45692</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45692</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45692</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45692</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45692</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45692</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45692</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45692</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45692</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45692</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45692</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45692</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45692</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45692</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45692</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45692</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45692</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45692</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45692</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45692</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45692</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45692</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45692</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45692</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45692</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45692</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45692</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45692</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45692</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45692</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45692</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45692</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45692</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45692</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45692</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45692</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45692</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45692</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45692</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45692</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45692</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45692</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45692</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45692</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45692</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45692</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45692</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45692</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45692</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45692</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45692</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45692</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45692</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45692</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45692</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45692</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45692</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45692</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45692</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45692</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45692</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45692</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45692</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45692</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45692</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45692</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45692</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45692</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45692</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45692</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45692</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45692</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45692</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45692</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45692</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45692</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45692</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45692</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45692</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45692</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45692</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45692</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45692</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45692</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45692</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45692</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45692</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45692</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45692</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45692</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45692</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45692</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45692</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737-2025</t>
        </is>
      </c>
      <c r="B248" s="1" t="n">
        <v>45665</v>
      </c>
      <c r="C248" s="1" t="n">
        <v>45692</v>
      </c>
      <c r="D248" t="inlineStr">
        <is>
          <t>VÄSTERBOTTENS LÄN</t>
        </is>
      </c>
      <c r="E248" t="inlineStr">
        <is>
          <t>SKELLEFTEÅ</t>
        </is>
      </c>
      <c r="G248" t="n">
        <v>14.8</v>
      </c>
      <c r="H248" t="n">
        <v>0</v>
      </c>
      <c r="I248" t="n">
        <v>0</v>
      </c>
      <c r="J248" t="n">
        <v>0</v>
      </c>
      <c r="K248" t="n">
        <v>1</v>
      </c>
      <c r="L248" t="n">
        <v>0</v>
      </c>
      <c r="M248" t="n">
        <v>0</v>
      </c>
      <c r="N248" t="n">
        <v>0</v>
      </c>
      <c r="O248" t="n">
        <v>1</v>
      </c>
      <c r="P248" t="n">
        <v>1</v>
      </c>
      <c r="Q248" t="n">
        <v>1</v>
      </c>
      <c r="R248" s="2" t="inlineStr">
        <is>
          <t>Goliatmusseron</t>
        </is>
      </c>
      <c r="S248">
        <f>HYPERLINK("https://klasma.github.io/Logging_2482/artfynd/A 737-2025 artfynd.xlsx", "A 737-2025")</f>
        <v/>
      </c>
      <c r="T248">
        <f>HYPERLINK("https://klasma.github.io/Logging_2482/kartor/A 737-2025 karta.png", "A 737-2025")</f>
        <v/>
      </c>
      <c r="V248">
        <f>HYPERLINK("https://klasma.github.io/Logging_2482/klagomål/A 737-2025 FSC-klagomål.docx", "A 737-2025")</f>
        <v/>
      </c>
      <c r="W248">
        <f>HYPERLINK("https://klasma.github.io/Logging_2482/klagomålsmail/A 737-2025 FSC-klagomål mail.docx", "A 737-2025")</f>
        <v/>
      </c>
      <c r="X248">
        <f>HYPERLINK("https://klasma.github.io/Logging_2482/tillsyn/A 737-2025 tillsynsbegäran.docx", "A 737-2025")</f>
        <v/>
      </c>
      <c r="Y248">
        <f>HYPERLINK("https://klasma.github.io/Logging_2482/tillsynsmail/A 737-2025 tillsynsbegäran mail.docx", "A 737-2025")</f>
        <v/>
      </c>
    </row>
    <row r="249" ht="15" customHeight="1">
      <c r="A249" t="inlineStr">
        <is>
          <t>A 1016-2025</t>
        </is>
      </c>
      <c r="B249" s="1" t="n">
        <v>45665</v>
      </c>
      <c r="C249" s="1" t="n">
        <v>45692</v>
      </c>
      <c r="D249" t="inlineStr">
        <is>
          <t>VÄSTERBOTTENS LÄN</t>
        </is>
      </c>
      <c r="E249" t="inlineStr">
        <is>
          <t>SKELLEFTEÅ</t>
        </is>
      </c>
      <c r="G249" t="n">
        <v>15.6</v>
      </c>
      <c r="H249" t="n">
        <v>1</v>
      </c>
      <c r="I249" t="n">
        <v>0</v>
      </c>
      <c r="J249" t="n">
        <v>0</v>
      </c>
      <c r="K249" t="n">
        <v>1</v>
      </c>
      <c r="L249" t="n">
        <v>0</v>
      </c>
      <c r="M249" t="n">
        <v>0</v>
      </c>
      <c r="N249" t="n">
        <v>0</v>
      </c>
      <c r="O249" t="n">
        <v>1</v>
      </c>
      <c r="P249" t="n">
        <v>1</v>
      </c>
      <c r="Q249" t="n">
        <v>1</v>
      </c>
      <c r="R249" s="2" t="inlineStr">
        <is>
          <t>Knärot</t>
        </is>
      </c>
      <c r="S249">
        <f>HYPERLINK("https://klasma.github.io/Logging_2482/artfynd/A 1016-2025 artfynd.xlsx", "A 1016-2025")</f>
        <v/>
      </c>
      <c r="T249">
        <f>HYPERLINK("https://klasma.github.io/Logging_2482/kartor/A 1016-2025 karta.png", "A 1016-2025")</f>
        <v/>
      </c>
      <c r="U249">
        <f>HYPERLINK("https://klasma.github.io/Logging_2482/knärot/A 1016-2025 karta knärot.png", "A 1016-2025")</f>
        <v/>
      </c>
      <c r="V249">
        <f>HYPERLINK("https://klasma.github.io/Logging_2482/klagomål/A 1016-2025 FSC-klagomål.docx", "A 1016-2025")</f>
        <v/>
      </c>
      <c r="W249">
        <f>HYPERLINK("https://klasma.github.io/Logging_2482/klagomålsmail/A 1016-2025 FSC-klagomål mail.docx", "A 1016-2025")</f>
        <v/>
      </c>
      <c r="X249">
        <f>HYPERLINK("https://klasma.github.io/Logging_2482/tillsyn/A 1016-2025 tillsynsbegäran.docx", "A 1016-2025")</f>
        <v/>
      </c>
      <c r="Y249">
        <f>HYPERLINK("https://klasma.github.io/Logging_2482/tillsynsmail/A 1016-2025 tillsynsbegäran mail.docx", "A 1016-2025")</f>
        <v/>
      </c>
    </row>
    <row r="250" ht="15" customHeight="1">
      <c r="A250" t="inlineStr">
        <is>
          <t>A 1694-2025</t>
        </is>
      </c>
      <c r="B250" s="1" t="n">
        <v>45670</v>
      </c>
      <c r="C250" s="1" t="n">
        <v>45692</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45692</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45692</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45692</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45692</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45692</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45692</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45692</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45692</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45692</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45692</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45692</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45692</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45692</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45692</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45692</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45692</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45692</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45692</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45692</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45692</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45692</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45692</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45692</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45692</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45692</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45692</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45692</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45692</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45692</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45692</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45692</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45692</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45692</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45692</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45692</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45692</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45692</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45692</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45692</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45692</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45692</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45692</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45692</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45692</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45692</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45692</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45692</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45692</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45692</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45692</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45692</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45692</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45692</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45692</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45692</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45692</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45692</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45692</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45692</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45692</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45692</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45692</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45692</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45692</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45692</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45692</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45692</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45692</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45692</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45692</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45692</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45692</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45692</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45692</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45692</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45692</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45692</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45692</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45692</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45692</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45692</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45692</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45692</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45692</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45692</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45692</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45692</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45692</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45692</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45692</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45692</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45692</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45692</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45692</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45692</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45692</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45692</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45692</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45692</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45692</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45692</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45692</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45692</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45692</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45692</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45692</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45692</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45692</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45692</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45692</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45692</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45692</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45692</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45692</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45692</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45692</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45692</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45692</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45692</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45692</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45692</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45692</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45692</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45692</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45692</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45692</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45692</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45692</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45692</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45692</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45692</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45692</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45692</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45692</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45692</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45692</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45692</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45692</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45692</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45692</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45692</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45692</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45692</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45692</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45692</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45692</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45692</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45692</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45692</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45692</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45692</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45692</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45692</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45692</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45692</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45692</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45692</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45692</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45692</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45692</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45692</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45692</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45692</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45692</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45692</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45692</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45692</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45692</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45692</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45692</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45692</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45692</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45692</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45692</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45692</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45692</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45692</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45692</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45692</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45692</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45692</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45692</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45692</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45692</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45692</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45692</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45692</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45692</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45692</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45692</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45692</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45692</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45692</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45692</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45692</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45692</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45692</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45692</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45692</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45692</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45692</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45692</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45692</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45692</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45692</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45692</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45692</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45692</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45692</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45692</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45692</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45692</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45692</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45692</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45692</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45692</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45692</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45692</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45692</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45692</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45692</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45692</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45692</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45692</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45692</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45692</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45692</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45692</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45692</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45692</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45692</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45692</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45692</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45692</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45692</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45692</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45692</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45692</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45692</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45692</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45692</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45692</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45692</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45692</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45692</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45692</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45692</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45692</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45692</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45692</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45692</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45692</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45692</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45692</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45692</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45692</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45692</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45692</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45692</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45692</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45692</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45692</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45692</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45692</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45692</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45692</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45692</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45692</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45692</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45692</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45692</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45692</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45692</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45692</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45692</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45692</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45692</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45692</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45692</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45692</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45692</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45692</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45692</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45692</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45692</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45692</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45692</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45692</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45692</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45692</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45692</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45692</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45692</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45692</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45692</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45692</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45692</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45692</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45692</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45692</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45692</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45692</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45692</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45692</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45692</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45692</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45692</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45692</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45692</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45692</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45692</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45692</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45692</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45692</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45692</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45692</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45692</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45692</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45692</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45692</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45692</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45692</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45692</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45692</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45692</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45692</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45692</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45692</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45692</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45692</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45692</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45692</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45692</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45692</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45692</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45692</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45692</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45692</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45692</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45692</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45692</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45692</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45692</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45692</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45692</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45692</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45692</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45692</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45692</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45692</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45692</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45692</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45692</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45692</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45692</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45692</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45692</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45692</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45692</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45692</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45692</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45692</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45692</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45692</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45692</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45692</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45692</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45692</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45692</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45692</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45692</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45692</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45692</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45692</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45692</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45692</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45692</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45692</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45692</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45692</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45692</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45692</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45692</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45692</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45692</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45692</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45692</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45692</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45692</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45692</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45692</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45692</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45692</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45692</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45692</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45692</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45692</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45692</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45692</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45692</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45692</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45692</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45692</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45692</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45692</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45692</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45692</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45692</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45692</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45692</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45692</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45692</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45692</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45692</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45692</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45692</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45692</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45692</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45692</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45692</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45692</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45692</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45692</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45692</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45692</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45692</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45692</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45692</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45692</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45692</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45692</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45692</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45692</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45692</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45692</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45692</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45692</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45692</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45692</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45692</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45692</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45692</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45692</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45692</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45692</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45692</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45692</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45692</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45692</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45692</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45692</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45692</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45692</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45692</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45692</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45692</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45692</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45692</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45692</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45692</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45692</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45692</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45692</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45692</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45692</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45692</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45692</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45692</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45692</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45692</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45692</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45692</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45692</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45692</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45692</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45692</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45692</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45692</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45692</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45692</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45692</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45692</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45692</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45692</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45692</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45692</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45692</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45692</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45692</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45692</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45692</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45692</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45692</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45692</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45692</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45692</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45692</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45692</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45692</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45692</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45692</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45692</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45692</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45692</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45692</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45692</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45692</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45692</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45692</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45692</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45692</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45692</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45692</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45692</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45692</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45692</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45692</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45692</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45692</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45692</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45692</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45692</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45692</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45692</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45692</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45692</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45692</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45692</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45692</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45692</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45692</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45692</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45692</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45692</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45692</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45692</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45692</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45692</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45692</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45692</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45692</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45692</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45692</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45692</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45692</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45692</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45692</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45692</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45692</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45692</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45692</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45692</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45692</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45692</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45692</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45692</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45692</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45692</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45692</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45692</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45692</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45692</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45692</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45692</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45692</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45692</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45692</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45692</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45692</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45692</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45692</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45692</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45692</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45692</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45692</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45692</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45692</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45692</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45692</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45692</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45692</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45692</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45692</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45692</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45692</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45692</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45692</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45692</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45692</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45692</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45692</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45692</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45692</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45692</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45692</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45692</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45692</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45692</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45692</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45692</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45692</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45692</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45692</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45692</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45692</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45692</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45692</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45692</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45692</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45692</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45692</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45692</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45692</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45692</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45692</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45692</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45692</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45692</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45692</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45692</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45692</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45692</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45692</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45692</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45692</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45692</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45692</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45692</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45692</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45692</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45692</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45692</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45692</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45692</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45692</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45692</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45692</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45692</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45692</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45692</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45692</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45692</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45692</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45692</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45692</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45692</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45692</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45692</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45692</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45692</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45692</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45692</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45692</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45692</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45692</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45692</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45692</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45692</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45692</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45692</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45692</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45692</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45692</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45692</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45692</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45692</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45692</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45692</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45692</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45692</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45692</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45692</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45692</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45692</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45692</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45692</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45692</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45692</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45692</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45692</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45692</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45692</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45692</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45692</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45692</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45692</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45692</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45692</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45692</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45692</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45692</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45692</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45692</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45692</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45692</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45692</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45692</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45692</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45692</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45692</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45692</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45692</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45692</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45692</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45692</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45692</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45692</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45692</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45692</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45692</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45692</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45692</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45692</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45692</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45692</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45692</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45692</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45692</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45692</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45692</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45692</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45692</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45692</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45692</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45692</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45692</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45692</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45692</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45692</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45692</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45692</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45692</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45692</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45692</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45692</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45692</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45692</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45692</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45692</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45692</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45692</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45692</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45692</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45692</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45692</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45692</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45692</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45692</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45692</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45692</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45692</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45692</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45692</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45692</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45692</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45692</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45692</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45692</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45692</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45692</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45692</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45692</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45692</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45692</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45692</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45692</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45692</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45692</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45692</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45692</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45692</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45692</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45692</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45692</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45692</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45692</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45692</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45692</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45692</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45692</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45692</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45692</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45692</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45692</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45692</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45692</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45692</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45692</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45692</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45692</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45692</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45692</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45692</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45692</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45692</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45692</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45692</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45692</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45692</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45692</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45692</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45692</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45692</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45692</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45692</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45692</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45692</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45692</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45692</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45692</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45692</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45692</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45692</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45692</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45692</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45692</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45692</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45692</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45692</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45692</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45692</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45692</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45692</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45692</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45692</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45692</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45692</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45692</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45692</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45692</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45692</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45692</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45692</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45692</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45692</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45692</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45692</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45692</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45692</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45692</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45692</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45692</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45692</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45692</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45692</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45692</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45692</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45692</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45692</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45692</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45692</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45692</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45692</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45692</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45692</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45692</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45692</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45692</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45692</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45692</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45692</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45692</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45692</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45692</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45692</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45692</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45692</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45692</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45692</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45692</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45692</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45692</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45692</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45692</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45692</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45692</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45692</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45692</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45692</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45692</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45692</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45692</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45692</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45692</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45692</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45692</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45692</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45692</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45692</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45692</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45692</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45692</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45692</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45692</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45692</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45692</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45692</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45692</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45692</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45692</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45692</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45692</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45692</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45692</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45692</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45692</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45692</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45692</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45692</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45692</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45692</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45692</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45692</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45692</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45692</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45692</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45692</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45692</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45692</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45692</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45692</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45692</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45692</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45692</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45692</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45692</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45692</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45692</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45692</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45692</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45692</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45692</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45692</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45692</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45692</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45692</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45692</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45692</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45692</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45692</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45692</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45692</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45692</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45692</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45692</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45692</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45692</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45692</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45692</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45692</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45692</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45692</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45692</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45692</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45692</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45692</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45692</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45692</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45692</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45692</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45692</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45692</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45692</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45692</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45692</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45692</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45692</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45692</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45692</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45692</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45692</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45692</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45692</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45692</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45692</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45692</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45692</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45692</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45692</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45692</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45692</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45692</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45692</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45692</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45692</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45692</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45692</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45692</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45692</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45692</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45692</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45692</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45692</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45692</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45692</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45692</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45692</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45692</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45692</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45692</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45692</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45692</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45692</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45692</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45692</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45692</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45692</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45692</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45692</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45692</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45692</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45692</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45692</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45692</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45692</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45692</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45692</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45692</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45692</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45692</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45692</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45692</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45692</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45692</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45692</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45692</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45692</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45692</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45692</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45692</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45692</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45692</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45692</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45692</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45692</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45692</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45692</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45692</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45692</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45692</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45692</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45692</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45692</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45692</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45692</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45692</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45692</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45692</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45692</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45692</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45692</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45692</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45692</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45692</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45692</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45692</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45692</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45692</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45692</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45692</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45692</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45692</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45692</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45692</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45692</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45692</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45692</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45692</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45692</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45692</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45692</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45692</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45692</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45692</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45692</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45692</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45692</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45692</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45692</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45692</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45692</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45692</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45692</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45692</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45692</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45692</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45692</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45692</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45692</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45692</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45692</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45692</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45692</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45692</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45692</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45692</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45692</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45692</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45692</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45692</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45692</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45692</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45692</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45692</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45692</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45692</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45692</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45692</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45692</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45692</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45692</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45692</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45692</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45692</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45692</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45692</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45692</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45692</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45692</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45692</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45692</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45692</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45692</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45692</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45692</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45692</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45692</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45692</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45692</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45692</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45692</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45692</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45692</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45692</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45692</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45692</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45692</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45692</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45692</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45692</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45692</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45692</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45692</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45692</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45692</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45692</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45692</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45692</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45692</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45692</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45692</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45692</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45692</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45692</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45692</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45692</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45692</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45692</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45692</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45692</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45692</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45692</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45692</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45692</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45692</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45692</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45692</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45692</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45692</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45692</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45692</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45692</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45692</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45692</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45692</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45692</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45692</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45692</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45692</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45692</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45692</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45692</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45692</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45692</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45692</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45692</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45692</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45692</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45692</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45692</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45692</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45692</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45692</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45692</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45692</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45692</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45692</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45692</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45692</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45692</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45692</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45692</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45692</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45692</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45692</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45692</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45692</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45692</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45692</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45692</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45692</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45692</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45692</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45692</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45692</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45692</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45692</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45692</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45692</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45692</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45692</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45692</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45692</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45692</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45692</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45692</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45692</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45692</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45692</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45692</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45692</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45692</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45692</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45692</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45692</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45692</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45692</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45692</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45692</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45692</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45692</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45692</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45692</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45692</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45692</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45692</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45692</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45692</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45692</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45692</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45692</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45692</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45692</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45692</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45692</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45692</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45692</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45692</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45692</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45692</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45692</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45692</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45692</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45692</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45692</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45692</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45692</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45692</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45692</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45692</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45692</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45692</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45692</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45692</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45692</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45692</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45692</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45692</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45692</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45692</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45692</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45692</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45692</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45692</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45692</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45692</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45692</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45692</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45692</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45692</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45692</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45692</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45692</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45692</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45692</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45692</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45692</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45692</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45692</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45692</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45692</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45692</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45692</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45692</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45692</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45692</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45692</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45692</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45692</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45692</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45692</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45692</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45692</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45692</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45692</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45692</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45692</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45692</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45692</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45692</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45692</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45692</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45692</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45692</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45692</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45692</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45692</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45692</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45692</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45692</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45692</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45692</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45692</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45692</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45692</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45692</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45692</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45692</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45692</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45692</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45692</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45692</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45692</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45692</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45692</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45692</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45692</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45692</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45692</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45692</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45692</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45692</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45692</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45692</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45692</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45692</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45692</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45692</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45692</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45692</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45692</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45692</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45692</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45692</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45692</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45692</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45692</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45692</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45692</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45692</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45692</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45692</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45692</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45692</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45692</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45692</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45692</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45692</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45692</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45692</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45692</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45692</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45692</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45692</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45692</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45692</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45692</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45692</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45692</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45692</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45692</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45692</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45692</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45692</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45692</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45692</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45692</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45692</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45692</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45692</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45692</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45692</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45692</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45692</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45692</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45692</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45692</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45692</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45692</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45692</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45692</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45692</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45692</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45692</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45692</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45692</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45692</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45692</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45692</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45692</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45692</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45692</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45692</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45692</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45692</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45692</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45692</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45692</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45692</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45692</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45692</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45692</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45692</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45692</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45692</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45692</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45692</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45692</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45692</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45692</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45692</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45692</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45692</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45692</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45692</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45692</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45692</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45692</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45692</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45692</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45692</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45692</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45692</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45692</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45692</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45692</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45692</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45692</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45692</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45692</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45692</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45692</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45692</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45692</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45692</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45692</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45692</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45692</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45692</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45692</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45692</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45692</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45692</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45692</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45692</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45692</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45692</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45692</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45692</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45692</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45692</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45692</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45692</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45692</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45692</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45692</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45692</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45692</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45692</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45692</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45692</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45692</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45692</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45692</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45692</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45692</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45692</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45692</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45692</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45692</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45692</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45692</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45692</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45692</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45692</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45692</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45692</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45692</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45692</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45692</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45692</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45692</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45692</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45692</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45692</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45692</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45692</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45692</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45692</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45692</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45692</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45692</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45692</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45692</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45692</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45692</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45692</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45692</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45692</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45692</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45692</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45692</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45692</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45692</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45692</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45692</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45692</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45692</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45692</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45692</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45692</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45692</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45692</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45692</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45692</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45692</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45692</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45692</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45692</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45692</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45692</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45692</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45692</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45692</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45692</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45692</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45692</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45692</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45692</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45692</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45692</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45692</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45692</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45692</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45692</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45692</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45692</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45692</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45692</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45692</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45692</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45692</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45692</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45692</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45692</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45692</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45692</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45692</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45692</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45692</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45692</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45692</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45692</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45692</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45692</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45692</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45692</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45692</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45692</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45692</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45692</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45692</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45692</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45692</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45692</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45692</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45692</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45692</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45692</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45692</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45692</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45692</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45692</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45692</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45692</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45692</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45692</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45692</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45692</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45692</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45692</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45692</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45692</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45692</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45692</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45692</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45692</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45692</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45692</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45692</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45692</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45692</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45692</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45692</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45692</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45692</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45692</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45692</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45692</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45692</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45692</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45692</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45692</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45692</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45692</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45692</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45692</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45692</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45692</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45692</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45692</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45692</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45692</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45692</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45692</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45692</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45692</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45692</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45692</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45692</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45692</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45692</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45692</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45692</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45692</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45692</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45692</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45692</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45692</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45692</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45692</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45692</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45692</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45692</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45692</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45692</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45692</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45692</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45692</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45692</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45692</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45692</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45692</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45692</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45692</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45692</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45692</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45692</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45692</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45692</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45692</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45692</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45692</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45692</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45692</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45692</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45692</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45692</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45692</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45692</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45692</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45692</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45692</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45692</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45692</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45692</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45692</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45692</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45692</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45692</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45692</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45692</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45692</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45692</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45692</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45692</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45692</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45692</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45692</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45692</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45692</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45692</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45692</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45692</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45692</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45692</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45692</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45692</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45692</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45692</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45692</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45692</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45692</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45692</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45692</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45692</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45692</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45692</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45692</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45692</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45692</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45692</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45692</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45692</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45692</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45692</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45692</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45692</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45692</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45692</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45692</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45692</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45692</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45692</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45692</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45692</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45692</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45692</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45692</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45692</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45692</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45692</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45692</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45692</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45692</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45692</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45692</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45692</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45692</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45692</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45692</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45692</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45692</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45692</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45692</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45692</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45692</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45692</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45692</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45692</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45692</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45692</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45692</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45692</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45692</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45692</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45692</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45692</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45692</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45692</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45692</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45692</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45692</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45692</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45692</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45692</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45692</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45692</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45692</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45692</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45692</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45692</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45692</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45692</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45692</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45692</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45692</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45692</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45692</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45692</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45692</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45692</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45692</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45692</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45692</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45692</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45692</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45692</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45692</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45692</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45692</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45692</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45692</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45692</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45692</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45692</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45692</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45692</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45692</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45692</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45692</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45692</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45692</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45692</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45692</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45692</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45692</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45692</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45692</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45692</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45692</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45692</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45692</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45692</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45692</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45692</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45692</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45692</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45692</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45692</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45692</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45692</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45692</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45692</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45692</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45692</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45692</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45692</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45692</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45692</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45692</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45692</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45692</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45692</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45692</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45692</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45692</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45692</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45692</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45692</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45692</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45692</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45692</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45692</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45692</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45692</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45692</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45692</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45692</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45692</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45692</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45692</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45692</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45692</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45692</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45692</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45692</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45692</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45692</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45692</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45692</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45692</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45692</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45692</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45692</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45692</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45692</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45692</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45692</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45692</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45692</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45692</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45692</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45692</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45692</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45692</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45692</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45692</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45692</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45692</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45692</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45692</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45692</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45692</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45692</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45692</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45692</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45692</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45692</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45692</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45692</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45692</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45692</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45692</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45692</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45692</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45692</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45692</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45692</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45692</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45692</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45692</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45692</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45692</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45692</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45692</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45692</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45692</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45692</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45692</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45692</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45692</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45692</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45692</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45692</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45692</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45692</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45692</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45692</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45692</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45692</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45692</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45692</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45692</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45692</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45692</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45692</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45692</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45692</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45692</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45692</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45692</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45692</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45692</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45692</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45692</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45692</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45692</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45692</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45692</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45692</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45692</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45692</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45692</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45692</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45692</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45692</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45692</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45692</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45692</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45692</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45692</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45692</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45692</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45692</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45692</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45692</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45692</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45692</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45692</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45692</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45692</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45692</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45692</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45692</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45692</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45692</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45692</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45692</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45692</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45692</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45692</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45692</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45692</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45692</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45692</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45692</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45692</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45692</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45692</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45692</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45692</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45692</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45692</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45692</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45692</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45692</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45692</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45692</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45692</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45692</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45692</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45692</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45692</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45692</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45692</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45692</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45692</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45692</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45692</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45692</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45692</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45692</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45692</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45692</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45692</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45692</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45692</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45692</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45692</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45692</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45692</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45692</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45692</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45692</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45692</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45692</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45692</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45692</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45692</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45692</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45692</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45692</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45692</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45692</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45692</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45692</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45692</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45692</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45692</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45692</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45692</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45692</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45692</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45692</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45692</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45692</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45692</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45692</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45692</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45692</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45692</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45692</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45692</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45692</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45692</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45692</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45692</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45692</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45692</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45692</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45692</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45692</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45692</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45692</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45692</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45692</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45692</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45692</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45692</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45692</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45692</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45692</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45692</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45692</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45692</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45692</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45692</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45692</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45692</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45692</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45692</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45692</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45692</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45692</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45692</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45692</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45692</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45692</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45692</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45692</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45692</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45692</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45692</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45692</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45692</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45692</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45692</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45692</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45692</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45692</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45692</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45692</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45692</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45692</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45692</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45692</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45692</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45692</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45692</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45692</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45692</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45692</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45692</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45692</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45692</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45692</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45692</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45692</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45692</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45692</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45692</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45692</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45692</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45692</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45692</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45692</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45692</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45692</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45692</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45692</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45692</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45692</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45692</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45692</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45692</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45692</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45692</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45692</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45692</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45692</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45692</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45692</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45692</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45692</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45692</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45692</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45692</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45692</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45692</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45692</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45692</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45692</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45692</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45692</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45692</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45692</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45692</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45692</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45692</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45692</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45692</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45692</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45692</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45692</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45692</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45692</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45692</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45692</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45692</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45692</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45692</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45692</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45692</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45692</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45692</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45692</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45692</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45692</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45692</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45692</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45692</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45692</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45692</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45692</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45692</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45692</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45692</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45692</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45692</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45692</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45692</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45692</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45692</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45692</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45692</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45692</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45692</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45692</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45692</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45692</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45692</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45692</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45692</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45692</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45692</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45692</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45692</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45692</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45692</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45692</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45692</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45692</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45692</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45692</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45692</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45692</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45692</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45692</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45692</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45692</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45692</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45692</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45692</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45692</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45692</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45692</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45692</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45692</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45692</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45692</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45692</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45692</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45692</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45692</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45692</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45692</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45692</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45692</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45692</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45692</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45692</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45692</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45692</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45692</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45692</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45692</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45692</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45692</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45692</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45692</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45692</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45692</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45692</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45692</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45692</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45692</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45692</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45692</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45692</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45692</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45692</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45692</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45692</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45692</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45692</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45692</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45692</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45692</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45692</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45692</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45692</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45692</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45692</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45692</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45692</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45692</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45692</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45692</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45692</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45692</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45692</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45692</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45692</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45692</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45692</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45692</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45692</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45692</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45692</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45692</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45692</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45692</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45692</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45692</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45692</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45692</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45692</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45692</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45692</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45692</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45692</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45692</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45692</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45692</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45692</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45692</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45692</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45692</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45692</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45692</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45692</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45692</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45692</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45692</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45692</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45692</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45692</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45692</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45692</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45692</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45692</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45692</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45692</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45692</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45692</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45692</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45692</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45692</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45692</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45692</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45692</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45692</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45692</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45692</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45692</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45692</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45692</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45692</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45692</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45692</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45692</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45692</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45692</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45692</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45692</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45692</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45692</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45692</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45692</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45692</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45692</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45692</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45692</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45692</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45692</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45692</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45692</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45692</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45692</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45692</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45692</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45692</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45692</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45692</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45692</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45692</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45692</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45692</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45692</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45692</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45692</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45692</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45692</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45692</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45692</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45692</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45692</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45692</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45692</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45692</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45692</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45692</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45692</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45692</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45692</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45692</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45692</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45692</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45692</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45692</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45692</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45692</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45692</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45692</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45692</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45692</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45692</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45692</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45692</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45692</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45692</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45692</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45692</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45692</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45692</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45692</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45692</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45692</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45692</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45692</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45692</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45692</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45692</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45692</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45692</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45692</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45692</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45692</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45692</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45692</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45692</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45692</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45692</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45692</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45692</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45692</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45692</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45692</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45692</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45692</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45692</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45692</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45692</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45692</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45692</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45692</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45692</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45692</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45692</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45692</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45692</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45692</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45692</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45692</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45692</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45692</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45692</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45692</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45692</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45692</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45692</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45692</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45692</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45692</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45692</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45692</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45692</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45692</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45692</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45692</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45692</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45692</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45692</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45692</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45692</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45692</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45692</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45692</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45692</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45692</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45692</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45692</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45692</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45692</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45692</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45692</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45692</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45692</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45692</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45692</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45692</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45692</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45692</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45692</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45692</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45692</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45692</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45692</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45692</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45692</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45692</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45692</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45692</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45692</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45692</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45692</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45692</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45692</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45692</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45692</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45692</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45692</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45692</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45692</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45692</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45692</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45692</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45692</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45692</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45692</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45692</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45692</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45692</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45692</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45692</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45692</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45692</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45692</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45692</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45692</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45692</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45692</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45692</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45692</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45692</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45692</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45692</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45692</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45692</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45692</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45692</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45692</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45692</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45692</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45692</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45692</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45692</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45692</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45692</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45692</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45692</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45692</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45692</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45692</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45692</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45692</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45692</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45692</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45692</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45692</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45692</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45692</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45692</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45692</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45692</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45692</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45692</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45692</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45692</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45692</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45692</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45692</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45692</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45692</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45692</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45692</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45692</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45692</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45692</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45692</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45692</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45692</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45692</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45692</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45692</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45692</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45692</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45692</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45692</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45692</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45692</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45692</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45692</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45692</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45692</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45692</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45692</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45692</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45692</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45692</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45692</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45692</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45692</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45692</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45692</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45692</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45692</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45692</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45692</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45692</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45692</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45692</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45692</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45692</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45692</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45692</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45692</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45692</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45692</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45692</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45692</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45692</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45692</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45692</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45692</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45692</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45692</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45692</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45692</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45692</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45692</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45692</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45692</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45692</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45692</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45692</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45692</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45692</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45692</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45692</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45692</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45692</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45692</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45692</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45692</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45692</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45692</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45692</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45692</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45692</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45692</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45692</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45692</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45692</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45692</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45692</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45692</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45692</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45692</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45692</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45692</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45692</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45692</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45692</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45692</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45692</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45692</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45692</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45692</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45692</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45692</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45692</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45692</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45692</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45692</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45692</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45692</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45692</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45692</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45692</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45692</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45692</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45692</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45692</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45692</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45692</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45692</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45692</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45692</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45692</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45692</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45692</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45692</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45692</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45692</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45692</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45692</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45692</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45692</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45692</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45692</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45692</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45692</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45692</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45692</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45692</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45692</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45692</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45692</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45692</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45692</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45692</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45692</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45692</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45692</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45692</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45692</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45692</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45692</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45692</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45692</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45692</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45692</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45692</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45692</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45692</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45692</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45692</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45692</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45692</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45692</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45692</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45692</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45692</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45692</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45692</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45692</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45692</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45692</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45692</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45692</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45692</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45692</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45692</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45692</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45692</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45692</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45692</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45692</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45692</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45692</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45692</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45692</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45692</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45692</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45692</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45692</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45692</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45692</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45692</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45692</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45692</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45692</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45692</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45692</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45692</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45692</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45692</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45692</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45692</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45692</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45692</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45692</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45692</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45692</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45692</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45692</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45692</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45692</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45692</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45692</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45692</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45692</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45692</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45692</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45692</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45692</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45692</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45692</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45692</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45692</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45692</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45692</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45692</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45692</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45692</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45692</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45692</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45692</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45692</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45692</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45692</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45692</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45692</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45692</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45692</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45692</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45692</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45692</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45692</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45692</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45692</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45692</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45692</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45692</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45692</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45692</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45692</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45692</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45692</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45692</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45692</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45692</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45692</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45692</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45692</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45692</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45692</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45692</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45692</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45692</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45692</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45692</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45692</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45692</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45692</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45692</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45692</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45692</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45692</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45692</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45692</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45692</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45692</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45692</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45692</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45692</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45692</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45692</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45692</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45692</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45692</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45692</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45692</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45692</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45692</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45692</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45692</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45692</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45692</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45692</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45692</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45692</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45692</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45692</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45692</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45692</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45692</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45692</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45692</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45692</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45692</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45692</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45692</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45692</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45692</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45692</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45692</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45692</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45692</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45692</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45692</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45692</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45692</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45692</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45692</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45692</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45692</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45692</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45692</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45692</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45692</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45692</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45692</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45692</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45692</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45692</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45692</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45692</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45692</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45692</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45692</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45692</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45692</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45692</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45692</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45692</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45692</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45692</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45692</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45692</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45692</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45692</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45692</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45692</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45692</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45692</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45692</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45692</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45692</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45692</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45692</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45692</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45692</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45692</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45692</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45692</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45692</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45692</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45692</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45692</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45692</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45692</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45692</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45692</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45692</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45692</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45692</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45692</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45692</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45692</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45692</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45692</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45692</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45692</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45692</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45692</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45692</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45692</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45692</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45692</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45692</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45692</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45692</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45692</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45692</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45692</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45692</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45692</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45692</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45692</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45692</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45692</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45692</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45692</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45692</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45692</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45692</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45692</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45692</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45692</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45692</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45692</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45692</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45692</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45692</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45692</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45692</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45692</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45692</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45692</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45692</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45692</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45692</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45692</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45692</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45692</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45692</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45692</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45692</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45692</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45692</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45692</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45692</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45692</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45692</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45692</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45692</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45692</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45692</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45692</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45692</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45692</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45692</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45692</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45692</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45692</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45692</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45692</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45692</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45692</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45692</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45692</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45692</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45692</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45692</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45692</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45692</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45692</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45692</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45692</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45692</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45692</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45692</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45692</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45692</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45692</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45692</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45692</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45692</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45692</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45692</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45692</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45692</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45692</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45692</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45692</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45692</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45692</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45692</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45692</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45692</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45692</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45692</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45692</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45692</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45692</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45692</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45692</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45692</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45692</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45692</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45692</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45692</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45692</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45692</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45692</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45692</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45692</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45692</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45692</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45692</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45692</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45692</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45692</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45692</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45692</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45692</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45692</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45692</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45692</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45692</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45692</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45692</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45692</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45692</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45692</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45692</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45692</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45692</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45692</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45692</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45692</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45692</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45692</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45692</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45692</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45692</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45692</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45692</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45692</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45692</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45692</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45692</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45692</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45692</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45692</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45692</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45692</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45692</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45692</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45692</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45692</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45692</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45692</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45692</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45692</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45692</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45692</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45692</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45692</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45692</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45692</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45692</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45692</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45692</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45692</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45692</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45692</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45692</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45692</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45692</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45692</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45692</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45692</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45692</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45692</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45692</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45692</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45692</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45692</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45692</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45692</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45692</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45692</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45692</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45692</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45692</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45692</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45692</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45692</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45692</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45692</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45692</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45692</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45692</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45692</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45692</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45692</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45692</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45692</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45692</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45692</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45692</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45692</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45692</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45692</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45692</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45692</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45692</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45692</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45692</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45692</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45692</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45692</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45692</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45692</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45692</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45692</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45692</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45692</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45692</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45692</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45692</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45692</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45692</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45692</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45692</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45692</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45692</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45692</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45692</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45692</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45692</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45692</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45692</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45692</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45692</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45692</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45692</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45692</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45692</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45692</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45692</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45692</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45692</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45692</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45692</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45692</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45692</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45692</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45692</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45692</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45692</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45692</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45692</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45692</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45692</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45692</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45692</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45692</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45692</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45692</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45692</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45692</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45692</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45692</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45692</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45692</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45692</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45692</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45692</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45692</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45692</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45692</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45692</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45692</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45692</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45692</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45692</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45692</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45692</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45692</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45692</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45692</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45692</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45692</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45692</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45692</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45692</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45692</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45692</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45692</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45692</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45692</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45692</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45692</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45692</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45692</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45692</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45692</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45692</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45692</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45692</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45692</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45692</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45692</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45692</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45692</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45692</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45692</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45692</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45692</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45692</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45692</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45692</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45692</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45692</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45692</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45692</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45692</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45692</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45692</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45692</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45692</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45692</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45692</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45692</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45692</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45692</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45692</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45692</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45692</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45692</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45692</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45692</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45692</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45692</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45692</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45692</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45692</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45692</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45692</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45692</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45692</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45692</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45692</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45692</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45692</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45692</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45692</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45692</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45692</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45692</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45692</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45692</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45692</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45692</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45692</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45692</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45692</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45692</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45692</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45692</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45692</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45692</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45692</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45692</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45692</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45692</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45692</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45692</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45692</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45692</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45692</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45692</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45692</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45692</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45692</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45692</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45692</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45692</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45692</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45692</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45692</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45692</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45692</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45692</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45692</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45692</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45692</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45692</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45692</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45692</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45692</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45692</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45692</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45692</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45692</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45692</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45692</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45692</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45692</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45692</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45692</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45692</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45692</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45692</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45692</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45692</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45692</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45692</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45692</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45692</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45692</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45692</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45692</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45692</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45692</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45692</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45692</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45692</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45692</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45692</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45692</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45692</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45692</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45692</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45692</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45692</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45692</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45692</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45692</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45692</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45692</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45692</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45692</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45692</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45692</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45692</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45692</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45692</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45692</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45692</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45692</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45692</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45692</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45692</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45692</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45692</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45692</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45692</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45692</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45692</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45692</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45692</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45692</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45692</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45692</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45692</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45692</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45692</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45692</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45692</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45692</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45692</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45692</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45692</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45692</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45692</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45692</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45692</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45692</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45692</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45692</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45692</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45692</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45692</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45692</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45692</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45692</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45692</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45692</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45692</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45692</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45692</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45692</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45692</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45692</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45692</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45692</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45692</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45692</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45692</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641-2025</t>
        </is>
      </c>
      <c r="B3697" s="1" t="n">
        <v>45664</v>
      </c>
      <c r="C3697" s="1" t="n">
        <v>45692</v>
      </c>
      <c r="D3697" t="inlineStr">
        <is>
          <t>VÄSTERBOTTENS LÄN</t>
        </is>
      </c>
      <c r="E3697" t="inlineStr">
        <is>
          <t>SKELLEFTEÅ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45692</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901-2025</t>
        </is>
      </c>
      <c r="B3699" s="1" t="n">
        <v>45664</v>
      </c>
      <c r="C3699" s="1" t="n">
        <v>45692</v>
      </c>
      <c r="D3699" t="inlineStr">
        <is>
          <t>VÄSTERBOTTENS LÄN</t>
        </is>
      </c>
      <c r="E3699" t="inlineStr">
        <is>
          <t>SKELLEFTEÅ</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787-2025</t>
        </is>
      </c>
      <c r="B3700" s="1" t="n">
        <v>45665</v>
      </c>
      <c r="C3700" s="1" t="n">
        <v>45692</v>
      </c>
      <c r="D3700" t="inlineStr">
        <is>
          <t>VÄSTERBOTTENS LÄN</t>
        </is>
      </c>
      <c r="E3700" t="inlineStr">
        <is>
          <t>SKELLEFTEÅ</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867-2025</t>
        </is>
      </c>
      <c r="B3701" s="1" t="n">
        <v>45665</v>
      </c>
      <c r="C3701" s="1" t="n">
        <v>45692</v>
      </c>
      <c r="D3701" t="inlineStr">
        <is>
          <t>VÄSTERBOTTENS LÄN</t>
        </is>
      </c>
      <c r="E3701" t="inlineStr">
        <is>
          <t>SKELLEFTEÅ</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714-2025</t>
        </is>
      </c>
      <c r="B3702" s="1" t="n">
        <v>45665</v>
      </c>
      <c r="C3702" s="1" t="n">
        <v>45692</v>
      </c>
      <c r="D3702" t="inlineStr">
        <is>
          <t>VÄSTERBOTTENS LÄN</t>
        </is>
      </c>
      <c r="E3702" t="inlineStr">
        <is>
          <t>SKELLEFTEÅ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908-2025</t>
        </is>
      </c>
      <c r="B3703" s="1" t="n">
        <v>45665</v>
      </c>
      <c r="C3703" s="1" t="n">
        <v>45692</v>
      </c>
      <c r="D3703" t="inlineStr">
        <is>
          <t>VÄSTERBOTTENS LÄN</t>
        </is>
      </c>
      <c r="E3703" t="inlineStr">
        <is>
          <t>SKELLEFTEÅ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1025-2025</t>
        </is>
      </c>
      <c r="B3704" s="1" t="n">
        <v>45665</v>
      </c>
      <c r="C3704" s="1" t="n">
        <v>45692</v>
      </c>
      <c r="D3704" t="inlineStr">
        <is>
          <t>VÄSTERBOTTENS LÄN</t>
        </is>
      </c>
      <c r="E3704" t="inlineStr">
        <is>
          <t>SKELLEFTEÅ</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862-2025</t>
        </is>
      </c>
      <c r="B3705" s="1" t="n">
        <v>45665</v>
      </c>
      <c r="C3705" s="1" t="n">
        <v>45692</v>
      </c>
      <c r="D3705" t="inlineStr">
        <is>
          <t>VÄSTERBOTTENS LÄN</t>
        </is>
      </c>
      <c r="E3705" t="inlineStr">
        <is>
          <t>SKELLEFTEÅ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1004-2025</t>
        </is>
      </c>
      <c r="B3706" s="1" t="n">
        <v>45665</v>
      </c>
      <c r="C3706" s="1" t="n">
        <v>45692</v>
      </c>
      <c r="D3706" t="inlineStr">
        <is>
          <t>VÄSTERBOTTENS LÄN</t>
        </is>
      </c>
      <c r="E3706" t="inlineStr">
        <is>
          <t>SKELLEFTEÅ</t>
        </is>
      </c>
      <c r="G3706" t="n">
        <v>12.1</v>
      </c>
      <c r="H3706" t="n">
        <v>0</v>
      </c>
      <c r="I3706" t="n">
        <v>0</v>
      </c>
      <c r="J3706" t="n">
        <v>0</v>
      </c>
      <c r="K3706" t="n">
        <v>0</v>
      </c>
      <c r="L3706" t="n">
        <v>0</v>
      </c>
      <c r="M3706" t="n">
        <v>0</v>
      </c>
      <c r="N3706" t="n">
        <v>0</v>
      </c>
      <c r="O3706" t="n">
        <v>0</v>
      </c>
      <c r="P3706" t="n">
        <v>0</v>
      </c>
      <c r="Q3706" t="n">
        <v>0</v>
      </c>
      <c r="R3706" s="2" t="inlineStr"/>
    </row>
    <row r="3707" ht="15" customHeight="1">
      <c r="A3707" t="inlineStr">
        <is>
          <t>A 1022-2025</t>
        </is>
      </c>
      <c r="B3707" s="1" t="n">
        <v>45665</v>
      </c>
      <c r="C3707" s="1" t="n">
        <v>45692</v>
      </c>
      <c r="D3707" t="inlineStr">
        <is>
          <t>VÄSTERBOTTENS LÄN</t>
        </is>
      </c>
      <c r="E3707" t="inlineStr">
        <is>
          <t>SKELLEFTEÅ</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951-2025</t>
        </is>
      </c>
      <c r="B3708" s="1" t="n">
        <v>45666</v>
      </c>
      <c r="C3708" s="1" t="n">
        <v>45692</v>
      </c>
      <c r="D3708" t="inlineStr">
        <is>
          <t>VÄSTERBOTTENS LÄN</t>
        </is>
      </c>
      <c r="E3708" t="inlineStr">
        <is>
          <t>SKELLEFTEÅ</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948-2025</t>
        </is>
      </c>
      <c r="B3709" s="1" t="n">
        <v>45666</v>
      </c>
      <c r="C3709" s="1" t="n">
        <v>45692</v>
      </c>
      <c r="D3709" t="inlineStr">
        <is>
          <t>VÄSTERBOTTENS LÄN</t>
        </is>
      </c>
      <c r="E3709" t="inlineStr">
        <is>
          <t>SKELLEFTEÅ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964-2025</t>
        </is>
      </c>
      <c r="B3710" s="1" t="n">
        <v>45666</v>
      </c>
      <c r="C3710" s="1" t="n">
        <v>45692</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1113-2025</t>
        </is>
      </c>
      <c r="B3711" s="1" t="n">
        <v>45666</v>
      </c>
      <c r="C3711" s="1" t="n">
        <v>45692</v>
      </c>
      <c r="D3711" t="inlineStr">
        <is>
          <t>VÄSTERBOTTENS LÄN</t>
        </is>
      </c>
      <c r="E3711" t="inlineStr">
        <is>
          <t>SKELLEFTEÅ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1336-2025</t>
        </is>
      </c>
      <c r="B3712" s="1" t="n">
        <v>45666</v>
      </c>
      <c r="C3712" s="1" t="n">
        <v>45692</v>
      </c>
      <c r="D3712" t="inlineStr">
        <is>
          <t>VÄSTERBOTTENS LÄN</t>
        </is>
      </c>
      <c r="E3712" t="inlineStr">
        <is>
          <t>SKELLEFTEÅ</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1328-2025</t>
        </is>
      </c>
      <c r="B3713" s="1" t="n">
        <v>45666</v>
      </c>
      <c r="C3713" s="1" t="n">
        <v>45692</v>
      </c>
      <c r="D3713" t="inlineStr">
        <is>
          <t>VÄSTERBOTTENS LÄN</t>
        </is>
      </c>
      <c r="E3713" t="inlineStr">
        <is>
          <t>SKELLEFTEÅ</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1244-2025</t>
        </is>
      </c>
      <c r="B3714" s="1" t="n">
        <v>45667</v>
      </c>
      <c r="C3714" s="1" t="n">
        <v>45692</v>
      </c>
      <c r="D3714" t="inlineStr">
        <is>
          <t>VÄSTERBOTTENS LÄN</t>
        </is>
      </c>
      <c r="E3714" t="inlineStr">
        <is>
          <t>SKELLEFTEÅ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1367-2025</t>
        </is>
      </c>
      <c r="B3715" s="1" t="n">
        <v>45667</v>
      </c>
      <c r="C3715" s="1" t="n">
        <v>45692</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1249-2025</t>
        </is>
      </c>
      <c r="B3716" s="1" t="n">
        <v>45667</v>
      </c>
      <c r="C3716" s="1" t="n">
        <v>45692</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1253-2025</t>
        </is>
      </c>
      <c r="B3717" s="1" t="n">
        <v>45667</v>
      </c>
      <c r="C3717" s="1" t="n">
        <v>45692</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1246-2025</t>
        </is>
      </c>
      <c r="B3718" s="1" t="n">
        <v>45667</v>
      </c>
      <c r="C3718" s="1" t="n">
        <v>45692</v>
      </c>
      <c r="D3718" t="inlineStr">
        <is>
          <t>VÄSTERBOTTENS LÄN</t>
        </is>
      </c>
      <c r="E3718" t="inlineStr">
        <is>
          <t>SKELLEFTEÅ</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45692</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45692</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1362-2025</t>
        </is>
      </c>
      <c r="B3721" s="1" t="n">
        <v>45667</v>
      </c>
      <c r="C3721" s="1" t="n">
        <v>45692</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45692</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1321-2025</t>
        </is>
      </c>
      <c r="B3723" s="1" t="n">
        <v>45667</v>
      </c>
      <c r="C3723" s="1" t="n">
        <v>45692</v>
      </c>
      <c r="D3723" t="inlineStr">
        <is>
          <t>VÄSTERBOTTENS LÄN</t>
        </is>
      </c>
      <c r="E3723" t="inlineStr">
        <is>
          <t>SKELLEFTEÅ</t>
        </is>
      </c>
      <c r="F3723" t="inlineStr">
        <is>
          <t>Holmen skog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45692</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1404-2025</t>
        </is>
      </c>
      <c r="B3725" s="1" t="n">
        <v>45667</v>
      </c>
      <c r="C3725" s="1" t="n">
        <v>45692</v>
      </c>
      <c r="D3725" t="inlineStr">
        <is>
          <t>VÄSTERBOTTENS LÄN</t>
        </is>
      </c>
      <c r="E3725" t="inlineStr">
        <is>
          <t>SKELLEFTEÅ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45692</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1627-2025</t>
        </is>
      </c>
      <c r="B3727" s="1" t="n">
        <v>45670</v>
      </c>
      <c r="C3727" s="1" t="n">
        <v>45692</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1577-2025</t>
        </is>
      </c>
      <c r="B3728" s="1" t="n">
        <v>45670</v>
      </c>
      <c r="C3728" s="1" t="n">
        <v>45692</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1667-2025</t>
        </is>
      </c>
      <c r="B3729" s="1" t="n">
        <v>45670</v>
      </c>
      <c r="C3729" s="1" t="n">
        <v>45692</v>
      </c>
      <c r="D3729" t="inlineStr">
        <is>
          <t>VÄSTERBOTTENS LÄN</t>
        </is>
      </c>
      <c r="E3729" t="inlineStr">
        <is>
          <t>SKELLEFTEÅ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1746-2025</t>
        </is>
      </c>
      <c r="B3730" s="1" t="n">
        <v>45671</v>
      </c>
      <c r="C3730" s="1" t="n">
        <v>45692</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1791-2025</t>
        </is>
      </c>
      <c r="B3731" s="1" t="n">
        <v>45671</v>
      </c>
      <c r="C3731" s="1" t="n">
        <v>45692</v>
      </c>
      <c r="D3731" t="inlineStr">
        <is>
          <t>VÄSTERBOTTENS LÄN</t>
        </is>
      </c>
      <c r="E3731" t="inlineStr">
        <is>
          <t>SKELLEFTEÅ</t>
        </is>
      </c>
      <c r="F3731" t="inlineStr">
        <is>
          <t>Holmen skog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1904-2025</t>
        </is>
      </c>
      <c r="B3732" s="1" t="n">
        <v>45671</v>
      </c>
      <c r="C3732" s="1" t="n">
        <v>45692</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1936-2025</t>
        </is>
      </c>
      <c r="B3733" s="1" t="n">
        <v>45671</v>
      </c>
      <c r="C3733" s="1" t="n">
        <v>45692</v>
      </c>
      <c r="D3733" t="inlineStr">
        <is>
          <t>VÄSTERBOTTENS LÄN</t>
        </is>
      </c>
      <c r="E3733" t="inlineStr">
        <is>
          <t>SKELLEFTEÅ</t>
        </is>
      </c>
      <c r="G3733" t="n">
        <v>21.5</v>
      </c>
      <c r="H3733" t="n">
        <v>0</v>
      </c>
      <c r="I3733" t="n">
        <v>0</v>
      </c>
      <c r="J3733" t="n">
        <v>0</v>
      </c>
      <c r="K3733" t="n">
        <v>0</v>
      </c>
      <c r="L3733" t="n">
        <v>0</v>
      </c>
      <c r="M3733" t="n">
        <v>0</v>
      </c>
      <c r="N3733" t="n">
        <v>0</v>
      </c>
      <c r="O3733" t="n">
        <v>0</v>
      </c>
      <c r="P3733" t="n">
        <v>0</v>
      </c>
      <c r="Q3733" t="n">
        <v>0</v>
      </c>
      <c r="R3733" s="2" t="inlineStr"/>
    </row>
    <row r="3734" ht="15" customHeight="1">
      <c r="A3734" t="inlineStr">
        <is>
          <t>A 1959-2025</t>
        </is>
      </c>
      <c r="B3734" s="1" t="n">
        <v>45671</v>
      </c>
      <c r="C3734" s="1" t="n">
        <v>45692</v>
      </c>
      <c r="D3734" t="inlineStr">
        <is>
          <t>VÄSTERBOTTENS LÄN</t>
        </is>
      </c>
      <c r="E3734" t="inlineStr">
        <is>
          <t>SKELLEFTEÅ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1980-2025</t>
        </is>
      </c>
      <c r="B3735" s="1" t="n">
        <v>45671</v>
      </c>
      <c r="C3735" s="1" t="n">
        <v>45692</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1955-2025</t>
        </is>
      </c>
      <c r="B3736" s="1" t="n">
        <v>45671</v>
      </c>
      <c r="C3736" s="1" t="n">
        <v>45692</v>
      </c>
      <c r="D3736" t="inlineStr">
        <is>
          <t>VÄSTERBOTTENS LÄN</t>
        </is>
      </c>
      <c r="E3736" t="inlineStr">
        <is>
          <t>SKELLEFTEÅ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1966-2025</t>
        </is>
      </c>
      <c r="B3737" s="1" t="n">
        <v>45671</v>
      </c>
      <c r="C3737" s="1" t="n">
        <v>45692</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1987-2025</t>
        </is>
      </c>
      <c r="B3738" s="1" t="n">
        <v>45671</v>
      </c>
      <c r="C3738" s="1" t="n">
        <v>45692</v>
      </c>
      <c r="D3738" t="inlineStr">
        <is>
          <t>VÄSTERBOTTENS LÄN</t>
        </is>
      </c>
      <c r="E3738" t="inlineStr">
        <is>
          <t>SKELLEFTEÅ</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45692</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1946-2025</t>
        </is>
      </c>
      <c r="B3740" s="1" t="n">
        <v>45672</v>
      </c>
      <c r="C3740" s="1" t="n">
        <v>45692</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45692</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2019-2025</t>
        </is>
      </c>
      <c r="B3742" s="1" t="n">
        <v>45672</v>
      </c>
      <c r="C3742" s="1" t="n">
        <v>45692</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2070-2025</t>
        </is>
      </c>
      <c r="B3743" s="1" t="n">
        <v>45672</v>
      </c>
      <c r="C3743" s="1" t="n">
        <v>45692</v>
      </c>
      <c r="D3743" t="inlineStr">
        <is>
          <t>VÄSTERBOTTENS LÄN</t>
        </is>
      </c>
      <c r="E3743" t="inlineStr">
        <is>
          <t>SKELLEFTEÅ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2087-2025</t>
        </is>
      </c>
      <c r="B3744" s="1" t="n">
        <v>45672</v>
      </c>
      <c r="C3744" s="1" t="n">
        <v>45692</v>
      </c>
      <c r="D3744" t="inlineStr">
        <is>
          <t>VÄSTERBOTTENS LÄN</t>
        </is>
      </c>
      <c r="E3744" t="inlineStr">
        <is>
          <t>SKELLEFTEÅ</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2308-2025</t>
        </is>
      </c>
      <c r="B3745" s="1" t="n">
        <v>45673</v>
      </c>
      <c r="C3745" s="1" t="n">
        <v>45692</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45692</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45692</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2454-2025</t>
        </is>
      </c>
      <c r="B3748" s="1" t="n">
        <v>45673</v>
      </c>
      <c r="C3748" s="1" t="n">
        <v>45692</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2354-2025</t>
        </is>
      </c>
      <c r="B3749" s="1" t="n">
        <v>45673</v>
      </c>
      <c r="C3749" s="1" t="n">
        <v>45692</v>
      </c>
      <c r="D3749" t="inlineStr">
        <is>
          <t>VÄSTERBOTTENS LÄN</t>
        </is>
      </c>
      <c r="E3749" t="inlineStr">
        <is>
          <t>SKELLEFTEÅ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2326-2025</t>
        </is>
      </c>
      <c r="B3750" s="1" t="n">
        <v>45673</v>
      </c>
      <c r="C3750" s="1" t="n">
        <v>45692</v>
      </c>
      <c r="D3750" t="inlineStr">
        <is>
          <t>VÄSTERBOTTENS LÄN</t>
        </is>
      </c>
      <c r="E3750" t="inlineStr">
        <is>
          <t>SKELLEFTEÅ</t>
        </is>
      </c>
      <c r="F3750" t="inlineStr">
        <is>
          <t>Holmen skog AB</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2355-2025</t>
        </is>
      </c>
      <c r="B3751" s="1" t="n">
        <v>45673</v>
      </c>
      <c r="C3751" s="1" t="n">
        <v>45692</v>
      </c>
      <c r="D3751" t="inlineStr">
        <is>
          <t>VÄSTERBOTTENS LÄN</t>
        </is>
      </c>
      <c r="E3751" t="inlineStr">
        <is>
          <t>SKELLEFTEÅ</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2522-2025</t>
        </is>
      </c>
      <c r="B3752" s="1" t="n">
        <v>45674</v>
      </c>
      <c r="C3752" s="1" t="n">
        <v>45692</v>
      </c>
      <c r="D3752" t="inlineStr">
        <is>
          <t>VÄSTERBOTTENS LÄN</t>
        </is>
      </c>
      <c r="E3752" t="inlineStr">
        <is>
          <t>SKELLEFTEÅ</t>
        </is>
      </c>
      <c r="F3752" t="inlineStr">
        <is>
          <t>Kommuner</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45692</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2393-2025</t>
        </is>
      </c>
      <c r="B3754" s="1" t="n">
        <v>45674</v>
      </c>
      <c r="C3754" s="1" t="n">
        <v>45692</v>
      </c>
      <c r="D3754" t="inlineStr">
        <is>
          <t>VÄSTERBOTTENS LÄN</t>
        </is>
      </c>
      <c r="E3754" t="inlineStr">
        <is>
          <t>SKELLEFTEÅ</t>
        </is>
      </c>
      <c r="G3754" t="n">
        <v>10.2</v>
      </c>
      <c r="H3754" t="n">
        <v>0</v>
      </c>
      <c r="I3754" t="n">
        <v>0</v>
      </c>
      <c r="J3754" t="n">
        <v>0</v>
      </c>
      <c r="K3754" t="n">
        <v>0</v>
      </c>
      <c r="L3754" t="n">
        <v>0</v>
      </c>
      <c r="M3754" t="n">
        <v>0</v>
      </c>
      <c r="N3754" t="n">
        <v>0</v>
      </c>
      <c r="O3754" t="n">
        <v>0</v>
      </c>
      <c r="P3754" t="n">
        <v>0</v>
      </c>
      <c r="Q3754" t="n">
        <v>0</v>
      </c>
      <c r="R3754" s="2" t="inlineStr"/>
    </row>
    <row r="3755" ht="15" customHeight="1">
      <c r="A3755" t="inlineStr">
        <is>
          <t>A 2519-2025</t>
        </is>
      </c>
      <c r="B3755" s="1" t="n">
        <v>45674</v>
      </c>
      <c r="C3755" s="1" t="n">
        <v>45692</v>
      </c>
      <c r="D3755" t="inlineStr">
        <is>
          <t>VÄSTERBOTTENS LÄN</t>
        </is>
      </c>
      <c r="E3755" t="inlineStr">
        <is>
          <t>SKELLEFTEÅ</t>
        </is>
      </c>
      <c r="F3755" t="inlineStr">
        <is>
          <t>Kommuner</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45692</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45692</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45692</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2949-2025</t>
        </is>
      </c>
      <c r="B3759" s="1" t="n">
        <v>45678</v>
      </c>
      <c r="C3759" s="1" t="n">
        <v>45692</v>
      </c>
      <c r="D3759" t="inlineStr">
        <is>
          <t>VÄSTERBOTTENS LÄN</t>
        </is>
      </c>
      <c r="E3759" t="inlineStr">
        <is>
          <t>SKELLEFTEÅ</t>
        </is>
      </c>
      <c r="F3759" t="inlineStr">
        <is>
          <t>Holmen skog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2966-2025</t>
        </is>
      </c>
      <c r="B3760" s="1" t="n">
        <v>45678</v>
      </c>
      <c r="C3760" s="1" t="n">
        <v>45692</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2963-2025</t>
        </is>
      </c>
      <c r="B3761" s="1" t="n">
        <v>45678</v>
      </c>
      <c r="C3761" s="1" t="n">
        <v>45692</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2967-2025</t>
        </is>
      </c>
      <c r="B3762" s="1" t="n">
        <v>45678</v>
      </c>
      <c r="C3762" s="1" t="n">
        <v>45692</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45692</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45692</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45692</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45692</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45692</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3193-2025</t>
        </is>
      </c>
      <c r="B3768" s="1" t="n">
        <v>45679</v>
      </c>
      <c r="C3768" s="1" t="n">
        <v>45692</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3209-2025</t>
        </is>
      </c>
      <c r="B3769" s="1" t="n">
        <v>45679</v>
      </c>
      <c r="C3769" s="1" t="n">
        <v>45692</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45692</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3674-2025</t>
        </is>
      </c>
      <c r="B3771" s="1" t="n">
        <v>45681</v>
      </c>
      <c r="C3771" s="1" t="n">
        <v>45692</v>
      </c>
      <c r="D3771" t="inlineStr">
        <is>
          <t>VÄSTERBOTTENS LÄN</t>
        </is>
      </c>
      <c r="E3771" t="inlineStr">
        <is>
          <t>SKELLEFTEÅ</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3708-2025</t>
        </is>
      </c>
      <c r="B3772" s="1" t="n">
        <v>45681</v>
      </c>
      <c r="C3772" s="1" t="n">
        <v>45692</v>
      </c>
      <c r="D3772" t="inlineStr">
        <is>
          <t>VÄSTERBOTTENS LÄN</t>
        </is>
      </c>
      <c r="E3772" t="inlineStr">
        <is>
          <t>SKELLEFTEÅ</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3626-2025</t>
        </is>
      </c>
      <c r="B3773" s="1" t="n">
        <v>45681</v>
      </c>
      <c r="C3773" s="1" t="n">
        <v>45692</v>
      </c>
      <c r="D3773" t="inlineStr">
        <is>
          <t>VÄSTERBOTTENS LÄN</t>
        </is>
      </c>
      <c r="E3773" t="inlineStr">
        <is>
          <t>SKELLEFTEÅ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3843-2025</t>
        </is>
      </c>
      <c r="B3774" s="1" t="n">
        <v>45683</v>
      </c>
      <c r="C3774" s="1" t="n">
        <v>45692</v>
      </c>
      <c r="D3774" t="inlineStr">
        <is>
          <t>VÄSTERBOTTENS LÄN</t>
        </is>
      </c>
      <c r="E3774" t="inlineStr">
        <is>
          <t>SKELLEFTEÅ</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45692</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3883-2025</t>
        </is>
      </c>
      <c r="B3776" s="1" t="n">
        <v>45684</v>
      </c>
      <c r="C3776" s="1" t="n">
        <v>45692</v>
      </c>
      <c r="D3776" t="inlineStr">
        <is>
          <t>VÄSTERBOTTENS LÄN</t>
        </is>
      </c>
      <c r="E3776" t="inlineStr">
        <is>
          <t>SKELLEFTEÅ</t>
        </is>
      </c>
      <c r="G3776" t="n">
        <v>27.6</v>
      </c>
      <c r="H3776" t="n">
        <v>0</v>
      </c>
      <c r="I3776" t="n">
        <v>0</v>
      </c>
      <c r="J3776" t="n">
        <v>0</v>
      </c>
      <c r="K3776" t="n">
        <v>0</v>
      </c>
      <c r="L3776" t="n">
        <v>0</v>
      </c>
      <c r="M3776" t="n">
        <v>0</v>
      </c>
      <c r="N3776" t="n">
        <v>0</v>
      </c>
      <c r="O3776" t="n">
        <v>0</v>
      </c>
      <c r="P3776" t="n">
        <v>0</v>
      </c>
      <c r="Q3776" t="n">
        <v>0</v>
      </c>
      <c r="R3776" s="2" t="inlineStr"/>
    </row>
    <row r="3777" ht="15" customHeight="1">
      <c r="A3777" t="inlineStr">
        <is>
          <t>A 3889-2025</t>
        </is>
      </c>
      <c r="B3777" s="1" t="n">
        <v>45684</v>
      </c>
      <c r="C3777" s="1" t="n">
        <v>45692</v>
      </c>
      <c r="D3777" t="inlineStr">
        <is>
          <t>VÄSTERBOTTENS LÄN</t>
        </is>
      </c>
      <c r="E3777" t="inlineStr">
        <is>
          <t>SKELLEFTEÅ</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3892-2025</t>
        </is>
      </c>
      <c r="B3778" s="1" t="n">
        <v>45684</v>
      </c>
      <c r="C3778" s="1" t="n">
        <v>45692</v>
      </c>
      <c r="D3778" t="inlineStr">
        <is>
          <t>VÄSTERBOTTENS LÄN</t>
        </is>
      </c>
      <c r="E3778" t="inlineStr">
        <is>
          <t>SKELLEFTEÅ</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4184-2025</t>
        </is>
      </c>
      <c r="B3779" s="1" t="n">
        <v>45685</v>
      </c>
      <c r="C3779" s="1" t="n">
        <v>45692</v>
      </c>
      <c r="D3779" t="inlineStr">
        <is>
          <t>VÄSTERBOTTENS LÄN</t>
        </is>
      </c>
      <c r="E3779" t="inlineStr">
        <is>
          <t>SKELLEFTEÅ</t>
        </is>
      </c>
      <c r="F3779" t="inlineStr">
        <is>
          <t>Holmen skog AB</t>
        </is>
      </c>
      <c r="G3779" t="n">
        <v>15.3</v>
      </c>
      <c r="H3779" t="n">
        <v>0</v>
      </c>
      <c r="I3779" t="n">
        <v>0</v>
      </c>
      <c r="J3779" t="n">
        <v>0</v>
      </c>
      <c r="K3779" t="n">
        <v>0</v>
      </c>
      <c r="L3779" t="n">
        <v>0</v>
      </c>
      <c r="M3779" t="n">
        <v>0</v>
      </c>
      <c r="N3779" t="n">
        <v>0</v>
      </c>
      <c r="O3779" t="n">
        <v>0</v>
      </c>
      <c r="P3779" t="n">
        <v>0</v>
      </c>
      <c r="Q3779" t="n">
        <v>0</v>
      </c>
      <c r="R3779" s="2" t="inlineStr"/>
    </row>
    <row r="3780" ht="15" customHeight="1">
      <c r="A3780" t="inlineStr">
        <is>
          <t>A 4403-2025</t>
        </is>
      </c>
      <c r="B3780" s="1" t="n">
        <v>45686</v>
      </c>
      <c r="C3780" s="1" t="n">
        <v>45692</v>
      </c>
      <c r="D3780" t="inlineStr">
        <is>
          <t>VÄSTERBOTTENS LÄN</t>
        </is>
      </c>
      <c r="E3780" t="inlineStr">
        <is>
          <t>SKELLEFTEÅ</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4510-2025</t>
        </is>
      </c>
      <c r="B3781" s="1" t="n">
        <v>45686</v>
      </c>
      <c r="C3781" s="1" t="n">
        <v>45692</v>
      </c>
      <c r="D3781" t="inlineStr">
        <is>
          <t>VÄSTERBOTTENS LÄN</t>
        </is>
      </c>
      <c r="E3781" t="inlineStr">
        <is>
          <t>SKELLEFTEÅ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4507-2025</t>
        </is>
      </c>
      <c r="B3782" s="1" t="n">
        <v>45686</v>
      </c>
      <c r="C3782" s="1" t="n">
        <v>45692</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4508-2025</t>
        </is>
      </c>
      <c r="B3783" s="1" t="n">
        <v>45686</v>
      </c>
      <c r="C3783" s="1" t="n">
        <v>45692</v>
      </c>
      <c r="D3783" t="inlineStr">
        <is>
          <t>VÄSTERBOTTENS LÄN</t>
        </is>
      </c>
      <c r="E3783" t="inlineStr">
        <is>
          <t>SKELLEFTEÅ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4387-2025</t>
        </is>
      </c>
      <c r="B3784" s="1" t="n">
        <v>45686</v>
      </c>
      <c r="C3784" s="1" t="n">
        <v>45692</v>
      </c>
      <c r="D3784" t="inlineStr">
        <is>
          <t>VÄSTERBOTTENS LÄN</t>
        </is>
      </c>
      <c r="E3784" t="inlineStr">
        <is>
          <t>SKELLEFTEÅ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4509-2025</t>
        </is>
      </c>
      <c r="B3785" s="1" t="n">
        <v>45686</v>
      </c>
      <c r="C3785" s="1" t="n">
        <v>45692</v>
      </c>
      <c r="D3785" t="inlineStr">
        <is>
          <t>VÄSTERBOTTENS LÄN</t>
        </is>
      </c>
      <c r="E3785" t="inlineStr">
        <is>
          <t>SKELLEFTEÅ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4626-2025</t>
        </is>
      </c>
      <c r="B3786" s="1" t="n">
        <v>45687</v>
      </c>
      <c r="C3786" s="1" t="n">
        <v>45692</v>
      </c>
      <c r="D3786" t="inlineStr">
        <is>
          <t>VÄSTERBOTTENS LÄN</t>
        </is>
      </c>
      <c r="E3786" t="inlineStr">
        <is>
          <t>SKELLEFTEÅ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4638-2025</t>
        </is>
      </c>
      <c r="B3787" s="1" t="n">
        <v>45687</v>
      </c>
      <c r="C3787" s="1" t="n">
        <v>45692</v>
      </c>
      <c r="D3787" t="inlineStr">
        <is>
          <t>VÄSTERBOTTENS LÄN</t>
        </is>
      </c>
      <c r="E3787" t="inlineStr">
        <is>
          <t>SKELLEFTEÅ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4604-2025</t>
        </is>
      </c>
      <c r="B3788" s="1" t="n">
        <v>45687</v>
      </c>
      <c r="C3788" s="1" t="n">
        <v>45692</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4620-2025</t>
        </is>
      </c>
      <c r="B3789" s="1" t="n">
        <v>45687</v>
      </c>
      <c r="C3789" s="1" t="n">
        <v>45692</v>
      </c>
      <c r="D3789" t="inlineStr">
        <is>
          <t>VÄSTERBOTTENS LÄN</t>
        </is>
      </c>
      <c r="E3789" t="inlineStr">
        <is>
          <t>SKELLEFTEÅ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4645-2025</t>
        </is>
      </c>
      <c r="B3790" s="1" t="n">
        <v>45687</v>
      </c>
      <c r="C3790" s="1" t="n">
        <v>45692</v>
      </c>
      <c r="D3790" t="inlineStr">
        <is>
          <t>VÄSTERBOTTENS LÄN</t>
        </is>
      </c>
      <c r="E3790" t="inlineStr">
        <is>
          <t>SKELLEFTEÅ</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4696-2025</t>
        </is>
      </c>
      <c r="B3791" s="1" t="n">
        <v>45688</v>
      </c>
      <c r="C3791" s="1" t="n">
        <v>45692</v>
      </c>
      <c r="D3791" t="inlineStr">
        <is>
          <t>VÄSTERBOTTENS LÄN</t>
        </is>
      </c>
      <c r="E3791" t="inlineStr">
        <is>
          <t>SKELLEFTEÅ</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4700-2025</t>
        </is>
      </c>
      <c r="B3792" s="1" t="n">
        <v>45688</v>
      </c>
      <c r="C3792" s="1" t="n">
        <v>45692</v>
      </c>
      <c r="D3792" t="inlineStr">
        <is>
          <t>VÄSTERBOTTENS LÄN</t>
        </is>
      </c>
      <c r="E3792" t="inlineStr">
        <is>
          <t>SKELLEFTEÅ</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4923-2025</t>
        </is>
      </c>
      <c r="B3793" s="1" t="n">
        <v>45688</v>
      </c>
      <c r="C3793" s="1" t="n">
        <v>45692</v>
      </c>
      <c r="D3793" t="inlineStr">
        <is>
          <t>VÄSTERBOTTENS LÄN</t>
        </is>
      </c>
      <c r="E3793" t="inlineStr">
        <is>
          <t>SKELLEFTEÅ</t>
        </is>
      </c>
      <c r="G3793" t="n">
        <v>12.1</v>
      </c>
      <c r="H3793" t="n">
        <v>0</v>
      </c>
      <c r="I3793" t="n">
        <v>0</v>
      </c>
      <c r="J3793" t="n">
        <v>0</v>
      </c>
      <c r="K3793" t="n">
        <v>0</v>
      </c>
      <c r="L3793" t="n">
        <v>0</v>
      </c>
      <c r="M3793" t="n">
        <v>0</v>
      </c>
      <c r="N3793" t="n">
        <v>0</v>
      </c>
      <c r="O3793" t="n">
        <v>0</v>
      </c>
      <c r="P3793" t="n">
        <v>0</v>
      </c>
      <c r="Q3793" t="n">
        <v>0</v>
      </c>
      <c r="R3793" s="2" t="inlineStr"/>
    </row>
    <row r="3794" ht="15" customHeight="1">
      <c r="A3794" t="inlineStr">
        <is>
          <t>A 4959-2025</t>
        </is>
      </c>
      <c r="B3794" s="1" t="n">
        <v>45689</v>
      </c>
      <c r="C3794" s="1" t="n">
        <v>45692</v>
      </c>
      <c r="D3794" t="inlineStr">
        <is>
          <t>VÄSTERBOTTENS LÄN</t>
        </is>
      </c>
      <c r="E3794" t="inlineStr">
        <is>
          <t>SKELLEFTEÅ</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4958-2025</t>
        </is>
      </c>
      <c r="B3795" s="1" t="n">
        <v>45689</v>
      </c>
      <c r="C3795" s="1" t="n">
        <v>45692</v>
      </c>
      <c r="D3795" t="inlineStr">
        <is>
          <t>VÄSTERBOTTENS LÄN</t>
        </is>
      </c>
      <c r="E3795" t="inlineStr">
        <is>
          <t>SKELLEFTEÅ</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v>
      </c>
      <c r="C3796" s="1" t="n">
        <v>45692</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4972-2025</t>
        </is>
      </c>
      <c r="B3797" s="1" t="n">
        <v>45690</v>
      </c>
      <c r="C3797" s="1" t="n">
        <v>45692</v>
      </c>
      <c r="D3797" t="inlineStr">
        <is>
          <t>VÄSTERBOTTENS LÄN</t>
        </is>
      </c>
      <c r="E3797" t="inlineStr">
        <is>
          <t>SKELLEFTEÅ</t>
        </is>
      </c>
      <c r="F3797" t="inlineStr">
        <is>
          <t>Sveaskog</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5011-2025</t>
        </is>
      </c>
      <c r="B3798" s="1" t="n">
        <v>45691</v>
      </c>
      <c r="C3798" s="1" t="n">
        <v>45692</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5133-2025</t>
        </is>
      </c>
      <c r="B3799" s="1" t="n">
        <v>45691</v>
      </c>
      <c r="C3799" s="1" t="n">
        <v>45692</v>
      </c>
      <c r="D3799" t="inlineStr">
        <is>
          <t>VÄSTERBOTTENS LÄN</t>
        </is>
      </c>
      <c r="E3799" t="inlineStr">
        <is>
          <t>SKELLEFTEÅ</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5186-2025</t>
        </is>
      </c>
      <c r="B3800" s="1" t="n">
        <v>45691</v>
      </c>
      <c r="C3800" s="1" t="n">
        <v>45692</v>
      </c>
      <c r="D3800" t="inlineStr">
        <is>
          <t>VÄSTERBOTTENS LÄN</t>
        </is>
      </c>
      <c r="E3800" t="inlineStr">
        <is>
          <t>SKELLEFTEÅ</t>
        </is>
      </c>
      <c r="G3800" t="n">
        <v>16.3</v>
      </c>
      <c r="H3800" t="n">
        <v>0</v>
      </c>
      <c r="I3800" t="n">
        <v>0</v>
      </c>
      <c r="J3800" t="n">
        <v>0</v>
      </c>
      <c r="K3800" t="n">
        <v>0</v>
      </c>
      <c r="L3800" t="n">
        <v>0</v>
      </c>
      <c r="M3800" t="n">
        <v>0</v>
      </c>
      <c r="N3800" t="n">
        <v>0</v>
      </c>
      <c r="O3800" t="n">
        <v>0</v>
      </c>
      <c r="P3800" t="n">
        <v>0</v>
      </c>
      <c r="Q3800" t="n">
        <v>0</v>
      </c>
      <c r="R3800" s="2" t="inlineStr"/>
    </row>
    <row r="3801" ht="15" customHeight="1">
      <c r="A3801" t="inlineStr">
        <is>
          <t>A 5116-2025</t>
        </is>
      </c>
      <c r="B3801" s="1" t="n">
        <v>45691</v>
      </c>
      <c r="C3801" s="1" t="n">
        <v>45692</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c r="A3802" t="inlineStr">
        <is>
          <t>A 5147-2025</t>
        </is>
      </c>
      <c r="B3802" s="1" t="n">
        <v>45691</v>
      </c>
      <c r="C3802" s="1" t="n">
        <v>45692</v>
      </c>
      <c r="D3802" t="inlineStr">
        <is>
          <t>VÄSTERBOTTENS LÄN</t>
        </is>
      </c>
      <c r="E3802" t="inlineStr">
        <is>
          <t>SKELLEFTEÅ</t>
        </is>
      </c>
      <c r="G3802" t="n">
        <v>2.2</v>
      </c>
      <c r="H3802" t="n">
        <v>0</v>
      </c>
      <c r="I3802" t="n">
        <v>0</v>
      </c>
      <c r="J3802" t="n">
        <v>0</v>
      </c>
      <c r="K3802" t="n">
        <v>0</v>
      </c>
      <c r="L3802" t="n">
        <v>0</v>
      </c>
      <c r="M3802" t="n">
        <v>0</v>
      </c>
      <c r="N3802" t="n">
        <v>0</v>
      </c>
      <c r="O3802" t="n">
        <v>0</v>
      </c>
      <c r="P3802" t="n">
        <v>0</v>
      </c>
      <c r="Q3802" t="n">
        <v>0</v>
      </c>
      <c r="R3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2025-02-04T15:59:48Z</dcterms:created>
  <dcterms:modified xmlns:dcterms="http://purl.org/dc/terms/" xmlns:xsi="http://www.w3.org/2001/XMLSchema-instance" xsi:type="dcterms:W3CDTF">2025-02-04T15:59:52Z</dcterms:modified>
</cp:coreProperties>
</file>