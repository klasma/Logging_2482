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45760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45760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45760</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45760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45760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45760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45760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45760</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45760</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45760</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45760</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45760</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45760</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45760</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45760</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45760</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45760</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45760</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45760</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45760</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45760</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45760</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45760</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45760</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45760</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45760</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45760</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45760</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45760</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45760</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45760</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45760</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45760</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45760</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45760</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45760</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45760</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45760</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45760</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45760</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43123-2024</t>
        </is>
      </c>
      <c r="B42" s="1" t="n">
        <v>45567</v>
      </c>
      <c r="C42" s="1" t="n">
        <v>45760</v>
      </c>
      <c r="D42" t="inlineStr">
        <is>
          <t>VÄSTERBOTTENS LÄN</t>
        </is>
      </c>
      <c r="E42" t="inlineStr">
        <is>
          <t>SKELLEFTEÅ</t>
        </is>
      </c>
      <c r="G42" t="n">
        <v>30.4</v>
      </c>
      <c r="H42" t="n">
        <v>2</v>
      </c>
      <c r="I42" t="n">
        <v>1</v>
      </c>
      <c r="J42" t="n">
        <v>7</v>
      </c>
      <c r="K42" t="n">
        <v>0</v>
      </c>
      <c r="L42" t="n">
        <v>0</v>
      </c>
      <c r="M42" t="n">
        <v>0</v>
      </c>
      <c r="N42" t="n">
        <v>0</v>
      </c>
      <c r="O42" t="n">
        <v>7</v>
      </c>
      <c r="P42" t="n">
        <v>0</v>
      </c>
      <c r="Q42" t="n">
        <v>8</v>
      </c>
      <c r="R42" s="2" t="inlineStr">
        <is>
          <t>Gammelgransskål
Garnlav
Granticka
Rosenticka
Spillkråka
Tretåig hackspett
Ullticka
Vedticka</t>
        </is>
      </c>
      <c r="S42">
        <f>HYPERLINK("https://klasma.github.io/Logging_2482/artfynd/A 43123-2024 artfynd.xlsx", "A 43123-2024")</f>
        <v/>
      </c>
      <c r="T42">
        <f>HYPERLINK("https://klasma.github.io/Logging_2482/kartor/A 43123-2024 karta.png", "A 43123-2024")</f>
        <v/>
      </c>
      <c r="V42">
        <f>HYPERLINK("https://klasma.github.io/Logging_2482/klagomål/A 43123-2024 FSC-klagomål.docx", "A 43123-2024")</f>
        <v/>
      </c>
      <c r="W42">
        <f>HYPERLINK("https://klasma.github.io/Logging_2482/klagomålsmail/A 43123-2024 FSC-klagomål mail.docx", "A 43123-2024")</f>
        <v/>
      </c>
      <c r="X42">
        <f>HYPERLINK("https://klasma.github.io/Logging_2482/tillsyn/A 43123-2024 tillsynsbegäran.docx", "A 43123-2024")</f>
        <v/>
      </c>
      <c r="Y42">
        <f>HYPERLINK("https://klasma.github.io/Logging_2482/tillsynsmail/A 43123-2024 tillsynsbegäran mail.docx", "A 43123-2024")</f>
        <v/>
      </c>
      <c r="Z42">
        <f>HYPERLINK("https://klasma.github.io/Logging_2482/fåglar/A 43123-2024 prioriterade fågelarter.docx", "A 43123-2024")</f>
        <v/>
      </c>
    </row>
    <row r="43" ht="15" customHeight="1">
      <c r="A43" t="inlineStr">
        <is>
          <t>A 48272-2024</t>
        </is>
      </c>
      <c r="B43" s="1" t="n">
        <v>45590</v>
      </c>
      <c r="C43" s="1" t="n">
        <v>45760</v>
      </c>
      <c r="D43" t="inlineStr">
        <is>
          <t>VÄSTERBOTTENS LÄN</t>
        </is>
      </c>
      <c r="E43" t="inlineStr">
        <is>
          <t>SKELLEFTEÅ</t>
        </is>
      </c>
      <c r="G43" t="n">
        <v>12.5</v>
      </c>
      <c r="H43" t="n">
        <v>1</v>
      </c>
      <c r="I43" t="n">
        <v>0</v>
      </c>
      <c r="J43" t="n">
        <v>7</v>
      </c>
      <c r="K43" t="n">
        <v>1</v>
      </c>
      <c r="L43" t="n">
        <v>0</v>
      </c>
      <c r="M43" t="n">
        <v>0</v>
      </c>
      <c r="N43" t="n">
        <v>0</v>
      </c>
      <c r="O43" t="n">
        <v>8</v>
      </c>
      <c r="P43" t="n">
        <v>1</v>
      </c>
      <c r="Q43" t="n">
        <v>8</v>
      </c>
      <c r="R43" s="2" t="inlineStr">
        <is>
          <t>Vågticka
Granticka
Harticka
Rosenticka
Stjärntagging
Tretåig hackspett
Ullticka
Violettgrå tagellav</t>
        </is>
      </c>
      <c r="S43">
        <f>HYPERLINK("https://klasma.github.io/Logging_2482/artfynd/A 48272-2024 artfynd.xlsx", "A 48272-2024")</f>
        <v/>
      </c>
      <c r="T43">
        <f>HYPERLINK("https://klasma.github.io/Logging_2482/kartor/A 48272-2024 karta.png", "A 48272-2024")</f>
        <v/>
      </c>
      <c r="V43">
        <f>HYPERLINK("https://klasma.github.io/Logging_2482/klagomål/A 48272-2024 FSC-klagomål.docx", "A 48272-2024")</f>
        <v/>
      </c>
      <c r="W43">
        <f>HYPERLINK("https://klasma.github.io/Logging_2482/klagomålsmail/A 48272-2024 FSC-klagomål mail.docx", "A 48272-2024")</f>
        <v/>
      </c>
      <c r="X43">
        <f>HYPERLINK("https://klasma.github.io/Logging_2482/tillsyn/A 48272-2024 tillsynsbegäran.docx", "A 48272-2024")</f>
        <v/>
      </c>
      <c r="Y43">
        <f>HYPERLINK("https://klasma.github.io/Logging_2482/tillsynsmail/A 48272-2024 tillsynsbegäran mail.docx", "A 48272-2024")</f>
        <v/>
      </c>
      <c r="Z43">
        <f>HYPERLINK("https://klasma.github.io/Logging_2482/fåglar/A 48272-2024 prioriterade fågelarter.docx", "A 48272-2024")</f>
        <v/>
      </c>
    </row>
    <row r="44" ht="15" customHeight="1">
      <c r="A44" t="inlineStr">
        <is>
          <t>A 53122-2024</t>
        </is>
      </c>
      <c r="B44" s="1" t="n">
        <v>45611</v>
      </c>
      <c r="C44" s="1" t="n">
        <v>45760</v>
      </c>
      <c r="D44" t="inlineStr">
        <is>
          <t>VÄSTERBOTTENS LÄN</t>
        </is>
      </c>
      <c r="E44" t="inlineStr">
        <is>
          <t>SKELLEFTEÅ</t>
        </is>
      </c>
      <c r="F44" t="inlineStr">
        <is>
          <t>Holmen skog AB</t>
        </is>
      </c>
      <c r="G44" t="n">
        <v>8.5</v>
      </c>
      <c r="H44" t="n">
        <v>1</v>
      </c>
      <c r="I44" t="n">
        <v>3</v>
      </c>
      <c r="J44" t="n">
        <v>4</v>
      </c>
      <c r="K44" t="n">
        <v>1</v>
      </c>
      <c r="L44" t="n">
        <v>0</v>
      </c>
      <c r="M44" t="n">
        <v>0</v>
      </c>
      <c r="N44" t="n">
        <v>0</v>
      </c>
      <c r="O44" t="n">
        <v>5</v>
      </c>
      <c r="P44" t="n">
        <v>1</v>
      </c>
      <c r="Q44" t="n">
        <v>8</v>
      </c>
      <c r="R44" s="2" t="inlineStr">
        <is>
          <t>Lammticka
Blå taggsvamp
Motaggsvamp
Orange taggsvamp
Vaddporing
Dropptaggsvamp
Plattlummer
Tallfingersvamp</t>
        </is>
      </c>
      <c r="S44">
        <f>HYPERLINK("https://klasma.github.io/Logging_2482/artfynd/A 53122-2024 artfynd.xlsx", "A 53122-2024")</f>
        <v/>
      </c>
      <c r="T44">
        <f>HYPERLINK("https://klasma.github.io/Logging_2482/kartor/A 53122-2024 karta.png", "A 53122-2024")</f>
        <v/>
      </c>
      <c r="V44">
        <f>HYPERLINK("https://klasma.github.io/Logging_2482/klagomål/A 53122-2024 FSC-klagomål.docx", "A 53122-2024")</f>
        <v/>
      </c>
      <c r="W44">
        <f>HYPERLINK("https://klasma.github.io/Logging_2482/klagomålsmail/A 53122-2024 FSC-klagomål mail.docx", "A 53122-2024")</f>
        <v/>
      </c>
      <c r="X44">
        <f>HYPERLINK("https://klasma.github.io/Logging_2482/tillsyn/A 53122-2024 tillsynsbegäran.docx", "A 53122-2024")</f>
        <v/>
      </c>
      <c r="Y44">
        <f>HYPERLINK("https://klasma.github.io/Logging_2482/tillsynsmail/A 53122-2024 tillsynsbegäran mail.docx", "A 53122-2024")</f>
        <v/>
      </c>
    </row>
    <row r="45" ht="15" customHeight="1">
      <c r="A45" t="inlineStr">
        <is>
          <t>A 25653-2019</t>
        </is>
      </c>
      <c r="B45" s="1" t="n">
        <v>43602</v>
      </c>
      <c r="C45" s="1" t="n">
        <v>45760</v>
      </c>
      <c r="D45" t="inlineStr">
        <is>
          <t>VÄSTERBOTTENS LÄN</t>
        </is>
      </c>
      <c r="E45" t="inlineStr">
        <is>
          <t>SKELLEFTEÅ</t>
        </is>
      </c>
      <c r="G45" t="n">
        <v>27.4</v>
      </c>
      <c r="H45" t="n">
        <v>6</v>
      </c>
      <c r="I45" t="n">
        <v>2</v>
      </c>
      <c r="J45" t="n">
        <v>3</v>
      </c>
      <c r="K45" t="n">
        <v>0</v>
      </c>
      <c r="L45" t="n">
        <v>0</v>
      </c>
      <c r="M45" t="n">
        <v>0</v>
      </c>
      <c r="N45" t="n">
        <v>0</v>
      </c>
      <c r="O45" t="n">
        <v>3</v>
      </c>
      <c r="P45" t="n">
        <v>0</v>
      </c>
      <c r="Q45" t="n">
        <v>7</v>
      </c>
      <c r="R45" s="2" t="inlineStr">
        <is>
          <t>Kolflarnlav
Nordfladdermus
Tretåig hackspett
Korallrot
Spindelblomster
Vanlig groda
Revlummer</t>
        </is>
      </c>
      <c r="S45">
        <f>HYPERLINK("https://klasma.github.io/Logging_2482/artfynd/A 25653-2019 artfynd.xlsx", "A 25653-2019")</f>
        <v/>
      </c>
      <c r="T45">
        <f>HYPERLINK("https://klasma.github.io/Logging_2482/kartor/A 25653-2019 karta.png", "A 25653-2019")</f>
        <v/>
      </c>
      <c r="V45">
        <f>HYPERLINK("https://klasma.github.io/Logging_2482/klagomål/A 25653-2019 FSC-klagomål.docx", "A 25653-2019")</f>
        <v/>
      </c>
      <c r="W45">
        <f>HYPERLINK("https://klasma.github.io/Logging_2482/klagomålsmail/A 25653-2019 FSC-klagomål mail.docx", "A 25653-2019")</f>
        <v/>
      </c>
      <c r="X45">
        <f>HYPERLINK("https://klasma.github.io/Logging_2482/tillsyn/A 25653-2019 tillsynsbegäran.docx", "A 25653-2019")</f>
        <v/>
      </c>
      <c r="Y45">
        <f>HYPERLINK("https://klasma.github.io/Logging_2482/tillsynsmail/A 25653-2019 tillsynsbegäran mail.docx", "A 25653-2019")</f>
        <v/>
      </c>
      <c r="Z45">
        <f>HYPERLINK("https://klasma.github.io/Logging_2482/fåglar/A 25653-2019 prioriterade fågelarter.docx", "A 25653-2019")</f>
        <v/>
      </c>
    </row>
    <row r="46" ht="15" customHeight="1">
      <c r="A46" t="inlineStr">
        <is>
          <t>A 30834-2020</t>
        </is>
      </c>
      <c r="B46" s="1" t="n">
        <v>44011</v>
      </c>
      <c r="C46" s="1" t="n">
        <v>45760</v>
      </c>
      <c r="D46" t="inlineStr">
        <is>
          <t>VÄSTERBOTTENS LÄN</t>
        </is>
      </c>
      <c r="E46" t="inlineStr">
        <is>
          <t>SKELLEFTEÅ</t>
        </is>
      </c>
      <c r="F46" t="inlineStr">
        <is>
          <t>Kyrkan</t>
        </is>
      </c>
      <c r="G46" t="n">
        <v>8.4</v>
      </c>
      <c r="H46" t="n">
        <v>2</v>
      </c>
      <c r="I46" t="n">
        <v>0</v>
      </c>
      <c r="J46" t="n">
        <v>6</v>
      </c>
      <c r="K46" t="n">
        <v>1</v>
      </c>
      <c r="L46" t="n">
        <v>0</v>
      </c>
      <c r="M46" t="n">
        <v>0</v>
      </c>
      <c r="N46" t="n">
        <v>0</v>
      </c>
      <c r="O46" t="n">
        <v>7</v>
      </c>
      <c r="P46" t="n">
        <v>1</v>
      </c>
      <c r="Q46" t="n">
        <v>7</v>
      </c>
      <c r="R46" s="2" t="inlineStr">
        <is>
          <t>Gräddticka
Harticka
Rosenticka
Spillkråka
Stjärntagging
Tretåig hackspett
Ullticka</t>
        </is>
      </c>
      <c r="S46">
        <f>HYPERLINK("https://klasma.github.io/Logging_2482/artfynd/A 30834-2020 artfynd.xlsx", "A 30834-2020")</f>
        <v/>
      </c>
      <c r="T46">
        <f>HYPERLINK("https://klasma.github.io/Logging_2482/kartor/A 30834-2020 karta.png", "A 30834-2020")</f>
        <v/>
      </c>
      <c r="V46">
        <f>HYPERLINK("https://klasma.github.io/Logging_2482/klagomål/A 30834-2020 FSC-klagomål.docx", "A 30834-2020")</f>
        <v/>
      </c>
      <c r="W46">
        <f>HYPERLINK("https://klasma.github.io/Logging_2482/klagomålsmail/A 30834-2020 FSC-klagomål mail.docx", "A 30834-2020")</f>
        <v/>
      </c>
      <c r="X46">
        <f>HYPERLINK("https://klasma.github.io/Logging_2482/tillsyn/A 30834-2020 tillsynsbegäran.docx", "A 30834-2020")</f>
        <v/>
      </c>
      <c r="Y46">
        <f>HYPERLINK("https://klasma.github.io/Logging_2482/tillsynsmail/A 30834-2020 tillsynsbegäran mail.docx", "A 30834-2020")</f>
        <v/>
      </c>
      <c r="Z46">
        <f>HYPERLINK("https://klasma.github.io/Logging_2482/fåglar/A 30834-2020 prioriterade fågelarter.docx", "A 30834-2020")</f>
        <v/>
      </c>
    </row>
    <row r="47" ht="15" customHeight="1">
      <c r="A47" t="inlineStr">
        <is>
          <t>A 14493-2022</t>
        </is>
      </c>
      <c r="B47" s="1" t="n">
        <v>44655</v>
      </c>
      <c r="C47" s="1" t="n">
        <v>45760</v>
      </c>
      <c r="D47" t="inlineStr">
        <is>
          <t>VÄSTERBOTTENS LÄN</t>
        </is>
      </c>
      <c r="E47" t="inlineStr">
        <is>
          <t>SKELLEFTEÅ</t>
        </is>
      </c>
      <c r="G47" t="n">
        <v>9.5</v>
      </c>
      <c r="H47" t="n">
        <v>2</v>
      </c>
      <c r="I47" t="n">
        <v>1</v>
      </c>
      <c r="J47" t="n">
        <v>5</v>
      </c>
      <c r="K47" t="n">
        <v>1</v>
      </c>
      <c r="L47" t="n">
        <v>0</v>
      </c>
      <c r="M47" t="n">
        <v>0</v>
      </c>
      <c r="N47" t="n">
        <v>0</v>
      </c>
      <c r="O47" t="n">
        <v>6</v>
      </c>
      <c r="P47" t="n">
        <v>1</v>
      </c>
      <c r="Q47" t="n">
        <v>7</v>
      </c>
      <c r="R47" s="2" t="inlineStr">
        <is>
          <t>Knärot
Gammelgransskål
Garnlav
Harticka
Tretåig hackspett
Ullticka
Vedticka</t>
        </is>
      </c>
      <c r="S47">
        <f>HYPERLINK("https://klasma.github.io/Logging_2482/artfynd/A 14493-2022 artfynd.xlsx", "A 14493-2022")</f>
        <v/>
      </c>
      <c r="T47">
        <f>HYPERLINK("https://klasma.github.io/Logging_2482/kartor/A 14493-2022 karta.png", "A 14493-2022")</f>
        <v/>
      </c>
      <c r="U47">
        <f>HYPERLINK("https://klasma.github.io/Logging_2482/knärot/A 14493-2022 karta knärot.png", "A 14493-2022")</f>
        <v/>
      </c>
      <c r="V47">
        <f>HYPERLINK("https://klasma.github.io/Logging_2482/klagomål/A 14493-2022 FSC-klagomål.docx", "A 14493-2022")</f>
        <v/>
      </c>
      <c r="W47">
        <f>HYPERLINK("https://klasma.github.io/Logging_2482/klagomålsmail/A 14493-2022 FSC-klagomål mail.docx", "A 14493-2022")</f>
        <v/>
      </c>
      <c r="X47">
        <f>HYPERLINK("https://klasma.github.io/Logging_2482/tillsyn/A 14493-2022 tillsynsbegäran.docx", "A 14493-2022")</f>
        <v/>
      </c>
      <c r="Y47">
        <f>HYPERLINK("https://klasma.github.io/Logging_2482/tillsynsmail/A 14493-2022 tillsynsbegäran mail.docx", "A 14493-2022")</f>
        <v/>
      </c>
      <c r="Z47">
        <f>HYPERLINK("https://klasma.github.io/Logging_2482/fåglar/A 14493-2022 prioriterade fågelarter.docx", "A 14493-2022")</f>
        <v/>
      </c>
    </row>
    <row r="48" ht="15" customHeight="1">
      <c r="A48" t="inlineStr">
        <is>
          <t>A 32605-2023</t>
        </is>
      </c>
      <c r="B48" s="1" t="n">
        <v>45121</v>
      </c>
      <c r="C48" s="1" t="n">
        <v>45760</v>
      </c>
      <c r="D48" t="inlineStr">
        <is>
          <t>VÄSTERBOTTENS LÄN</t>
        </is>
      </c>
      <c r="E48" t="inlineStr">
        <is>
          <t>SKELLEFTEÅ</t>
        </is>
      </c>
      <c r="F48" t="inlineStr">
        <is>
          <t>Holmen skog AB</t>
        </is>
      </c>
      <c r="G48" t="n">
        <v>5.5</v>
      </c>
      <c r="H48" t="n">
        <v>2</v>
      </c>
      <c r="I48" t="n">
        <v>1</v>
      </c>
      <c r="J48" t="n">
        <v>5</v>
      </c>
      <c r="K48" t="n">
        <v>0</v>
      </c>
      <c r="L48" t="n">
        <v>0</v>
      </c>
      <c r="M48" t="n">
        <v>0</v>
      </c>
      <c r="N48" t="n">
        <v>0</v>
      </c>
      <c r="O48" t="n">
        <v>5</v>
      </c>
      <c r="P48" t="n">
        <v>0</v>
      </c>
      <c r="Q48" t="n">
        <v>7</v>
      </c>
      <c r="R48" s="2" t="inlineStr">
        <is>
          <t>Blanksvart spiklav
Gammelgransskål
Garnlav
Spillkråka
Tallticka
Skinnlav
Lavskrika</t>
        </is>
      </c>
      <c r="S48">
        <f>HYPERLINK("https://klasma.github.io/Logging_2482/artfynd/A 32605-2023 artfynd.xlsx", "A 32605-2023")</f>
        <v/>
      </c>
      <c r="T48">
        <f>HYPERLINK("https://klasma.github.io/Logging_2482/kartor/A 32605-2023 karta.png", "A 32605-2023")</f>
        <v/>
      </c>
      <c r="V48">
        <f>HYPERLINK("https://klasma.github.io/Logging_2482/klagomål/A 32605-2023 FSC-klagomål.docx", "A 32605-2023")</f>
        <v/>
      </c>
      <c r="W48">
        <f>HYPERLINK("https://klasma.github.io/Logging_2482/klagomålsmail/A 32605-2023 FSC-klagomål mail.docx", "A 32605-2023")</f>
        <v/>
      </c>
      <c r="X48">
        <f>HYPERLINK("https://klasma.github.io/Logging_2482/tillsyn/A 32605-2023 tillsynsbegäran.docx", "A 32605-2023")</f>
        <v/>
      </c>
      <c r="Y48">
        <f>HYPERLINK("https://klasma.github.io/Logging_2482/tillsynsmail/A 32605-2023 tillsynsbegäran mail.docx", "A 32605-2023")</f>
        <v/>
      </c>
      <c r="Z48">
        <f>HYPERLINK("https://klasma.github.io/Logging_2482/fåglar/A 32605-2023 prioriterade fågelarter.docx", "A 32605-2023")</f>
        <v/>
      </c>
    </row>
    <row r="49" ht="15" customHeight="1">
      <c r="A49" t="inlineStr">
        <is>
          <t>A 54391-2023</t>
        </is>
      </c>
      <c r="B49" s="1" t="n">
        <v>45226</v>
      </c>
      <c r="C49" s="1" t="n">
        <v>45760</v>
      </c>
      <c r="D49" t="inlineStr">
        <is>
          <t>VÄSTERBOTTENS LÄN</t>
        </is>
      </c>
      <c r="E49" t="inlineStr">
        <is>
          <t>SKELLEFTEÅ</t>
        </is>
      </c>
      <c r="G49" t="n">
        <v>17.9</v>
      </c>
      <c r="H49" t="n">
        <v>3</v>
      </c>
      <c r="I49" t="n">
        <v>1</v>
      </c>
      <c r="J49" t="n">
        <v>4</v>
      </c>
      <c r="K49" t="n">
        <v>0</v>
      </c>
      <c r="L49" t="n">
        <v>0</v>
      </c>
      <c r="M49" t="n">
        <v>0</v>
      </c>
      <c r="N49" t="n">
        <v>0</v>
      </c>
      <c r="O49" t="n">
        <v>4</v>
      </c>
      <c r="P49" t="n">
        <v>0</v>
      </c>
      <c r="Q49" t="n">
        <v>7</v>
      </c>
      <c r="R49" s="2" t="inlineStr">
        <is>
          <t>Garnlav
Harticka
Spillkråka
Tallticka
Skinnlav
Fläcknycklar
Revlummer</t>
        </is>
      </c>
      <c r="S49">
        <f>HYPERLINK("https://klasma.github.io/Logging_2482/artfynd/A 54391-2023 artfynd.xlsx", "A 54391-2023")</f>
        <v/>
      </c>
      <c r="T49">
        <f>HYPERLINK("https://klasma.github.io/Logging_2482/kartor/A 54391-2023 karta.png", "A 54391-2023")</f>
        <v/>
      </c>
      <c r="V49">
        <f>HYPERLINK("https://klasma.github.io/Logging_2482/klagomål/A 54391-2023 FSC-klagomål.docx", "A 54391-2023")</f>
        <v/>
      </c>
      <c r="W49">
        <f>HYPERLINK("https://klasma.github.io/Logging_2482/klagomålsmail/A 54391-2023 FSC-klagomål mail.docx", "A 54391-2023")</f>
        <v/>
      </c>
      <c r="X49">
        <f>HYPERLINK("https://klasma.github.io/Logging_2482/tillsyn/A 54391-2023 tillsynsbegäran.docx", "A 54391-2023")</f>
        <v/>
      </c>
      <c r="Y49">
        <f>HYPERLINK("https://klasma.github.io/Logging_2482/tillsynsmail/A 54391-2023 tillsynsbegäran mail.docx", "A 54391-2023")</f>
        <v/>
      </c>
      <c r="Z49">
        <f>HYPERLINK("https://klasma.github.io/Logging_2482/fåglar/A 54391-2023 prioriterade fågelarter.docx", "A 54391-2023")</f>
        <v/>
      </c>
    </row>
    <row r="50" ht="15" customHeight="1">
      <c r="A50" t="inlineStr">
        <is>
          <t>A 13467-2024</t>
        </is>
      </c>
      <c r="B50" s="1" t="n">
        <v>45387</v>
      </c>
      <c r="C50" s="1" t="n">
        <v>45760</v>
      </c>
      <c r="D50" t="inlineStr">
        <is>
          <t>VÄSTERBOTTENS LÄN</t>
        </is>
      </c>
      <c r="E50" t="inlineStr">
        <is>
          <t>SKELLEFTEÅ</t>
        </is>
      </c>
      <c r="F50" t="inlineStr">
        <is>
          <t>Sveaskog</t>
        </is>
      </c>
      <c r="G50" t="n">
        <v>3.1</v>
      </c>
      <c r="H50" t="n">
        <v>3</v>
      </c>
      <c r="I50" t="n">
        <v>0</v>
      </c>
      <c r="J50" t="n">
        <v>5</v>
      </c>
      <c r="K50" t="n">
        <v>1</v>
      </c>
      <c r="L50" t="n">
        <v>0</v>
      </c>
      <c r="M50" t="n">
        <v>0</v>
      </c>
      <c r="N50" t="n">
        <v>0</v>
      </c>
      <c r="O50" t="n">
        <v>6</v>
      </c>
      <c r="P50" t="n">
        <v>1</v>
      </c>
      <c r="Q50" t="n">
        <v>7</v>
      </c>
      <c r="R50" s="2" t="inlineStr">
        <is>
          <t>Knärot
Garnlav
Granticka
Orange taggsvamp
Talltita
Äggvaxskivling
Lavskrika</t>
        </is>
      </c>
      <c r="S50">
        <f>HYPERLINK("https://klasma.github.io/Logging_2482/artfynd/A 13467-2024 artfynd.xlsx", "A 13467-2024")</f>
        <v/>
      </c>
      <c r="T50">
        <f>HYPERLINK("https://klasma.github.io/Logging_2482/kartor/A 13467-2024 karta.png", "A 13467-2024")</f>
        <v/>
      </c>
      <c r="U50">
        <f>HYPERLINK("https://klasma.github.io/Logging_2482/knärot/A 13467-2024 karta knärot.png", "A 13467-2024")</f>
        <v/>
      </c>
      <c r="V50">
        <f>HYPERLINK("https://klasma.github.io/Logging_2482/klagomål/A 13467-2024 FSC-klagomål.docx", "A 13467-2024")</f>
        <v/>
      </c>
      <c r="W50">
        <f>HYPERLINK("https://klasma.github.io/Logging_2482/klagomålsmail/A 13467-2024 FSC-klagomål mail.docx", "A 13467-2024")</f>
        <v/>
      </c>
      <c r="X50">
        <f>HYPERLINK("https://klasma.github.io/Logging_2482/tillsyn/A 13467-2024 tillsynsbegäran.docx", "A 13467-2024")</f>
        <v/>
      </c>
      <c r="Y50">
        <f>HYPERLINK("https://klasma.github.io/Logging_2482/tillsynsmail/A 13467-2024 tillsynsbegäran mail.docx", "A 13467-2024")</f>
        <v/>
      </c>
      <c r="Z50">
        <f>HYPERLINK("https://klasma.github.io/Logging_2482/fåglar/A 13467-2024 prioriterade fågelarter.docx", "A 13467-2024")</f>
        <v/>
      </c>
    </row>
    <row r="51" ht="15" customHeight="1">
      <c r="A51" t="inlineStr">
        <is>
          <t>A 31889-2019</t>
        </is>
      </c>
      <c r="B51" s="1" t="n">
        <v>43642</v>
      </c>
      <c r="C51" s="1" t="n">
        <v>45760</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45760</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45760</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45760</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45760</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45760</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45760</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45760</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45760</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45760</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45760</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45760</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45760</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45760</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45760</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45760</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45760</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45760</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45760</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45760</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45760</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45760</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45760</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45760</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45760</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45760</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45760</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45760</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45760</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45760</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45760</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45760</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45760</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45760</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45760</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45760</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45760</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45760</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45760</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45760</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45760</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45760</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45760</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45760</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45760</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45760</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45760</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45760</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45760</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45760</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45760</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45760</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45760</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45760</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45760</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45760</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45760</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45760</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45760</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45760</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45760</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45760</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45760</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45760</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45760</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45760</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45760</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45760</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45760</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45760</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45760</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45760</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45760</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45760</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45760</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45760</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45760</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45760</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45760</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45760</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45760</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45760</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45760</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45760</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45760</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45760</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45760</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45760</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45760</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45760</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45760</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45760</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45760</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45760</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45760</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45760</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45760</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45760</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45760</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45760</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45760</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45760</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45760</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45760</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45760</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45760</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45760</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45760</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45760</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45760</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45760</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45760</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45760</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45760</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45760</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45760</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45760</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45760</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45760</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45760</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45760</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45760</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45760</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45760</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45760</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45760</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45760</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45760</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45760</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45760</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45760</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45760</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45760</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45760</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45760</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45760</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45760</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45760</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45760</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45760</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45760</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45760</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45760</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45760</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45760</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45760</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45760</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45760</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45760</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45760</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45760</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45760</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45760</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45760</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45760</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45760</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45760</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45760</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45760</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45760</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45760</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45760</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45760</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45760</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45760</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45760</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45760</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45760</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45760</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45760</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45760</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45760</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45760</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45760</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45760</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45760</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45760</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45760</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45760</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45760</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45760</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45760</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45760</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45760</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45760</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45760</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45760</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45760</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45760</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45760</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45760</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45760</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45760</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45760</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45760</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45760</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45760</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45760</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45760</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45760</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45760</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45760</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45760</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45760</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45760</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45760</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45760</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45760</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45760</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45760</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45760</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45760</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45760</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45760</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45760</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18072-2019</t>
        </is>
      </c>
      <c r="B266" s="1" t="n">
        <v>43557</v>
      </c>
      <c r="C266" s="1" t="n">
        <v>45760</v>
      </c>
      <c r="D266" t="inlineStr">
        <is>
          <t>VÄSTERBOTTENS LÄN</t>
        </is>
      </c>
      <c r="E266" t="inlineStr">
        <is>
          <t>SKELLEFTEÅ</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18271-2019</t>
        </is>
      </c>
      <c r="B267" s="1" t="n">
        <v>43557</v>
      </c>
      <c r="C267" s="1" t="n">
        <v>45760</v>
      </c>
      <c r="D267" t="inlineStr">
        <is>
          <t>VÄSTERBOTTENS LÄN</t>
        </is>
      </c>
      <c r="E267" t="inlineStr">
        <is>
          <t>SKELLEFTEÅ</t>
        </is>
      </c>
      <c r="G267" t="n">
        <v>0.4</v>
      </c>
      <c r="H267" t="n">
        <v>0</v>
      </c>
      <c r="I267" t="n">
        <v>0</v>
      </c>
      <c r="J267" t="n">
        <v>0</v>
      </c>
      <c r="K267" t="n">
        <v>0</v>
      </c>
      <c r="L267" t="n">
        <v>0</v>
      </c>
      <c r="M267" t="n">
        <v>0</v>
      </c>
      <c r="N267" t="n">
        <v>0</v>
      </c>
      <c r="O267" t="n">
        <v>0</v>
      </c>
      <c r="P267" t="n">
        <v>0</v>
      </c>
      <c r="Q267" t="n">
        <v>0</v>
      </c>
      <c r="R267" s="2" t="inlineStr"/>
    </row>
    <row r="268" ht="15" customHeight="1">
      <c r="A268" t="inlineStr">
        <is>
          <t>A 18073-2019</t>
        </is>
      </c>
      <c r="B268" s="1" t="n">
        <v>43557</v>
      </c>
      <c r="C268" s="1" t="n">
        <v>45760</v>
      </c>
      <c r="D268" t="inlineStr">
        <is>
          <t>VÄSTERBOTTENS LÄN</t>
        </is>
      </c>
      <c r="E268" t="inlineStr">
        <is>
          <t>SKELLEFTEÅ</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18201-2019</t>
        </is>
      </c>
      <c r="B269" s="1" t="n">
        <v>43558</v>
      </c>
      <c r="C269" s="1" t="n">
        <v>45760</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18202-2019</t>
        </is>
      </c>
      <c r="B270" s="1" t="n">
        <v>43558</v>
      </c>
      <c r="C270" s="1" t="n">
        <v>45760</v>
      </c>
      <c r="D270" t="inlineStr">
        <is>
          <t>VÄSTERBOTTENS LÄN</t>
        </is>
      </c>
      <c r="E270" t="inlineStr">
        <is>
          <t>SKELLEFTEÅ</t>
        </is>
      </c>
      <c r="G270" t="n">
        <v>0.8</v>
      </c>
      <c r="H270" t="n">
        <v>0</v>
      </c>
      <c r="I270" t="n">
        <v>0</v>
      </c>
      <c r="J270" t="n">
        <v>0</v>
      </c>
      <c r="K270" t="n">
        <v>0</v>
      </c>
      <c r="L270" t="n">
        <v>0</v>
      </c>
      <c r="M270" t="n">
        <v>0</v>
      </c>
      <c r="N270" t="n">
        <v>0</v>
      </c>
      <c r="O270" t="n">
        <v>0</v>
      </c>
      <c r="P270" t="n">
        <v>0</v>
      </c>
      <c r="Q270" t="n">
        <v>0</v>
      </c>
      <c r="R270" s="2" t="inlineStr"/>
    </row>
    <row r="271" ht="15" customHeight="1">
      <c r="A271" t="inlineStr">
        <is>
          <t>A 18137-2019</t>
        </is>
      </c>
      <c r="B271" s="1" t="n">
        <v>43558</v>
      </c>
      <c r="C271" s="1" t="n">
        <v>45760</v>
      </c>
      <c r="D271" t="inlineStr">
        <is>
          <t>VÄSTERBOTTENS LÄN</t>
        </is>
      </c>
      <c r="E271" t="inlineStr">
        <is>
          <t>SKELLEFTEÅ</t>
        </is>
      </c>
      <c r="G271" t="n">
        <v>10</v>
      </c>
      <c r="H271" t="n">
        <v>0</v>
      </c>
      <c r="I271" t="n">
        <v>0</v>
      </c>
      <c r="J271" t="n">
        <v>0</v>
      </c>
      <c r="K271" t="n">
        <v>0</v>
      </c>
      <c r="L271" t="n">
        <v>0</v>
      </c>
      <c r="M271" t="n">
        <v>0</v>
      </c>
      <c r="N271" t="n">
        <v>0</v>
      </c>
      <c r="O271" t="n">
        <v>0</v>
      </c>
      <c r="P271" t="n">
        <v>0</v>
      </c>
      <c r="Q271" t="n">
        <v>0</v>
      </c>
      <c r="R271" s="2" t="inlineStr"/>
    </row>
    <row r="272" ht="15" customHeight="1">
      <c r="A272" t="inlineStr">
        <is>
          <t>A 18714-2019</t>
        </is>
      </c>
      <c r="B272" s="1" t="n">
        <v>43560</v>
      </c>
      <c r="C272" s="1" t="n">
        <v>45760</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18712-2019</t>
        </is>
      </c>
      <c r="B273" s="1" t="n">
        <v>43560</v>
      </c>
      <c r="C273" s="1" t="n">
        <v>45760</v>
      </c>
      <c r="D273" t="inlineStr">
        <is>
          <t>VÄSTERBOTTENS LÄN</t>
        </is>
      </c>
      <c r="E273" t="inlineStr">
        <is>
          <t>SKELLEFTEÅ</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19101-2019</t>
        </is>
      </c>
      <c r="B274" s="1" t="n">
        <v>43563</v>
      </c>
      <c r="C274" s="1" t="n">
        <v>45760</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19059-2019</t>
        </is>
      </c>
      <c r="B275" s="1" t="n">
        <v>43563</v>
      </c>
      <c r="C275" s="1" t="n">
        <v>45760</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19382-2019</t>
        </is>
      </c>
      <c r="B276" s="1" t="n">
        <v>43565</v>
      </c>
      <c r="C276" s="1" t="n">
        <v>45760</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19530-2019</t>
        </is>
      </c>
      <c r="B277" s="1" t="n">
        <v>43565</v>
      </c>
      <c r="C277" s="1" t="n">
        <v>45760</v>
      </c>
      <c r="D277" t="inlineStr">
        <is>
          <t>VÄSTERBOTTENS LÄN</t>
        </is>
      </c>
      <c r="E277" t="inlineStr">
        <is>
          <t>SKELLEFTEÅ</t>
        </is>
      </c>
      <c r="G277" t="n">
        <v>8</v>
      </c>
      <c r="H277" t="n">
        <v>0</v>
      </c>
      <c r="I277" t="n">
        <v>0</v>
      </c>
      <c r="J277" t="n">
        <v>0</v>
      </c>
      <c r="K277" t="n">
        <v>0</v>
      </c>
      <c r="L277" t="n">
        <v>0</v>
      </c>
      <c r="M277" t="n">
        <v>0</v>
      </c>
      <c r="N277" t="n">
        <v>0</v>
      </c>
      <c r="O277" t="n">
        <v>0</v>
      </c>
      <c r="P277" t="n">
        <v>0</v>
      </c>
      <c r="Q277" t="n">
        <v>0</v>
      </c>
      <c r="R277" s="2" t="inlineStr"/>
    </row>
    <row r="278" ht="15" customHeight="1">
      <c r="A278" t="inlineStr">
        <is>
          <t>A 20163-2019</t>
        </is>
      </c>
      <c r="B278" s="1" t="n">
        <v>43567</v>
      </c>
      <c r="C278" s="1" t="n">
        <v>45760</v>
      </c>
      <c r="D278" t="inlineStr">
        <is>
          <t>VÄSTERBOTTENS LÄN</t>
        </is>
      </c>
      <c r="E278" t="inlineStr">
        <is>
          <t>SKELLEFTEÅ</t>
        </is>
      </c>
      <c r="G278" t="n">
        <v>1.3</v>
      </c>
      <c r="H278" t="n">
        <v>0</v>
      </c>
      <c r="I278" t="n">
        <v>0</v>
      </c>
      <c r="J278" t="n">
        <v>0</v>
      </c>
      <c r="K278" t="n">
        <v>0</v>
      </c>
      <c r="L278" t="n">
        <v>0</v>
      </c>
      <c r="M278" t="n">
        <v>0</v>
      </c>
      <c r="N278" t="n">
        <v>0</v>
      </c>
      <c r="O278" t="n">
        <v>0</v>
      </c>
      <c r="P278" t="n">
        <v>0</v>
      </c>
      <c r="Q278" t="n">
        <v>0</v>
      </c>
      <c r="R278" s="2" t="inlineStr"/>
    </row>
    <row r="279" ht="15" customHeight="1">
      <c r="A279" t="inlineStr">
        <is>
          <t>A 20428-2019</t>
        </is>
      </c>
      <c r="B279" s="1" t="n">
        <v>43571</v>
      </c>
      <c r="C279" s="1" t="n">
        <v>45760</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20584-2019</t>
        </is>
      </c>
      <c r="B280" s="1" t="n">
        <v>43572</v>
      </c>
      <c r="C280" s="1" t="n">
        <v>45760</v>
      </c>
      <c r="D280" t="inlineStr">
        <is>
          <t>VÄSTERBOTTENS LÄN</t>
        </is>
      </c>
      <c r="E280" t="inlineStr">
        <is>
          <t>SKELLEFTEÅ</t>
        </is>
      </c>
      <c r="F280" t="inlineStr">
        <is>
          <t>Kommuner</t>
        </is>
      </c>
      <c r="G280" t="n">
        <v>6.3</v>
      </c>
      <c r="H280" t="n">
        <v>0</v>
      </c>
      <c r="I280" t="n">
        <v>0</v>
      </c>
      <c r="J280" t="n">
        <v>0</v>
      </c>
      <c r="K280" t="n">
        <v>0</v>
      </c>
      <c r="L280" t="n">
        <v>0</v>
      </c>
      <c r="M280" t="n">
        <v>0</v>
      </c>
      <c r="N280" t="n">
        <v>0</v>
      </c>
      <c r="O280" t="n">
        <v>0</v>
      </c>
      <c r="P280" t="n">
        <v>0</v>
      </c>
      <c r="Q280" t="n">
        <v>0</v>
      </c>
      <c r="R280" s="2" t="inlineStr"/>
    </row>
    <row r="281" ht="15" customHeight="1">
      <c r="A281" t="inlineStr">
        <is>
          <t>A 20668-2019</t>
        </is>
      </c>
      <c r="B281" s="1" t="n">
        <v>43572</v>
      </c>
      <c r="C281" s="1" t="n">
        <v>45760</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21553-2019</t>
        </is>
      </c>
      <c r="B282" s="1" t="n">
        <v>43580</v>
      </c>
      <c r="C282" s="1" t="n">
        <v>45760</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21583-2019</t>
        </is>
      </c>
      <c r="B283" s="1" t="n">
        <v>43580</v>
      </c>
      <c r="C283" s="1" t="n">
        <v>45760</v>
      </c>
      <c r="D283" t="inlineStr">
        <is>
          <t>VÄSTERBOTTENS LÄN</t>
        </is>
      </c>
      <c r="E283" t="inlineStr">
        <is>
          <t>SKELLEFTEÅ</t>
        </is>
      </c>
      <c r="G283" t="n">
        <v>3.4</v>
      </c>
      <c r="H283" t="n">
        <v>0</v>
      </c>
      <c r="I283" t="n">
        <v>0</v>
      </c>
      <c r="J283" t="n">
        <v>0</v>
      </c>
      <c r="K283" t="n">
        <v>0</v>
      </c>
      <c r="L283" t="n">
        <v>0</v>
      </c>
      <c r="M283" t="n">
        <v>0</v>
      </c>
      <c r="N283" t="n">
        <v>0</v>
      </c>
      <c r="O283" t="n">
        <v>0</v>
      </c>
      <c r="P283" t="n">
        <v>0</v>
      </c>
      <c r="Q283" t="n">
        <v>0</v>
      </c>
      <c r="R283" s="2" t="inlineStr"/>
    </row>
    <row r="284" ht="15" customHeight="1">
      <c r="A284" t="inlineStr">
        <is>
          <t>A 22580-2019</t>
        </is>
      </c>
      <c r="B284" s="1" t="n">
        <v>43587</v>
      </c>
      <c r="C284" s="1" t="n">
        <v>45760</v>
      </c>
      <c r="D284" t="inlineStr">
        <is>
          <t>VÄSTERBOTTENS LÄN</t>
        </is>
      </c>
      <c r="E284" t="inlineStr">
        <is>
          <t>SKELLEFTEÅ</t>
        </is>
      </c>
      <c r="G284" t="n">
        <v>3</v>
      </c>
      <c r="H284" t="n">
        <v>0</v>
      </c>
      <c r="I284" t="n">
        <v>0</v>
      </c>
      <c r="J284" t="n">
        <v>0</v>
      </c>
      <c r="K284" t="n">
        <v>0</v>
      </c>
      <c r="L284" t="n">
        <v>0</v>
      </c>
      <c r="M284" t="n">
        <v>0</v>
      </c>
      <c r="N284" t="n">
        <v>0</v>
      </c>
      <c r="O284" t="n">
        <v>0</v>
      </c>
      <c r="P284" t="n">
        <v>0</v>
      </c>
      <c r="Q284" t="n">
        <v>0</v>
      </c>
      <c r="R284" s="2" t="inlineStr"/>
    </row>
    <row r="285" ht="15" customHeight="1">
      <c r="A285" t="inlineStr">
        <is>
          <t>A 23436-2019</t>
        </is>
      </c>
      <c r="B285" s="1" t="n">
        <v>43592</v>
      </c>
      <c r="C285" s="1" t="n">
        <v>45760</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23396-2019</t>
        </is>
      </c>
      <c r="B286" s="1" t="n">
        <v>43592</v>
      </c>
      <c r="C286" s="1" t="n">
        <v>45760</v>
      </c>
      <c r="D286" t="inlineStr">
        <is>
          <t>VÄSTERBOTTENS LÄN</t>
        </is>
      </c>
      <c r="E286" t="inlineStr">
        <is>
          <t>SKELLEFTEÅ</t>
        </is>
      </c>
      <c r="G286" t="n">
        <v>5.1</v>
      </c>
      <c r="H286" t="n">
        <v>0</v>
      </c>
      <c r="I286" t="n">
        <v>0</v>
      </c>
      <c r="J286" t="n">
        <v>0</v>
      </c>
      <c r="K286" t="n">
        <v>0</v>
      </c>
      <c r="L286" t="n">
        <v>0</v>
      </c>
      <c r="M286" t="n">
        <v>0</v>
      </c>
      <c r="N286" t="n">
        <v>0</v>
      </c>
      <c r="O286" t="n">
        <v>0</v>
      </c>
      <c r="P286" t="n">
        <v>0</v>
      </c>
      <c r="Q286" t="n">
        <v>0</v>
      </c>
      <c r="R286" s="2" t="inlineStr"/>
    </row>
    <row r="287" ht="15" customHeight="1">
      <c r="A287" t="inlineStr">
        <is>
          <t>A 24063-2019</t>
        </is>
      </c>
      <c r="B287" s="1" t="n">
        <v>43598</v>
      </c>
      <c r="C287" s="1" t="n">
        <v>45760</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24164-2019</t>
        </is>
      </c>
      <c r="B288" s="1" t="n">
        <v>43598</v>
      </c>
      <c r="C288" s="1" t="n">
        <v>45760</v>
      </c>
      <c r="D288" t="inlineStr">
        <is>
          <t>VÄSTERBOTTENS LÄN</t>
        </is>
      </c>
      <c r="E288" t="inlineStr">
        <is>
          <t>SKELLEFTEÅ</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24210-2019</t>
        </is>
      </c>
      <c r="B289" s="1" t="n">
        <v>43599</v>
      </c>
      <c r="C289" s="1" t="n">
        <v>45760</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26115-2019</t>
        </is>
      </c>
      <c r="B290" s="1" t="n">
        <v>43605</v>
      </c>
      <c r="C290" s="1" t="n">
        <v>45760</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26174-2019</t>
        </is>
      </c>
      <c r="B291" s="1" t="n">
        <v>43605</v>
      </c>
      <c r="C291" s="1" t="n">
        <v>45760</v>
      </c>
      <c r="D291" t="inlineStr">
        <is>
          <t>VÄSTERBOTTENS LÄN</t>
        </is>
      </c>
      <c r="E291" t="inlineStr">
        <is>
          <t>SKELLEFTEÅ</t>
        </is>
      </c>
      <c r="G291" t="n">
        <v>4.3</v>
      </c>
      <c r="H291" t="n">
        <v>0</v>
      </c>
      <c r="I291" t="n">
        <v>0</v>
      </c>
      <c r="J291" t="n">
        <v>0</v>
      </c>
      <c r="K291" t="n">
        <v>0</v>
      </c>
      <c r="L291" t="n">
        <v>0</v>
      </c>
      <c r="M291" t="n">
        <v>0</v>
      </c>
      <c r="N291" t="n">
        <v>0</v>
      </c>
      <c r="O291" t="n">
        <v>0</v>
      </c>
      <c r="P291" t="n">
        <v>0</v>
      </c>
      <c r="Q291" t="n">
        <v>0</v>
      </c>
      <c r="R291" s="2" t="inlineStr"/>
    </row>
    <row r="292" ht="15" customHeight="1">
      <c r="A292" t="inlineStr">
        <is>
          <t>A 26039-2019</t>
        </is>
      </c>
      <c r="B292" s="1" t="n">
        <v>43609</v>
      </c>
      <c r="C292" s="1" t="n">
        <v>45760</v>
      </c>
      <c r="D292" t="inlineStr">
        <is>
          <t>VÄSTERBOTTENS LÄN</t>
        </is>
      </c>
      <c r="E292" t="inlineStr">
        <is>
          <t>SKELLEFTEÅ</t>
        </is>
      </c>
      <c r="G292" t="n">
        <v>3.4</v>
      </c>
      <c r="H292" t="n">
        <v>0</v>
      </c>
      <c r="I292" t="n">
        <v>0</v>
      </c>
      <c r="J292" t="n">
        <v>0</v>
      </c>
      <c r="K292" t="n">
        <v>0</v>
      </c>
      <c r="L292" t="n">
        <v>0</v>
      </c>
      <c r="M292" t="n">
        <v>0</v>
      </c>
      <c r="N292" t="n">
        <v>0</v>
      </c>
      <c r="O292" t="n">
        <v>0</v>
      </c>
      <c r="P292" t="n">
        <v>0</v>
      </c>
      <c r="Q292" t="n">
        <v>0</v>
      </c>
      <c r="R292" s="2" t="inlineStr"/>
    </row>
    <row r="293" ht="15" customHeight="1">
      <c r="A293" t="inlineStr">
        <is>
          <t>A 26148-2019</t>
        </is>
      </c>
      <c r="B293" s="1" t="n">
        <v>43609</v>
      </c>
      <c r="C293" s="1" t="n">
        <v>45760</v>
      </c>
      <c r="D293" t="inlineStr">
        <is>
          <t>VÄSTERBOTTENS LÄN</t>
        </is>
      </c>
      <c r="E293" t="inlineStr">
        <is>
          <t>SKELLEFTEÅ</t>
        </is>
      </c>
      <c r="G293" t="n">
        <v>4.5</v>
      </c>
      <c r="H293" t="n">
        <v>0</v>
      </c>
      <c r="I293" t="n">
        <v>0</v>
      </c>
      <c r="J293" t="n">
        <v>0</v>
      </c>
      <c r="K293" t="n">
        <v>0</v>
      </c>
      <c r="L293" t="n">
        <v>0</v>
      </c>
      <c r="M293" t="n">
        <v>0</v>
      </c>
      <c r="N293" t="n">
        <v>0</v>
      </c>
      <c r="O293" t="n">
        <v>0</v>
      </c>
      <c r="P293" t="n">
        <v>0</v>
      </c>
      <c r="Q293" t="n">
        <v>0</v>
      </c>
      <c r="R293" s="2" t="inlineStr"/>
    </row>
    <row r="294" ht="15" customHeight="1">
      <c r="A294" t="inlineStr">
        <is>
          <t>A 26180-2019</t>
        </is>
      </c>
      <c r="B294" s="1" t="n">
        <v>43609</v>
      </c>
      <c r="C294" s="1" t="n">
        <v>45760</v>
      </c>
      <c r="D294" t="inlineStr">
        <is>
          <t>VÄSTERBOTTENS LÄN</t>
        </is>
      </c>
      <c r="E294" t="inlineStr">
        <is>
          <t>SKELLEFTEÅ</t>
        </is>
      </c>
      <c r="G294" t="n">
        <v>6</v>
      </c>
      <c r="H294" t="n">
        <v>0</v>
      </c>
      <c r="I294" t="n">
        <v>0</v>
      </c>
      <c r="J294" t="n">
        <v>0</v>
      </c>
      <c r="K294" t="n">
        <v>0</v>
      </c>
      <c r="L294" t="n">
        <v>0</v>
      </c>
      <c r="M294" t="n">
        <v>0</v>
      </c>
      <c r="N294" t="n">
        <v>0</v>
      </c>
      <c r="O294" t="n">
        <v>0</v>
      </c>
      <c r="P294" t="n">
        <v>0</v>
      </c>
      <c r="Q294" t="n">
        <v>0</v>
      </c>
      <c r="R294" s="2" t="inlineStr"/>
    </row>
    <row r="295" ht="15" customHeight="1">
      <c r="A295" t="inlineStr">
        <is>
          <t>A 26075-2019</t>
        </is>
      </c>
      <c r="B295" s="1" t="n">
        <v>43609</v>
      </c>
      <c r="C295" s="1" t="n">
        <v>45760</v>
      </c>
      <c r="D295" t="inlineStr">
        <is>
          <t>VÄSTERBOTTENS LÄN</t>
        </is>
      </c>
      <c r="E295" t="inlineStr">
        <is>
          <t>SKELLEFTEÅ</t>
        </is>
      </c>
      <c r="G295" t="n">
        <v>1.4</v>
      </c>
      <c r="H295" t="n">
        <v>0</v>
      </c>
      <c r="I295" t="n">
        <v>0</v>
      </c>
      <c r="J295" t="n">
        <v>0</v>
      </c>
      <c r="K295" t="n">
        <v>0</v>
      </c>
      <c r="L295" t="n">
        <v>0</v>
      </c>
      <c r="M295" t="n">
        <v>0</v>
      </c>
      <c r="N295" t="n">
        <v>0</v>
      </c>
      <c r="O295" t="n">
        <v>0</v>
      </c>
      <c r="P295" t="n">
        <v>0</v>
      </c>
      <c r="Q295" t="n">
        <v>0</v>
      </c>
      <c r="R295" s="2" t="inlineStr"/>
    </row>
    <row r="296" ht="15" customHeight="1">
      <c r="A296" t="inlineStr">
        <is>
          <t>A 26859-2019</t>
        </is>
      </c>
      <c r="B296" s="1" t="n">
        <v>43613</v>
      </c>
      <c r="C296" s="1" t="n">
        <v>45760</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28114-2019</t>
        </is>
      </c>
      <c r="B297" s="1" t="n">
        <v>43613</v>
      </c>
      <c r="C297" s="1" t="n">
        <v>45760</v>
      </c>
      <c r="D297" t="inlineStr">
        <is>
          <t>VÄSTERBOTTENS LÄN</t>
        </is>
      </c>
      <c r="E297" t="inlineStr">
        <is>
          <t>SKELLEFTEÅ</t>
        </is>
      </c>
      <c r="G297" t="n">
        <v>4.4</v>
      </c>
      <c r="H297" t="n">
        <v>0</v>
      </c>
      <c r="I297" t="n">
        <v>0</v>
      </c>
      <c r="J297" t="n">
        <v>0</v>
      </c>
      <c r="K297" t="n">
        <v>0</v>
      </c>
      <c r="L297" t="n">
        <v>0</v>
      </c>
      <c r="M297" t="n">
        <v>0</v>
      </c>
      <c r="N297" t="n">
        <v>0</v>
      </c>
      <c r="O297" t="n">
        <v>0</v>
      </c>
      <c r="P297" t="n">
        <v>0</v>
      </c>
      <c r="Q297" t="n">
        <v>0</v>
      </c>
      <c r="R297" s="2" t="inlineStr"/>
    </row>
    <row r="298" ht="15" customHeight="1">
      <c r="A298" t="inlineStr">
        <is>
          <t>A 26907-2019</t>
        </is>
      </c>
      <c r="B298" s="1" t="n">
        <v>43613</v>
      </c>
      <c r="C298" s="1" t="n">
        <v>45760</v>
      </c>
      <c r="D298" t="inlineStr">
        <is>
          <t>VÄSTERBOTTENS LÄN</t>
        </is>
      </c>
      <c r="E298" t="inlineStr">
        <is>
          <t>SKELLEFTEÅ</t>
        </is>
      </c>
      <c r="G298" t="n">
        <v>0.3</v>
      </c>
      <c r="H298" t="n">
        <v>0</v>
      </c>
      <c r="I298" t="n">
        <v>0</v>
      </c>
      <c r="J298" t="n">
        <v>0</v>
      </c>
      <c r="K298" t="n">
        <v>0</v>
      </c>
      <c r="L298" t="n">
        <v>0</v>
      </c>
      <c r="M298" t="n">
        <v>0</v>
      </c>
      <c r="N298" t="n">
        <v>0</v>
      </c>
      <c r="O298" t="n">
        <v>0</v>
      </c>
      <c r="P298" t="n">
        <v>0</v>
      </c>
      <c r="Q298" t="n">
        <v>0</v>
      </c>
      <c r="R298" s="2" t="inlineStr"/>
    </row>
    <row r="299" ht="15" customHeight="1">
      <c r="A299" t="inlineStr">
        <is>
          <t>A 28920-2019</t>
        </is>
      </c>
      <c r="B299" s="1" t="n">
        <v>43619</v>
      </c>
      <c r="C299" s="1" t="n">
        <v>45760</v>
      </c>
      <c r="D299" t="inlineStr">
        <is>
          <t>VÄSTERBOTTENS LÄN</t>
        </is>
      </c>
      <c r="E299" t="inlineStr">
        <is>
          <t>SKELLEFTEÅ</t>
        </is>
      </c>
      <c r="G299" t="n">
        <v>8.1</v>
      </c>
      <c r="H299" t="n">
        <v>0</v>
      </c>
      <c r="I299" t="n">
        <v>0</v>
      </c>
      <c r="J299" t="n">
        <v>0</v>
      </c>
      <c r="K299" t="n">
        <v>0</v>
      </c>
      <c r="L299" t="n">
        <v>0</v>
      </c>
      <c r="M299" t="n">
        <v>0</v>
      </c>
      <c r="N299" t="n">
        <v>0</v>
      </c>
      <c r="O299" t="n">
        <v>0</v>
      </c>
      <c r="P299" t="n">
        <v>0</v>
      </c>
      <c r="Q299" t="n">
        <v>0</v>
      </c>
      <c r="R299" s="2" t="inlineStr"/>
    </row>
    <row r="300" ht="15" customHeight="1">
      <c r="A300" t="inlineStr">
        <is>
          <t>A 28983-2019</t>
        </is>
      </c>
      <c r="B300" s="1" t="n">
        <v>43620</v>
      </c>
      <c r="C300" s="1" t="n">
        <v>45760</v>
      </c>
      <c r="D300" t="inlineStr">
        <is>
          <t>VÄSTERBOTTENS LÄN</t>
        </is>
      </c>
      <c r="E300" t="inlineStr">
        <is>
          <t>SKELLEFTEÅ</t>
        </is>
      </c>
      <c r="G300" t="n">
        <v>5.2</v>
      </c>
      <c r="H300" t="n">
        <v>0</v>
      </c>
      <c r="I300" t="n">
        <v>0</v>
      </c>
      <c r="J300" t="n">
        <v>0</v>
      </c>
      <c r="K300" t="n">
        <v>0</v>
      </c>
      <c r="L300" t="n">
        <v>0</v>
      </c>
      <c r="M300" t="n">
        <v>0</v>
      </c>
      <c r="N300" t="n">
        <v>0</v>
      </c>
      <c r="O300" t="n">
        <v>0</v>
      </c>
      <c r="P300" t="n">
        <v>0</v>
      </c>
      <c r="Q300" t="n">
        <v>0</v>
      </c>
      <c r="R300" s="2" t="inlineStr"/>
    </row>
    <row r="301" ht="15" customHeight="1">
      <c r="A301" t="inlineStr">
        <is>
          <t>A 29034-2019</t>
        </is>
      </c>
      <c r="B301" s="1" t="n">
        <v>43620</v>
      </c>
      <c r="C301" s="1" t="n">
        <v>45760</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28979-2019</t>
        </is>
      </c>
      <c r="B302" s="1" t="n">
        <v>43620</v>
      </c>
      <c r="C302" s="1" t="n">
        <v>45760</v>
      </c>
      <c r="D302" t="inlineStr">
        <is>
          <t>VÄSTERBOTTENS LÄN</t>
        </is>
      </c>
      <c r="E302" t="inlineStr">
        <is>
          <t>SKELLEFTEÅ</t>
        </is>
      </c>
      <c r="G302" t="n">
        <v>4.6</v>
      </c>
      <c r="H302" t="n">
        <v>0</v>
      </c>
      <c r="I302" t="n">
        <v>0</v>
      </c>
      <c r="J302" t="n">
        <v>0</v>
      </c>
      <c r="K302" t="n">
        <v>0</v>
      </c>
      <c r="L302" t="n">
        <v>0</v>
      </c>
      <c r="M302" t="n">
        <v>0</v>
      </c>
      <c r="N302" t="n">
        <v>0</v>
      </c>
      <c r="O302" t="n">
        <v>0</v>
      </c>
      <c r="P302" t="n">
        <v>0</v>
      </c>
      <c r="Q302" t="n">
        <v>0</v>
      </c>
      <c r="R302" s="2" t="inlineStr"/>
    </row>
    <row r="303" ht="15" customHeight="1">
      <c r="A303" t="inlineStr">
        <is>
          <t>A 28211-2019</t>
        </is>
      </c>
      <c r="B303" s="1" t="n">
        <v>43621</v>
      </c>
      <c r="C303" s="1" t="n">
        <v>45760</v>
      </c>
      <c r="D303" t="inlineStr">
        <is>
          <t>VÄSTERBOTTENS LÄN</t>
        </is>
      </c>
      <c r="E303" t="inlineStr">
        <is>
          <t>SKELLEFTEÅ</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28612-2019</t>
        </is>
      </c>
      <c r="B304" s="1" t="n">
        <v>43626</v>
      </c>
      <c r="C304" s="1" t="n">
        <v>45760</v>
      </c>
      <c r="D304" t="inlineStr">
        <is>
          <t>VÄSTERBOTTENS LÄN</t>
        </is>
      </c>
      <c r="E304" t="inlineStr">
        <is>
          <t>SKELLEFTEÅ</t>
        </is>
      </c>
      <c r="G304" t="n">
        <v>6.7</v>
      </c>
      <c r="H304" t="n">
        <v>0</v>
      </c>
      <c r="I304" t="n">
        <v>0</v>
      </c>
      <c r="J304" t="n">
        <v>0</v>
      </c>
      <c r="K304" t="n">
        <v>0</v>
      </c>
      <c r="L304" t="n">
        <v>0</v>
      </c>
      <c r="M304" t="n">
        <v>0</v>
      </c>
      <c r="N304" t="n">
        <v>0</v>
      </c>
      <c r="O304" t="n">
        <v>0</v>
      </c>
      <c r="P304" t="n">
        <v>0</v>
      </c>
      <c r="Q304" t="n">
        <v>0</v>
      </c>
      <c r="R304" s="2" t="inlineStr"/>
    </row>
    <row r="305" ht="15" customHeight="1">
      <c r="A305" t="inlineStr">
        <is>
          <t>A 28777-2019</t>
        </is>
      </c>
      <c r="B305" s="1" t="n">
        <v>43627</v>
      </c>
      <c r="C305" s="1" t="n">
        <v>45760</v>
      </c>
      <c r="D305" t="inlineStr">
        <is>
          <t>VÄSTERBOTTENS LÄN</t>
        </is>
      </c>
      <c r="E305" t="inlineStr">
        <is>
          <t>SKELLEFTEÅ</t>
        </is>
      </c>
      <c r="G305" t="n">
        <v>5</v>
      </c>
      <c r="H305" t="n">
        <v>0</v>
      </c>
      <c r="I305" t="n">
        <v>0</v>
      </c>
      <c r="J305" t="n">
        <v>0</v>
      </c>
      <c r="K305" t="n">
        <v>0</v>
      </c>
      <c r="L305" t="n">
        <v>0</v>
      </c>
      <c r="M305" t="n">
        <v>0</v>
      </c>
      <c r="N305" t="n">
        <v>0</v>
      </c>
      <c r="O305" t="n">
        <v>0</v>
      </c>
      <c r="P305" t="n">
        <v>0</v>
      </c>
      <c r="Q305" t="n">
        <v>0</v>
      </c>
      <c r="R305" s="2" t="inlineStr"/>
    </row>
    <row r="306" ht="15" customHeight="1">
      <c r="A306" t="inlineStr">
        <is>
          <t>A 29053-2019</t>
        </is>
      </c>
      <c r="B306" s="1" t="n">
        <v>43628</v>
      </c>
      <c r="C306" s="1" t="n">
        <v>45760</v>
      </c>
      <c r="D306" t="inlineStr">
        <is>
          <t>VÄSTERBOTTENS LÄN</t>
        </is>
      </c>
      <c r="E306" t="inlineStr">
        <is>
          <t>SKELLEFTEÅ</t>
        </is>
      </c>
      <c r="G306" t="n">
        <v>8.6</v>
      </c>
      <c r="H306" t="n">
        <v>0</v>
      </c>
      <c r="I306" t="n">
        <v>0</v>
      </c>
      <c r="J306" t="n">
        <v>0</v>
      </c>
      <c r="K306" t="n">
        <v>0</v>
      </c>
      <c r="L306" t="n">
        <v>0</v>
      </c>
      <c r="M306" t="n">
        <v>0</v>
      </c>
      <c r="N306" t="n">
        <v>0</v>
      </c>
      <c r="O306" t="n">
        <v>0</v>
      </c>
      <c r="P306" t="n">
        <v>0</v>
      </c>
      <c r="Q306" t="n">
        <v>0</v>
      </c>
      <c r="R306" s="2" t="inlineStr"/>
    </row>
    <row r="307" ht="15" customHeight="1">
      <c r="A307" t="inlineStr">
        <is>
          <t>A 29321-2019</t>
        </is>
      </c>
      <c r="B307" s="1" t="n">
        <v>43629</v>
      </c>
      <c r="C307" s="1" t="n">
        <v>45760</v>
      </c>
      <c r="D307" t="inlineStr">
        <is>
          <t>VÄSTERBOTTENS LÄN</t>
        </is>
      </c>
      <c r="E307" t="inlineStr">
        <is>
          <t>SKELLEFTEÅ</t>
        </is>
      </c>
      <c r="F307" t="inlineStr">
        <is>
          <t>Holmen skog AB</t>
        </is>
      </c>
      <c r="G307" t="n">
        <v>12.6</v>
      </c>
      <c r="H307" t="n">
        <v>0</v>
      </c>
      <c r="I307" t="n">
        <v>0</v>
      </c>
      <c r="J307" t="n">
        <v>0</v>
      </c>
      <c r="K307" t="n">
        <v>0</v>
      </c>
      <c r="L307" t="n">
        <v>0</v>
      </c>
      <c r="M307" t="n">
        <v>0</v>
      </c>
      <c r="N307" t="n">
        <v>0</v>
      </c>
      <c r="O307" t="n">
        <v>0</v>
      </c>
      <c r="P307" t="n">
        <v>0</v>
      </c>
      <c r="Q307" t="n">
        <v>0</v>
      </c>
      <c r="R307" s="2" t="inlineStr"/>
    </row>
    <row r="308" ht="15" customHeight="1">
      <c r="A308" t="inlineStr">
        <is>
          <t>A 29383-2019</t>
        </is>
      </c>
      <c r="B308" s="1" t="n">
        <v>43629</v>
      </c>
      <c r="C308" s="1" t="n">
        <v>45760</v>
      </c>
      <c r="D308" t="inlineStr">
        <is>
          <t>VÄSTERBOTTENS LÄN</t>
        </is>
      </c>
      <c r="E308" t="inlineStr">
        <is>
          <t>SKELLEFTEÅ</t>
        </is>
      </c>
      <c r="F308" t="inlineStr">
        <is>
          <t>Holmen skog AB</t>
        </is>
      </c>
      <c r="G308" t="n">
        <v>6.5</v>
      </c>
      <c r="H308" t="n">
        <v>0</v>
      </c>
      <c r="I308" t="n">
        <v>0</v>
      </c>
      <c r="J308" t="n">
        <v>0</v>
      </c>
      <c r="K308" t="n">
        <v>0</v>
      </c>
      <c r="L308" t="n">
        <v>0</v>
      </c>
      <c r="M308" t="n">
        <v>0</v>
      </c>
      <c r="N308" t="n">
        <v>0</v>
      </c>
      <c r="O308" t="n">
        <v>0</v>
      </c>
      <c r="P308" t="n">
        <v>0</v>
      </c>
      <c r="Q308" t="n">
        <v>0</v>
      </c>
      <c r="R308" s="2" t="inlineStr"/>
    </row>
    <row r="309" ht="15" customHeight="1">
      <c r="A309" t="inlineStr">
        <is>
          <t>A 30559-2019</t>
        </is>
      </c>
      <c r="B309" s="1" t="n">
        <v>43634</v>
      </c>
      <c r="C309" s="1" t="n">
        <v>45760</v>
      </c>
      <c r="D309" t="inlineStr">
        <is>
          <t>VÄSTERBOTTENS LÄN</t>
        </is>
      </c>
      <c r="E309" t="inlineStr">
        <is>
          <t>SKELLEFTEÅ</t>
        </is>
      </c>
      <c r="G309" t="n">
        <v>4.6</v>
      </c>
      <c r="H309" t="n">
        <v>0</v>
      </c>
      <c r="I309" t="n">
        <v>0</v>
      </c>
      <c r="J309" t="n">
        <v>0</v>
      </c>
      <c r="K309" t="n">
        <v>0</v>
      </c>
      <c r="L309" t="n">
        <v>0</v>
      </c>
      <c r="M309" t="n">
        <v>0</v>
      </c>
      <c r="N309" t="n">
        <v>0</v>
      </c>
      <c r="O309" t="n">
        <v>0</v>
      </c>
      <c r="P309" t="n">
        <v>0</v>
      </c>
      <c r="Q309" t="n">
        <v>0</v>
      </c>
      <c r="R309" s="2" t="inlineStr"/>
    </row>
    <row r="310" ht="15" customHeight="1">
      <c r="A310" t="inlineStr">
        <is>
          <t>A 30452-2019</t>
        </is>
      </c>
      <c r="B310" s="1" t="n">
        <v>43635</v>
      </c>
      <c r="C310" s="1" t="n">
        <v>45760</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30754-2019</t>
        </is>
      </c>
      <c r="B311" s="1" t="n">
        <v>43636</v>
      </c>
      <c r="C311" s="1" t="n">
        <v>45760</v>
      </c>
      <c r="D311" t="inlineStr">
        <is>
          <t>VÄSTERBOTTENS LÄN</t>
        </is>
      </c>
      <c r="E311" t="inlineStr">
        <is>
          <t>SKELLEFTEÅ</t>
        </is>
      </c>
      <c r="F311" t="inlineStr">
        <is>
          <t>Holmen skog AB</t>
        </is>
      </c>
      <c r="G311" t="n">
        <v>9.4</v>
      </c>
      <c r="H311" t="n">
        <v>0</v>
      </c>
      <c r="I311" t="n">
        <v>0</v>
      </c>
      <c r="J311" t="n">
        <v>0</v>
      </c>
      <c r="K311" t="n">
        <v>0</v>
      </c>
      <c r="L311" t="n">
        <v>0</v>
      </c>
      <c r="M311" t="n">
        <v>0</v>
      </c>
      <c r="N311" t="n">
        <v>0</v>
      </c>
      <c r="O311" t="n">
        <v>0</v>
      </c>
      <c r="P311" t="n">
        <v>0</v>
      </c>
      <c r="Q311" t="n">
        <v>0</v>
      </c>
      <c r="R311" s="2" t="inlineStr"/>
    </row>
    <row r="312" ht="15" customHeight="1">
      <c r="A312" t="inlineStr">
        <is>
          <t>A 30804-2019</t>
        </is>
      </c>
      <c r="B312" s="1" t="n">
        <v>43636</v>
      </c>
      <c r="C312" s="1" t="n">
        <v>45760</v>
      </c>
      <c r="D312" t="inlineStr">
        <is>
          <t>VÄSTERBOTTENS LÄN</t>
        </is>
      </c>
      <c r="E312" t="inlineStr">
        <is>
          <t>SKELLEFTEÅ</t>
        </is>
      </c>
      <c r="F312" t="inlineStr">
        <is>
          <t>Holmen skog AB</t>
        </is>
      </c>
      <c r="G312" t="n">
        <v>3.9</v>
      </c>
      <c r="H312" t="n">
        <v>0</v>
      </c>
      <c r="I312" t="n">
        <v>0</v>
      </c>
      <c r="J312" t="n">
        <v>0</v>
      </c>
      <c r="K312" t="n">
        <v>0</v>
      </c>
      <c r="L312" t="n">
        <v>0</v>
      </c>
      <c r="M312" t="n">
        <v>0</v>
      </c>
      <c r="N312" t="n">
        <v>0</v>
      </c>
      <c r="O312" t="n">
        <v>0</v>
      </c>
      <c r="P312" t="n">
        <v>0</v>
      </c>
      <c r="Q312" t="n">
        <v>0</v>
      </c>
      <c r="R312" s="2" t="inlineStr"/>
    </row>
    <row r="313" ht="15" customHeight="1">
      <c r="A313" t="inlineStr">
        <is>
          <t>A 31012-2019</t>
        </is>
      </c>
      <c r="B313" s="1" t="n">
        <v>43640</v>
      </c>
      <c r="C313" s="1" t="n">
        <v>45760</v>
      </c>
      <c r="D313" t="inlineStr">
        <is>
          <t>VÄSTERBOTTENS LÄN</t>
        </is>
      </c>
      <c r="E313" t="inlineStr">
        <is>
          <t>SKELLEFTEÅ</t>
        </is>
      </c>
      <c r="F313" t="inlineStr">
        <is>
          <t>Holmen skog AB</t>
        </is>
      </c>
      <c r="G313" t="n">
        <v>6.3</v>
      </c>
      <c r="H313" t="n">
        <v>0</v>
      </c>
      <c r="I313" t="n">
        <v>0</v>
      </c>
      <c r="J313" t="n">
        <v>0</v>
      </c>
      <c r="K313" t="n">
        <v>0</v>
      </c>
      <c r="L313" t="n">
        <v>0</v>
      </c>
      <c r="M313" t="n">
        <v>0</v>
      </c>
      <c r="N313" t="n">
        <v>0</v>
      </c>
      <c r="O313" t="n">
        <v>0</v>
      </c>
      <c r="P313" t="n">
        <v>0</v>
      </c>
      <c r="Q313" t="n">
        <v>0</v>
      </c>
      <c r="R313" s="2" t="inlineStr"/>
      <c r="U313">
        <f>HYPERLINK("https://klasma.github.io/Logging_2482/knärot/A 31012-2019 karta knärot.png", "A 31012-2019")</f>
        <v/>
      </c>
      <c r="V313">
        <f>HYPERLINK("https://klasma.github.io/Logging_2482/klagomål/A 31012-2019 FSC-klagomål.docx", "A 31012-2019")</f>
        <v/>
      </c>
      <c r="W313">
        <f>HYPERLINK("https://klasma.github.io/Logging_2482/klagomålsmail/A 31012-2019 FSC-klagomål mail.docx", "A 31012-2019")</f>
        <v/>
      </c>
      <c r="X313">
        <f>HYPERLINK("https://klasma.github.io/Logging_2482/tillsyn/A 31012-2019 tillsynsbegäran.docx", "A 31012-2019")</f>
        <v/>
      </c>
      <c r="Y313">
        <f>HYPERLINK("https://klasma.github.io/Logging_2482/tillsynsmail/A 31012-2019 tillsynsbegäran mail.docx", "A 31012-2019")</f>
        <v/>
      </c>
    </row>
    <row r="314" ht="15" customHeight="1">
      <c r="A314" t="inlineStr">
        <is>
          <t>A 31500-2019</t>
        </is>
      </c>
      <c r="B314" s="1" t="n">
        <v>43641</v>
      </c>
      <c r="C314" s="1" t="n">
        <v>45760</v>
      </c>
      <c r="D314" t="inlineStr">
        <is>
          <t>VÄSTERBOTTENS LÄN</t>
        </is>
      </c>
      <c r="E314" t="inlineStr">
        <is>
          <t>SKELLEFTEÅ</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31322-2019</t>
        </is>
      </c>
      <c r="B315" s="1" t="n">
        <v>43641</v>
      </c>
      <c r="C315" s="1" t="n">
        <v>45760</v>
      </c>
      <c r="D315" t="inlineStr">
        <is>
          <t>VÄSTERBOTTENS LÄN</t>
        </is>
      </c>
      <c r="E315" t="inlineStr">
        <is>
          <t>SKELLEFTEÅ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31629-2019</t>
        </is>
      </c>
      <c r="B316" s="1" t="n">
        <v>43642</v>
      </c>
      <c r="C316" s="1" t="n">
        <v>45760</v>
      </c>
      <c r="D316" t="inlineStr">
        <is>
          <t>VÄSTERBOTTENS LÄN</t>
        </is>
      </c>
      <c r="E316" t="inlineStr">
        <is>
          <t>SKELLEFTEÅ</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32239-2019</t>
        </is>
      </c>
      <c r="B317" s="1" t="n">
        <v>43644</v>
      </c>
      <c r="C317" s="1" t="n">
        <v>45760</v>
      </c>
      <c r="D317" t="inlineStr">
        <is>
          <t>VÄSTERBOTTENS LÄN</t>
        </is>
      </c>
      <c r="E317" t="inlineStr">
        <is>
          <t>SKELLEFTEÅ</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32343-2019</t>
        </is>
      </c>
      <c r="B318" s="1" t="n">
        <v>43644</v>
      </c>
      <c r="C318" s="1" t="n">
        <v>45760</v>
      </c>
      <c r="D318" t="inlineStr">
        <is>
          <t>VÄSTERBOTTENS LÄN</t>
        </is>
      </c>
      <c r="E318" t="inlineStr">
        <is>
          <t>SKELLEFTEÅ</t>
        </is>
      </c>
      <c r="F318" t="inlineStr">
        <is>
          <t>Holmen skog AB</t>
        </is>
      </c>
      <c r="G318" t="n">
        <v>12.8</v>
      </c>
      <c r="H318" t="n">
        <v>0</v>
      </c>
      <c r="I318" t="n">
        <v>0</v>
      </c>
      <c r="J318" t="n">
        <v>0</v>
      </c>
      <c r="K318" t="n">
        <v>0</v>
      </c>
      <c r="L318" t="n">
        <v>0</v>
      </c>
      <c r="M318" t="n">
        <v>0</v>
      </c>
      <c r="N318" t="n">
        <v>0</v>
      </c>
      <c r="O318" t="n">
        <v>0</v>
      </c>
      <c r="P318" t="n">
        <v>0</v>
      </c>
      <c r="Q318" t="n">
        <v>0</v>
      </c>
      <c r="R318" s="2" t="inlineStr"/>
    </row>
    <row r="319" ht="15" customHeight="1">
      <c r="A319" t="inlineStr">
        <is>
          <t>A 32606-2019</t>
        </is>
      </c>
      <c r="B319" s="1" t="n">
        <v>43647</v>
      </c>
      <c r="C319" s="1" t="n">
        <v>45760</v>
      </c>
      <c r="D319" t="inlineStr">
        <is>
          <t>VÄSTERBOTTENS LÄN</t>
        </is>
      </c>
      <c r="E319" t="inlineStr">
        <is>
          <t>SKELLEFTEÅ</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34575-2019</t>
        </is>
      </c>
      <c r="B320" s="1" t="n">
        <v>43647</v>
      </c>
      <c r="C320" s="1" t="n">
        <v>45760</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34645-2019</t>
        </is>
      </c>
      <c r="B321" s="1" t="n">
        <v>43647</v>
      </c>
      <c r="C321" s="1" t="n">
        <v>45760</v>
      </c>
      <c r="D321" t="inlineStr">
        <is>
          <t>VÄSTERBOTTENS LÄN</t>
        </is>
      </c>
      <c r="E321" t="inlineStr">
        <is>
          <t>SKELLEFTEÅ</t>
        </is>
      </c>
      <c r="G321" t="n">
        <v>2</v>
      </c>
      <c r="H321" t="n">
        <v>0</v>
      </c>
      <c r="I321" t="n">
        <v>0</v>
      </c>
      <c r="J321" t="n">
        <v>0</v>
      </c>
      <c r="K321" t="n">
        <v>0</v>
      </c>
      <c r="L321" t="n">
        <v>0</v>
      </c>
      <c r="M321" t="n">
        <v>0</v>
      </c>
      <c r="N321" t="n">
        <v>0</v>
      </c>
      <c r="O321" t="n">
        <v>0</v>
      </c>
      <c r="P321" t="n">
        <v>0</v>
      </c>
      <c r="Q321" t="n">
        <v>0</v>
      </c>
      <c r="R321" s="2" t="inlineStr"/>
    </row>
    <row r="322" ht="15" customHeight="1">
      <c r="A322" t="inlineStr">
        <is>
          <t>A 32679-2019</t>
        </is>
      </c>
      <c r="B322" s="1" t="n">
        <v>43647</v>
      </c>
      <c r="C322" s="1" t="n">
        <v>45760</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34627-2019</t>
        </is>
      </c>
      <c r="B323" s="1" t="n">
        <v>43647</v>
      </c>
      <c r="C323" s="1" t="n">
        <v>45760</v>
      </c>
      <c r="D323" t="inlineStr">
        <is>
          <t>VÄSTERBOTTENS LÄN</t>
        </is>
      </c>
      <c r="E323" t="inlineStr">
        <is>
          <t>SKELLEFTEÅ</t>
        </is>
      </c>
      <c r="G323" t="n">
        <v>11.6</v>
      </c>
      <c r="H323" t="n">
        <v>0</v>
      </c>
      <c r="I323" t="n">
        <v>0</v>
      </c>
      <c r="J323" t="n">
        <v>0</v>
      </c>
      <c r="K323" t="n">
        <v>0</v>
      </c>
      <c r="L323" t="n">
        <v>0</v>
      </c>
      <c r="M323" t="n">
        <v>0</v>
      </c>
      <c r="N323" t="n">
        <v>0</v>
      </c>
      <c r="O323" t="n">
        <v>0</v>
      </c>
      <c r="P323" t="n">
        <v>0</v>
      </c>
      <c r="Q323" t="n">
        <v>0</v>
      </c>
      <c r="R323" s="2" t="inlineStr"/>
    </row>
    <row r="324" ht="15" customHeight="1">
      <c r="A324" t="inlineStr">
        <is>
          <t>A 32772-2019</t>
        </is>
      </c>
      <c r="B324" s="1" t="n">
        <v>43648</v>
      </c>
      <c r="C324" s="1" t="n">
        <v>45760</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32866-2019</t>
        </is>
      </c>
      <c r="B325" s="1" t="n">
        <v>43648</v>
      </c>
      <c r="C325" s="1" t="n">
        <v>45760</v>
      </c>
      <c r="D325" t="inlineStr">
        <is>
          <t>VÄSTERBOTTENS LÄN</t>
        </is>
      </c>
      <c r="E325" t="inlineStr">
        <is>
          <t>SKELLEFTEÅ</t>
        </is>
      </c>
      <c r="G325" t="n">
        <v>5.7</v>
      </c>
      <c r="H325" t="n">
        <v>0</v>
      </c>
      <c r="I325" t="n">
        <v>0</v>
      </c>
      <c r="J325" t="n">
        <v>0</v>
      </c>
      <c r="K325" t="n">
        <v>0</v>
      </c>
      <c r="L325" t="n">
        <v>0</v>
      </c>
      <c r="M325" t="n">
        <v>0</v>
      </c>
      <c r="N325" t="n">
        <v>0</v>
      </c>
      <c r="O325" t="n">
        <v>0</v>
      </c>
      <c r="P325" t="n">
        <v>0</v>
      </c>
      <c r="Q325" t="n">
        <v>0</v>
      </c>
      <c r="R325" s="2" t="inlineStr"/>
    </row>
    <row r="326" ht="15" customHeight="1">
      <c r="A326" t="inlineStr">
        <is>
          <t>A 34685-2019</t>
        </is>
      </c>
      <c r="B326" s="1" t="n">
        <v>43648</v>
      </c>
      <c r="C326" s="1" t="n">
        <v>45760</v>
      </c>
      <c r="D326" t="inlineStr">
        <is>
          <t>VÄSTERBOTTENS LÄN</t>
        </is>
      </c>
      <c r="E326" t="inlineStr">
        <is>
          <t>SKELLEFTEÅ</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33063-2019</t>
        </is>
      </c>
      <c r="B327" s="1" t="n">
        <v>43649</v>
      </c>
      <c r="C327" s="1" t="n">
        <v>45760</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33058-2019</t>
        </is>
      </c>
      <c r="B328" s="1" t="n">
        <v>43649</v>
      </c>
      <c r="C328" s="1" t="n">
        <v>45760</v>
      </c>
      <c r="D328" t="inlineStr">
        <is>
          <t>VÄSTERBOTTENS LÄN</t>
        </is>
      </c>
      <c r="E328" t="inlineStr">
        <is>
          <t>SKELLEFTEÅ</t>
        </is>
      </c>
      <c r="G328" t="n">
        <v>2.7</v>
      </c>
      <c r="H328" t="n">
        <v>0</v>
      </c>
      <c r="I328" t="n">
        <v>0</v>
      </c>
      <c r="J328" t="n">
        <v>0</v>
      </c>
      <c r="K328" t="n">
        <v>0</v>
      </c>
      <c r="L328" t="n">
        <v>0</v>
      </c>
      <c r="M328" t="n">
        <v>0</v>
      </c>
      <c r="N328" t="n">
        <v>0</v>
      </c>
      <c r="O328" t="n">
        <v>0</v>
      </c>
      <c r="P328" t="n">
        <v>0</v>
      </c>
      <c r="Q328" t="n">
        <v>0</v>
      </c>
      <c r="R328" s="2" t="inlineStr"/>
    </row>
    <row r="329" ht="15" customHeight="1">
      <c r="A329" t="inlineStr">
        <is>
          <t>A 34894-2019</t>
        </is>
      </c>
      <c r="B329" s="1" t="n">
        <v>43649</v>
      </c>
      <c r="C329" s="1" t="n">
        <v>45760</v>
      </c>
      <c r="D329" t="inlineStr">
        <is>
          <t>VÄSTERBOTTENS LÄN</t>
        </is>
      </c>
      <c r="E329" t="inlineStr">
        <is>
          <t>SKELLEFTEÅ</t>
        </is>
      </c>
      <c r="G329" t="n">
        <v>20.4</v>
      </c>
      <c r="H329" t="n">
        <v>0</v>
      </c>
      <c r="I329" t="n">
        <v>0</v>
      </c>
      <c r="J329" t="n">
        <v>0</v>
      </c>
      <c r="K329" t="n">
        <v>0</v>
      </c>
      <c r="L329" t="n">
        <v>0</v>
      </c>
      <c r="M329" t="n">
        <v>0</v>
      </c>
      <c r="N329" t="n">
        <v>0</v>
      </c>
      <c r="O329" t="n">
        <v>0</v>
      </c>
      <c r="P329" t="n">
        <v>0</v>
      </c>
      <c r="Q329" t="n">
        <v>0</v>
      </c>
      <c r="R329" s="2" t="inlineStr"/>
    </row>
    <row r="330" ht="15" customHeight="1">
      <c r="A330" t="inlineStr">
        <is>
          <t>A 33193-2019</t>
        </is>
      </c>
      <c r="B330" s="1" t="n">
        <v>43649</v>
      </c>
      <c r="C330" s="1" t="n">
        <v>45760</v>
      </c>
      <c r="D330" t="inlineStr">
        <is>
          <t>VÄSTERBOTTENS LÄN</t>
        </is>
      </c>
      <c r="E330" t="inlineStr">
        <is>
          <t>SKELLEFTEÅ</t>
        </is>
      </c>
      <c r="G330" t="n">
        <v>3.1</v>
      </c>
      <c r="H330" t="n">
        <v>0</v>
      </c>
      <c r="I330" t="n">
        <v>0</v>
      </c>
      <c r="J330" t="n">
        <v>0</v>
      </c>
      <c r="K330" t="n">
        <v>0</v>
      </c>
      <c r="L330" t="n">
        <v>0</v>
      </c>
      <c r="M330" t="n">
        <v>0</v>
      </c>
      <c r="N330" t="n">
        <v>0</v>
      </c>
      <c r="O330" t="n">
        <v>0</v>
      </c>
      <c r="P330" t="n">
        <v>0</v>
      </c>
      <c r="Q330" t="n">
        <v>0</v>
      </c>
      <c r="R330" s="2" t="inlineStr"/>
    </row>
    <row r="331" ht="15" customHeight="1">
      <c r="A331" t="inlineStr">
        <is>
          <t>A 34906-2019</t>
        </is>
      </c>
      <c r="B331" s="1" t="n">
        <v>43649</v>
      </c>
      <c r="C331" s="1" t="n">
        <v>45760</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35229-2019</t>
        </is>
      </c>
      <c r="B332" s="1" t="n">
        <v>43650</v>
      </c>
      <c r="C332" s="1" t="n">
        <v>45760</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35445-2019</t>
        </is>
      </c>
      <c r="B333" s="1" t="n">
        <v>43651</v>
      </c>
      <c r="C333" s="1" t="n">
        <v>45760</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35452-2019</t>
        </is>
      </c>
      <c r="B334" s="1" t="n">
        <v>43651</v>
      </c>
      <c r="C334" s="1" t="n">
        <v>45760</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33888-2019</t>
        </is>
      </c>
      <c r="B335" s="1" t="n">
        <v>43653</v>
      </c>
      <c r="C335" s="1" t="n">
        <v>45760</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34089-2019</t>
        </is>
      </c>
      <c r="B336" s="1" t="n">
        <v>43654</v>
      </c>
      <c r="C336" s="1" t="n">
        <v>45760</v>
      </c>
      <c r="D336" t="inlineStr">
        <is>
          <t>VÄSTERBOTTENS LÄN</t>
        </is>
      </c>
      <c r="E336" t="inlineStr">
        <is>
          <t>SKELLEFTEÅ</t>
        </is>
      </c>
      <c r="F336" t="inlineStr">
        <is>
          <t>Holmen skog AB</t>
        </is>
      </c>
      <c r="G336" t="n">
        <v>20.9</v>
      </c>
      <c r="H336" t="n">
        <v>0</v>
      </c>
      <c r="I336" t="n">
        <v>0</v>
      </c>
      <c r="J336" t="n">
        <v>0</v>
      </c>
      <c r="K336" t="n">
        <v>0</v>
      </c>
      <c r="L336" t="n">
        <v>0</v>
      </c>
      <c r="M336" t="n">
        <v>0</v>
      </c>
      <c r="N336" t="n">
        <v>0</v>
      </c>
      <c r="O336" t="n">
        <v>0</v>
      </c>
      <c r="P336" t="n">
        <v>0</v>
      </c>
      <c r="Q336" t="n">
        <v>0</v>
      </c>
      <c r="R336" s="2" t="inlineStr"/>
    </row>
    <row r="337" ht="15" customHeight="1">
      <c r="A337" t="inlineStr">
        <is>
          <t>A 34253-2019</t>
        </is>
      </c>
      <c r="B337" s="1" t="n">
        <v>43655</v>
      </c>
      <c r="C337" s="1" t="n">
        <v>45760</v>
      </c>
      <c r="D337" t="inlineStr">
        <is>
          <t>VÄSTERBOTTENS LÄN</t>
        </is>
      </c>
      <c r="E337" t="inlineStr">
        <is>
          <t>SKELLEFTEÅ</t>
        </is>
      </c>
      <c r="F337" t="inlineStr">
        <is>
          <t>Holmen skog AB</t>
        </is>
      </c>
      <c r="G337" t="n">
        <v>18.9</v>
      </c>
      <c r="H337" t="n">
        <v>0</v>
      </c>
      <c r="I337" t="n">
        <v>0</v>
      </c>
      <c r="J337" t="n">
        <v>0</v>
      </c>
      <c r="K337" t="n">
        <v>0</v>
      </c>
      <c r="L337" t="n">
        <v>0</v>
      </c>
      <c r="M337" t="n">
        <v>0</v>
      </c>
      <c r="N337" t="n">
        <v>0</v>
      </c>
      <c r="O337" t="n">
        <v>0</v>
      </c>
      <c r="P337" t="n">
        <v>0</v>
      </c>
      <c r="Q337" t="n">
        <v>0</v>
      </c>
      <c r="R337" s="2" t="inlineStr"/>
    </row>
    <row r="338" ht="15" customHeight="1">
      <c r="A338" t="inlineStr">
        <is>
          <t>A 34939-2019</t>
        </is>
      </c>
      <c r="B338" s="1" t="n">
        <v>43658</v>
      </c>
      <c r="C338" s="1" t="n">
        <v>45760</v>
      </c>
      <c r="D338" t="inlineStr">
        <is>
          <t>VÄSTERBOTTENS LÄN</t>
        </is>
      </c>
      <c r="E338" t="inlineStr">
        <is>
          <t>SKELLEFTEÅ</t>
        </is>
      </c>
      <c r="G338" t="n">
        <v>0.8</v>
      </c>
      <c r="H338" t="n">
        <v>0</v>
      </c>
      <c r="I338" t="n">
        <v>0</v>
      </c>
      <c r="J338" t="n">
        <v>0</v>
      </c>
      <c r="K338" t="n">
        <v>0</v>
      </c>
      <c r="L338" t="n">
        <v>0</v>
      </c>
      <c r="M338" t="n">
        <v>0</v>
      </c>
      <c r="N338" t="n">
        <v>0</v>
      </c>
      <c r="O338" t="n">
        <v>0</v>
      </c>
      <c r="P338" t="n">
        <v>0</v>
      </c>
      <c r="Q338" t="n">
        <v>0</v>
      </c>
      <c r="R338" s="2" t="inlineStr"/>
    </row>
    <row r="339" ht="15" customHeight="1">
      <c r="A339" t="inlineStr">
        <is>
          <t>A 34997-2019</t>
        </is>
      </c>
      <c r="B339" s="1" t="n">
        <v>43660</v>
      </c>
      <c r="C339" s="1" t="n">
        <v>45760</v>
      </c>
      <c r="D339" t="inlineStr">
        <is>
          <t>VÄSTERBOTTENS LÄN</t>
        </is>
      </c>
      <c r="E339" t="inlineStr">
        <is>
          <t>SKELLEFTEÅ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35084-2019</t>
        </is>
      </c>
      <c r="B340" s="1" t="n">
        <v>43661</v>
      </c>
      <c r="C340" s="1" t="n">
        <v>45760</v>
      </c>
      <c r="D340" t="inlineStr">
        <is>
          <t>VÄSTERBOTTENS LÄN</t>
        </is>
      </c>
      <c r="E340" t="inlineStr">
        <is>
          <t>SKELLEFTEÅ</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35075-2019</t>
        </is>
      </c>
      <c r="B341" s="1" t="n">
        <v>43661</v>
      </c>
      <c r="C341" s="1" t="n">
        <v>45760</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35104-2019</t>
        </is>
      </c>
      <c r="B342" s="1" t="n">
        <v>43661</v>
      </c>
      <c r="C342" s="1" t="n">
        <v>45760</v>
      </c>
      <c r="D342" t="inlineStr">
        <is>
          <t>VÄSTERBOTTENS LÄN</t>
        </is>
      </c>
      <c r="E342" t="inlineStr">
        <is>
          <t>SKELLEFTEÅ</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35120-2019</t>
        </is>
      </c>
      <c r="B343" s="1" t="n">
        <v>43661</v>
      </c>
      <c r="C343" s="1" t="n">
        <v>45760</v>
      </c>
      <c r="D343" t="inlineStr">
        <is>
          <t>VÄSTERBOTTENS LÄN</t>
        </is>
      </c>
      <c r="E343" t="inlineStr">
        <is>
          <t>SKELLEFTEÅ</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35073-2019</t>
        </is>
      </c>
      <c r="B344" s="1" t="n">
        <v>43661</v>
      </c>
      <c r="C344" s="1" t="n">
        <v>45760</v>
      </c>
      <c r="D344" t="inlineStr">
        <is>
          <t>VÄSTERBOTTENS LÄN</t>
        </is>
      </c>
      <c r="E344" t="inlineStr">
        <is>
          <t>SKELLEFTEÅ</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35080-2019</t>
        </is>
      </c>
      <c r="B345" s="1" t="n">
        <v>43661</v>
      </c>
      <c r="C345" s="1" t="n">
        <v>45760</v>
      </c>
      <c r="D345" t="inlineStr">
        <is>
          <t>VÄSTERBOTTENS LÄN</t>
        </is>
      </c>
      <c r="E345" t="inlineStr">
        <is>
          <t>SKELLEFTEÅ</t>
        </is>
      </c>
      <c r="G345" t="n">
        <v>2.5</v>
      </c>
      <c r="H345" t="n">
        <v>0</v>
      </c>
      <c r="I345" t="n">
        <v>0</v>
      </c>
      <c r="J345" t="n">
        <v>0</v>
      </c>
      <c r="K345" t="n">
        <v>0</v>
      </c>
      <c r="L345" t="n">
        <v>0</v>
      </c>
      <c r="M345" t="n">
        <v>0</v>
      </c>
      <c r="N345" t="n">
        <v>0</v>
      </c>
      <c r="O345" t="n">
        <v>0</v>
      </c>
      <c r="P345" t="n">
        <v>0</v>
      </c>
      <c r="Q345" t="n">
        <v>0</v>
      </c>
      <c r="R345" s="2" t="inlineStr"/>
    </row>
    <row r="346" ht="15" customHeight="1">
      <c r="A346" t="inlineStr">
        <is>
          <t>A 35121-2019</t>
        </is>
      </c>
      <c r="B346" s="1" t="n">
        <v>43661</v>
      </c>
      <c r="C346" s="1" t="n">
        <v>45760</v>
      </c>
      <c r="D346" t="inlineStr">
        <is>
          <t>VÄSTERBOTTENS LÄN</t>
        </is>
      </c>
      <c r="E346" t="inlineStr">
        <is>
          <t>SKELLEFTEÅ</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35024-2019</t>
        </is>
      </c>
      <c r="B347" s="1" t="n">
        <v>43661</v>
      </c>
      <c r="C347" s="1" t="n">
        <v>45760</v>
      </c>
      <c r="D347" t="inlineStr">
        <is>
          <t>VÄSTERBOTTENS LÄN</t>
        </is>
      </c>
      <c r="E347" t="inlineStr">
        <is>
          <t>SKELLEFTEÅ</t>
        </is>
      </c>
      <c r="G347" t="n">
        <v>5.3</v>
      </c>
      <c r="H347" t="n">
        <v>0</v>
      </c>
      <c r="I347" t="n">
        <v>0</v>
      </c>
      <c r="J347" t="n">
        <v>0</v>
      </c>
      <c r="K347" t="n">
        <v>0</v>
      </c>
      <c r="L347" t="n">
        <v>0</v>
      </c>
      <c r="M347" t="n">
        <v>0</v>
      </c>
      <c r="N347" t="n">
        <v>0</v>
      </c>
      <c r="O347" t="n">
        <v>0</v>
      </c>
      <c r="P347" t="n">
        <v>0</v>
      </c>
      <c r="Q347" t="n">
        <v>0</v>
      </c>
      <c r="R347" s="2" t="inlineStr"/>
    </row>
    <row r="348" ht="15" customHeight="1">
      <c r="A348" t="inlineStr">
        <is>
          <t>A 35363-2019</t>
        </is>
      </c>
      <c r="B348" s="1" t="n">
        <v>43663</v>
      </c>
      <c r="C348" s="1" t="n">
        <v>45760</v>
      </c>
      <c r="D348" t="inlineStr">
        <is>
          <t>VÄSTERBOTTENS LÄN</t>
        </is>
      </c>
      <c r="E348" t="inlineStr">
        <is>
          <t>SKELLEFTEÅ</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35786-2019</t>
        </is>
      </c>
      <c r="B349" s="1" t="n">
        <v>43665</v>
      </c>
      <c r="C349" s="1" t="n">
        <v>45760</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36996-2019</t>
        </is>
      </c>
      <c r="B350" s="1" t="n">
        <v>43676</v>
      </c>
      <c r="C350" s="1" t="n">
        <v>45760</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38674-2019</t>
        </is>
      </c>
      <c r="B351" s="1" t="n">
        <v>43684</v>
      </c>
      <c r="C351" s="1" t="n">
        <v>45760</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38797-2019</t>
        </is>
      </c>
      <c r="B352" s="1" t="n">
        <v>43688</v>
      </c>
      <c r="C352" s="1" t="n">
        <v>45760</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39106-2019</t>
        </is>
      </c>
      <c r="B353" s="1" t="n">
        <v>43689</v>
      </c>
      <c r="C353" s="1" t="n">
        <v>45760</v>
      </c>
      <c r="D353" t="inlineStr">
        <is>
          <t>VÄSTERBOTTENS LÄN</t>
        </is>
      </c>
      <c r="E353" t="inlineStr">
        <is>
          <t>SKELLEFTEÅ</t>
        </is>
      </c>
      <c r="F353" t="inlineStr">
        <is>
          <t>Holmen skog AB</t>
        </is>
      </c>
      <c r="G353" t="n">
        <v>5.6</v>
      </c>
      <c r="H353" t="n">
        <v>0</v>
      </c>
      <c r="I353" t="n">
        <v>0</v>
      </c>
      <c r="J353" t="n">
        <v>0</v>
      </c>
      <c r="K353" t="n">
        <v>0</v>
      </c>
      <c r="L353" t="n">
        <v>0</v>
      </c>
      <c r="M353" t="n">
        <v>0</v>
      </c>
      <c r="N353" t="n">
        <v>0</v>
      </c>
      <c r="O353" t="n">
        <v>0</v>
      </c>
      <c r="P353" t="n">
        <v>0</v>
      </c>
      <c r="Q353" t="n">
        <v>0</v>
      </c>
      <c r="R353" s="2" t="inlineStr"/>
    </row>
    <row r="354" ht="15" customHeight="1">
      <c r="A354" t="inlineStr">
        <is>
          <t>A 38973-2019</t>
        </is>
      </c>
      <c r="B354" s="1" t="n">
        <v>43689</v>
      </c>
      <c r="C354" s="1" t="n">
        <v>45760</v>
      </c>
      <c r="D354" t="inlineStr">
        <is>
          <t>VÄSTERBOTTENS LÄN</t>
        </is>
      </c>
      <c r="E354" t="inlineStr">
        <is>
          <t>SKELLEFTEÅ</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40562-2019</t>
        </is>
      </c>
      <c r="B355" s="1" t="n">
        <v>43696</v>
      </c>
      <c r="C355" s="1" t="n">
        <v>45760</v>
      </c>
      <c r="D355" t="inlineStr">
        <is>
          <t>VÄSTERBOTTENS LÄN</t>
        </is>
      </c>
      <c r="E355" t="inlineStr">
        <is>
          <t>SKELLEFTEÅ</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41585-2019</t>
        </is>
      </c>
      <c r="B356" s="1" t="n">
        <v>43696</v>
      </c>
      <c r="C356" s="1" t="n">
        <v>45760</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41648-2019</t>
        </is>
      </c>
      <c r="B357" s="1" t="n">
        <v>43696</v>
      </c>
      <c r="C357" s="1" t="n">
        <v>45760</v>
      </c>
      <c r="D357" t="inlineStr">
        <is>
          <t>VÄSTERBOTTENS LÄN</t>
        </is>
      </c>
      <c r="E357" t="inlineStr">
        <is>
          <t>SKELLEFTEÅ</t>
        </is>
      </c>
      <c r="G357" t="n">
        <v>2.9</v>
      </c>
      <c r="H357" t="n">
        <v>0</v>
      </c>
      <c r="I357" t="n">
        <v>0</v>
      </c>
      <c r="J357" t="n">
        <v>0</v>
      </c>
      <c r="K357" t="n">
        <v>0</v>
      </c>
      <c r="L357" t="n">
        <v>0</v>
      </c>
      <c r="M357" t="n">
        <v>0</v>
      </c>
      <c r="N357" t="n">
        <v>0</v>
      </c>
      <c r="O357" t="n">
        <v>0</v>
      </c>
      <c r="P357" t="n">
        <v>0</v>
      </c>
      <c r="Q357" t="n">
        <v>0</v>
      </c>
      <c r="R357" s="2" t="inlineStr"/>
    </row>
    <row r="358" ht="15" customHeight="1">
      <c r="A358" t="inlineStr">
        <is>
          <t>A 41557-2019</t>
        </is>
      </c>
      <c r="B358" s="1" t="n">
        <v>43696</v>
      </c>
      <c r="C358" s="1" t="n">
        <v>45760</v>
      </c>
      <c r="D358" t="inlineStr">
        <is>
          <t>VÄSTERBOTTENS LÄN</t>
        </is>
      </c>
      <c r="E358" t="inlineStr">
        <is>
          <t>SKELLEFTEÅ</t>
        </is>
      </c>
      <c r="G358" t="n">
        <v>5.9</v>
      </c>
      <c r="H358" t="n">
        <v>0</v>
      </c>
      <c r="I358" t="n">
        <v>0</v>
      </c>
      <c r="J358" t="n">
        <v>0</v>
      </c>
      <c r="K358" t="n">
        <v>0</v>
      </c>
      <c r="L358" t="n">
        <v>0</v>
      </c>
      <c r="M358" t="n">
        <v>0</v>
      </c>
      <c r="N358" t="n">
        <v>0</v>
      </c>
      <c r="O358" t="n">
        <v>0</v>
      </c>
      <c r="P358" t="n">
        <v>0</v>
      </c>
      <c r="Q358" t="n">
        <v>0</v>
      </c>
      <c r="R358" s="2" t="inlineStr"/>
    </row>
    <row r="359" ht="15" customHeight="1">
      <c r="A359" t="inlineStr">
        <is>
          <t>A 40744-2019</t>
        </is>
      </c>
      <c r="B359" s="1" t="n">
        <v>43697</v>
      </c>
      <c r="C359" s="1" t="n">
        <v>45760</v>
      </c>
      <c r="D359" t="inlineStr">
        <is>
          <t>VÄSTERBOTTENS LÄN</t>
        </is>
      </c>
      <c r="E359" t="inlineStr">
        <is>
          <t>SKELLEFTEÅ</t>
        </is>
      </c>
      <c r="G359" t="n">
        <v>36.9</v>
      </c>
      <c r="H359" t="n">
        <v>0</v>
      </c>
      <c r="I359" t="n">
        <v>0</v>
      </c>
      <c r="J359" t="n">
        <v>0</v>
      </c>
      <c r="K359" t="n">
        <v>0</v>
      </c>
      <c r="L359" t="n">
        <v>0</v>
      </c>
      <c r="M359" t="n">
        <v>0</v>
      </c>
      <c r="N359" t="n">
        <v>0</v>
      </c>
      <c r="O359" t="n">
        <v>0</v>
      </c>
      <c r="P359" t="n">
        <v>0</v>
      </c>
      <c r="Q359" t="n">
        <v>0</v>
      </c>
      <c r="R359" s="2" t="inlineStr"/>
    </row>
    <row r="360" ht="15" customHeight="1">
      <c r="A360" t="inlineStr">
        <is>
          <t>A 40727-2019</t>
        </is>
      </c>
      <c r="B360" s="1" t="n">
        <v>43697</v>
      </c>
      <c r="C360" s="1" t="n">
        <v>45760</v>
      </c>
      <c r="D360" t="inlineStr">
        <is>
          <t>VÄSTERBOTTENS LÄN</t>
        </is>
      </c>
      <c r="E360" t="inlineStr">
        <is>
          <t>SKELLEFTEÅ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41980-2019</t>
        </is>
      </c>
      <c r="B361" s="1" t="n">
        <v>43700</v>
      </c>
      <c r="C361" s="1" t="n">
        <v>45760</v>
      </c>
      <c r="D361" t="inlineStr">
        <is>
          <t>VÄSTERBOTTENS LÄN</t>
        </is>
      </c>
      <c r="E361" t="inlineStr">
        <is>
          <t>SKELLEFTEÅ</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41826-2019</t>
        </is>
      </c>
      <c r="B362" s="1" t="n">
        <v>43700</v>
      </c>
      <c r="C362" s="1" t="n">
        <v>45760</v>
      </c>
      <c r="D362" t="inlineStr">
        <is>
          <t>VÄSTERBOTTENS LÄN</t>
        </is>
      </c>
      <c r="E362" t="inlineStr">
        <is>
          <t>SKELLEFTEÅ</t>
        </is>
      </c>
      <c r="F362" t="inlineStr">
        <is>
          <t>Holmen skog AB</t>
        </is>
      </c>
      <c r="G362" t="n">
        <v>4.9</v>
      </c>
      <c r="H362" t="n">
        <v>0</v>
      </c>
      <c r="I362" t="n">
        <v>0</v>
      </c>
      <c r="J362" t="n">
        <v>0</v>
      </c>
      <c r="K362" t="n">
        <v>0</v>
      </c>
      <c r="L362" t="n">
        <v>0</v>
      </c>
      <c r="M362" t="n">
        <v>0</v>
      </c>
      <c r="N362" t="n">
        <v>0</v>
      </c>
      <c r="O362" t="n">
        <v>0</v>
      </c>
      <c r="P362" t="n">
        <v>0</v>
      </c>
      <c r="Q362" t="n">
        <v>0</v>
      </c>
      <c r="R362" s="2" t="inlineStr"/>
    </row>
    <row r="363" ht="15" customHeight="1">
      <c r="A363" t="inlineStr">
        <is>
          <t>A 42319-2019</t>
        </is>
      </c>
      <c r="B363" s="1" t="n">
        <v>43703</v>
      </c>
      <c r="C363" s="1" t="n">
        <v>45760</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42435-2019</t>
        </is>
      </c>
      <c r="B364" s="1" t="n">
        <v>43704</v>
      </c>
      <c r="C364" s="1" t="n">
        <v>45760</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42651-2019</t>
        </is>
      </c>
      <c r="B365" s="1" t="n">
        <v>43704</v>
      </c>
      <c r="C365" s="1" t="n">
        <v>45760</v>
      </c>
      <c r="D365" t="inlineStr">
        <is>
          <t>VÄSTERBOTTENS LÄN</t>
        </is>
      </c>
      <c r="E365" t="inlineStr">
        <is>
          <t>SKELLEFTEÅ</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44461-2019</t>
        </is>
      </c>
      <c r="B366" s="1" t="n">
        <v>43705</v>
      </c>
      <c r="C366" s="1" t="n">
        <v>45760</v>
      </c>
      <c r="D366" t="inlineStr">
        <is>
          <t>VÄSTERBOTTENS LÄN</t>
        </is>
      </c>
      <c r="E366" t="inlineStr">
        <is>
          <t>SKELLEFTEÅ</t>
        </is>
      </c>
      <c r="G366" t="n">
        <v>1.7</v>
      </c>
      <c r="H366" t="n">
        <v>0</v>
      </c>
      <c r="I366" t="n">
        <v>0</v>
      </c>
      <c r="J366" t="n">
        <v>0</v>
      </c>
      <c r="K366" t="n">
        <v>0</v>
      </c>
      <c r="L366" t="n">
        <v>0</v>
      </c>
      <c r="M366" t="n">
        <v>0</v>
      </c>
      <c r="N366" t="n">
        <v>0</v>
      </c>
      <c r="O366" t="n">
        <v>0</v>
      </c>
      <c r="P366" t="n">
        <v>0</v>
      </c>
      <c r="Q366" t="n">
        <v>0</v>
      </c>
      <c r="R366" s="2" t="inlineStr"/>
    </row>
    <row r="367" ht="15" customHeight="1">
      <c r="A367" t="inlineStr">
        <is>
          <t>A 44486-2019</t>
        </is>
      </c>
      <c r="B367" s="1" t="n">
        <v>43706</v>
      </c>
      <c r="C367" s="1" t="n">
        <v>45760</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43638-2019</t>
        </is>
      </c>
      <c r="B368" s="1" t="n">
        <v>43707</v>
      </c>
      <c r="C368" s="1" t="n">
        <v>45760</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43842-2019</t>
        </is>
      </c>
      <c r="B369" s="1" t="n">
        <v>43707</v>
      </c>
      <c r="C369" s="1" t="n">
        <v>45760</v>
      </c>
      <c r="D369" t="inlineStr">
        <is>
          <t>VÄSTERBOTTENS LÄN</t>
        </is>
      </c>
      <c r="E369" t="inlineStr">
        <is>
          <t>SKELLEFTEÅ</t>
        </is>
      </c>
      <c r="F369" t="inlineStr">
        <is>
          <t>Sveaskog</t>
        </is>
      </c>
      <c r="G369" t="n">
        <v>7.3</v>
      </c>
      <c r="H369" t="n">
        <v>0</v>
      </c>
      <c r="I369" t="n">
        <v>0</v>
      </c>
      <c r="J369" t="n">
        <v>0</v>
      </c>
      <c r="K369" t="n">
        <v>0</v>
      </c>
      <c r="L369" t="n">
        <v>0</v>
      </c>
      <c r="M369" t="n">
        <v>0</v>
      </c>
      <c r="N369" t="n">
        <v>0</v>
      </c>
      <c r="O369" t="n">
        <v>0</v>
      </c>
      <c r="P369" t="n">
        <v>0</v>
      </c>
      <c r="Q369" t="n">
        <v>0</v>
      </c>
      <c r="R369" s="2" t="inlineStr"/>
    </row>
    <row r="370" ht="15" customHeight="1">
      <c r="A370" t="inlineStr">
        <is>
          <t>A 43648-2019</t>
        </is>
      </c>
      <c r="B370" s="1" t="n">
        <v>43707</v>
      </c>
      <c r="C370" s="1" t="n">
        <v>45760</v>
      </c>
      <c r="D370" t="inlineStr">
        <is>
          <t>VÄSTERBOTTENS LÄN</t>
        </is>
      </c>
      <c r="E370" t="inlineStr">
        <is>
          <t>SKELLEFTEÅ</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43845-2019</t>
        </is>
      </c>
      <c r="B371" s="1" t="n">
        <v>43707</v>
      </c>
      <c r="C371" s="1" t="n">
        <v>45760</v>
      </c>
      <c r="D371" t="inlineStr">
        <is>
          <t>VÄSTERBOTTENS LÄN</t>
        </is>
      </c>
      <c r="E371" t="inlineStr">
        <is>
          <t>SKELLEFTEÅ</t>
        </is>
      </c>
      <c r="F371" t="inlineStr">
        <is>
          <t>Sveaskog</t>
        </is>
      </c>
      <c r="G371" t="n">
        <v>11.6</v>
      </c>
      <c r="H371" t="n">
        <v>0</v>
      </c>
      <c r="I371" t="n">
        <v>0</v>
      </c>
      <c r="J371" t="n">
        <v>0</v>
      </c>
      <c r="K371" t="n">
        <v>0</v>
      </c>
      <c r="L371" t="n">
        <v>0</v>
      </c>
      <c r="M371" t="n">
        <v>0</v>
      </c>
      <c r="N371" t="n">
        <v>0</v>
      </c>
      <c r="O371" t="n">
        <v>0</v>
      </c>
      <c r="P371" t="n">
        <v>0</v>
      </c>
      <c r="Q371" t="n">
        <v>0</v>
      </c>
      <c r="R371" s="2" t="inlineStr"/>
    </row>
    <row r="372" ht="15" customHeight="1">
      <c r="A372" t="inlineStr">
        <is>
          <t>A 45296-2019</t>
        </is>
      </c>
      <c r="B372" s="1" t="n">
        <v>43707</v>
      </c>
      <c r="C372" s="1" t="n">
        <v>45760</v>
      </c>
      <c r="D372" t="inlineStr">
        <is>
          <t>VÄSTERBOTTENS LÄN</t>
        </is>
      </c>
      <c r="E372" t="inlineStr">
        <is>
          <t>SKELLEFTEÅ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44007-2019</t>
        </is>
      </c>
      <c r="B373" s="1" t="n">
        <v>43709</v>
      </c>
      <c r="C373" s="1" t="n">
        <v>45760</v>
      </c>
      <c r="D373" t="inlineStr">
        <is>
          <t>VÄSTERBOTTENS LÄN</t>
        </is>
      </c>
      <c r="E373" t="inlineStr">
        <is>
          <t>SKELLEFTEÅ</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44204-2019</t>
        </is>
      </c>
      <c r="B374" s="1" t="n">
        <v>43710</v>
      </c>
      <c r="C374" s="1" t="n">
        <v>45760</v>
      </c>
      <c r="D374" t="inlineStr">
        <is>
          <t>VÄSTERBOTTENS LÄN</t>
        </is>
      </c>
      <c r="E374" t="inlineStr">
        <is>
          <t>SKELLEFTEÅ</t>
        </is>
      </c>
      <c r="G374" t="n">
        <v>5.2</v>
      </c>
      <c r="H374" t="n">
        <v>0</v>
      </c>
      <c r="I374" t="n">
        <v>0</v>
      </c>
      <c r="J374" t="n">
        <v>0</v>
      </c>
      <c r="K374" t="n">
        <v>0</v>
      </c>
      <c r="L374" t="n">
        <v>0</v>
      </c>
      <c r="M374" t="n">
        <v>0</v>
      </c>
      <c r="N374" t="n">
        <v>0</v>
      </c>
      <c r="O374" t="n">
        <v>0</v>
      </c>
      <c r="P374" t="n">
        <v>0</v>
      </c>
      <c r="Q374" t="n">
        <v>0</v>
      </c>
      <c r="R374" s="2" t="inlineStr"/>
    </row>
    <row r="375" ht="15" customHeight="1">
      <c r="A375" t="inlineStr">
        <is>
          <t>A 44348-2019</t>
        </is>
      </c>
      <c r="B375" s="1" t="n">
        <v>43711</v>
      </c>
      <c r="C375" s="1" t="n">
        <v>45760</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46412-2019</t>
        </is>
      </c>
      <c r="B376" s="1" t="n">
        <v>43714</v>
      </c>
      <c r="C376" s="1" t="n">
        <v>45760</v>
      </c>
      <c r="D376" t="inlineStr">
        <is>
          <t>VÄSTERBOTTENS LÄN</t>
        </is>
      </c>
      <c r="E376" t="inlineStr">
        <is>
          <t>SKELLEFTEÅ</t>
        </is>
      </c>
      <c r="G376" t="n">
        <v>3.9</v>
      </c>
      <c r="H376" t="n">
        <v>0</v>
      </c>
      <c r="I376" t="n">
        <v>0</v>
      </c>
      <c r="J376" t="n">
        <v>0</v>
      </c>
      <c r="K376" t="n">
        <v>0</v>
      </c>
      <c r="L376" t="n">
        <v>0</v>
      </c>
      <c r="M376" t="n">
        <v>0</v>
      </c>
      <c r="N376" t="n">
        <v>0</v>
      </c>
      <c r="O376" t="n">
        <v>0</v>
      </c>
      <c r="P376" t="n">
        <v>0</v>
      </c>
      <c r="Q376" t="n">
        <v>0</v>
      </c>
      <c r="R376" s="2" t="inlineStr"/>
    </row>
    <row r="377" ht="15" customHeight="1">
      <c r="A377" t="inlineStr">
        <is>
          <t>A 46227-2019</t>
        </is>
      </c>
      <c r="B377" s="1" t="n">
        <v>43714</v>
      </c>
      <c r="C377" s="1" t="n">
        <v>45760</v>
      </c>
      <c r="D377" t="inlineStr">
        <is>
          <t>VÄSTERBOTTENS LÄN</t>
        </is>
      </c>
      <c r="E377" t="inlineStr">
        <is>
          <t>SKELLEFTEÅ</t>
        </is>
      </c>
      <c r="G377" t="n">
        <v>4.3</v>
      </c>
      <c r="H377" t="n">
        <v>0</v>
      </c>
      <c r="I377" t="n">
        <v>0</v>
      </c>
      <c r="J377" t="n">
        <v>0</v>
      </c>
      <c r="K377" t="n">
        <v>0</v>
      </c>
      <c r="L377" t="n">
        <v>0</v>
      </c>
      <c r="M377" t="n">
        <v>0</v>
      </c>
      <c r="N377" t="n">
        <v>0</v>
      </c>
      <c r="O377" t="n">
        <v>0</v>
      </c>
      <c r="P377" t="n">
        <v>0</v>
      </c>
      <c r="Q377" t="n">
        <v>0</v>
      </c>
      <c r="R377" s="2" t="inlineStr"/>
    </row>
    <row r="378" ht="15" customHeight="1">
      <c r="A378" t="inlineStr">
        <is>
          <t>A 46367-2019</t>
        </is>
      </c>
      <c r="B378" s="1" t="n">
        <v>43718</v>
      </c>
      <c r="C378" s="1" t="n">
        <v>45760</v>
      </c>
      <c r="D378" t="inlineStr">
        <is>
          <t>VÄSTERBOTTENS LÄN</t>
        </is>
      </c>
      <c r="E378" t="inlineStr">
        <is>
          <t>SKELLEFTEÅ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46355-2019</t>
        </is>
      </c>
      <c r="B379" s="1" t="n">
        <v>43718</v>
      </c>
      <c r="C379" s="1" t="n">
        <v>45760</v>
      </c>
      <c r="D379" t="inlineStr">
        <is>
          <t>VÄSTERBOTTENS LÄN</t>
        </is>
      </c>
      <c r="E379" t="inlineStr">
        <is>
          <t>SKELLEFTEÅ</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46368-2019</t>
        </is>
      </c>
      <c r="B380" s="1" t="n">
        <v>43718</v>
      </c>
      <c r="C380" s="1" t="n">
        <v>45760</v>
      </c>
      <c r="D380" t="inlineStr">
        <is>
          <t>VÄSTERBOTTENS LÄN</t>
        </is>
      </c>
      <c r="E380" t="inlineStr">
        <is>
          <t>SKELLEFTEÅ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46952-2019</t>
        </is>
      </c>
      <c r="B381" s="1" t="n">
        <v>43720</v>
      </c>
      <c r="C381" s="1" t="n">
        <v>45760</v>
      </c>
      <c r="D381" t="inlineStr">
        <is>
          <t>VÄSTERBOTTENS LÄN</t>
        </is>
      </c>
      <c r="E381" t="inlineStr">
        <is>
          <t>SKELLEFTEÅ</t>
        </is>
      </c>
      <c r="F381" t="inlineStr">
        <is>
          <t>Holmen skog AB</t>
        </is>
      </c>
      <c r="G381" t="n">
        <v>10.8</v>
      </c>
      <c r="H381" t="n">
        <v>0</v>
      </c>
      <c r="I381" t="n">
        <v>0</v>
      </c>
      <c r="J381" t="n">
        <v>0</v>
      </c>
      <c r="K381" t="n">
        <v>0</v>
      </c>
      <c r="L381" t="n">
        <v>0</v>
      </c>
      <c r="M381" t="n">
        <v>0</v>
      </c>
      <c r="N381" t="n">
        <v>0</v>
      </c>
      <c r="O381" t="n">
        <v>0</v>
      </c>
      <c r="P381" t="n">
        <v>0</v>
      </c>
      <c r="Q381" t="n">
        <v>0</v>
      </c>
      <c r="R381" s="2" t="inlineStr"/>
    </row>
    <row r="382" ht="15" customHeight="1">
      <c r="A382" t="inlineStr">
        <is>
          <t>A 46968-2019</t>
        </is>
      </c>
      <c r="B382" s="1" t="n">
        <v>43720</v>
      </c>
      <c r="C382" s="1" t="n">
        <v>45760</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46946-2019</t>
        </is>
      </c>
      <c r="B383" s="1" t="n">
        <v>43720</v>
      </c>
      <c r="C383" s="1" t="n">
        <v>45760</v>
      </c>
      <c r="D383" t="inlineStr">
        <is>
          <t>VÄSTERBOTTENS LÄN</t>
        </is>
      </c>
      <c r="E383" t="inlineStr">
        <is>
          <t>SKELLEFTEÅ</t>
        </is>
      </c>
      <c r="F383" t="inlineStr">
        <is>
          <t>Holmen skog AB</t>
        </is>
      </c>
      <c r="G383" t="n">
        <v>13.2</v>
      </c>
      <c r="H383" t="n">
        <v>0</v>
      </c>
      <c r="I383" t="n">
        <v>0</v>
      </c>
      <c r="J383" t="n">
        <v>0</v>
      </c>
      <c r="K383" t="n">
        <v>0</v>
      </c>
      <c r="L383" t="n">
        <v>0</v>
      </c>
      <c r="M383" t="n">
        <v>0</v>
      </c>
      <c r="N383" t="n">
        <v>0</v>
      </c>
      <c r="O383" t="n">
        <v>0</v>
      </c>
      <c r="P383" t="n">
        <v>0</v>
      </c>
      <c r="Q383" t="n">
        <v>0</v>
      </c>
      <c r="R383" s="2" t="inlineStr"/>
    </row>
    <row r="384" ht="15" customHeight="1">
      <c r="A384" t="inlineStr">
        <is>
          <t>A 47224-2019</t>
        </is>
      </c>
      <c r="B384" s="1" t="n">
        <v>43720</v>
      </c>
      <c r="C384" s="1" t="n">
        <v>45760</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47091-2019</t>
        </is>
      </c>
      <c r="B385" s="1" t="n">
        <v>43720</v>
      </c>
      <c r="C385" s="1" t="n">
        <v>45760</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47452-2019</t>
        </is>
      </c>
      <c r="B386" s="1" t="n">
        <v>43721</v>
      </c>
      <c r="C386" s="1" t="n">
        <v>45760</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47460-2019</t>
        </is>
      </c>
      <c r="B387" s="1" t="n">
        <v>43721</v>
      </c>
      <c r="C387" s="1" t="n">
        <v>45760</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47535-2019</t>
        </is>
      </c>
      <c r="B388" s="1" t="n">
        <v>43721</v>
      </c>
      <c r="C388" s="1" t="n">
        <v>45760</v>
      </c>
      <c r="D388" t="inlineStr">
        <is>
          <t>VÄSTERBOTTENS LÄN</t>
        </is>
      </c>
      <c r="E388" t="inlineStr">
        <is>
          <t>SKELLEFTEÅ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47572-2019</t>
        </is>
      </c>
      <c r="B389" s="1" t="n">
        <v>43724</v>
      </c>
      <c r="C389" s="1" t="n">
        <v>45760</v>
      </c>
      <c r="D389" t="inlineStr">
        <is>
          <t>VÄSTERBOTTENS LÄN</t>
        </is>
      </c>
      <c r="E389" t="inlineStr">
        <is>
          <t>SKELLEFTEÅ</t>
        </is>
      </c>
      <c r="G389" t="n">
        <v>3.6</v>
      </c>
      <c r="H389" t="n">
        <v>0</v>
      </c>
      <c r="I389" t="n">
        <v>0</v>
      </c>
      <c r="J389" t="n">
        <v>0</v>
      </c>
      <c r="K389" t="n">
        <v>0</v>
      </c>
      <c r="L389" t="n">
        <v>0</v>
      </c>
      <c r="M389" t="n">
        <v>0</v>
      </c>
      <c r="N389" t="n">
        <v>0</v>
      </c>
      <c r="O389" t="n">
        <v>0</v>
      </c>
      <c r="P389" t="n">
        <v>0</v>
      </c>
      <c r="Q389" t="n">
        <v>0</v>
      </c>
      <c r="R389" s="2" t="inlineStr"/>
    </row>
    <row r="390" ht="15" customHeight="1">
      <c r="A390" t="inlineStr">
        <is>
          <t>A 47643-2019</t>
        </is>
      </c>
      <c r="B390" s="1" t="n">
        <v>43724</v>
      </c>
      <c r="C390" s="1" t="n">
        <v>45760</v>
      </c>
      <c r="D390" t="inlineStr">
        <is>
          <t>VÄSTERBOTTENS LÄN</t>
        </is>
      </c>
      <c r="E390" t="inlineStr">
        <is>
          <t>SKELLEFTEÅ</t>
        </is>
      </c>
      <c r="G390" t="n">
        <v>3.5</v>
      </c>
      <c r="H390" t="n">
        <v>0</v>
      </c>
      <c r="I390" t="n">
        <v>0</v>
      </c>
      <c r="J390" t="n">
        <v>0</v>
      </c>
      <c r="K390" t="n">
        <v>0</v>
      </c>
      <c r="L390" t="n">
        <v>0</v>
      </c>
      <c r="M390" t="n">
        <v>0</v>
      </c>
      <c r="N390" t="n">
        <v>0</v>
      </c>
      <c r="O390" t="n">
        <v>0</v>
      </c>
      <c r="P390" t="n">
        <v>0</v>
      </c>
      <c r="Q390" t="n">
        <v>0</v>
      </c>
      <c r="R390" s="2" t="inlineStr"/>
    </row>
    <row r="391" ht="15" customHeight="1">
      <c r="A391" t="inlineStr">
        <is>
          <t>A 48592-2019</t>
        </is>
      </c>
      <c r="B391" s="1" t="n">
        <v>43727</v>
      </c>
      <c r="C391" s="1" t="n">
        <v>45760</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48786-2019</t>
        </is>
      </c>
      <c r="B392" s="1" t="n">
        <v>43727</v>
      </c>
      <c r="C392" s="1" t="n">
        <v>45760</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48957-2019</t>
        </is>
      </c>
      <c r="B393" s="1" t="n">
        <v>43728</v>
      </c>
      <c r="C393" s="1" t="n">
        <v>45760</v>
      </c>
      <c r="D393" t="inlineStr">
        <is>
          <t>VÄSTERBOTTENS LÄN</t>
        </is>
      </c>
      <c r="E393" t="inlineStr">
        <is>
          <t>SKELLEFTEÅ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49617-2019</t>
        </is>
      </c>
      <c r="B394" s="1" t="n">
        <v>43728</v>
      </c>
      <c r="C394" s="1" t="n">
        <v>45760</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49464-2019</t>
        </is>
      </c>
      <c r="B395" s="1" t="n">
        <v>43728</v>
      </c>
      <c r="C395" s="1" t="n">
        <v>45760</v>
      </c>
      <c r="D395" t="inlineStr">
        <is>
          <t>VÄSTERBOTTENS LÄN</t>
        </is>
      </c>
      <c r="E395" t="inlineStr">
        <is>
          <t>SKELLEFTEÅ</t>
        </is>
      </c>
      <c r="G395" t="n">
        <v>7.1</v>
      </c>
      <c r="H395" t="n">
        <v>0</v>
      </c>
      <c r="I395" t="n">
        <v>0</v>
      </c>
      <c r="J395" t="n">
        <v>0</v>
      </c>
      <c r="K395" t="n">
        <v>0</v>
      </c>
      <c r="L395" t="n">
        <v>0</v>
      </c>
      <c r="M395" t="n">
        <v>0</v>
      </c>
      <c r="N395" t="n">
        <v>0</v>
      </c>
      <c r="O395" t="n">
        <v>0</v>
      </c>
      <c r="P395" t="n">
        <v>0</v>
      </c>
      <c r="Q395" t="n">
        <v>0</v>
      </c>
      <c r="R395" s="2" t="inlineStr"/>
    </row>
    <row r="396" ht="15" customHeight="1">
      <c r="A396" t="inlineStr">
        <is>
          <t>A 49712-2019</t>
        </is>
      </c>
      <c r="B396" s="1" t="n">
        <v>43728</v>
      </c>
      <c r="C396" s="1" t="n">
        <v>45760</v>
      </c>
      <c r="D396" t="inlineStr">
        <is>
          <t>VÄSTERBOTTENS LÄN</t>
        </is>
      </c>
      <c r="E396" t="inlineStr">
        <is>
          <t>SKELLEFTEÅ</t>
        </is>
      </c>
      <c r="G396" t="n">
        <v>4.2</v>
      </c>
      <c r="H396" t="n">
        <v>0</v>
      </c>
      <c r="I396" t="n">
        <v>0</v>
      </c>
      <c r="J396" t="n">
        <v>0</v>
      </c>
      <c r="K396" t="n">
        <v>0</v>
      </c>
      <c r="L396" t="n">
        <v>0</v>
      </c>
      <c r="M396" t="n">
        <v>0</v>
      </c>
      <c r="N396" t="n">
        <v>0</v>
      </c>
      <c r="O396" t="n">
        <v>0</v>
      </c>
      <c r="P396" t="n">
        <v>0</v>
      </c>
      <c r="Q396" t="n">
        <v>0</v>
      </c>
      <c r="R396" s="2" t="inlineStr"/>
    </row>
    <row r="397" ht="15" customHeight="1">
      <c r="A397" t="inlineStr">
        <is>
          <t>A 49005-2019</t>
        </is>
      </c>
      <c r="B397" s="1" t="n">
        <v>43730</v>
      </c>
      <c r="C397" s="1" t="n">
        <v>45760</v>
      </c>
      <c r="D397" t="inlineStr">
        <is>
          <t>VÄSTERBOTTENS LÄN</t>
        </is>
      </c>
      <c r="E397" t="inlineStr">
        <is>
          <t>SKELLEFTEÅ</t>
        </is>
      </c>
      <c r="F397" t="inlineStr">
        <is>
          <t>Holmen skog AB</t>
        </is>
      </c>
      <c r="G397" t="n">
        <v>5.5</v>
      </c>
      <c r="H397" t="n">
        <v>0</v>
      </c>
      <c r="I397" t="n">
        <v>0</v>
      </c>
      <c r="J397" t="n">
        <v>0</v>
      </c>
      <c r="K397" t="n">
        <v>0</v>
      </c>
      <c r="L397" t="n">
        <v>0</v>
      </c>
      <c r="M397" t="n">
        <v>0</v>
      </c>
      <c r="N397" t="n">
        <v>0</v>
      </c>
      <c r="O397" t="n">
        <v>0</v>
      </c>
      <c r="P397" t="n">
        <v>0</v>
      </c>
      <c r="Q397" t="n">
        <v>0</v>
      </c>
      <c r="R397" s="2" t="inlineStr"/>
    </row>
    <row r="398" ht="15" customHeight="1">
      <c r="A398" t="inlineStr">
        <is>
          <t>A 49327-2019</t>
        </is>
      </c>
      <c r="B398" s="1" t="n">
        <v>43731</v>
      </c>
      <c r="C398" s="1" t="n">
        <v>45760</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49282-2019</t>
        </is>
      </c>
      <c r="B399" s="1" t="n">
        <v>43731</v>
      </c>
      <c r="C399" s="1" t="n">
        <v>45760</v>
      </c>
      <c r="D399" t="inlineStr">
        <is>
          <t>VÄSTERBOTTENS LÄN</t>
        </is>
      </c>
      <c r="E399" t="inlineStr">
        <is>
          <t>SKELLEFTEÅ</t>
        </is>
      </c>
      <c r="F399" t="inlineStr">
        <is>
          <t>Kommuner</t>
        </is>
      </c>
      <c r="G399" t="n">
        <v>0.9</v>
      </c>
      <c r="H399" t="n">
        <v>0</v>
      </c>
      <c r="I399" t="n">
        <v>0</v>
      </c>
      <c r="J399" t="n">
        <v>0</v>
      </c>
      <c r="K399" t="n">
        <v>0</v>
      </c>
      <c r="L399" t="n">
        <v>0</v>
      </c>
      <c r="M399" t="n">
        <v>0</v>
      </c>
      <c r="N399" t="n">
        <v>0</v>
      </c>
      <c r="O399" t="n">
        <v>0</v>
      </c>
      <c r="P399" t="n">
        <v>0</v>
      </c>
      <c r="Q399" t="n">
        <v>0</v>
      </c>
      <c r="R399" s="2" t="inlineStr"/>
    </row>
    <row r="400" ht="15" customHeight="1">
      <c r="A400" t="inlineStr">
        <is>
          <t>A 49312-2019</t>
        </is>
      </c>
      <c r="B400" s="1" t="n">
        <v>43731</v>
      </c>
      <c r="C400" s="1" t="n">
        <v>45760</v>
      </c>
      <c r="D400" t="inlineStr">
        <is>
          <t>VÄSTERBOTTENS LÄN</t>
        </is>
      </c>
      <c r="E400" t="inlineStr">
        <is>
          <t>SKELLEFTEÅ</t>
        </is>
      </c>
      <c r="G400" t="n">
        <v>1.8</v>
      </c>
      <c r="H400" t="n">
        <v>0</v>
      </c>
      <c r="I400" t="n">
        <v>0</v>
      </c>
      <c r="J400" t="n">
        <v>0</v>
      </c>
      <c r="K400" t="n">
        <v>0</v>
      </c>
      <c r="L400" t="n">
        <v>0</v>
      </c>
      <c r="M400" t="n">
        <v>0</v>
      </c>
      <c r="N400" t="n">
        <v>0</v>
      </c>
      <c r="O400" t="n">
        <v>0</v>
      </c>
      <c r="P400" t="n">
        <v>0</v>
      </c>
      <c r="Q400" t="n">
        <v>0</v>
      </c>
      <c r="R400" s="2" t="inlineStr"/>
    </row>
    <row r="401" ht="15" customHeight="1">
      <c r="A401" t="inlineStr">
        <is>
          <t>A 49792-2019</t>
        </is>
      </c>
      <c r="B401" s="1" t="n">
        <v>43733</v>
      </c>
      <c r="C401" s="1" t="n">
        <v>45760</v>
      </c>
      <c r="D401" t="inlineStr">
        <is>
          <t>VÄSTERBOTTENS LÄN</t>
        </is>
      </c>
      <c r="E401" t="inlineStr">
        <is>
          <t>SKELLEFTEÅ</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49793-2019</t>
        </is>
      </c>
      <c r="B402" s="1" t="n">
        <v>43733</v>
      </c>
      <c r="C402" s="1" t="n">
        <v>45760</v>
      </c>
      <c r="D402" t="inlineStr">
        <is>
          <t>VÄSTERBOTTENS LÄN</t>
        </is>
      </c>
      <c r="E402" t="inlineStr">
        <is>
          <t>SKELLEFTEÅ</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50518-2019</t>
        </is>
      </c>
      <c r="B403" s="1" t="n">
        <v>43733</v>
      </c>
      <c r="C403" s="1" t="n">
        <v>45760</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50515-2019</t>
        </is>
      </c>
      <c r="B404" s="1" t="n">
        <v>43733</v>
      </c>
      <c r="C404" s="1" t="n">
        <v>45760</v>
      </c>
      <c r="D404" t="inlineStr">
        <is>
          <t>VÄSTERBOTTENS LÄN</t>
        </is>
      </c>
      <c r="E404" t="inlineStr">
        <is>
          <t>SKELLEFTEÅ</t>
        </is>
      </c>
      <c r="G404" t="n">
        <v>3.1</v>
      </c>
      <c r="H404" t="n">
        <v>0</v>
      </c>
      <c r="I404" t="n">
        <v>0</v>
      </c>
      <c r="J404" t="n">
        <v>0</v>
      </c>
      <c r="K404" t="n">
        <v>0</v>
      </c>
      <c r="L404" t="n">
        <v>0</v>
      </c>
      <c r="M404" t="n">
        <v>0</v>
      </c>
      <c r="N404" t="n">
        <v>0</v>
      </c>
      <c r="O404" t="n">
        <v>0</v>
      </c>
      <c r="P404" t="n">
        <v>0</v>
      </c>
      <c r="Q404" t="n">
        <v>0</v>
      </c>
      <c r="R404" s="2" t="inlineStr"/>
    </row>
    <row r="405" ht="15" customHeight="1">
      <c r="A405" t="inlineStr">
        <is>
          <t>A 50572-2019</t>
        </is>
      </c>
      <c r="B405" s="1" t="n">
        <v>43735</v>
      </c>
      <c r="C405" s="1" t="n">
        <v>45760</v>
      </c>
      <c r="D405" t="inlineStr">
        <is>
          <t>VÄSTERBOTTENS LÄN</t>
        </is>
      </c>
      <c r="E405" t="inlineStr">
        <is>
          <t>SKELLEFTEÅ</t>
        </is>
      </c>
      <c r="F405" t="inlineStr">
        <is>
          <t>Sveaskog</t>
        </is>
      </c>
      <c r="G405" t="n">
        <v>12.1</v>
      </c>
      <c r="H405" t="n">
        <v>0</v>
      </c>
      <c r="I405" t="n">
        <v>0</v>
      </c>
      <c r="J405" t="n">
        <v>0</v>
      </c>
      <c r="K405" t="n">
        <v>0</v>
      </c>
      <c r="L405" t="n">
        <v>0</v>
      </c>
      <c r="M405" t="n">
        <v>0</v>
      </c>
      <c r="N405" t="n">
        <v>0</v>
      </c>
      <c r="O405" t="n">
        <v>0</v>
      </c>
      <c r="P405" t="n">
        <v>0</v>
      </c>
      <c r="Q405" t="n">
        <v>0</v>
      </c>
      <c r="R405" s="2" t="inlineStr"/>
    </row>
    <row r="406" ht="15" customHeight="1">
      <c r="A406" t="inlineStr">
        <is>
          <t>A 50568-2019</t>
        </is>
      </c>
      <c r="B406" s="1" t="n">
        <v>43735</v>
      </c>
      <c r="C406" s="1" t="n">
        <v>45760</v>
      </c>
      <c r="D406" t="inlineStr">
        <is>
          <t>VÄSTERBOTTENS LÄN</t>
        </is>
      </c>
      <c r="E406" t="inlineStr">
        <is>
          <t>SKELLEFTEÅ</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50574-2019</t>
        </is>
      </c>
      <c r="B407" s="1" t="n">
        <v>43735</v>
      </c>
      <c r="C407" s="1" t="n">
        <v>45760</v>
      </c>
      <c r="D407" t="inlineStr">
        <is>
          <t>VÄSTERBOTTENS LÄN</t>
        </is>
      </c>
      <c r="E407" t="inlineStr">
        <is>
          <t>SKELLEFTEÅ</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50576-2019</t>
        </is>
      </c>
      <c r="B408" s="1" t="n">
        <v>43735</v>
      </c>
      <c r="C408" s="1" t="n">
        <v>45760</v>
      </c>
      <c r="D408" t="inlineStr">
        <is>
          <t>VÄSTERBOTTENS LÄN</t>
        </is>
      </c>
      <c r="E408" t="inlineStr">
        <is>
          <t>SKELLEFTEÅ</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53194-2019</t>
        </is>
      </c>
      <c r="B409" s="1" t="n">
        <v>43735</v>
      </c>
      <c r="C409" s="1" t="n">
        <v>45760</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50872-2019</t>
        </is>
      </c>
      <c r="B410" s="1" t="n">
        <v>43738</v>
      </c>
      <c r="C410" s="1" t="n">
        <v>45760</v>
      </c>
      <c r="D410" t="inlineStr">
        <is>
          <t>VÄSTERBOTTENS LÄN</t>
        </is>
      </c>
      <c r="E410" t="inlineStr">
        <is>
          <t>SKELLEFTEÅ</t>
        </is>
      </c>
      <c r="F410" t="inlineStr">
        <is>
          <t>Holmen skog AB</t>
        </is>
      </c>
      <c r="G410" t="n">
        <v>11.5</v>
      </c>
      <c r="H410" t="n">
        <v>0</v>
      </c>
      <c r="I410" t="n">
        <v>0</v>
      </c>
      <c r="J410" t="n">
        <v>0</v>
      </c>
      <c r="K410" t="n">
        <v>0</v>
      </c>
      <c r="L410" t="n">
        <v>0</v>
      </c>
      <c r="M410" t="n">
        <v>0</v>
      </c>
      <c r="N410" t="n">
        <v>0</v>
      </c>
      <c r="O410" t="n">
        <v>0</v>
      </c>
      <c r="P410" t="n">
        <v>0</v>
      </c>
      <c r="Q410" t="n">
        <v>0</v>
      </c>
      <c r="R410" s="2" t="inlineStr"/>
    </row>
    <row r="411" ht="15" customHeight="1">
      <c r="A411" t="inlineStr">
        <is>
          <t>A 53311-2019</t>
        </is>
      </c>
      <c r="B411" s="1" t="n">
        <v>43740</v>
      </c>
      <c r="C411" s="1" t="n">
        <v>45760</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53557-2019</t>
        </is>
      </c>
      <c r="B412" s="1" t="n">
        <v>43740</v>
      </c>
      <c r="C412" s="1" t="n">
        <v>45760</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54004-2019</t>
        </is>
      </c>
      <c r="B413" s="1" t="n">
        <v>43742</v>
      </c>
      <c r="C413" s="1" t="n">
        <v>45760</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52019-2019</t>
        </is>
      </c>
      <c r="B414" s="1" t="n">
        <v>43742</v>
      </c>
      <c r="C414" s="1" t="n">
        <v>45760</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53980-2019</t>
        </is>
      </c>
      <c r="B415" s="1" t="n">
        <v>43742</v>
      </c>
      <c r="C415" s="1" t="n">
        <v>45760</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52469-2019</t>
        </is>
      </c>
      <c r="B416" s="1" t="n">
        <v>43745</v>
      </c>
      <c r="C416" s="1" t="n">
        <v>45760</v>
      </c>
      <c r="D416" t="inlineStr">
        <is>
          <t>VÄSTERBOTTENS LÄN</t>
        </is>
      </c>
      <c r="E416" t="inlineStr">
        <is>
          <t>SKELLEFTEÅ</t>
        </is>
      </c>
      <c r="G416" t="n">
        <v>7.3</v>
      </c>
      <c r="H416" t="n">
        <v>0</v>
      </c>
      <c r="I416" t="n">
        <v>0</v>
      </c>
      <c r="J416" t="n">
        <v>0</v>
      </c>
      <c r="K416" t="n">
        <v>0</v>
      </c>
      <c r="L416" t="n">
        <v>0</v>
      </c>
      <c r="M416" t="n">
        <v>0</v>
      </c>
      <c r="N416" t="n">
        <v>0</v>
      </c>
      <c r="O416" t="n">
        <v>0</v>
      </c>
      <c r="P416" t="n">
        <v>0</v>
      </c>
      <c r="Q416" t="n">
        <v>0</v>
      </c>
      <c r="R416" s="2" t="inlineStr"/>
    </row>
    <row r="417" ht="15" customHeight="1">
      <c r="A417" t="inlineStr">
        <is>
          <t>A 52506-2019</t>
        </is>
      </c>
      <c r="B417" s="1" t="n">
        <v>43745</v>
      </c>
      <c r="C417" s="1" t="n">
        <v>45760</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52471-2019</t>
        </is>
      </c>
      <c r="B418" s="1" t="n">
        <v>43745</v>
      </c>
      <c r="C418" s="1" t="n">
        <v>45760</v>
      </c>
      <c r="D418" t="inlineStr">
        <is>
          <t>VÄSTERBOTTENS LÄN</t>
        </is>
      </c>
      <c r="E418" t="inlineStr">
        <is>
          <t>SKELLEFTEÅ</t>
        </is>
      </c>
      <c r="G418" t="n">
        <v>7.8</v>
      </c>
      <c r="H418" t="n">
        <v>0</v>
      </c>
      <c r="I418" t="n">
        <v>0</v>
      </c>
      <c r="J418" t="n">
        <v>0</v>
      </c>
      <c r="K418" t="n">
        <v>0</v>
      </c>
      <c r="L418" t="n">
        <v>0</v>
      </c>
      <c r="M418" t="n">
        <v>0</v>
      </c>
      <c r="N418" t="n">
        <v>0</v>
      </c>
      <c r="O418" t="n">
        <v>0</v>
      </c>
      <c r="P418" t="n">
        <v>0</v>
      </c>
      <c r="Q418" t="n">
        <v>0</v>
      </c>
      <c r="R418" s="2" t="inlineStr"/>
    </row>
    <row r="419" ht="15" customHeight="1">
      <c r="A419" t="inlineStr">
        <is>
          <t>A 52484-2019</t>
        </is>
      </c>
      <c r="B419" s="1" t="n">
        <v>43745</v>
      </c>
      <c r="C419" s="1" t="n">
        <v>45760</v>
      </c>
      <c r="D419" t="inlineStr">
        <is>
          <t>VÄSTERBOTTENS LÄN</t>
        </is>
      </c>
      <c r="E419" t="inlineStr">
        <is>
          <t>SKELLEFTEÅ</t>
        </is>
      </c>
      <c r="G419" t="n">
        <v>9</v>
      </c>
      <c r="H419" t="n">
        <v>0</v>
      </c>
      <c r="I419" t="n">
        <v>0</v>
      </c>
      <c r="J419" t="n">
        <v>0</v>
      </c>
      <c r="K419" t="n">
        <v>0</v>
      </c>
      <c r="L419" t="n">
        <v>0</v>
      </c>
      <c r="M419" t="n">
        <v>0</v>
      </c>
      <c r="N419" t="n">
        <v>0</v>
      </c>
      <c r="O419" t="n">
        <v>0</v>
      </c>
      <c r="P419" t="n">
        <v>0</v>
      </c>
      <c r="Q419" t="n">
        <v>0</v>
      </c>
      <c r="R419" s="2" t="inlineStr"/>
    </row>
    <row r="420" ht="15" customHeight="1">
      <c r="A420" t="inlineStr">
        <is>
          <t>A 52546-2019</t>
        </is>
      </c>
      <c r="B420" s="1" t="n">
        <v>43745</v>
      </c>
      <c r="C420" s="1" t="n">
        <v>45760</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52953-2019</t>
        </is>
      </c>
      <c r="B421" s="1" t="n">
        <v>43747</v>
      </c>
      <c r="C421" s="1" t="n">
        <v>45760</v>
      </c>
      <c r="D421" t="inlineStr">
        <is>
          <t>VÄSTERBOTTENS LÄN</t>
        </is>
      </c>
      <c r="E421" t="inlineStr">
        <is>
          <t>SKELLEFTEÅ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54742-2019</t>
        </is>
      </c>
      <c r="B422" s="1" t="n">
        <v>43748</v>
      </c>
      <c r="C422" s="1" t="n">
        <v>45760</v>
      </c>
      <c r="D422" t="inlineStr">
        <is>
          <t>VÄSTERBOTTENS LÄN</t>
        </is>
      </c>
      <c r="E422" t="inlineStr">
        <is>
          <t>SKELLEFTEÅ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53584-2019</t>
        </is>
      </c>
      <c r="B423" s="1" t="n">
        <v>43749</v>
      </c>
      <c r="C423" s="1" t="n">
        <v>45760</v>
      </c>
      <c r="D423" t="inlineStr">
        <is>
          <t>VÄSTERBOTTENS LÄN</t>
        </is>
      </c>
      <c r="E423" t="inlineStr">
        <is>
          <t>SKELLEFTEÅ</t>
        </is>
      </c>
      <c r="G423" t="n">
        <v>11.4</v>
      </c>
      <c r="H423" t="n">
        <v>0</v>
      </c>
      <c r="I423" t="n">
        <v>0</v>
      </c>
      <c r="J423" t="n">
        <v>0</v>
      </c>
      <c r="K423" t="n">
        <v>0</v>
      </c>
      <c r="L423" t="n">
        <v>0</v>
      </c>
      <c r="M423" t="n">
        <v>0</v>
      </c>
      <c r="N423" t="n">
        <v>0</v>
      </c>
      <c r="O423" t="n">
        <v>0</v>
      </c>
      <c r="P423" t="n">
        <v>0</v>
      </c>
      <c r="Q423" t="n">
        <v>0</v>
      </c>
      <c r="R423" s="2" t="inlineStr"/>
    </row>
    <row r="424" ht="15" customHeight="1">
      <c r="A424" t="inlineStr">
        <is>
          <t>A 54935-2019</t>
        </is>
      </c>
      <c r="B424" s="1" t="n">
        <v>43749</v>
      </c>
      <c r="C424" s="1" t="n">
        <v>45760</v>
      </c>
      <c r="D424" t="inlineStr">
        <is>
          <t>VÄSTERBOTTENS LÄN</t>
        </is>
      </c>
      <c r="E424" t="inlineStr">
        <is>
          <t>SKELLEFTEÅ</t>
        </is>
      </c>
      <c r="G424" t="n">
        <v>0.9</v>
      </c>
      <c r="H424" t="n">
        <v>0</v>
      </c>
      <c r="I424" t="n">
        <v>0</v>
      </c>
      <c r="J424" t="n">
        <v>0</v>
      </c>
      <c r="K424" t="n">
        <v>0</v>
      </c>
      <c r="L424" t="n">
        <v>0</v>
      </c>
      <c r="M424" t="n">
        <v>0</v>
      </c>
      <c r="N424" t="n">
        <v>0</v>
      </c>
      <c r="O424" t="n">
        <v>0</v>
      </c>
      <c r="P424" t="n">
        <v>0</v>
      </c>
      <c r="Q424" t="n">
        <v>0</v>
      </c>
      <c r="R424" s="2" t="inlineStr"/>
    </row>
    <row r="425" ht="15" customHeight="1">
      <c r="A425" t="inlineStr">
        <is>
          <t>A 54920-2019</t>
        </is>
      </c>
      <c r="B425" s="1" t="n">
        <v>43749</v>
      </c>
      <c r="C425" s="1" t="n">
        <v>45760</v>
      </c>
      <c r="D425" t="inlineStr">
        <is>
          <t>VÄSTERBOTTENS LÄN</t>
        </is>
      </c>
      <c r="E425" t="inlineStr">
        <is>
          <t>SKELLEFTEÅ</t>
        </is>
      </c>
      <c r="G425" t="n">
        <v>24.3</v>
      </c>
      <c r="H425" t="n">
        <v>0</v>
      </c>
      <c r="I425" t="n">
        <v>0</v>
      </c>
      <c r="J425" t="n">
        <v>0</v>
      </c>
      <c r="K425" t="n">
        <v>0</v>
      </c>
      <c r="L425" t="n">
        <v>0</v>
      </c>
      <c r="M425" t="n">
        <v>0</v>
      </c>
      <c r="N425" t="n">
        <v>0</v>
      </c>
      <c r="O425" t="n">
        <v>0</v>
      </c>
      <c r="P425" t="n">
        <v>0</v>
      </c>
      <c r="Q425" t="n">
        <v>0</v>
      </c>
      <c r="R425" s="2" t="inlineStr"/>
    </row>
    <row r="426" ht="15" customHeight="1">
      <c r="A426" t="inlineStr">
        <is>
          <t>A 54939-2019</t>
        </is>
      </c>
      <c r="B426" s="1" t="n">
        <v>43749</v>
      </c>
      <c r="C426" s="1" t="n">
        <v>45760</v>
      </c>
      <c r="D426" t="inlineStr">
        <is>
          <t>VÄSTERBOTTENS LÄN</t>
        </is>
      </c>
      <c r="E426" t="inlineStr">
        <is>
          <t>SKELLEFTEÅ</t>
        </is>
      </c>
      <c r="G426" t="n">
        <v>4.2</v>
      </c>
      <c r="H426" t="n">
        <v>0</v>
      </c>
      <c r="I426" t="n">
        <v>0</v>
      </c>
      <c r="J426" t="n">
        <v>0</v>
      </c>
      <c r="K426" t="n">
        <v>0</v>
      </c>
      <c r="L426" t="n">
        <v>0</v>
      </c>
      <c r="M426" t="n">
        <v>0</v>
      </c>
      <c r="N426" t="n">
        <v>0</v>
      </c>
      <c r="O426" t="n">
        <v>0</v>
      </c>
      <c r="P426" t="n">
        <v>0</v>
      </c>
      <c r="Q426" t="n">
        <v>0</v>
      </c>
      <c r="R426" s="2" t="inlineStr"/>
    </row>
    <row r="427" ht="15" customHeight="1">
      <c r="A427" t="inlineStr">
        <is>
          <t>A 53925-2019</t>
        </is>
      </c>
      <c r="B427" s="1" t="n">
        <v>43752</v>
      </c>
      <c r="C427" s="1" t="n">
        <v>45760</v>
      </c>
      <c r="D427" t="inlineStr">
        <is>
          <t>VÄSTERBOTTENS LÄN</t>
        </is>
      </c>
      <c r="E427" t="inlineStr">
        <is>
          <t>SKELLEFTEÅ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54146-2019</t>
        </is>
      </c>
      <c r="B428" s="1" t="n">
        <v>43753</v>
      </c>
      <c r="C428" s="1" t="n">
        <v>45760</v>
      </c>
      <c r="D428" t="inlineStr">
        <is>
          <t>VÄSTERBOTTENS LÄN</t>
        </is>
      </c>
      <c r="E428" t="inlineStr">
        <is>
          <t>SKELLEFTEÅ</t>
        </is>
      </c>
      <c r="G428" t="n">
        <v>3.7</v>
      </c>
      <c r="H428" t="n">
        <v>0</v>
      </c>
      <c r="I428" t="n">
        <v>0</v>
      </c>
      <c r="J428" t="n">
        <v>0</v>
      </c>
      <c r="K428" t="n">
        <v>0</v>
      </c>
      <c r="L428" t="n">
        <v>0</v>
      </c>
      <c r="M428" t="n">
        <v>0</v>
      </c>
      <c r="N428" t="n">
        <v>0</v>
      </c>
      <c r="O428" t="n">
        <v>0</v>
      </c>
      <c r="P428" t="n">
        <v>0</v>
      </c>
      <c r="Q428" t="n">
        <v>0</v>
      </c>
      <c r="R428" s="2" t="inlineStr"/>
    </row>
    <row r="429" ht="15" customHeight="1">
      <c r="A429" t="inlineStr">
        <is>
          <t>A 54666-2019</t>
        </is>
      </c>
      <c r="B429" s="1" t="n">
        <v>43754</v>
      </c>
      <c r="C429" s="1" t="n">
        <v>45760</v>
      </c>
      <c r="D429" t="inlineStr">
        <is>
          <t>VÄSTERBOTTENS LÄN</t>
        </is>
      </c>
      <c r="E429" t="inlineStr">
        <is>
          <t>SKELLEFTEÅ</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54667-2019</t>
        </is>
      </c>
      <c r="B430" s="1" t="n">
        <v>43754</v>
      </c>
      <c r="C430" s="1" t="n">
        <v>45760</v>
      </c>
      <c r="D430" t="inlineStr">
        <is>
          <t>VÄSTERBOTTENS LÄN</t>
        </is>
      </c>
      <c r="E430" t="inlineStr">
        <is>
          <t>SKELLEFTEÅ</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55363-2019</t>
        </is>
      </c>
      <c r="B431" s="1" t="n">
        <v>43756</v>
      </c>
      <c r="C431" s="1" t="n">
        <v>45760</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55459-2019</t>
        </is>
      </c>
      <c r="B432" s="1" t="n">
        <v>43759</v>
      </c>
      <c r="C432" s="1" t="n">
        <v>45760</v>
      </c>
      <c r="D432" t="inlineStr">
        <is>
          <t>VÄSTERBOTTENS LÄN</t>
        </is>
      </c>
      <c r="E432" t="inlineStr">
        <is>
          <t>SKELLEFTEÅ</t>
        </is>
      </c>
      <c r="G432" t="n">
        <v>14.5</v>
      </c>
      <c r="H432" t="n">
        <v>0</v>
      </c>
      <c r="I432" t="n">
        <v>0</v>
      </c>
      <c r="J432" t="n">
        <v>0</v>
      </c>
      <c r="K432" t="n">
        <v>0</v>
      </c>
      <c r="L432" t="n">
        <v>0</v>
      </c>
      <c r="M432" t="n">
        <v>0</v>
      </c>
      <c r="N432" t="n">
        <v>0</v>
      </c>
      <c r="O432" t="n">
        <v>0</v>
      </c>
      <c r="P432" t="n">
        <v>0</v>
      </c>
      <c r="Q432" t="n">
        <v>0</v>
      </c>
      <c r="R432" s="2" t="inlineStr"/>
    </row>
    <row r="433" ht="15" customHeight="1">
      <c r="A433" t="inlineStr">
        <is>
          <t>A 55489-2019</t>
        </is>
      </c>
      <c r="B433" s="1" t="n">
        <v>43759</v>
      </c>
      <c r="C433" s="1" t="n">
        <v>45760</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56284-2019</t>
        </is>
      </c>
      <c r="B434" s="1" t="n">
        <v>43762</v>
      </c>
      <c r="C434" s="1" t="n">
        <v>45760</v>
      </c>
      <c r="D434" t="inlineStr">
        <is>
          <t>VÄSTERBOTTENS LÄN</t>
        </is>
      </c>
      <c r="E434" t="inlineStr">
        <is>
          <t>SKELLEFTEÅ</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56786-2019</t>
        </is>
      </c>
      <c r="B435" s="1" t="n">
        <v>43763</v>
      </c>
      <c r="C435" s="1" t="n">
        <v>45760</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56581-2019</t>
        </is>
      </c>
      <c r="B436" s="1" t="n">
        <v>43763</v>
      </c>
      <c r="C436" s="1" t="n">
        <v>45760</v>
      </c>
      <c r="D436" t="inlineStr">
        <is>
          <t>VÄSTERBOTTENS LÄN</t>
        </is>
      </c>
      <c r="E436" t="inlineStr">
        <is>
          <t>SKELLEFTEÅ</t>
        </is>
      </c>
      <c r="F436" t="inlineStr">
        <is>
          <t>Sveaskog</t>
        </is>
      </c>
      <c r="G436" t="n">
        <v>21.4</v>
      </c>
      <c r="H436" t="n">
        <v>0</v>
      </c>
      <c r="I436" t="n">
        <v>0</v>
      </c>
      <c r="J436" t="n">
        <v>0</v>
      </c>
      <c r="K436" t="n">
        <v>0</v>
      </c>
      <c r="L436" t="n">
        <v>0</v>
      </c>
      <c r="M436" t="n">
        <v>0</v>
      </c>
      <c r="N436" t="n">
        <v>0</v>
      </c>
      <c r="O436" t="n">
        <v>0</v>
      </c>
      <c r="P436" t="n">
        <v>0</v>
      </c>
      <c r="Q436" t="n">
        <v>0</v>
      </c>
      <c r="R436" s="2" t="inlineStr"/>
    </row>
    <row r="437" ht="15" customHeight="1">
      <c r="A437" t="inlineStr">
        <is>
          <t>A 57569-2019</t>
        </is>
      </c>
      <c r="B437" s="1" t="n">
        <v>43768</v>
      </c>
      <c r="C437" s="1" t="n">
        <v>45760</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57803-2019</t>
        </is>
      </c>
      <c r="B438" s="1" t="n">
        <v>43768</v>
      </c>
      <c r="C438" s="1" t="n">
        <v>45760</v>
      </c>
      <c r="D438" t="inlineStr">
        <is>
          <t>VÄSTERBOTTENS LÄN</t>
        </is>
      </c>
      <c r="E438" t="inlineStr">
        <is>
          <t>SKELLEFTEÅ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58546-2019</t>
        </is>
      </c>
      <c r="B439" s="1" t="n">
        <v>43773</v>
      </c>
      <c r="C439" s="1" t="n">
        <v>45760</v>
      </c>
      <c r="D439" t="inlineStr">
        <is>
          <t>VÄSTERBOTTENS LÄN</t>
        </is>
      </c>
      <c r="E439" t="inlineStr">
        <is>
          <t>SKELLEFTEÅ</t>
        </is>
      </c>
      <c r="F439" t="inlineStr">
        <is>
          <t>Sveaskog</t>
        </is>
      </c>
      <c r="G439" t="n">
        <v>27.6</v>
      </c>
      <c r="H439" t="n">
        <v>0</v>
      </c>
      <c r="I439" t="n">
        <v>0</v>
      </c>
      <c r="J439" t="n">
        <v>0</v>
      </c>
      <c r="K439" t="n">
        <v>0</v>
      </c>
      <c r="L439" t="n">
        <v>0</v>
      </c>
      <c r="M439" t="n">
        <v>0</v>
      </c>
      <c r="N439" t="n">
        <v>0</v>
      </c>
      <c r="O439" t="n">
        <v>0</v>
      </c>
      <c r="P439" t="n">
        <v>0</v>
      </c>
      <c r="Q439" t="n">
        <v>0</v>
      </c>
      <c r="R439" s="2" t="inlineStr"/>
    </row>
    <row r="440" ht="15" customHeight="1">
      <c r="A440" t="inlineStr">
        <is>
          <t>A 59255-2019</t>
        </is>
      </c>
      <c r="B440" s="1" t="n">
        <v>43773</v>
      </c>
      <c r="C440" s="1" t="n">
        <v>45760</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58905-2019</t>
        </is>
      </c>
      <c r="B441" s="1" t="n">
        <v>43774</v>
      </c>
      <c r="C441" s="1" t="n">
        <v>45760</v>
      </c>
      <c r="D441" t="inlineStr">
        <is>
          <t>VÄSTERBOTTENS LÄN</t>
        </is>
      </c>
      <c r="E441" t="inlineStr">
        <is>
          <t>SKELLEFTEÅ</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58817-2019</t>
        </is>
      </c>
      <c r="B442" s="1" t="n">
        <v>43774</v>
      </c>
      <c r="C442" s="1" t="n">
        <v>45760</v>
      </c>
      <c r="D442" t="inlineStr">
        <is>
          <t>VÄSTERBOTTENS LÄN</t>
        </is>
      </c>
      <c r="E442" t="inlineStr">
        <is>
          <t>SKELLEFTEÅ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59611-2019</t>
        </is>
      </c>
      <c r="B443" s="1" t="n">
        <v>43774</v>
      </c>
      <c r="C443" s="1" t="n">
        <v>45760</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59344-2019</t>
        </is>
      </c>
      <c r="B444" s="1" t="n">
        <v>43775</v>
      </c>
      <c r="C444" s="1" t="n">
        <v>45760</v>
      </c>
      <c r="D444" t="inlineStr">
        <is>
          <t>VÄSTERBOTTENS LÄN</t>
        </is>
      </c>
      <c r="E444" t="inlineStr">
        <is>
          <t>SKELLEFTEÅ</t>
        </is>
      </c>
      <c r="G444" t="n">
        <v>2.3</v>
      </c>
      <c r="H444" t="n">
        <v>0</v>
      </c>
      <c r="I444" t="n">
        <v>0</v>
      </c>
      <c r="J444" t="n">
        <v>0</v>
      </c>
      <c r="K444" t="n">
        <v>0</v>
      </c>
      <c r="L444" t="n">
        <v>0</v>
      </c>
      <c r="M444" t="n">
        <v>0</v>
      </c>
      <c r="N444" t="n">
        <v>0</v>
      </c>
      <c r="O444" t="n">
        <v>0</v>
      </c>
      <c r="P444" t="n">
        <v>0</v>
      </c>
      <c r="Q444" t="n">
        <v>0</v>
      </c>
      <c r="R444" s="2" t="inlineStr"/>
    </row>
    <row r="445" ht="15" customHeight="1">
      <c r="A445" t="inlineStr">
        <is>
          <t>A 60378-2019</t>
        </is>
      </c>
      <c r="B445" s="1" t="n">
        <v>43776</v>
      </c>
      <c r="C445" s="1" t="n">
        <v>45760</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60289-2019</t>
        </is>
      </c>
      <c r="B446" s="1" t="n">
        <v>43776</v>
      </c>
      <c r="C446" s="1" t="n">
        <v>45760</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60189-2019</t>
        </is>
      </c>
      <c r="B447" s="1" t="n">
        <v>43780</v>
      </c>
      <c r="C447" s="1" t="n">
        <v>45760</v>
      </c>
      <c r="D447" t="inlineStr">
        <is>
          <t>VÄSTERBOTTENS LÄN</t>
        </is>
      </c>
      <c r="E447" t="inlineStr">
        <is>
          <t>SKELLEFTEÅ</t>
        </is>
      </c>
      <c r="F447" t="inlineStr">
        <is>
          <t>Holmen skog AB</t>
        </is>
      </c>
      <c r="G447" t="n">
        <v>6.3</v>
      </c>
      <c r="H447" t="n">
        <v>0</v>
      </c>
      <c r="I447" t="n">
        <v>0</v>
      </c>
      <c r="J447" t="n">
        <v>0</v>
      </c>
      <c r="K447" t="n">
        <v>0</v>
      </c>
      <c r="L447" t="n">
        <v>0</v>
      </c>
      <c r="M447" t="n">
        <v>0</v>
      </c>
      <c r="N447" t="n">
        <v>0</v>
      </c>
      <c r="O447" t="n">
        <v>0</v>
      </c>
      <c r="P447" t="n">
        <v>0</v>
      </c>
      <c r="Q447" t="n">
        <v>0</v>
      </c>
      <c r="R447" s="2" t="inlineStr"/>
    </row>
    <row r="448" ht="15" customHeight="1">
      <c r="A448" t="inlineStr">
        <is>
          <t>A 60416-2019</t>
        </is>
      </c>
      <c r="B448" s="1" t="n">
        <v>43780</v>
      </c>
      <c r="C448" s="1" t="n">
        <v>45760</v>
      </c>
      <c r="D448" t="inlineStr">
        <is>
          <t>VÄSTERBOTTENS LÄN</t>
        </is>
      </c>
      <c r="E448" t="inlineStr">
        <is>
          <t>SKELLEFTEÅ</t>
        </is>
      </c>
      <c r="G448" t="n">
        <v>5.8</v>
      </c>
      <c r="H448" t="n">
        <v>0</v>
      </c>
      <c r="I448" t="n">
        <v>0</v>
      </c>
      <c r="J448" t="n">
        <v>0</v>
      </c>
      <c r="K448" t="n">
        <v>0</v>
      </c>
      <c r="L448" t="n">
        <v>0</v>
      </c>
      <c r="M448" t="n">
        <v>0</v>
      </c>
      <c r="N448" t="n">
        <v>0</v>
      </c>
      <c r="O448" t="n">
        <v>0</v>
      </c>
      <c r="P448" t="n">
        <v>0</v>
      </c>
      <c r="Q448" t="n">
        <v>0</v>
      </c>
      <c r="R448" s="2" t="inlineStr"/>
    </row>
    <row r="449" ht="15" customHeight="1">
      <c r="A449" t="inlineStr">
        <is>
          <t>A 61929-2019</t>
        </is>
      </c>
      <c r="B449" s="1" t="n">
        <v>43781</v>
      </c>
      <c r="C449" s="1" t="n">
        <v>45760</v>
      </c>
      <c r="D449" t="inlineStr">
        <is>
          <t>VÄSTERBOTTENS LÄN</t>
        </is>
      </c>
      <c r="E449" t="inlineStr">
        <is>
          <t>SKELLEFTEÅ</t>
        </is>
      </c>
      <c r="G449" t="n">
        <v>0.3</v>
      </c>
      <c r="H449" t="n">
        <v>0</v>
      </c>
      <c r="I449" t="n">
        <v>0</v>
      </c>
      <c r="J449" t="n">
        <v>0</v>
      </c>
      <c r="K449" t="n">
        <v>0</v>
      </c>
      <c r="L449" t="n">
        <v>0</v>
      </c>
      <c r="M449" t="n">
        <v>0</v>
      </c>
      <c r="N449" t="n">
        <v>0</v>
      </c>
      <c r="O449" t="n">
        <v>0</v>
      </c>
      <c r="P449" t="n">
        <v>0</v>
      </c>
      <c r="Q449" t="n">
        <v>0</v>
      </c>
      <c r="R449" s="2" t="inlineStr"/>
    </row>
    <row r="450" ht="15" customHeight="1">
      <c r="A450" t="inlineStr">
        <is>
          <t>A 60985-2019</t>
        </is>
      </c>
      <c r="B450" s="1" t="n">
        <v>43782</v>
      </c>
      <c r="C450" s="1" t="n">
        <v>45760</v>
      </c>
      <c r="D450" t="inlineStr">
        <is>
          <t>VÄSTERBOTTENS LÄN</t>
        </is>
      </c>
      <c r="E450" t="inlineStr">
        <is>
          <t>SKELLEFTEÅ</t>
        </is>
      </c>
      <c r="G450" t="n">
        <v>4.7</v>
      </c>
      <c r="H450" t="n">
        <v>0</v>
      </c>
      <c r="I450" t="n">
        <v>0</v>
      </c>
      <c r="J450" t="n">
        <v>0</v>
      </c>
      <c r="K450" t="n">
        <v>0</v>
      </c>
      <c r="L450" t="n">
        <v>0</v>
      </c>
      <c r="M450" t="n">
        <v>0</v>
      </c>
      <c r="N450" t="n">
        <v>0</v>
      </c>
      <c r="O450" t="n">
        <v>0</v>
      </c>
      <c r="P450" t="n">
        <v>0</v>
      </c>
      <c r="Q450" t="n">
        <v>0</v>
      </c>
      <c r="R450" s="2" t="inlineStr"/>
    </row>
    <row r="451" ht="15" customHeight="1">
      <c r="A451" t="inlineStr">
        <is>
          <t>A 61295-2019</t>
        </is>
      </c>
      <c r="B451" s="1" t="n">
        <v>43783</v>
      </c>
      <c r="C451" s="1" t="n">
        <v>45760</v>
      </c>
      <c r="D451" t="inlineStr">
        <is>
          <t>VÄSTERBOTTENS LÄN</t>
        </is>
      </c>
      <c r="E451" t="inlineStr">
        <is>
          <t>SKELLEFTEÅ</t>
        </is>
      </c>
      <c r="F451" t="inlineStr">
        <is>
          <t>Holmen skog AB</t>
        </is>
      </c>
      <c r="G451" t="n">
        <v>11.2</v>
      </c>
      <c r="H451" t="n">
        <v>0</v>
      </c>
      <c r="I451" t="n">
        <v>0</v>
      </c>
      <c r="J451" t="n">
        <v>0</v>
      </c>
      <c r="K451" t="n">
        <v>0</v>
      </c>
      <c r="L451" t="n">
        <v>0</v>
      </c>
      <c r="M451" t="n">
        <v>0</v>
      </c>
      <c r="N451" t="n">
        <v>0</v>
      </c>
      <c r="O451" t="n">
        <v>0</v>
      </c>
      <c r="P451" t="n">
        <v>0</v>
      </c>
      <c r="Q451" t="n">
        <v>0</v>
      </c>
      <c r="R451" s="2" t="inlineStr"/>
    </row>
    <row r="452" ht="15" customHeight="1">
      <c r="A452" t="inlineStr">
        <is>
          <t>A 61468-2019</t>
        </is>
      </c>
      <c r="B452" s="1" t="n">
        <v>43783</v>
      </c>
      <c r="C452" s="1" t="n">
        <v>45760</v>
      </c>
      <c r="D452" t="inlineStr">
        <is>
          <t>VÄSTERBOTTENS LÄN</t>
        </is>
      </c>
      <c r="E452" t="inlineStr">
        <is>
          <t>SKELLEFTEÅ</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62584-2019</t>
        </is>
      </c>
      <c r="B453" s="1" t="n">
        <v>43784</v>
      </c>
      <c r="C453" s="1" t="n">
        <v>45760</v>
      </c>
      <c r="D453" t="inlineStr">
        <is>
          <t>VÄSTERBOTTENS LÄN</t>
        </is>
      </c>
      <c r="E453" t="inlineStr">
        <is>
          <t>SKELLEFTEÅ</t>
        </is>
      </c>
      <c r="G453" t="n">
        <v>6.1</v>
      </c>
      <c r="H453" t="n">
        <v>0</v>
      </c>
      <c r="I453" t="n">
        <v>0</v>
      </c>
      <c r="J453" t="n">
        <v>0</v>
      </c>
      <c r="K453" t="n">
        <v>0</v>
      </c>
      <c r="L453" t="n">
        <v>0</v>
      </c>
      <c r="M453" t="n">
        <v>0</v>
      </c>
      <c r="N453" t="n">
        <v>0</v>
      </c>
      <c r="O453" t="n">
        <v>0</v>
      </c>
      <c r="P453" t="n">
        <v>0</v>
      </c>
      <c r="Q453" t="n">
        <v>0</v>
      </c>
      <c r="R453" s="2" t="inlineStr"/>
    </row>
    <row r="454" ht="15" customHeight="1">
      <c r="A454" t="inlineStr">
        <is>
          <t>A 62201-2019</t>
        </is>
      </c>
      <c r="B454" s="1" t="n">
        <v>43788</v>
      </c>
      <c r="C454" s="1" t="n">
        <v>45760</v>
      </c>
      <c r="D454" t="inlineStr">
        <is>
          <t>VÄSTERBOTTENS LÄN</t>
        </is>
      </c>
      <c r="E454" t="inlineStr">
        <is>
          <t>SKELLEFTEÅ</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62678-2019</t>
        </is>
      </c>
      <c r="B455" s="1" t="n">
        <v>43789</v>
      </c>
      <c r="C455" s="1" t="n">
        <v>45760</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62873-2019</t>
        </is>
      </c>
      <c r="B456" s="1" t="n">
        <v>43790</v>
      </c>
      <c r="C456" s="1" t="n">
        <v>45760</v>
      </c>
      <c r="D456" t="inlineStr">
        <is>
          <t>VÄSTERBOTTENS LÄN</t>
        </is>
      </c>
      <c r="E456" t="inlineStr">
        <is>
          <t>SKELLEFTEÅ</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62823-2019</t>
        </is>
      </c>
      <c r="B457" s="1" t="n">
        <v>43790</v>
      </c>
      <c r="C457" s="1" t="n">
        <v>45760</v>
      </c>
      <c r="D457" t="inlineStr">
        <is>
          <t>VÄSTERBOTTENS LÄN</t>
        </is>
      </c>
      <c r="E457" t="inlineStr">
        <is>
          <t>SKELLEFTEÅ</t>
        </is>
      </c>
      <c r="F457" t="inlineStr">
        <is>
          <t>Holmen skog AB</t>
        </is>
      </c>
      <c r="G457" t="n">
        <v>3.8</v>
      </c>
      <c r="H457" t="n">
        <v>0</v>
      </c>
      <c r="I457" t="n">
        <v>0</v>
      </c>
      <c r="J457" t="n">
        <v>0</v>
      </c>
      <c r="K457" t="n">
        <v>0</v>
      </c>
      <c r="L457" t="n">
        <v>0</v>
      </c>
      <c r="M457" t="n">
        <v>0</v>
      </c>
      <c r="N457" t="n">
        <v>0</v>
      </c>
      <c r="O457" t="n">
        <v>0</v>
      </c>
      <c r="P457" t="n">
        <v>0</v>
      </c>
      <c r="Q457" t="n">
        <v>0</v>
      </c>
      <c r="R457" s="2" t="inlineStr"/>
    </row>
    <row r="458" ht="15" customHeight="1">
      <c r="A458" t="inlineStr">
        <is>
          <t>A 63554-2019</t>
        </is>
      </c>
      <c r="B458" s="1" t="n">
        <v>43794</v>
      </c>
      <c r="C458" s="1" t="n">
        <v>45760</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63846-2019</t>
        </is>
      </c>
      <c r="B459" s="1" t="n">
        <v>43796</v>
      </c>
      <c r="C459" s="1" t="n">
        <v>45760</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63845-2019</t>
        </is>
      </c>
      <c r="B460" s="1" t="n">
        <v>43796</v>
      </c>
      <c r="C460" s="1" t="n">
        <v>45760</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64039-2019</t>
        </is>
      </c>
      <c r="B461" s="1" t="n">
        <v>43796</v>
      </c>
      <c r="C461" s="1" t="n">
        <v>45760</v>
      </c>
      <c r="D461" t="inlineStr">
        <is>
          <t>VÄSTERBOTTENS LÄN</t>
        </is>
      </c>
      <c r="E461" t="inlineStr">
        <is>
          <t>SKELLEFTEÅ</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64117-2019</t>
        </is>
      </c>
      <c r="B462" s="1" t="n">
        <v>43796</v>
      </c>
      <c r="C462" s="1" t="n">
        <v>45760</v>
      </c>
      <c r="D462" t="inlineStr">
        <is>
          <t>VÄSTERBOTTENS LÄN</t>
        </is>
      </c>
      <c r="E462" t="inlineStr">
        <is>
          <t>SKELLEFTEÅ</t>
        </is>
      </c>
      <c r="F462" t="inlineStr">
        <is>
          <t>Sveaskog</t>
        </is>
      </c>
      <c r="G462" t="n">
        <v>16.2</v>
      </c>
      <c r="H462" t="n">
        <v>0</v>
      </c>
      <c r="I462" t="n">
        <v>0</v>
      </c>
      <c r="J462" t="n">
        <v>0</v>
      </c>
      <c r="K462" t="n">
        <v>0</v>
      </c>
      <c r="L462" t="n">
        <v>0</v>
      </c>
      <c r="M462" t="n">
        <v>0</v>
      </c>
      <c r="N462" t="n">
        <v>0</v>
      </c>
      <c r="O462" t="n">
        <v>0</v>
      </c>
      <c r="P462" t="n">
        <v>0</v>
      </c>
      <c r="Q462" t="n">
        <v>0</v>
      </c>
      <c r="R462" s="2" t="inlineStr"/>
    </row>
    <row r="463" ht="15" customHeight="1">
      <c r="A463" t="inlineStr">
        <is>
          <t>A 64139-2019</t>
        </is>
      </c>
      <c r="B463" s="1" t="n">
        <v>43796</v>
      </c>
      <c r="C463" s="1" t="n">
        <v>45760</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64569-2019</t>
        </is>
      </c>
      <c r="B464" s="1" t="n">
        <v>43798</v>
      </c>
      <c r="C464" s="1" t="n">
        <v>45760</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64754-2019</t>
        </is>
      </c>
      <c r="B465" s="1" t="n">
        <v>43801</v>
      </c>
      <c r="C465" s="1" t="n">
        <v>45760</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65070-2019</t>
        </is>
      </c>
      <c r="B466" s="1" t="n">
        <v>43802</v>
      </c>
      <c r="C466" s="1" t="n">
        <v>45760</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65565-2019</t>
        </is>
      </c>
      <c r="B467" s="1" t="n">
        <v>43803</v>
      </c>
      <c r="C467" s="1" t="n">
        <v>45760</v>
      </c>
      <c r="D467" t="inlineStr">
        <is>
          <t>VÄSTERBOTTENS LÄN</t>
        </is>
      </c>
      <c r="E467" t="inlineStr">
        <is>
          <t>SKELLEFTEÅ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65721-2019</t>
        </is>
      </c>
      <c r="B468" s="1" t="n">
        <v>43804</v>
      </c>
      <c r="C468" s="1" t="n">
        <v>45760</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65726-2019</t>
        </is>
      </c>
      <c r="B469" s="1" t="n">
        <v>43804</v>
      </c>
      <c r="C469" s="1" t="n">
        <v>45760</v>
      </c>
      <c r="D469" t="inlineStr">
        <is>
          <t>VÄSTERBOTTENS LÄN</t>
        </is>
      </c>
      <c r="E469" t="inlineStr">
        <is>
          <t>SKELLEFTEÅ</t>
        </is>
      </c>
      <c r="G469" t="n">
        <v>0.9</v>
      </c>
      <c r="H469" t="n">
        <v>0</v>
      </c>
      <c r="I469" t="n">
        <v>0</v>
      </c>
      <c r="J469" t="n">
        <v>0</v>
      </c>
      <c r="K469" t="n">
        <v>0</v>
      </c>
      <c r="L469" t="n">
        <v>0</v>
      </c>
      <c r="M469" t="n">
        <v>0</v>
      </c>
      <c r="N469" t="n">
        <v>0</v>
      </c>
      <c r="O469" t="n">
        <v>0</v>
      </c>
      <c r="P469" t="n">
        <v>0</v>
      </c>
      <c r="Q469" t="n">
        <v>0</v>
      </c>
      <c r="R469" s="2" t="inlineStr"/>
    </row>
    <row r="470" ht="15" customHeight="1">
      <c r="A470" t="inlineStr">
        <is>
          <t>A 65992-2019</t>
        </is>
      </c>
      <c r="B470" s="1" t="n">
        <v>43805</v>
      </c>
      <c r="C470" s="1" t="n">
        <v>45760</v>
      </c>
      <c r="D470" t="inlineStr">
        <is>
          <t>VÄSTERBOTTENS LÄN</t>
        </is>
      </c>
      <c r="E470" t="inlineStr">
        <is>
          <t>SKELLEFTEÅ</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67581-2019</t>
        </is>
      </c>
      <c r="B471" s="1" t="n">
        <v>43808</v>
      </c>
      <c r="C471" s="1" t="n">
        <v>45760</v>
      </c>
      <c r="D471" t="inlineStr">
        <is>
          <t>VÄSTERBOTTENS LÄN</t>
        </is>
      </c>
      <c r="E471" t="inlineStr">
        <is>
          <t>SKELLEFTEÅ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66505-2019</t>
        </is>
      </c>
      <c r="B472" s="1" t="n">
        <v>43809</v>
      </c>
      <c r="C472" s="1" t="n">
        <v>45760</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66478-2019</t>
        </is>
      </c>
      <c r="B473" s="1" t="n">
        <v>43809</v>
      </c>
      <c r="C473" s="1" t="n">
        <v>45760</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68008-2019</t>
        </is>
      </c>
      <c r="B474" s="1" t="n">
        <v>43811</v>
      </c>
      <c r="C474" s="1" t="n">
        <v>45760</v>
      </c>
      <c r="D474" t="inlineStr">
        <is>
          <t>VÄSTERBOTTENS LÄN</t>
        </is>
      </c>
      <c r="E474" t="inlineStr">
        <is>
          <t>SKELLEFTEÅ</t>
        </is>
      </c>
      <c r="G474" t="n">
        <v>4.3</v>
      </c>
      <c r="H474" t="n">
        <v>0</v>
      </c>
      <c r="I474" t="n">
        <v>0</v>
      </c>
      <c r="J474" t="n">
        <v>0</v>
      </c>
      <c r="K474" t="n">
        <v>0</v>
      </c>
      <c r="L474" t="n">
        <v>0</v>
      </c>
      <c r="M474" t="n">
        <v>0</v>
      </c>
      <c r="N474" t="n">
        <v>0</v>
      </c>
      <c r="O474" t="n">
        <v>0</v>
      </c>
      <c r="P474" t="n">
        <v>0</v>
      </c>
      <c r="Q474" t="n">
        <v>0</v>
      </c>
      <c r="R474" s="2" t="inlineStr"/>
    </row>
    <row r="475" ht="15" customHeight="1">
      <c r="A475" t="inlineStr">
        <is>
          <t>A 69136-2019</t>
        </is>
      </c>
      <c r="B475" s="1" t="n">
        <v>43815</v>
      </c>
      <c r="C475" s="1" t="n">
        <v>45760</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69135-2019</t>
        </is>
      </c>
      <c r="B476" s="1" t="n">
        <v>43815</v>
      </c>
      <c r="C476" s="1" t="n">
        <v>45760</v>
      </c>
      <c r="D476" t="inlineStr">
        <is>
          <t>VÄSTERBOTTENS LÄN</t>
        </is>
      </c>
      <c r="E476" t="inlineStr">
        <is>
          <t>SKELLEFTEÅ</t>
        </is>
      </c>
      <c r="G476" t="n">
        <v>2.9</v>
      </c>
      <c r="H476" t="n">
        <v>0</v>
      </c>
      <c r="I476" t="n">
        <v>0</v>
      </c>
      <c r="J476" t="n">
        <v>0</v>
      </c>
      <c r="K476" t="n">
        <v>0</v>
      </c>
      <c r="L476" t="n">
        <v>0</v>
      </c>
      <c r="M476" t="n">
        <v>0</v>
      </c>
      <c r="N476" t="n">
        <v>0</v>
      </c>
      <c r="O476" t="n">
        <v>0</v>
      </c>
      <c r="P476" t="n">
        <v>0</v>
      </c>
      <c r="Q476" t="n">
        <v>0</v>
      </c>
      <c r="R476" s="2" t="inlineStr"/>
    </row>
    <row r="477" ht="15" customHeight="1">
      <c r="A477" t="inlineStr">
        <is>
          <t>A 69140-2019</t>
        </is>
      </c>
      <c r="B477" s="1" t="n">
        <v>43815</v>
      </c>
      <c r="C477" s="1" t="n">
        <v>45760</v>
      </c>
      <c r="D477" t="inlineStr">
        <is>
          <t>VÄSTERBOTTENS LÄN</t>
        </is>
      </c>
      <c r="E477" t="inlineStr">
        <is>
          <t>SKELLEFTEÅ</t>
        </is>
      </c>
      <c r="G477" t="n">
        <v>4.9</v>
      </c>
      <c r="H477" t="n">
        <v>0</v>
      </c>
      <c r="I477" t="n">
        <v>0</v>
      </c>
      <c r="J477" t="n">
        <v>0</v>
      </c>
      <c r="K477" t="n">
        <v>0</v>
      </c>
      <c r="L477" t="n">
        <v>0</v>
      </c>
      <c r="M477" t="n">
        <v>0</v>
      </c>
      <c r="N477" t="n">
        <v>0</v>
      </c>
      <c r="O477" t="n">
        <v>0</v>
      </c>
      <c r="P477" t="n">
        <v>0</v>
      </c>
      <c r="Q477" t="n">
        <v>0</v>
      </c>
      <c r="R477" s="2" t="inlineStr"/>
    </row>
    <row r="478" ht="15" customHeight="1">
      <c r="A478" t="inlineStr">
        <is>
          <t>A 69131-2019</t>
        </is>
      </c>
      <c r="B478" s="1" t="n">
        <v>43815</v>
      </c>
      <c r="C478" s="1" t="n">
        <v>45760</v>
      </c>
      <c r="D478" t="inlineStr">
        <is>
          <t>VÄSTERBOTTENS LÄN</t>
        </is>
      </c>
      <c r="E478" t="inlineStr">
        <is>
          <t>SKELLEFTEÅ</t>
        </is>
      </c>
      <c r="G478" t="n">
        <v>5.1</v>
      </c>
      <c r="H478" t="n">
        <v>0</v>
      </c>
      <c r="I478" t="n">
        <v>0</v>
      </c>
      <c r="J478" t="n">
        <v>0</v>
      </c>
      <c r="K478" t="n">
        <v>0</v>
      </c>
      <c r="L478" t="n">
        <v>0</v>
      </c>
      <c r="M478" t="n">
        <v>0</v>
      </c>
      <c r="N478" t="n">
        <v>0</v>
      </c>
      <c r="O478" t="n">
        <v>0</v>
      </c>
      <c r="P478" t="n">
        <v>0</v>
      </c>
      <c r="Q478" t="n">
        <v>0</v>
      </c>
      <c r="R478" s="2" t="inlineStr"/>
    </row>
    <row r="479" ht="15" customHeight="1">
      <c r="A479" t="inlineStr">
        <is>
          <t>A 277-2020</t>
        </is>
      </c>
      <c r="B479" s="1" t="n">
        <v>43816</v>
      </c>
      <c r="C479" s="1" t="n">
        <v>45760</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67837-2019</t>
        </is>
      </c>
      <c r="B480" s="1" t="n">
        <v>43816</v>
      </c>
      <c r="C480" s="1" t="n">
        <v>45760</v>
      </c>
      <c r="D480" t="inlineStr">
        <is>
          <t>VÄSTERBOTTENS LÄN</t>
        </is>
      </c>
      <c r="E480" t="inlineStr">
        <is>
          <t>SKELLEFTEÅ</t>
        </is>
      </c>
      <c r="G480" t="n">
        <v>3.7</v>
      </c>
      <c r="H480" t="n">
        <v>0</v>
      </c>
      <c r="I480" t="n">
        <v>0</v>
      </c>
      <c r="J480" t="n">
        <v>0</v>
      </c>
      <c r="K480" t="n">
        <v>0</v>
      </c>
      <c r="L480" t="n">
        <v>0</v>
      </c>
      <c r="M480" t="n">
        <v>0</v>
      </c>
      <c r="N480" t="n">
        <v>0</v>
      </c>
      <c r="O480" t="n">
        <v>0</v>
      </c>
      <c r="P480" t="n">
        <v>0</v>
      </c>
      <c r="Q480" t="n">
        <v>0</v>
      </c>
      <c r="R480" s="2" t="inlineStr"/>
    </row>
    <row r="481" ht="15" customHeight="1">
      <c r="A481" t="inlineStr">
        <is>
          <t>A 398-2020</t>
        </is>
      </c>
      <c r="B481" s="1" t="n">
        <v>43816</v>
      </c>
      <c r="C481" s="1" t="n">
        <v>45760</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434-2020</t>
        </is>
      </c>
      <c r="B482" s="1" t="n">
        <v>43816</v>
      </c>
      <c r="C482" s="1" t="n">
        <v>45760</v>
      </c>
      <c r="D482" t="inlineStr">
        <is>
          <t>VÄSTERBOTTENS LÄN</t>
        </is>
      </c>
      <c r="E482" t="inlineStr">
        <is>
          <t>SKELLEFTEÅ</t>
        </is>
      </c>
      <c r="G482" t="n">
        <v>12.9</v>
      </c>
      <c r="H482" t="n">
        <v>0</v>
      </c>
      <c r="I482" t="n">
        <v>0</v>
      </c>
      <c r="J482" t="n">
        <v>0</v>
      </c>
      <c r="K482" t="n">
        <v>0</v>
      </c>
      <c r="L482" t="n">
        <v>0</v>
      </c>
      <c r="M482" t="n">
        <v>0</v>
      </c>
      <c r="N482" t="n">
        <v>0</v>
      </c>
      <c r="O482" t="n">
        <v>0</v>
      </c>
      <c r="P482" t="n">
        <v>0</v>
      </c>
      <c r="Q482" t="n">
        <v>0</v>
      </c>
      <c r="R482" s="2" t="inlineStr"/>
    </row>
    <row r="483" ht="15" customHeight="1">
      <c r="A483" t="inlineStr">
        <is>
          <t>A 820-2020</t>
        </is>
      </c>
      <c r="B483" s="1" t="n">
        <v>43818</v>
      </c>
      <c r="C483" s="1" t="n">
        <v>45760</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1102-2020</t>
        </is>
      </c>
      <c r="B484" s="1" t="n">
        <v>43819</v>
      </c>
      <c r="C484" s="1" t="n">
        <v>45760</v>
      </c>
      <c r="D484" t="inlineStr">
        <is>
          <t>VÄSTERBOTTENS LÄN</t>
        </is>
      </c>
      <c r="E484" t="inlineStr">
        <is>
          <t>SKELLEFTEÅ</t>
        </is>
      </c>
      <c r="G484" t="n">
        <v>3.3</v>
      </c>
      <c r="H484" t="n">
        <v>0</v>
      </c>
      <c r="I484" t="n">
        <v>0</v>
      </c>
      <c r="J484" t="n">
        <v>0</v>
      </c>
      <c r="K484" t="n">
        <v>0</v>
      </c>
      <c r="L484" t="n">
        <v>0</v>
      </c>
      <c r="M484" t="n">
        <v>0</v>
      </c>
      <c r="N484" t="n">
        <v>0</v>
      </c>
      <c r="O484" t="n">
        <v>0</v>
      </c>
      <c r="P484" t="n">
        <v>0</v>
      </c>
      <c r="Q484" t="n">
        <v>0</v>
      </c>
      <c r="R484" s="2" t="inlineStr"/>
    </row>
    <row r="485" ht="15" customHeight="1">
      <c r="A485" t="inlineStr">
        <is>
          <t>A 1452-2020</t>
        </is>
      </c>
      <c r="B485" s="1" t="n">
        <v>43822</v>
      </c>
      <c r="C485" s="1" t="n">
        <v>45760</v>
      </c>
      <c r="D485" t="inlineStr">
        <is>
          <t>VÄSTERBOTTENS LÄN</t>
        </is>
      </c>
      <c r="E485" t="inlineStr">
        <is>
          <t>SKELLEFTEÅ</t>
        </is>
      </c>
      <c r="G485" t="n">
        <v>0.4</v>
      </c>
      <c r="H485" t="n">
        <v>0</v>
      </c>
      <c r="I485" t="n">
        <v>0</v>
      </c>
      <c r="J485" t="n">
        <v>0</v>
      </c>
      <c r="K485" t="n">
        <v>0</v>
      </c>
      <c r="L485" t="n">
        <v>0</v>
      </c>
      <c r="M485" t="n">
        <v>0</v>
      </c>
      <c r="N485" t="n">
        <v>0</v>
      </c>
      <c r="O485" t="n">
        <v>0</v>
      </c>
      <c r="P485" t="n">
        <v>0</v>
      </c>
      <c r="Q485" t="n">
        <v>0</v>
      </c>
      <c r="R485" s="2" t="inlineStr"/>
    </row>
    <row r="486" ht="15" customHeight="1">
      <c r="A486" t="inlineStr">
        <is>
          <t>A 789-2020</t>
        </is>
      </c>
      <c r="B486" s="1" t="n">
        <v>43838</v>
      </c>
      <c r="C486" s="1" t="n">
        <v>45760</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896-2020</t>
        </is>
      </c>
      <c r="B487" s="1" t="n">
        <v>43839</v>
      </c>
      <c r="C487" s="1" t="n">
        <v>45760</v>
      </c>
      <c r="D487" t="inlineStr">
        <is>
          <t>VÄSTERBOTTENS LÄN</t>
        </is>
      </c>
      <c r="E487" t="inlineStr">
        <is>
          <t>SKELLEFTEÅ</t>
        </is>
      </c>
      <c r="F487" t="inlineStr">
        <is>
          <t>Kyrkan</t>
        </is>
      </c>
      <c r="G487" t="n">
        <v>14.9</v>
      </c>
      <c r="H487" t="n">
        <v>0</v>
      </c>
      <c r="I487" t="n">
        <v>0</v>
      </c>
      <c r="J487" t="n">
        <v>0</v>
      </c>
      <c r="K487" t="n">
        <v>0</v>
      </c>
      <c r="L487" t="n">
        <v>0</v>
      </c>
      <c r="M487" t="n">
        <v>0</v>
      </c>
      <c r="N487" t="n">
        <v>0</v>
      </c>
      <c r="O487" t="n">
        <v>0</v>
      </c>
      <c r="P487" t="n">
        <v>0</v>
      </c>
      <c r="Q487" t="n">
        <v>0</v>
      </c>
      <c r="R487" s="2" t="inlineStr"/>
    </row>
    <row r="488" ht="15" customHeight="1">
      <c r="A488" t="inlineStr">
        <is>
          <t>A 2127-2020</t>
        </is>
      </c>
      <c r="B488" s="1" t="n">
        <v>43839</v>
      </c>
      <c r="C488" s="1" t="n">
        <v>45760</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1550-2020</t>
        </is>
      </c>
      <c r="B489" s="1" t="n">
        <v>43843</v>
      </c>
      <c r="C489" s="1" t="n">
        <v>45760</v>
      </c>
      <c r="D489" t="inlineStr">
        <is>
          <t>VÄSTERBOTTENS LÄN</t>
        </is>
      </c>
      <c r="E489" t="inlineStr">
        <is>
          <t>SKELLEFTEÅ</t>
        </is>
      </c>
      <c r="G489" t="n">
        <v>3.8</v>
      </c>
      <c r="H489" t="n">
        <v>0</v>
      </c>
      <c r="I489" t="n">
        <v>0</v>
      </c>
      <c r="J489" t="n">
        <v>0</v>
      </c>
      <c r="K489" t="n">
        <v>0</v>
      </c>
      <c r="L489" t="n">
        <v>0</v>
      </c>
      <c r="M489" t="n">
        <v>0</v>
      </c>
      <c r="N489" t="n">
        <v>0</v>
      </c>
      <c r="O489" t="n">
        <v>0</v>
      </c>
      <c r="P489" t="n">
        <v>0</v>
      </c>
      <c r="Q489" t="n">
        <v>0</v>
      </c>
      <c r="R489" s="2" t="inlineStr"/>
    </row>
    <row r="490" ht="15" customHeight="1">
      <c r="A490" t="inlineStr">
        <is>
          <t>A 1612-2020</t>
        </is>
      </c>
      <c r="B490" s="1" t="n">
        <v>43844</v>
      </c>
      <c r="C490" s="1" t="n">
        <v>45760</v>
      </c>
      <c r="D490" t="inlineStr">
        <is>
          <t>VÄSTERBOTTENS LÄN</t>
        </is>
      </c>
      <c r="E490" t="inlineStr">
        <is>
          <t>SKELLEFTEÅ</t>
        </is>
      </c>
      <c r="G490" t="n">
        <v>5.4</v>
      </c>
      <c r="H490" t="n">
        <v>0</v>
      </c>
      <c r="I490" t="n">
        <v>0</v>
      </c>
      <c r="J490" t="n">
        <v>0</v>
      </c>
      <c r="K490" t="n">
        <v>0</v>
      </c>
      <c r="L490" t="n">
        <v>0</v>
      </c>
      <c r="M490" t="n">
        <v>0</v>
      </c>
      <c r="N490" t="n">
        <v>0</v>
      </c>
      <c r="O490" t="n">
        <v>0</v>
      </c>
      <c r="P490" t="n">
        <v>0</v>
      </c>
      <c r="Q490" t="n">
        <v>0</v>
      </c>
      <c r="R490" s="2" t="inlineStr"/>
    </row>
    <row r="491" ht="15" customHeight="1">
      <c r="A491" t="inlineStr">
        <is>
          <t>A 1695-2020</t>
        </is>
      </c>
      <c r="B491" s="1" t="n">
        <v>43844</v>
      </c>
      <c r="C491" s="1" t="n">
        <v>45760</v>
      </c>
      <c r="D491" t="inlineStr">
        <is>
          <t>VÄSTERBOTTENS LÄN</t>
        </is>
      </c>
      <c r="E491" t="inlineStr">
        <is>
          <t>SKELLEFTEÅ</t>
        </is>
      </c>
      <c r="F491" t="inlineStr">
        <is>
          <t>Holmen skog AB</t>
        </is>
      </c>
      <c r="G491" t="n">
        <v>13.6</v>
      </c>
      <c r="H491" t="n">
        <v>0</v>
      </c>
      <c r="I491" t="n">
        <v>0</v>
      </c>
      <c r="J491" t="n">
        <v>0</v>
      </c>
      <c r="K491" t="n">
        <v>0</v>
      </c>
      <c r="L491" t="n">
        <v>0</v>
      </c>
      <c r="M491" t="n">
        <v>0</v>
      </c>
      <c r="N491" t="n">
        <v>0</v>
      </c>
      <c r="O491" t="n">
        <v>0</v>
      </c>
      <c r="P491" t="n">
        <v>0</v>
      </c>
      <c r="Q491" t="n">
        <v>0</v>
      </c>
      <c r="R491" s="2" t="inlineStr"/>
    </row>
    <row r="492" ht="15" customHeight="1">
      <c r="A492" t="inlineStr">
        <is>
          <t>A 3123-2020</t>
        </is>
      </c>
      <c r="B492" s="1" t="n">
        <v>43844</v>
      </c>
      <c r="C492" s="1" t="n">
        <v>45760</v>
      </c>
      <c r="D492" t="inlineStr">
        <is>
          <t>VÄSTERBOTTENS LÄN</t>
        </is>
      </c>
      <c r="E492" t="inlineStr">
        <is>
          <t>SKELLEFTEÅ</t>
        </is>
      </c>
      <c r="G492" t="n">
        <v>12.5</v>
      </c>
      <c r="H492" t="n">
        <v>0</v>
      </c>
      <c r="I492" t="n">
        <v>0</v>
      </c>
      <c r="J492" t="n">
        <v>0</v>
      </c>
      <c r="K492" t="n">
        <v>0</v>
      </c>
      <c r="L492" t="n">
        <v>0</v>
      </c>
      <c r="M492" t="n">
        <v>0</v>
      </c>
      <c r="N492" t="n">
        <v>0</v>
      </c>
      <c r="O492" t="n">
        <v>0</v>
      </c>
      <c r="P492" t="n">
        <v>0</v>
      </c>
      <c r="Q492" t="n">
        <v>0</v>
      </c>
      <c r="R492" s="2" t="inlineStr"/>
    </row>
    <row r="493" ht="15" customHeight="1">
      <c r="A493" t="inlineStr">
        <is>
          <t>A 4286-2020</t>
        </is>
      </c>
      <c r="B493" s="1" t="n">
        <v>43847</v>
      </c>
      <c r="C493" s="1" t="n">
        <v>45760</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4381-2020</t>
        </is>
      </c>
      <c r="B494" s="1" t="n">
        <v>43847</v>
      </c>
      <c r="C494" s="1" t="n">
        <v>45760</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4765-2020</t>
        </is>
      </c>
      <c r="B495" s="1" t="n">
        <v>43850</v>
      </c>
      <c r="C495" s="1" t="n">
        <v>45760</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4985-2020</t>
        </is>
      </c>
      <c r="B496" s="1" t="n">
        <v>43853</v>
      </c>
      <c r="C496" s="1" t="n">
        <v>45760</v>
      </c>
      <c r="D496" t="inlineStr">
        <is>
          <t>VÄSTERBOTTENS LÄN</t>
        </is>
      </c>
      <c r="E496" t="inlineStr">
        <is>
          <t>SKELLEFTEÅ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3968-2020</t>
        </is>
      </c>
      <c r="B497" s="1" t="n">
        <v>43854</v>
      </c>
      <c r="C497" s="1" t="n">
        <v>45760</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4006-2020</t>
        </is>
      </c>
      <c r="B498" s="1" t="n">
        <v>43857</v>
      </c>
      <c r="C498" s="1" t="n">
        <v>45760</v>
      </c>
      <c r="D498" t="inlineStr">
        <is>
          <t>VÄSTERBOTTENS LÄN</t>
        </is>
      </c>
      <c r="E498" t="inlineStr">
        <is>
          <t>SKELLEFTEÅ</t>
        </is>
      </c>
      <c r="G498" t="n">
        <v>4.5</v>
      </c>
      <c r="H498" t="n">
        <v>0</v>
      </c>
      <c r="I498" t="n">
        <v>0</v>
      </c>
      <c r="J498" t="n">
        <v>0</v>
      </c>
      <c r="K498" t="n">
        <v>0</v>
      </c>
      <c r="L498" t="n">
        <v>0</v>
      </c>
      <c r="M498" t="n">
        <v>0</v>
      </c>
      <c r="N498" t="n">
        <v>0</v>
      </c>
      <c r="O498" t="n">
        <v>0</v>
      </c>
      <c r="P498" t="n">
        <v>0</v>
      </c>
      <c r="Q498" t="n">
        <v>0</v>
      </c>
      <c r="R498" s="2" t="inlineStr"/>
    </row>
    <row r="499" ht="15" customHeight="1">
      <c r="A499" t="inlineStr">
        <is>
          <t>A 5261-2020</t>
        </is>
      </c>
      <c r="B499" s="1" t="n">
        <v>43857</v>
      </c>
      <c r="C499" s="1" t="n">
        <v>45760</v>
      </c>
      <c r="D499" t="inlineStr">
        <is>
          <t>VÄSTERBOTTENS LÄN</t>
        </is>
      </c>
      <c r="E499" t="inlineStr">
        <is>
          <t>SKELLEFTEÅ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4731-2020</t>
        </is>
      </c>
      <c r="B500" s="1" t="n">
        <v>43859</v>
      </c>
      <c r="C500" s="1" t="n">
        <v>45760</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6511-2020</t>
        </is>
      </c>
      <c r="B501" s="1" t="n">
        <v>43865</v>
      </c>
      <c r="C501" s="1" t="n">
        <v>45760</v>
      </c>
      <c r="D501" t="inlineStr">
        <is>
          <t>VÄSTERBOTTENS LÄN</t>
        </is>
      </c>
      <c r="E501" t="inlineStr">
        <is>
          <t>SKELLEFTEÅ</t>
        </is>
      </c>
      <c r="G501" t="n">
        <v>9.9</v>
      </c>
      <c r="H501" t="n">
        <v>0</v>
      </c>
      <c r="I501" t="n">
        <v>0</v>
      </c>
      <c r="J501" t="n">
        <v>0</v>
      </c>
      <c r="K501" t="n">
        <v>0</v>
      </c>
      <c r="L501" t="n">
        <v>0</v>
      </c>
      <c r="M501" t="n">
        <v>0</v>
      </c>
      <c r="N501" t="n">
        <v>0</v>
      </c>
      <c r="O501" t="n">
        <v>0</v>
      </c>
      <c r="P501" t="n">
        <v>0</v>
      </c>
      <c r="Q501" t="n">
        <v>0</v>
      </c>
      <c r="R501" s="2" t="inlineStr"/>
    </row>
    <row r="502" ht="15" customHeight="1">
      <c r="A502" t="inlineStr">
        <is>
          <t>A 7334-2020</t>
        </is>
      </c>
      <c r="B502" s="1" t="n">
        <v>43868</v>
      </c>
      <c r="C502" s="1" t="n">
        <v>45760</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7689-2020</t>
        </is>
      </c>
      <c r="B503" s="1" t="n">
        <v>43872</v>
      </c>
      <c r="C503" s="1" t="n">
        <v>45760</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8060-2020</t>
        </is>
      </c>
      <c r="B504" s="1" t="n">
        <v>43874</v>
      </c>
      <c r="C504" s="1" t="n">
        <v>45760</v>
      </c>
      <c r="D504" t="inlineStr">
        <is>
          <t>VÄSTERBOTTENS LÄN</t>
        </is>
      </c>
      <c r="E504" t="inlineStr">
        <is>
          <t>SKELLEFTEÅ</t>
        </is>
      </c>
      <c r="G504" t="n">
        <v>18.7</v>
      </c>
      <c r="H504" t="n">
        <v>0</v>
      </c>
      <c r="I504" t="n">
        <v>0</v>
      </c>
      <c r="J504" t="n">
        <v>0</v>
      </c>
      <c r="K504" t="n">
        <v>0</v>
      </c>
      <c r="L504" t="n">
        <v>0</v>
      </c>
      <c r="M504" t="n">
        <v>0</v>
      </c>
      <c r="N504" t="n">
        <v>0</v>
      </c>
      <c r="O504" t="n">
        <v>0</v>
      </c>
      <c r="P504" t="n">
        <v>0</v>
      </c>
      <c r="Q504" t="n">
        <v>0</v>
      </c>
      <c r="R504" s="2" t="inlineStr"/>
    </row>
    <row r="505" ht="15" customHeight="1">
      <c r="A505" t="inlineStr">
        <is>
          <t>A 8562-2020</t>
        </is>
      </c>
      <c r="B505" s="1" t="n">
        <v>43877</v>
      </c>
      <c r="C505" s="1" t="n">
        <v>45760</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9180-2020</t>
        </is>
      </c>
      <c r="B506" s="1" t="n">
        <v>43879</v>
      </c>
      <c r="C506" s="1" t="n">
        <v>45760</v>
      </c>
      <c r="D506" t="inlineStr">
        <is>
          <t>VÄSTERBOTTENS LÄN</t>
        </is>
      </c>
      <c r="E506" t="inlineStr">
        <is>
          <t>SKELLEFTEÅ</t>
        </is>
      </c>
      <c r="G506" t="n">
        <v>11.4</v>
      </c>
      <c r="H506" t="n">
        <v>0</v>
      </c>
      <c r="I506" t="n">
        <v>0</v>
      </c>
      <c r="J506" t="n">
        <v>0</v>
      </c>
      <c r="K506" t="n">
        <v>0</v>
      </c>
      <c r="L506" t="n">
        <v>0</v>
      </c>
      <c r="M506" t="n">
        <v>0</v>
      </c>
      <c r="N506" t="n">
        <v>0</v>
      </c>
      <c r="O506" t="n">
        <v>0</v>
      </c>
      <c r="P506" t="n">
        <v>0</v>
      </c>
      <c r="Q506" t="n">
        <v>0</v>
      </c>
      <c r="R506" s="2" t="inlineStr"/>
    </row>
    <row r="507" ht="15" customHeight="1">
      <c r="A507" t="inlineStr">
        <is>
          <t>A 9568-2020</t>
        </is>
      </c>
      <c r="B507" s="1" t="n">
        <v>43881</v>
      </c>
      <c r="C507" s="1" t="n">
        <v>45760</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10030-2020</t>
        </is>
      </c>
      <c r="B508" s="1" t="n">
        <v>43882</v>
      </c>
      <c r="C508" s="1" t="n">
        <v>45760</v>
      </c>
      <c r="D508" t="inlineStr">
        <is>
          <t>VÄSTERBOTTENS LÄN</t>
        </is>
      </c>
      <c r="E508" t="inlineStr">
        <is>
          <t>SKELLEFTEÅ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10041-2020</t>
        </is>
      </c>
      <c r="B509" s="1" t="n">
        <v>43882</v>
      </c>
      <c r="C509" s="1" t="n">
        <v>45760</v>
      </c>
      <c r="D509" t="inlineStr">
        <is>
          <t>VÄSTERBOTTENS LÄN</t>
        </is>
      </c>
      <c r="E509" t="inlineStr">
        <is>
          <t>SKELLEFTEÅ</t>
        </is>
      </c>
      <c r="F509" t="inlineStr">
        <is>
          <t>Holmen skog AB</t>
        </is>
      </c>
      <c r="G509" t="n">
        <v>4.5</v>
      </c>
      <c r="H509" t="n">
        <v>0</v>
      </c>
      <c r="I509" t="n">
        <v>0</v>
      </c>
      <c r="J509" t="n">
        <v>0</v>
      </c>
      <c r="K509" t="n">
        <v>0</v>
      </c>
      <c r="L509" t="n">
        <v>0</v>
      </c>
      <c r="M509" t="n">
        <v>0</v>
      </c>
      <c r="N509" t="n">
        <v>0</v>
      </c>
      <c r="O509" t="n">
        <v>0</v>
      </c>
      <c r="P509" t="n">
        <v>0</v>
      </c>
      <c r="Q509" t="n">
        <v>0</v>
      </c>
      <c r="R509" s="2" t="inlineStr"/>
    </row>
    <row r="510" ht="15" customHeight="1">
      <c r="A510" t="inlineStr">
        <is>
          <t>A 10273-2020</t>
        </is>
      </c>
      <c r="B510" s="1" t="n">
        <v>43885</v>
      </c>
      <c r="C510" s="1" t="n">
        <v>45760</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c r="U510">
        <f>HYPERLINK("https://klasma.github.io/Logging_2482/knärot/A 10273-2020 karta knärot.png", "A 10273-2020")</f>
        <v/>
      </c>
      <c r="V510">
        <f>HYPERLINK("https://klasma.github.io/Logging_2482/klagomål/A 10273-2020 FSC-klagomål.docx", "A 10273-2020")</f>
        <v/>
      </c>
      <c r="W510">
        <f>HYPERLINK("https://klasma.github.io/Logging_2482/klagomålsmail/A 10273-2020 FSC-klagomål mail.docx", "A 10273-2020")</f>
        <v/>
      </c>
      <c r="X510">
        <f>HYPERLINK("https://klasma.github.io/Logging_2482/tillsyn/A 10273-2020 tillsynsbegäran.docx", "A 10273-2020")</f>
        <v/>
      </c>
      <c r="Y510">
        <f>HYPERLINK("https://klasma.github.io/Logging_2482/tillsynsmail/A 10273-2020 tillsynsbegäran mail.docx", "A 10273-2020")</f>
        <v/>
      </c>
    </row>
    <row r="511" ht="15" customHeight="1">
      <c r="A511" t="inlineStr">
        <is>
          <t>A 10279-2020</t>
        </is>
      </c>
      <c r="B511" s="1" t="n">
        <v>43885</v>
      </c>
      <c r="C511" s="1" t="n">
        <v>45760</v>
      </c>
      <c r="D511" t="inlineStr">
        <is>
          <t>VÄSTERBOTTENS LÄN</t>
        </is>
      </c>
      <c r="E511" t="inlineStr">
        <is>
          <t>SKELLEFTEÅ</t>
        </is>
      </c>
      <c r="G511" t="n">
        <v>5.8</v>
      </c>
      <c r="H511" t="n">
        <v>0</v>
      </c>
      <c r="I511" t="n">
        <v>0</v>
      </c>
      <c r="J511" t="n">
        <v>0</v>
      </c>
      <c r="K511" t="n">
        <v>0</v>
      </c>
      <c r="L511" t="n">
        <v>0</v>
      </c>
      <c r="M511" t="n">
        <v>0</v>
      </c>
      <c r="N511" t="n">
        <v>0</v>
      </c>
      <c r="O511" t="n">
        <v>0</v>
      </c>
      <c r="P511" t="n">
        <v>0</v>
      </c>
      <c r="Q511" t="n">
        <v>0</v>
      </c>
      <c r="R511" s="2" t="inlineStr"/>
    </row>
    <row r="512" ht="15" customHeight="1">
      <c r="A512" t="inlineStr">
        <is>
          <t>A 11083-2020</t>
        </is>
      </c>
      <c r="B512" s="1" t="n">
        <v>43885</v>
      </c>
      <c r="C512" s="1" t="n">
        <v>45760</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11037-2020</t>
        </is>
      </c>
      <c r="B513" s="1" t="n">
        <v>43886</v>
      </c>
      <c r="C513" s="1" t="n">
        <v>45760</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11048-2020</t>
        </is>
      </c>
      <c r="B514" s="1" t="n">
        <v>43886</v>
      </c>
      <c r="C514" s="1" t="n">
        <v>45760</v>
      </c>
      <c r="D514" t="inlineStr">
        <is>
          <t>VÄSTERBOTTENS LÄN</t>
        </is>
      </c>
      <c r="E514" t="inlineStr">
        <is>
          <t>SKELLEFTEÅ</t>
        </is>
      </c>
      <c r="G514" t="n">
        <v>5.2</v>
      </c>
      <c r="H514" t="n">
        <v>0</v>
      </c>
      <c r="I514" t="n">
        <v>0</v>
      </c>
      <c r="J514" t="n">
        <v>0</v>
      </c>
      <c r="K514" t="n">
        <v>0</v>
      </c>
      <c r="L514" t="n">
        <v>0</v>
      </c>
      <c r="M514" t="n">
        <v>0</v>
      </c>
      <c r="N514" t="n">
        <v>0</v>
      </c>
      <c r="O514" t="n">
        <v>0</v>
      </c>
      <c r="P514" t="n">
        <v>0</v>
      </c>
      <c r="Q514" t="n">
        <v>0</v>
      </c>
      <c r="R514" s="2" t="inlineStr"/>
    </row>
    <row r="515" ht="15" customHeight="1">
      <c r="A515" t="inlineStr">
        <is>
          <t>A 10181-2020</t>
        </is>
      </c>
      <c r="B515" s="1" t="n">
        <v>43887</v>
      </c>
      <c r="C515" s="1" t="n">
        <v>45760</v>
      </c>
      <c r="D515" t="inlineStr">
        <is>
          <t>VÄSTERBOTTENS LÄN</t>
        </is>
      </c>
      <c r="E515" t="inlineStr">
        <is>
          <t>SKELLEFTEÅ</t>
        </is>
      </c>
      <c r="G515" t="n">
        <v>2.7</v>
      </c>
      <c r="H515" t="n">
        <v>0</v>
      </c>
      <c r="I515" t="n">
        <v>0</v>
      </c>
      <c r="J515" t="n">
        <v>0</v>
      </c>
      <c r="K515" t="n">
        <v>0</v>
      </c>
      <c r="L515" t="n">
        <v>0</v>
      </c>
      <c r="M515" t="n">
        <v>0</v>
      </c>
      <c r="N515" t="n">
        <v>0</v>
      </c>
      <c r="O515" t="n">
        <v>0</v>
      </c>
      <c r="P515" t="n">
        <v>0</v>
      </c>
      <c r="Q515" t="n">
        <v>0</v>
      </c>
      <c r="R515" s="2" t="inlineStr"/>
    </row>
    <row r="516" ht="15" customHeight="1">
      <c r="A516" t="inlineStr">
        <is>
          <t>A 10114-2020</t>
        </is>
      </c>
      <c r="B516" s="1" t="n">
        <v>43887</v>
      </c>
      <c r="C516" s="1" t="n">
        <v>45760</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12775-2020</t>
        </is>
      </c>
      <c r="B517" s="1" t="n">
        <v>43893</v>
      </c>
      <c r="C517" s="1" t="n">
        <v>45760</v>
      </c>
      <c r="D517" t="inlineStr">
        <is>
          <t>VÄSTERBOTTENS LÄN</t>
        </is>
      </c>
      <c r="E517" t="inlineStr">
        <is>
          <t>SKELLEFTEÅ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12533-2020</t>
        </is>
      </c>
      <c r="B518" s="1" t="n">
        <v>43896</v>
      </c>
      <c r="C518" s="1" t="n">
        <v>45760</v>
      </c>
      <c r="D518" t="inlineStr">
        <is>
          <t>VÄSTERBOTTENS LÄN</t>
        </is>
      </c>
      <c r="E518" t="inlineStr">
        <is>
          <t>SKELLEFTEÅ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12534-2020</t>
        </is>
      </c>
      <c r="B519" s="1" t="n">
        <v>43896</v>
      </c>
      <c r="C519" s="1" t="n">
        <v>45760</v>
      </c>
      <c r="D519" t="inlineStr">
        <is>
          <t>VÄSTERBOTTENS LÄN</t>
        </is>
      </c>
      <c r="E519" t="inlineStr">
        <is>
          <t>SKELLEFTEÅ</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13415-2020</t>
        </is>
      </c>
      <c r="B520" s="1" t="n">
        <v>43899</v>
      </c>
      <c r="C520" s="1" t="n">
        <v>45760</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14147-2020</t>
        </is>
      </c>
      <c r="B521" s="1" t="n">
        <v>43900</v>
      </c>
      <c r="C521" s="1" t="n">
        <v>45760</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12945-2020</t>
        </is>
      </c>
      <c r="B522" s="1" t="n">
        <v>43900</v>
      </c>
      <c r="C522" s="1" t="n">
        <v>45760</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12939-2020</t>
        </is>
      </c>
      <c r="B523" s="1" t="n">
        <v>43900</v>
      </c>
      <c r="C523" s="1" t="n">
        <v>45760</v>
      </c>
      <c r="D523" t="inlineStr">
        <is>
          <t>VÄSTERBOTTENS LÄN</t>
        </is>
      </c>
      <c r="E523" t="inlineStr">
        <is>
          <t>SKELLEFTEÅ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14186-2020</t>
        </is>
      </c>
      <c r="B524" s="1" t="n">
        <v>43901</v>
      </c>
      <c r="C524" s="1" t="n">
        <v>45760</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13566-2020</t>
        </is>
      </c>
      <c r="B525" s="1" t="n">
        <v>43902</v>
      </c>
      <c r="C525" s="1" t="n">
        <v>45760</v>
      </c>
      <c r="D525" t="inlineStr">
        <is>
          <t>VÄSTERBOTTENS LÄN</t>
        </is>
      </c>
      <c r="E525" t="inlineStr">
        <is>
          <t>SKELLEFTEÅ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13568-2020</t>
        </is>
      </c>
      <c r="B526" s="1" t="n">
        <v>43902</v>
      </c>
      <c r="C526" s="1" t="n">
        <v>45760</v>
      </c>
      <c r="D526" t="inlineStr">
        <is>
          <t>VÄSTERBOTTENS LÄN</t>
        </is>
      </c>
      <c r="E526" t="inlineStr">
        <is>
          <t>SKELLEFTEÅ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13851-2020</t>
        </is>
      </c>
      <c r="B527" s="1" t="n">
        <v>43906</v>
      </c>
      <c r="C527" s="1" t="n">
        <v>45760</v>
      </c>
      <c r="D527" t="inlineStr">
        <is>
          <t>VÄSTERBOTTENS LÄN</t>
        </is>
      </c>
      <c r="E527" t="inlineStr">
        <is>
          <t>SKELLEFTEÅ</t>
        </is>
      </c>
      <c r="G527" t="n">
        <v>0.1</v>
      </c>
      <c r="H527" t="n">
        <v>0</v>
      </c>
      <c r="I527" t="n">
        <v>0</v>
      </c>
      <c r="J527" t="n">
        <v>0</v>
      </c>
      <c r="K527" t="n">
        <v>0</v>
      </c>
      <c r="L527" t="n">
        <v>0</v>
      </c>
      <c r="M527" t="n">
        <v>0</v>
      </c>
      <c r="N527" t="n">
        <v>0</v>
      </c>
      <c r="O527" t="n">
        <v>0</v>
      </c>
      <c r="P527" t="n">
        <v>0</v>
      </c>
      <c r="Q527" t="n">
        <v>0</v>
      </c>
      <c r="R527" s="2" t="inlineStr"/>
    </row>
    <row r="528" ht="15" customHeight="1">
      <c r="A528" t="inlineStr">
        <is>
          <t>A 13933-2020</t>
        </is>
      </c>
      <c r="B528" s="1" t="n">
        <v>43906</v>
      </c>
      <c r="C528" s="1" t="n">
        <v>45760</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13883-2020</t>
        </is>
      </c>
      <c r="B529" s="1" t="n">
        <v>43906</v>
      </c>
      <c r="C529" s="1" t="n">
        <v>45760</v>
      </c>
      <c r="D529" t="inlineStr">
        <is>
          <t>VÄSTERBOTTENS LÄN</t>
        </is>
      </c>
      <c r="E529" t="inlineStr">
        <is>
          <t>SKELLEFTEÅ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16728-2020</t>
        </is>
      </c>
      <c r="B530" s="1" t="n">
        <v>43910</v>
      </c>
      <c r="C530" s="1" t="n">
        <v>45760</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15320-2020</t>
        </is>
      </c>
      <c r="B531" s="1" t="n">
        <v>43913</v>
      </c>
      <c r="C531" s="1" t="n">
        <v>45760</v>
      </c>
      <c r="D531" t="inlineStr">
        <is>
          <t>VÄSTERBOTTENS LÄN</t>
        </is>
      </c>
      <c r="E531" t="inlineStr">
        <is>
          <t>SKELLEFTEÅ</t>
        </is>
      </c>
      <c r="G531" t="n">
        <v>5.8</v>
      </c>
      <c r="H531" t="n">
        <v>0</v>
      </c>
      <c r="I531" t="n">
        <v>0</v>
      </c>
      <c r="J531" t="n">
        <v>0</v>
      </c>
      <c r="K531" t="n">
        <v>0</v>
      </c>
      <c r="L531" t="n">
        <v>0</v>
      </c>
      <c r="M531" t="n">
        <v>0</v>
      </c>
      <c r="N531" t="n">
        <v>0</v>
      </c>
      <c r="O531" t="n">
        <v>0</v>
      </c>
      <c r="P531" t="n">
        <v>0</v>
      </c>
      <c r="Q531" t="n">
        <v>0</v>
      </c>
      <c r="R531" s="2" t="inlineStr"/>
    </row>
    <row r="532" ht="15" customHeight="1">
      <c r="A532" t="inlineStr">
        <is>
          <t>A 17124-2020</t>
        </is>
      </c>
      <c r="B532" s="1" t="n">
        <v>43914</v>
      </c>
      <c r="C532" s="1" t="n">
        <v>45760</v>
      </c>
      <c r="D532" t="inlineStr">
        <is>
          <t>VÄSTERBOTTENS LÄN</t>
        </is>
      </c>
      <c r="E532" t="inlineStr">
        <is>
          <t>SKELLEFTEÅ</t>
        </is>
      </c>
      <c r="G532" t="n">
        <v>2.4</v>
      </c>
      <c r="H532" t="n">
        <v>0</v>
      </c>
      <c r="I532" t="n">
        <v>0</v>
      </c>
      <c r="J532" t="n">
        <v>0</v>
      </c>
      <c r="K532" t="n">
        <v>0</v>
      </c>
      <c r="L532" t="n">
        <v>0</v>
      </c>
      <c r="M532" t="n">
        <v>0</v>
      </c>
      <c r="N532" t="n">
        <v>0</v>
      </c>
      <c r="O532" t="n">
        <v>0</v>
      </c>
      <c r="P532" t="n">
        <v>0</v>
      </c>
      <c r="Q532" t="n">
        <v>0</v>
      </c>
      <c r="R532" s="2" t="inlineStr"/>
    </row>
    <row r="533" ht="15" customHeight="1">
      <c r="A533" t="inlineStr">
        <is>
          <t>A 15870-2020</t>
        </is>
      </c>
      <c r="B533" s="1" t="n">
        <v>43915</v>
      </c>
      <c r="C533" s="1" t="n">
        <v>45760</v>
      </c>
      <c r="D533" t="inlineStr">
        <is>
          <t>VÄSTERBOTTENS LÄN</t>
        </is>
      </c>
      <c r="E533" t="inlineStr">
        <is>
          <t>SKELLEFTEÅ</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15869-2020</t>
        </is>
      </c>
      <c r="B534" s="1" t="n">
        <v>43915</v>
      </c>
      <c r="C534" s="1" t="n">
        <v>45760</v>
      </c>
      <c r="D534" t="inlineStr">
        <is>
          <t>VÄSTERBOTTENS LÄN</t>
        </is>
      </c>
      <c r="E534" t="inlineStr">
        <is>
          <t>SKELLEFTEÅ</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17434-2020</t>
        </is>
      </c>
      <c r="B535" s="1" t="n">
        <v>43917</v>
      </c>
      <c r="C535" s="1" t="n">
        <v>45760</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17894-2020</t>
        </is>
      </c>
      <c r="B536" s="1" t="n">
        <v>43923</v>
      </c>
      <c r="C536" s="1" t="n">
        <v>45760</v>
      </c>
      <c r="D536" t="inlineStr">
        <is>
          <t>VÄSTERBOTTENS LÄN</t>
        </is>
      </c>
      <c r="E536" t="inlineStr">
        <is>
          <t>SKELLEFTEÅ</t>
        </is>
      </c>
      <c r="G536" t="n">
        <v>3.5</v>
      </c>
      <c r="H536" t="n">
        <v>0</v>
      </c>
      <c r="I536" t="n">
        <v>0</v>
      </c>
      <c r="J536" t="n">
        <v>0</v>
      </c>
      <c r="K536" t="n">
        <v>0</v>
      </c>
      <c r="L536" t="n">
        <v>0</v>
      </c>
      <c r="M536" t="n">
        <v>0</v>
      </c>
      <c r="N536" t="n">
        <v>0</v>
      </c>
      <c r="O536" t="n">
        <v>0</v>
      </c>
      <c r="P536" t="n">
        <v>0</v>
      </c>
      <c r="Q536" t="n">
        <v>0</v>
      </c>
      <c r="R536" s="2" t="inlineStr"/>
    </row>
    <row r="537" ht="15" customHeight="1">
      <c r="A537" t="inlineStr">
        <is>
          <t>A 18619-2020</t>
        </is>
      </c>
      <c r="B537" s="1" t="n">
        <v>43928</v>
      </c>
      <c r="C537" s="1" t="n">
        <v>45760</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18442-2020</t>
        </is>
      </c>
      <c r="B538" s="1" t="n">
        <v>43929</v>
      </c>
      <c r="C538" s="1" t="n">
        <v>45760</v>
      </c>
      <c r="D538" t="inlineStr">
        <is>
          <t>VÄSTERBOTTENS LÄN</t>
        </is>
      </c>
      <c r="E538" t="inlineStr">
        <is>
          <t>SKELLEFTEÅ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18820-2020</t>
        </is>
      </c>
      <c r="B539" s="1" t="n">
        <v>43935</v>
      </c>
      <c r="C539" s="1" t="n">
        <v>45760</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19006-2020</t>
        </is>
      </c>
      <c r="B540" s="1" t="n">
        <v>43936</v>
      </c>
      <c r="C540" s="1" t="n">
        <v>45760</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19961-2020</t>
        </is>
      </c>
      <c r="B541" s="1" t="n">
        <v>43943</v>
      </c>
      <c r="C541" s="1" t="n">
        <v>45760</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20243-2020</t>
        </is>
      </c>
      <c r="B542" s="1" t="n">
        <v>43945</v>
      </c>
      <c r="C542" s="1" t="n">
        <v>45760</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20283-2020</t>
        </is>
      </c>
      <c r="B543" s="1" t="n">
        <v>43945</v>
      </c>
      <c r="C543" s="1" t="n">
        <v>45760</v>
      </c>
      <c r="D543" t="inlineStr">
        <is>
          <t>VÄSTERBOTTENS LÄN</t>
        </is>
      </c>
      <c r="E543" t="inlineStr">
        <is>
          <t>SKELLEFTEÅ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20351-2020</t>
        </is>
      </c>
      <c r="B544" s="1" t="n">
        <v>43945</v>
      </c>
      <c r="C544" s="1" t="n">
        <v>45760</v>
      </c>
      <c r="D544" t="inlineStr">
        <is>
          <t>VÄSTERBOTTENS LÄN</t>
        </is>
      </c>
      <c r="E544" t="inlineStr">
        <is>
          <t>SKELLEFTEÅ</t>
        </is>
      </c>
      <c r="G544" t="n">
        <v>6.3</v>
      </c>
      <c r="H544" t="n">
        <v>0</v>
      </c>
      <c r="I544" t="n">
        <v>0</v>
      </c>
      <c r="J544" t="n">
        <v>0</v>
      </c>
      <c r="K544" t="n">
        <v>0</v>
      </c>
      <c r="L544" t="n">
        <v>0</v>
      </c>
      <c r="M544" t="n">
        <v>0</v>
      </c>
      <c r="N544" t="n">
        <v>0</v>
      </c>
      <c r="O544" t="n">
        <v>0</v>
      </c>
      <c r="P544" t="n">
        <v>0</v>
      </c>
      <c r="Q544" t="n">
        <v>0</v>
      </c>
      <c r="R544" s="2" t="inlineStr"/>
    </row>
    <row r="545" ht="15" customHeight="1">
      <c r="A545" t="inlineStr">
        <is>
          <t>A 20444-2020</t>
        </is>
      </c>
      <c r="B545" s="1" t="n">
        <v>43948</v>
      </c>
      <c r="C545" s="1" t="n">
        <v>45760</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20466-2020</t>
        </is>
      </c>
      <c r="B546" s="1" t="n">
        <v>43948</v>
      </c>
      <c r="C546" s="1" t="n">
        <v>45760</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22451-2020</t>
        </is>
      </c>
      <c r="B547" s="1" t="n">
        <v>43963</v>
      </c>
      <c r="C547" s="1" t="n">
        <v>45760</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22752-2020</t>
        </is>
      </c>
      <c r="B548" s="1" t="n">
        <v>43963</v>
      </c>
      <c r="C548" s="1" t="n">
        <v>45760</v>
      </c>
      <c r="D548" t="inlineStr">
        <is>
          <t>VÄSTERBOTTENS LÄN</t>
        </is>
      </c>
      <c r="E548" t="inlineStr">
        <is>
          <t>SKELLEFTEÅ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23006-2020</t>
        </is>
      </c>
      <c r="B549" s="1" t="n">
        <v>43965</v>
      </c>
      <c r="C549" s="1" t="n">
        <v>45760</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23181-2020</t>
        </is>
      </c>
      <c r="B550" s="1" t="n">
        <v>43965</v>
      </c>
      <c r="C550" s="1" t="n">
        <v>45760</v>
      </c>
      <c r="D550" t="inlineStr">
        <is>
          <t>VÄSTERBOTTENS LÄN</t>
        </is>
      </c>
      <c r="E550" t="inlineStr">
        <is>
          <t>SKELLEFTEÅ</t>
        </is>
      </c>
      <c r="G550" t="n">
        <v>8.1</v>
      </c>
      <c r="H550" t="n">
        <v>0</v>
      </c>
      <c r="I550" t="n">
        <v>0</v>
      </c>
      <c r="J550" t="n">
        <v>0</v>
      </c>
      <c r="K550" t="n">
        <v>0</v>
      </c>
      <c r="L550" t="n">
        <v>0</v>
      </c>
      <c r="M550" t="n">
        <v>0</v>
      </c>
      <c r="N550" t="n">
        <v>0</v>
      </c>
      <c r="O550" t="n">
        <v>0</v>
      </c>
      <c r="P550" t="n">
        <v>0</v>
      </c>
      <c r="Q550" t="n">
        <v>0</v>
      </c>
      <c r="R550" s="2" t="inlineStr"/>
    </row>
    <row r="551" ht="15" customHeight="1">
      <c r="A551" t="inlineStr">
        <is>
          <t>A 23522-2020</t>
        </is>
      </c>
      <c r="B551" s="1" t="n">
        <v>43969</v>
      </c>
      <c r="C551" s="1" t="n">
        <v>45760</v>
      </c>
      <c r="D551" t="inlineStr">
        <is>
          <t>VÄSTERBOTTENS LÄN</t>
        </is>
      </c>
      <c r="E551" t="inlineStr">
        <is>
          <t>SKELLEFTEÅ</t>
        </is>
      </c>
      <c r="G551" t="n">
        <v>0.2</v>
      </c>
      <c r="H551" t="n">
        <v>0</v>
      </c>
      <c r="I551" t="n">
        <v>0</v>
      </c>
      <c r="J551" t="n">
        <v>0</v>
      </c>
      <c r="K551" t="n">
        <v>0</v>
      </c>
      <c r="L551" t="n">
        <v>0</v>
      </c>
      <c r="M551" t="n">
        <v>0</v>
      </c>
      <c r="N551" t="n">
        <v>0</v>
      </c>
      <c r="O551" t="n">
        <v>0</v>
      </c>
      <c r="P551" t="n">
        <v>0</v>
      </c>
      <c r="Q551" t="n">
        <v>0</v>
      </c>
      <c r="R551" s="2" t="inlineStr"/>
    </row>
    <row r="552" ht="15" customHeight="1">
      <c r="A552" t="inlineStr">
        <is>
          <t>A 23672-2020</t>
        </is>
      </c>
      <c r="B552" s="1" t="n">
        <v>43970</v>
      </c>
      <c r="C552" s="1" t="n">
        <v>45760</v>
      </c>
      <c r="D552" t="inlineStr">
        <is>
          <t>VÄSTERBOTTENS LÄN</t>
        </is>
      </c>
      <c r="E552" t="inlineStr">
        <is>
          <t>SKELLEFTEÅ</t>
        </is>
      </c>
      <c r="G552" t="n">
        <v>1</v>
      </c>
      <c r="H552" t="n">
        <v>0</v>
      </c>
      <c r="I552" t="n">
        <v>0</v>
      </c>
      <c r="J552" t="n">
        <v>0</v>
      </c>
      <c r="K552" t="n">
        <v>0</v>
      </c>
      <c r="L552" t="n">
        <v>0</v>
      </c>
      <c r="M552" t="n">
        <v>0</v>
      </c>
      <c r="N552" t="n">
        <v>0</v>
      </c>
      <c r="O552" t="n">
        <v>0</v>
      </c>
      <c r="P552" t="n">
        <v>0</v>
      </c>
      <c r="Q552" t="n">
        <v>0</v>
      </c>
      <c r="R552" s="2" t="inlineStr"/>
    </row>
    <row r="553" ht="15" customHeight="1">
      <c r="A553" t="inlineStr">
        <is>
          <t>A 24280-2020</t>
        </is>
      </c>
      <c r="B553" s="1" t="n">
        <v>43970</v>
      </c>
      <c r="C553" s="1" t="n">
        <v>45760</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24276-2020</t>
        </is>
      </c>
      <c r="B554" s="1" t="n">
        <v>43970</v>
      </c>
      <c r="C554" s="1" t="n">
        <v>45760</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24274-2020</t>
        </is>
      </c>
      <c r="B555" s="1" t="n">
        <v>43970</v>
      </c>
      <c r="C555" s="1" t="n">
        <v>45760</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23908-2020</t>
        </is>
      </c>
      <c r="B556" s="1" t="n">
        <v>43970</v>
      </c>
      <c r="C556" s="1" t="n">
        <v>45760</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23907-2020</t>
        </is>
      </c>
      <c r="B557" s="1" t="n">
        <v>43970</v>
      </c>
      <c r="C557" s="1" t="n">
        <v>45760</v>
      </c>
      <c r="D557" t="inlineStr">
        <is>
          <t>VÄSTERBOTTENS LÄN</t>
        </is>
      </c>
      <c r="E557" t="inlineStr">
        <is>
          <t>SKELLEFTEÅ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24264-2020</t>
        </is>
      </c>
      <c r="B558" s="1" t="n">
        <v>43970</v>
      </c>
      <c r="C558" s="1" t="n">
        <v>45760</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24543-2020</t>
        </is>
      </c>
      <c r="B559" s="1" t="n">
        <v>43977</v>
      </c>
      <c r="C559" s="1" t="n">
        <v>45760</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25142-2020</t>
        </is>
      </c>
      <c r="B560" s="1" t="n">
        <v>43978</v>
      </c>
      <c r="C560" s="1" t="n">
        <v>45760</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25161-2020</t>
        </is>
      </c>
      <c r="B561" s="1" t="n">
        <v>43978</v>
      </c>
      <c r="C561" s="1" t="n">
        <v>45760</v>
      </c>
      <c r="D561" t="inlineStr">
        <is>
          <t>VÄSTERBOTTENS LÄN</t>
        </is>
      </c>
      <c r="E561" t="inlineStr">
        <is>
          <t>SKELLEFTEÅ</t>
        </is>
      </c>
      <c r="G561" t="n">
        <v>6.6</v>
      </c>
      <c r="H561" t="n">
        <v>0</v>
      </c>
      <c r="I561" t="n">
        <v>0</v>
      </c>
      <c r="J561" t="n">
        <v>0</v>
      </c>
      <c r="K561" t="n">
        <v>0</v>
      </c>
      <c r="L561" t="n">
        <v>0</v>
      </c>
      <c r="M561" t="n">
        <v>0</v>
      </c>
      <c r="N561" t="n">
        <v>0</v>
      </c>
      <c r="O561" t="n">
        <v>0</v>
      </c>
      <c r="P561" t="n">
        <v>0</v>
      </c>
      <c r="Q561" t="n">
        <v>0</v>
      </c>
      <c r="R561" s="2" t="inlineStr"/>
    </row>
    <row r="562" ht="15" customHeight="1">
      <c r="A562" t="inlineStr">
        <is>
          <t>A 25051-2020</t>
        </is>
      </c>
      <c r="B562" s="1" t="n">
        <v>43979</v>
      </c>
      <c r="C562" s="1" t="n">
        <v>45760</v>
      </c>
      <c r="D562" t="inlineStr">
        <is>
          <t>VÄSTERBOTTENS LÄN</t>
        </is>
      </c>
      <c r="E562" t="inlineStr">
        <is>
          <t>SKELLEFTEÅ</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25202-2020</t>
        </is>
      </c>
      <c r="B563" s="1" t="n">
        <v>43980</v>
      </c>
      <c r="C563" s="1" t="n">
        <v>45760</v>
      </c>
      <c r="D563" t="inlineStr">
        <is>
          <t>VÄSTERBOTTENS LÄN</t>
        </is>
      </c>
      <c r="E563" t="inlineStr">
        <is>
          <t>SKELLEFTEÅ</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25473-2020</t>
        </is>
      </c>
      <c r="B564" s="1" t="n">
        <v>43983</v>
      </c>
      <c r="C564" s="1" t="n">
        <v>45760</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25682-2020</t>
        </is>
      </c>
      <c r="B565" s="1" t="n">
        <v>43983</v>
      </c>
      <c r="C565" s="1" t="n">
        <v>45760</v>
      </c>
      <c r="D565" t="inlineStr">
        <is>
          <t>VÄSTERBOTTENS LÄN</t>
        </is>
      </c>
      <c r="E565" t="inlineStr">
        <is>
          <t>SKELLEFTEÅ</t>
        </is>
      </c>
      <c r="G565" t="n">
        <v>2.8</v>
      </c>
      <c r="H565" t="n">
        <v>0</v>
      </c>
      <c r="I565" t="n">
        <v>0</v>
      </c>
      <c r="J565" t="n">
        <v>0</v>
      </c>
      <c r="K565" t="n">
        <v>0</v>
      </c>
      <c r="L565" t="n">
        <v>0</v>
      </c>
      <c r="M565" t="n">
        <v>0</v>
      </c>
      <c r="N565" t="n">
        <v>0</v>
      </c>
      <c r="O565" t="n">
        <v>0</v>
      </c>
      <c r="P565" t="n">
        <v>0</v>
      </c>
      <c r="Q565" t="n">
        <v>0</v>
      </c>
      <c r="R565" s="2" t="inlineStr"/>
    </row>
    <row r="566" ht="15" customHeight="1">
      <c r="A566" t="inlineStr">
        <is>
          <t>A 25858-2020</t>
        </is>
      </c>
      <c r="B566" s="1" t="n">
        <v>43984</v>
      </c>
      <c r="C566" s="1" t="n">
        <v>45760</v>
      </c>
      <c r="D566" t="inlineStr">
        <is>
          <t>VÄSTERBOTTENS LÄN</t>
        </is>
      </c>
      <c r="E566" t="inlineStr">
        <is>
          <t>SKELLEFTEÅ</t>
        </is>
      </c>
      <c r="F566" t="inlineStr">
        <is>
          <t>Sveaskog</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26089-2020</t>
        </is>
      </c>
      <c r="B567" s="1" t="n">
        <v>43984</v>
      </c>
      <c r="C567" s="1" t="n">
        <v>45760</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25695-2020</t>
        </is>
      </c>
      <c r="B568" s="1" t="n">
        <v>43984</v>
      </c>
      <c r="C568" s="1" t="n">
        <v>45760</v>
      </c>
      <c r="D568" t="inlineStr">
        <is>
          <t>VÄSTERBOTTENS LÄN</t>
        </is>
      </c>
      <c r="E568" t="inlineStr">
        <is>
          <t>SKELLEFTEÅ</t>
        </is>
      </c>
      <c r="G568" t="n">
        <v>15.3</v>
      </c>
      <c r="H568" t="n">
        <v>0</v>
      </c>
      <c r="I568" t="n">
        <v>0</v>
      </c>
      <c r="J568" t="n">
        <v>0</v>
      </c>
      <c r="K568" t="n">
        <v>0</v>
      </c>
      <c r="L568" t="n">
        <v>0</v>
      </c>
      <c r="M568" t="n">
        <v>0</v>
      </c>
      <c r="N568" t="n">
        <v>0</v>
      </c>
      <c r="O568" t="n">
        <v>0</v>
      </c>
      <c r="P568" t="n">
        <v>0</v>
      </c>
      <c r="Q568" t="n">
        <v>0</v>
      </c>
      <c r="R568" s="2" t="inlineStr"/>
    </row>
    <row r="569" ht="15" customHeight="1">
      <c r="A569" t="inlineStr">
        <is>
          <t>A 25968-2020</t>
        </is>
      </c>
      <c r="B569" s="1" t="n">
        <v>43985</v>
      </c>
      <c r="C569" s="1" t="n">
        <v>45760</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26422-2020</t>
        </is>
      </c>
      <c r="B570" s="1" t="n">
        <v>43986</v>
      </c>
      <c r="C570" s="1" t="n">
        <v>45760</v>
      </c>
      <c r="D570" t="inlineStr">
        <is>
          <t>VÄSTERBOTTENS LÄN</t>
        </is>
      </c>
      <c r="E570" t="inlineStr">
        <is>
          <t>SKELLEFTEÅ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26413-2020</t>
        </is>
      </c>
      <c r="B571" s="1" t="n">
        <v>43987</v>
      </c>
      <c r="C571" s="1" t="n">
        <v>45760</v>
      </c>
      <c r="D571" t="inlineStr">
        <is>
          <t>VÄSTERBOTTENS LÄN</t>
        </is>
      </c>
      <c r="E571" t="inlineStr">
        <is>
          <t>SKELLEFTEÅ</t>
        </is>
      </c>
      <c r="F571" t="inlineStr">
        <is>
          <t>Holmen skog AB</t>
        </is>
      </c>
      <c r="G571" t="n">
        <v>7.9</v>
      </c>
      <c r="H571" t="n">
        <v>0</v>
      </c>
      <c r="I571" t="n">
        <v>0</v>
      </c>
      <c r="J571" t="n">
        <v>0</v>
      </c>
      <c r="K571" t="n">
        <v>0</v>
      </c>
      <c r="L571" t="n">
        <v>0</v>
      </c>
      <c r="M571" t="n">
        <v>0</v>
      </c>
      <c r="N571" t="n">
        <v>0</v>
      </c>
      <c r="O571" t="n">
        <v>0</v>
      </c>
      <c r="P571" t="n">
        <v>0</v>
      </c>
      <c r="Q571" t="n">
        <v>0</v>
      </c>
      <c r="R571" s="2" t="inlineStr"/>
    </row>
    <row r="572" ht="15" customHeight="1">
      <c r="A572" t="inlineStr">
        <is>
          <t>A 26396-2020</t>
        </is>
      </c>
      <c r="B572" s="1" t="n">
        <v>43987</v>
      </c>
      <c r="C572" s="1" t="n">
        <v>45760</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27218-2020</t>
        </is>
      </c>
      <c r="B573" s="1" t="n">
        <v>43992</v>
      </c>
      <c r="C573" s="1" t="n">
        <v>45760</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27684-2020</t>
        </is>
      </c>
      <c r="B574" s="1" t="n">
        <v>43994</v>
      </c>
      <c r="C574" s="1" t="n">
        <v>45760</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28449-2020</t>
        </is>
      </c>
      <c r="B575" s="1" t="n">
        <v>43998</v>
      </c>
      <c r="C575" s="1" t="n">
        <v>45760</v>
      </c>
      <c r="D575" t="inlineStr">
        <is>
          <t>VÄSTERBOTTENS LÄN</t>
        </is>
      </c>
      <c r="E575" t="inlineStr">
        <is>
          <t>SKELLEFTEÅ</t>
        </is>
      </c>
      <c r="F575" t="inlineStr">
        <is>
          <t>Sveaskog</t>
        </is>
      </c>
      <c r="G575" t="n">
        <v>20.9</v>
      </c>
      <c r="H575" t="n">
        <v>0</v>
      </c>
      <c r="I575" t="n">
        <v>0</v>
      </c>
      <c r="J575" t="n">
        <v>0</v>
      </c>
      <c r="K575" t="n">
        <v>0</v>
      </c>
      <c r="L575" t="n">
        <v>0</v>
      </c>
      <c r="M575" t="n">
        <v>0</v>
      </c>
      <c r="N575" t="n">
        <v>0</v>
      </c>
      <c r="O575" t="n">
        <v>0</v>
      </c>
      <c r="P575" t="n">
        <v>0</v>
      </c>
      <c r="Q575" t="n">
        <v>0</v>
      </c>
      <c r="R575" s="2" t="inlineStr"/>
    </row>
    <row r="576" ht="15" customHeight="1">
      <c r="A576" t="inlineStr">
        <is>
          <t>A 28503-2020</t>
        </is>
      </c>
      <c r="B576" s="1" t="n">
        <v>43999</v>
      </c>
      <c r="C576" s="1" t="n">
        <v>45760</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28501-2020</t>
        </is>
      </c>
      <c r="B577" s="1" t="n">
        <v>43999</v>
      </c>
      <c r="C577" s="1" t="n">
        <v>45760</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28505-2020</t>
        </is>
      </c>
      <c r="B578" s="1" t="n">
        <v>43999</v>
      </c>
      <c r="C578" s="1" t="n">
        <v>45760</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28574-2020</t>
        </is>
      </c>
      <c r="B579" s="1" t="n">
        <v>43999</v>
      </c>
      <c r="C579" s="1" t="n">
        <v>45760</v>
      </c>
      <c r="D579" t="inlineStr">
        <is>
          <t>VÄSTERBOTTENS LÄN</t>
        </is>
      </c>
      <c r="E579" t="inlineStr">
        <is>
          <t>SKELLEFTEÅ</t>
        </is>
      </c>
      <c r="F579" t="inlineStr">
        <is>
          <t>Holmen skog AB</t>
        </is>
      </c>
      <c r="G579" t="n">
        <v>19.4</v>
      </c>
      <c r="H579" t="n">
        <v>0</v>
      </c>
      <c r="I579" t="n">
        <v>0</v>
      </c>
      <c r="J579" t="n">
        <v>0</v>
      </c>
      <c r="K579" t="n">
        <v>0</v>
      </c>
      <c r="L579" t="n">
        <v>0</v>
      </c>
      <c r="M579" t="n">
        <v>0</v>
      </c>
      <c r="N579" t="n">
        <v>0</v>
      </c>
      <c r="O579" t="n">
        <v>0</v>
      </c>
      <c r="P579" t="n">
        <v>0</v>
      </c>
      <c r="Q579" t="n">
        <v>0</v>
      </c>
      <c r="R579" s="2" t="inlineStr"/>
    </row>
    <row r="580" ht="15" customHeight="1">
      <c r="A580" t="inlineStr">
        <is>
          <t>A 28986-2020</t>
        </is>
      </c>
      <c r="B580" s="1" t="n">
        <v>44000</v>
      </c>
      <c r="C580" s="1" t="n">
        <v>45760</v>
      </c>
      <c r="D580" t="inlineStr">
        <is>
          <t>VÄSTERBOTTENS LÄN</t>
        </is>
      </c>
      <c r="E580" t="inlineStr">
        <is>
          <t>SKELLEFTEÅ</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28985-2020</t>
        </is>
      </c>
      <c r="B581" s="1" t="n">
        <v>44000</v>
      </c>
      <c r="C581" s="1" t="n">
        <v>45760</v>
      </c>
      <c r="D581" t="inlineStr">
        <is>
          <t>VÄSTERBOTTENS LÄN</t>
        </is>
      </c>
      <c r="E581" t="inlineStr">
        <is>
          <t>SKELLEFTEÅ</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29134-2020</t>
        </is>
      </c>
      <c r="B582" s="1" t="n">
        <v>44004</v>
      </c>
      <c r="C582" s="1" t="n">
        <v>45760</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29595-2020</t>
        </is>
      </c>
      <c r="B583" s="1" t="n">
        <v>44004</v>
      </c>
      <c r="C583" s="1" t="n">
        <v>45760</v>
      </c>
      <c r="D583" t="inlineStr">
        <is>
          <t>VÄSTERBOTTENS LÄN</t>
        </is>
      </c>
      <c r="E583" t="inlineStr">
        <is>
          <t>SKELLEFTEÅ</t>
        </is>
      </c>
      <c r="G583" t="n">
        <v>4.3</v>
      </c>
      <c r="H583" t="n">
        <v>0</v>
      </c>
      <c r="I583" t="n">
        <v>0</v>
      </c>
      <c r="J583" t="n">
        <v>0</v>
      </c>
      <c r="K583" t="n">
        <v>0</v>
      </c>
      <c r="L583" t="n">
        <v>0</v>
      </c>
      <c r="M583" t="n">
        <v>0</v>
      </c>
      <c r="N583" t="n">
        <v>0</v>
      </c>
      <c r="O583" t="n">
        <v>0</v>
      </c>
      <c r="P583" t="n">
        <v>0</v>
      </c>
      <c r="Q583" t="n">
        <v>0</v>
      </c>
      <c r="R583" s="2" t="inlineStr"/>
    </row>
    <row r="584" ht="15" customHeight="1">
      <c r="A584" t="inlineStr">
        <is>
          <t>A 29542-2020</t>
        </is>
      </c>
      <c r="B584" s="1" t="n">
        <v>44005</v>
      </c>
      <c r="C584" s="1" t="n">
        <v>45760</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29832-2020</t>
        </is>
      </c>
      <c r="B585" s="1" t="n">
        <v>44005</v>
      </c>
      <c r="C585" s="1" t="n">
        <v>45760</v>
      </c>
      <c r="D585" t="inlineStr">
        <is>
          <t>VÄSTERBOTTENS LÄN</t>
        </is>
      </c>
      <c r="E585" t="inlineStr">
        <is>
          <t>SKELLEFTEÅ</t>
        </is>
      </c>
      <c r="G585" t="n">
        <v>6.3</v>
      </c>
      <c r="H585" t="n">
        <v>0</v>
      </c>
      <c r="I585" t="n">
        <v>0</v>
      </c>
      <c r="J585" t="n">
        <v>0</v>
      </c>
      <c r="K585" t="n">
        <v>0</v>
      </c>
      <c r="L585" t="n">
        <v>0</v>
      </c>
      <c r="M585" t="n">
        <v>0</v>
      </c>
      <c r="N585" t="n">
        <v>0</v>
      </c>
      <c r="O585" t="n">
        <v>0</v>
      </c>
      <c r="P585" t="n">
        <v>0</v>
      </c>
      <c r="Q585" t="n">
        <v>0</v>
      </c>
      <c r="R585" s="2" t="inlineStr"/>
    </row>
    <row r="586" ht="15" customHeight="1">
      <c r="A586" t="inlineStr">
        <is>
          <t>A 29850-2020</t>
        </is>
      </c>
      <c r="B586" s="1" t="n">
        <v>44005</v>
      </c>
      <c r="C586" s="1" t="n">
        <v>45760</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29842-2020</t>
        </is>
      </c>
      <c r="B587" s="1" t="n">
        <v>44005</v>
      </c>
      <c r="C587" s="1" t="n">
        <v>45760</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29982-2020</t>
        </is>
      </c>
      <c r="B588" s="1" t="n">
        <v>44006</v>
      </c>
      <c r="C588" s="1" t="n">
        <v>45760</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30075-2020</t>
        </is>
      </c>
      <c r="B589" s="1" t="n">
        <v>44006</v>
      </c>
      <c r="C589" s="1" t="n">
        <v>45760</v>
      </c>
      <c r="D589" t="inlineStr">
        <is>
          <t>VÄSTERBOTTENS LÄN</t>
        </is>
      </c>
      <c r="E589" t="inlineStr">
        <is>
          <t>SKELLEFTEÅ</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30074-2020</t>
        </is>
      </c>
      <c r="B590" s="1" t="n">
        <v>44006</v>
      </c>
      <c r="C590" s="1" t="n">
        <v>45760</v>
      </c>
      <c r="D590" t="inlineStr">
        <is>
          <t>VÄSTERBOTTENS LÄN</t>
        </is>
      </c>
      <c r="E590" t="inlineStr">
        <is>
          <t>SKELLEFTEÅ</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30408-2020</t>
        </is>
      </c>
      <c r="B591" s="1" t="n">
        <v>44007</v>
      </c>
      <c r="C591" s="1" t="n">
        <v>45760</v>
      </c>
      <c r="D591" t="inlineStr">
        <is>
          <t>VÄSTERBOTTENS LÄN</t>
        </is>
      </c>
      <c r="E591" t="inlineStr">
        <is>
          <t>SKELLEFTEÅ</t>
        </is>
      </c>
      <c r="G591" t="n">
        <v>24.3</v>
      </c>
      <c r="H591" t="n">
        <v>0</v>
      </c>
      <c r="I591" t="n">
        <v>0</v>
      </c>
      <c r="J591" t="n">
        <v>0</v>
      </c>
      <c r="K591" t="n">
        <v>0</v>
      </c>
      <c r="L591" t="n">
        <v>0</v>
      </c>
      <c r="M591" t="n">
        <v>0</v>
      </c>
      <c r="N591" t="n">
        <v>0</v>
      </c>
      <c r="O591" t="n">
        <v>0</v>
      </c>
      <c r="P591" t="n">
        <v>0</v>
      </c>
      <c r="Q591" t="n">
        <v>0</v>
      </c>
      <c r="R591" s="2" t="inlineStr"/>
    </row>
    <row r="592" ht="15" customHeight="1">
      <c r="A592" t="inlineStr">
        <is>
          <t>A 30712-2020</t>
        </is>
      </c>
      <c r="B592" s="1" t="n">
        <v>44008</v>
      </c>
      <c r="C592" s="1" t="n">
        <v>45760</v>
      </c>
      <c r="D592" t="inlineStr">
        <is>
          <t>VÄSTERBOTTENS LÄN</t>
        </is>
      </c>
      <c r="E592" t="inlineStr">
        <is>
          <t>SKELLEFTEÅ</t>
        </is>
      </c>
      <c r="G592" t="n">
        <v>3.7</v>
      </c>
      <c r="H592" t="n">
        <v>0</v>
      </c>
      <c r="I592" t="n">
        <v>0</v>
      </c>
      <c r="J592" t="n">
        <v>0</v>
      </c>
      <c r="K592" t="n">
        <v>0</v>
      </c>
      <c r="L592" t="n">
        <v>0</v>
      </c>
      <c r="M592" t="n">
        <v>0</v>
      </c>
      <c r="N592" t="n">
        <v>0</v>
      </c>
      <c r="O592" t="n">
        <v>0</v>
      </c>
      <c r="P592" t="n">
        <v>0</v>
      </c>
      <c r="Q592" t="n">
        <v>0</v>
      </c>
      <c r="R592" s="2" t="inlineStr"/>
    </row>
    <row r="593" ht="15" customHeight="1">
      <c r="A593" t="inlineStr">
        <is>
          <t>A 30653-2020</t>
        </is>
      </c>
      <c r="B593" s="1" t="n">
        <v>44008</v>
      </c>
      <c r="C593" s="1" t="n">
        <v>45760</v>
      </c>
      <c r="D593" t="inlineStr">
        <is>
          <t>VÄSTERBOTTENS LÄN</t>
        </is>
      </c>
      <c r="E593" t="inlineStr">
        <is>
          <t>SKELLEFTEÅ</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30709-2020</t>
        </is>
      </c>
      <c r="B594" s="1" t="n">
        <v>44008</v>
      </c>
      <c r="C594" s="1" t="n">
        <v>45760</v>
      </c>
      <c r="D594" t="inlineStr">
        <is>
          <t>VÄSTERBOTTENS LÄN</t>
        </is>
      </c>
      <c r="E594" t="inlineStr">
        <is>
          <t>SKELLEFTEÅ</t>
        </is>
      </c>
      <c r="F594" t="inlineStr">
        <is>
          <t>Holmen skog AB</t>
        </is>
      </c>
      <c r="G594" t="n">
        <v>7.5</v>
      </c>
      <c r="H594" t="n">
        <v>0</v>
      </c>
      <c r="I594" t="n">
        <v>0</v>
      </c>
      <c r="J594" t="n">
        <v>0</v>
      </c>
      <c r="K594" t="n">
        <v>0</v>
      </c>
      <c r="L594" t="n">
        <v>0</v>
      </c>
      <c r="M594" t="n">
        <v>0</v>
      </c>
      <c r="N594" t="n">
        <v>0</v>
      </c>
      <c r="O594" t="n">
        <v>0</v>
      </c>
      <c r="P594" t="n">
        <v>0</v>
      </c>
      <c r="Q594" t="n">
        <v>0</v>
      </c>
      <c r="R594" s="2" t="inlineStr"/>
    </row>
    <row r="595" ht="15" customHeight="1">
      <c r="A595" t="inlineStr">
        <is>
          <t>A 30728-2020</t>
        </is>
      </c>
      <c r="B595" s="1" t="n">
        <v>44008</v>
      </c>
      <c r="C595" s="1" t="n">
        <v>45760</v>
      </c>
      <c r="D595" t="inlineStr">
        <is>
          <t>VÄSTERBOTTENS LÄN</t>
        </is>
      </c>
      <c r="E595" t="inlineStr">
        <is>
          <t>SKELLEFTEÅ</t>
        </is>
      </c>
      <c r="F595" t="inlineStr">
        <is>
          <t>Holmen skog AB</t>
        </is>
      </c>
      <c r="G595" t="n">
        <v>10.7</v>
      </c>
      <c r="H595" t="n">
        <v>0</v>
      </c>
      <c r="I595" t="n">
        <v>0</v>
      </c>
      <c r="J595" t="n">
        <v>0</v>
      </c>
      <c r="K595" t="n">
        <v>0</v>
      </c>
      <c r="L595" t="n">
        <v>0</v>
      </c>
      <c r="M595" t="n">
        <v>0</v>
      </c>
      <c r="N595" t="n">
        <v>0</v>
      </c>
      <c r="O595" t="n">
        <v>0</v>
      </c>
      <c r="P595" t="n">
        <v>0</v>
      </c>
      <c r="Q595" t="n">
        <v>0</v>
      </c>
      <c r="R595" s="2" t="inlineStr"/>
    </row>
    <row r="596" ht="15" customHeight="1">
      <c r="A596" t="inlineStr">
        <is>
          <t>A 30841-2020</t>
        </is>
      </c>
      <c r="B596" s="1" t="n">
        <v>44008</v>
      </c>
      <c r="C596" s="1" t="n">
        <v>45760</v>
      </c>
      <c r="D596" t="inlineStr">
        <is>
          <t>VÄSTERBOTTENS LÄN</t>
        </is>
      </c>
      <c r="E596" t="inlineStr">
        <is>
          <t>SKELLEFTEÅ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30877-2020</t>
        </is>
      </c>
      <c r="B597" s="1" t="n">
        <v>44011</v>
      </c>
      <c r="C597" s="1" t="n">
        <v>45760</v>
      </c>
      <c r="D597" t="inlineStr">
        <is>
          <t>VÄSTERBOTTENS LÄN</t>
        </is>
      </c>
      <c r="E597" t="inlineStr">
        <is>
          <t>SKELLEFTEÅ</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30949-2020</t>
        </is>
      </c>
      <c r="B598" s="1" t="n">
        <v>44011</v>
      </c>
      <c r="C598" s="1" t="n">
        <v>45760</v>
      </c>
      <c r="D598" t="inlineStr">
        <is>
          <t>VÄSTERBOTTENS LÄN</t>
        </is>
      </c>
      <c r="E598" t="inlineStr">
        <is>
          <t>SKELLEFTEÅ</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31060-2020</t>
        </is>
      </c>
      <c r="B599" s="1" t="n">
        <v>44012</v>
      </c>
      <c r="C599" s="1" t="n">
        <v>45760</v>
      </c>
      <c r="D599" t="inlineStr">
        <is>
          <t>VÄSTERBOTTENS LÄN</t>
        </is>
      </c>
      <c r="E599" t="inlineStr">
        <is>
          <t>SKELLEFTEÅ</t>
        </is>
      </c>
      <c r="G599" t="n">
        <v>3.3</v>
      </c>
      <c r="H599" t="n">
        <v>0</v>
      </c>
      <c r="I599" t="n">
        <v>0</v>
      </c>
      <c r="J599" t="n">
        <v>0</v>
      </c>
      <c r="K599" t="n">
        <v>0</v>
      </c>
      <c r="L599" t="n">
        <v>0</v>
      </c>
      <c r="M599" t="n">
        <v>0</v>
      </c>
      <c r="N599" t="n">
        <v>0</v>
      </c>
      <c r="O599" t="n">
        <v>0</v>
      </c>
      <c r="P599" t="n">
        <v>0</v>
      </c>
      <c r="Q599" t="n">
        <v>0</v>
      </c>
      <c r="R599" s="2" t="inlineStr"/>
    </row>
    <row r="600" ht="15" customHeight="1">
      <c r="A600" t="inlineStr">
        <is>
          <t>A 31434-2020</t>
        </is>
      </c>
      <c r="B600" s="1" t="n">
        <v>44012</v>
      </c>
      <c r="C600" s="1" t="n">
        <v>45760</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31331-2020</t>
        </is>
      </c>
      <c r="B601" s="1" t="n">
        <v>44012</v>
      </c>
      <c r="C601" s="1" t="n">
        <v>45760</v>
      </c>
      <c r="D601" t="inlineStr">
        <is>
          <t>VÄSTERBOTTENS LÄN</t>
        </is>
      </c>
      <c r="E601" t="inlineStr">
        <is>
          <t>SKELLEFTEÅ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31490-2020</t>
        </is>
      </c>
      <c r="B602" s="1" t="n">
        <v>44013</v>
      </c>
      <c r="C602" s="1" t="n">
        <v>45760</v>
      </c>
      <c r="D602" t="inlineStr">
        <is>
          <t>VÄSTERBOTTENS LÄN</t>
        </is>
      </c>
      <c r="E602" t="inlineStr">
        <is>
          <t>SKELLEFTEÅ</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31515-2020</t>
        </is>
      </c>
      <c r="B603" s="1" t="n">
        <v>44013</v>
      </c>
      <c r="C603" s="1" t="n">
        <v>45760</v>
      </c>
      <c r="D603" t="inlineStr">
        <is>
          <t>VÄSTERBOTTENS LÄN</t>
        </is>
      </c>
      <c r="E603" t="inlineStr">
        <is>
          <t>SKELLEFTEÅ</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31519-2020</t>
        </is>
      </c>
      <c r="B604" s="1" t="n">
        <v>44013</v>
      </c>
      <c r="C604" s="1" t="n">
        <v>45760</v>
      </c>
      <c r="D604" t="inlineStr">
        <is>
          <t>VÄSTERBOTTENS LÄN</t>
        </is>
      </c>
      <c r="E604" t="inlineStr">
        <is>
          <t>SKELLEFTEÅ</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31501-2020</t>
        </is>
      </c>
      <c r="B605" s="1" t="n">
        <v>44013</v>
      </c>
      <c r="C605" s="1" t="n">
        <v>45760</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31736-2020</t>
        </is>
      </c>
      <c r="B606" s="1" t="n">
        <v>44013</v>
      </c>
      <c r="C606" s="1" t="n">
        <v>45760</v>
      </c>
      <c r="D606" t="inlineStr">
        <is>
          <t>VÄSTERBOTTENS LÄN</t>
        </is>
      </c>
      <c r="E606" t="inlineStr">
        <is>
          <t>SKELLEFTEÅ</t>
        </is>
      </c>
      <c r="G606" t="n">
        <v>4</v>
      </c>
      <c r="H606" t="n">
        <v>0</v>
      </c>
      <c r="I606" t="n">
        <v>0</v>
      </c>
      <c r="J606" t="n">
        <v>0</v>
      </c>
      <c r="K606" t="n">
        <v>0</v>
      </c>
      <c r="L606" t="n">
        <v>0</v>
      </c>
      <c r="M606" t="n">
        <v>0</v>
      </c>
      <c r="N606" t="n">
        <v>0</v>
      </c>
      <c r="O606" t="n">
        <v>0</v>
      </c>
      <c r="P606" t="n">
        <v>0</v>
      </c>
      <c r="Q606" t="n">
        <v>0</v>
      </c>
      <c r="R606" s="2" t="inlineStr"/>
    </row>
    <row r="607" ht="15" customHeight="1">
      <c r="A607" t="inlineStr">
        <is>
          <t>A 31734-2020</t>
        </is>
      </c>
      <c r="B607" s="1" t="n">
        <v>44013</v>
      </c>
      <c r="C607" s="1" t="n">
        <v>45760</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32173-2020</t>
        </is>
      </c>
      <c r="B608" s="1" t="n">
        <v>44015</v>
      </c>
      <c r="C608" s="1" t="n">
        <v>45760</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32511-2020</t>
        </is>
      </c>
      <c r="B609" s="1" t="n">
        <v>44017</v>
      </c>
      <c r="C609" s="1" t="n">
        <v>45760</v>
      </c>
      <c r="D609" t="inlineStr">
        <is>
          <t>VÄSTERBOTTENS LÄN</t>
        </is>
      </c>
      <c r="E609" t="inlineStr">
        <is>
          <t>SKELLEFTEÅ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32549-2020</t>
        </is>
      </c>
      <c r="B610" s="1" t="n">
        <v>44017</v>
      </c>
      <c r="C610" s="1" t="n">
        <v>45760</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32526-2020</t>
        </is>
      </c>
      <c r="B611" s="1" t="n">
        <v>44017</v>
      </c>
      <c r="C611" s="1" t="n">
        <v>45760</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32530-2020</t>
        </is>
      </c>
      <c r="B612" s="1" t="n">
        <v>44017</v>
      </c>
      <c r="C612" s="1" t="n">
        <v>45760</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32885-2020</t>
        </is>
      </c>
      <c r="B613" s="1" t="n">
        <v>44020</v>
      </c>
      <c r="C613" s="1" t="n">
        <v>45760</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32864-2020</t>
        </is>
      </c>
      <c r="B614" s="1" t="n">
        <v>44020</v>
      </c>
      <c r="C614" s="1" t="n">
        <v>45760</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33086-2020</t>
        </is>
      </c>
      <c r="B615" s="1" t="n">
        <v>44021</v>
      </c>
      <c r="C615" s="1" t="n">
        <v>45760</v>
      </c>
      <c r="D615" t="inlineStr">
        <is>
          <t>VÄSTERBOTTENS LÄN</t>
        </is>
      </c>
      <c r="E615" t="inlineStr">
        <is>
          <t>SKELLEFTEÅ</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33327-2020</t>
        </is>
      </c>
      <c r="B616" s="1" t="n">
        <v>44022</v>
      </c>
      <c r="C616" s="1" t="n">
        <v>45760</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33322-2020</t>
        </is>
      </c>
      <c r="B617" s="1" t="n">
        <v>44022</v>
      </c>
      <c r="C617" s="1" t="n">
        <v>45760</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33424-2020</t>
        </is>
      </c>
      <c r="B618" s="1" t="n">
        <v>44022</v>
      </c>
      <c r="C618" s="1" t="n">
        <v>45760</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33791-2020</t>
        </is>
      </c>
      <c r="B619" s="1" t="n">
        <v>44026</v>
      </c>
      <c r="C619" s="1" t="n">
        <v>45760</v>
      </c>
      <c r="D619" t="inlineStr">
        <is>
          <t>VÄSTERBOTTENS LÄN</t>
        </is>
      </c>
      <c r="E619" t="inlineStr">
        <is>
          <t>SKELLEFTEÅ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34235-2020</t>
        </is>
      </c>
      <c r="B620" s="1" t="n">
        <v>44027</v>
      </c>
      <c r="C620" s="1" t="n">
        <v>45760</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34173-2020</t>
        </is>
      </c>
      <c r="B621" s="1" t="n">
        <v>44029</v>
      </c>
      <c r="C621" s="1" t="n">
        <v>45760</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34155-2020</t>
        </is>
      </c>
      <c r="B622" s="1" t="n">
        <v>44029</v>
      </c>
      <c r="C622" s="1" t="n">
        <v>45760</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34169-2020</t>
        </is>
      </c>
      <c r="B623" s="1" t="n">
        <v>44029</v>
      </c>
      <c r="C623" s="1" t="n">
        <v>45760</v>
      </c>
      <c r="D623" t="inlineStr">
        <is>
          <t>VÄSTERBOTTENS LÄN</t>
        </is>
      </c>
      <c r="E623" t="inlineStr">
        <is>
          <t>SKELLEFTEÅ</t>
        </is>
      </c>
      <c r="G623" t="n">
        <v>1.9</v>
      </c>
      <c r="H623" t="n">
        <v>0</v>
      </c>
      <c r="I623" t="n">
        <v>0</v>
      </c>
      <c r="J623" t="n">
        <v>0</v>
      </c>
      <c r="K623" t="n">
        <v>0</v>
      </c>
      <c r="L623" t="n">
        <v>0</v>
      </c>
      <c r="M623" t="n">
        <v>0</v>
      </c>
      <c r="N623" t="n">
        <v>0</v>
      </c>
      <c r="O623" t="n">
        <v>0</v>
      </c>
      <c r="P623" t="n">
        <v>0</v>
      </c>
      <c r="Q623" t="n">
        <v>0</v>
      </c>
      <c r="R623" s="2" t="inlineStr"/>
    </row>
    <row r="624" ht="15" customHeight="1">
      <c r="A624" t="inlineStr">
        <is>
          <t>A 34177-2020</t>
        </is>
      </c>
      <c r="B624" s="1" t="n">
        <v>44029</v>
      </c>
      <c r="C624" s="1" t="n">
        <v>45760</v>
      </c>
      <c r="D624" t="inlineStr">
        <is>
          <t>VÄSTERBOTTENS LÄN</t>
        </is>
      </c>
      <c r="E624" t="inlineStr">
        <is>
          <t>SKELLEFTEÅ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34142-2020</t>
        </is>
      </c>
      <c r="B625" s="1" t="n">
        <v>44029</v>
      </c>
      <c r="C625" s="1" t="n">
        <v>45760</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34351-2020</t>
        </is>
      </c>
      <c r="B626" s="1" t="n">
        <v>44032</v>
      </c>
      <c r="C626" s="1" t="n">
        <v>45760</v>
      </c>
      <c r="D626" t="inlineStr">
        <is>
          <t>VÄSTERBOTTENS LÄN</t>
        </is>
      </c>
      <c r="E626" t="inlineStr">
        <is>
          <t>SKELLEFTEÅ</t>
        </is>
      </c>
      <c r="G626" t="n">
        <v>2.4</v>
      </c>
      <c r="H626" t="n">
        <v>0</v>
      </c>
      <c r="I626" t="n">
        <v>0</v>
      </c>
      <c r="J626" t="n">
        <v>0</v>
      </c>
      <c r="K626" t="n">
        <v>0</v>
      </c>
      <c r="L626" t="n">
        <v>0</v>
      </c>
      <c r="M626" t="n">
        <v>0</v>
      </c>
      <c r="N626" t="n">
        <v>0</v>
      </c>
      <c r="O626" t="n">
        <v>0</v>
      </c>
      <c r="P626" t="n">
        <v>0</v>
      </c>
      <c r="Q626" t="n">
        <v>0</v>
      </c>
      <c r="R626" s="2" t="inlineStr"/>
    </row>
    <row r="627" ht="15" customHeight="1">
      <c r="A627" t="inlineStr">
        <is>
          <t>A 34517-2020</t>
        </is>
      </c>
      <c r="B627" s="1" t="n">
        <v>44033</v>
      </c>
      <c r="C627" s="1" t="n">
        <v>45760</v>
      </c>
      <c r="D627" t="inlineStr">
        <is>
          <t>VÄSTERBOTTENS LÄN</t>
        </is>
      </c>
      <c r="E627" t="inlineStr">
        <is>
          <t>SKELLEFTEÅ</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35173-2020</t>
        </is>
      </c>
      <c r="B628" s="1" t="n">
        <v>44040</v>
      </c>
      <c r="C628" s="1" t="n">
        <v>45760</v>
      </c>
      <c r="D628" t="inlineStr">
        <is>
          <t>VÄSTERBOTTENS LÄN</t>
        </is>
      </c>
      <c r="E628" t="inlineStr">
        <is>
          <t>SKELLEFTEÅ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35285-2020</t>
        </is>
      </c>
      <c r="B629" s="1" t="n">
        <v>44041</v>
      </c>
      <c r="C629" s="1" t="n">
        <v>45760</v>
      </c>
      <c r="D629" t="inlineStr">
        <is>
          <t>VÄSTERBOTTENS LÄN</t>
        </is>
      </c>
      <c r="E629" t="inlineStr">
        <is>
          <t>SKELLEFTEÅ</t>
        </is>
      </c>
      <c r="F629" t="inlineStr">
        <is>
          <t>Holmen skog AB</t>
        </is>
      </c>
      <c r="G629" t="n">
        <v>4.2</v>
      </c>
      <c r="H629" t="n">
        <v>0</v>
      </c>
      <c r="I629" t="n">
        <v>0</v>
      </c>
      <c r="J629" t="n">
        <v>0</v>
      </c>
      <c r="K629" t="n">
        <v>0</v>
      </c>
      <c r="L629" t="n">
        <v>0</v>
      </c>
      <c r="M629" t="n">
        <v>0</v>
      </c>
      <c r="N629" t="n">
        <v>0</v>
      </c>
      <c r="O629" t="n">
        <v>0</v>
      </c>
      <c r="P629" t="n">
        <v>0</v>
      </c>
      <c r="Q629" t="n">
        <v>0</v>
      </c>
      <c r="R629" s="2" t="inlineStr"/>
    </row>
    <row r="630" ht="15" customHeight="1">
      <c r="A630" t="inlineStr">
        <is>
          <t>A 35806-2020</t>
        </is>
      </c>
      <c r="B630" s="1" t="n">
        <v>44046</v>
      </c>
      <c r="C630" s="1" t="n">
        <v>45760</v>
      </c>
      <c r="D630" t="inlineStr">
        <is>
          <t>VÄSTERBOTTENS LÄN</t>
        </is>
      </c>
      <c r="E630" t="inlineStr">
        <is>
          <t>SKELLEFTEÅ</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35807-2020</t>
        </is>
      </c>
      <c r="B631" s="1" t="n">
        <v>44046</v>
      </c>
      <c r="C631" s="1" t="n">
        <v>45760</v>
      </c>
      <c r="D631" t="inlineStr">
        <is>
          <t>VÄSTERBOTTENS LÄN</t>
        </is>
      </c>
      <c r="E631" t="inlineStr">
        <is>
          <t>SKELLEFTEÅ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36401-2020</t>
        </is>
      </c>
      <c r="B632" s="1" t="n">
        <v>44049</v>
      </c>
      <c r="C632" s="1" t="n">
        <v>45760</v>
      </c>
      <c r="D632" t="inlineStr">
        <is>
          <t>VÄSTERBOTTENS LÄN</t>
        </is>
      </c>
      <c r="E632" t="inlineStr">
        <is>
          <t>SKELLEFTEÅ</t>
        </is>
      </c>
      <c r="F632" t="inlineStr">
        <is>
          <t>Holmen skog AB</t>
        </is>
      </c>
      <c r="G632" t="n">
        <v>11.1</v>
      </c>
      <c r="H632" t="n">
        <v>0</v>
      </c>
      <c r="I632" t="n">
        <v>0</v>
      </c>
      <c r="J632" t="n">
        <v>0</v>
      </c>
      <c r="K632" t="n">
        <v>0</v>
      </c>
      <c r="L632" t="n">
        <v>0</v>
      </c>
      <c r="M632" t="n">
        <v>0</v>
      </c>
      <c r="N632" t="n">
        <v>0</v>
      </c>
      <c r="O632" t="n">
        <v>0</v>
      </c>
      <c r="P632" t="n">
        <v>0</v>
      </c>
      <c r="Q632" t="n">
        <v>0</v>
      </c>
      <c r="R632" s="2" t="inlineStr"/>
    </row>
    <row r="633" ht="15" customHeight="1">
      <c r="A633" t="inlineStr">
        <is>
          <t>A 38217-2020</t>
        </is>
      </c>
      <c r="B633" s="1" t="n">
        <v>44050</v>
      </c>
      <c r="C633" s="1" t="n">
        <v>45760</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37384-2020</t>
        </is>
      </c>
      <c r="B634" s="1" t="n">
        <v>44055</v>
      </c>
      <c r="C634" s="1" t="n">
        <v>45760</v>
      </c>
      <c r="D634" t="inlineStr">
        <is>
          <t>VÄSTERBOTTENS LÄN</t>
        </is>
      </c>
      <c r="E634" t="inlineStr">
        <is>
          <t>SKELLEFTEÅ</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37393-2020</t>
        </is>
      </c>
      <c r="B635" s="1" t="n">
        <v>44055</v>
      </c>
      <c r="C635" s="1" t="n">
        <v>45760</v>
      </c>
      <c r="D635" t="inlineStr">
        <is>
          <t>VÄSTERBOTTENS LÄN</t>
        </is>
      </c>
      <c r="E635" t="inlineStr">
        <is>
          <t>SKELLEFTEÅ</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37268-2020</t>
        </is>
      </c>
      <c r="B636" s="1" t="n">
        <v>44055</v>
      </c>
      <c r="C636" s="1" t="n">
        <v>45760</v>
      </c>
      <c r="D636" t="inlineStr">
        <is>
          <t>VÄSTERBOTTENS LÄN</t>
        </is>
      </c>
      <c r="E636" t="inlineStr">
        <is>
          <t>SKELLEFTEÅ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37860-2020</t>
        </is>
      </c>
      <c r="B637" s="1" t="n">
        <v>44057</v>
      </c>
      <c r="C637" s="1" t="n">
        <v>45760</v>
      </c>
      <c r="D637" t="inlineStr">
        <is>
          <t>VÄSTERBOTTENS LÄN</t>
        </is>
      </c>
      <c r="E637" t="inlineStr">
        <is>
          <t>SKELLEFTEÅ</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37858-2020</t>
        </is>
      </c>
      <c r="B638" s="1" t="n">
        <v>44057</v>
      </c>
      <c r="C638" s="1" t="n">
        <v>45760</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37869-2020</t>
        </is>
      </c>
      <c r="B639" s="1" t="n">
        <v>44057</v>
      </c>
      <c r="C639" s="1" t="n">
        <v>45760</v>
      </c>
      <c r="D639" t="inlineStr">
        <is>
          <t>VÄSTERBOTTENS LÄN</t>
        </is>
      </c>
      <c r="E639" t="inlineStr">
        <is>
          <t>SKELLEFTEÅ</t>
        </is>
      </c>
      <c r="G639" t="n">
        <v>11.5</v>
      </c>
      <c r="H639" t="n">
        <v>0</v>
      </c>
      <c r="I639" t="n">
        <v>0</v>
      </c>
      <c r="J639" t="n">
        <v>0</v>
      </c>
      <c r="K639" t="n">
        <v>0</v>
      </c>
      <c r="L639" t="n">
        <v>0</v>
      </c>
      <c r="M639" t="n">
        <v>0</v>
      </c>
      <c r="N639" t="n">
        <v>0</v>
      </c>
      <c r="O639" t="n">
        <v>0</v>
      </c>
      <c r="P639" t="n">
        <v>0</v>
      </c>
      <c r="Q639" t="n">
        <v>0</v>
      </c>
      <c r="R639" s="2" t="inlineStr"/>
    </row>
    <row r="640" ht="15" customHeight="1">
      <c r="A640" t="inlineStr">
        <is>
          <t>A 37862-2020</t>
        </is>
      </c>
      <c r="B640" s="1" t="n">
        <v>44057</v>
      </c>
      <c r="C640" s="1" t="n">
        <v>45760</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38174-2020</t>
        </is>
      </c>
      <c r="B641" s="1" t="n">
        <v>44057</v>
      </c>
      <c r="C641" s="1" t="n">
        <v>45760</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38181-2020</t>
        </is>
      </c>
      <c r="B642" s="1" t="n">
        <v>44057</v>
      </c>
      <c r="C642" s="1" t="n">
        <v>45760</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38120-2020</t>
        </is>
      </c>
      <c r="B643" s="1" t="n">
        <v>44059</v>
      </c>
      <c r="C643" s="1" t="n">
        <v>45760</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38132-2020</t>
        </is>
      </c>
      <c r="B644" s="1" t="n">
        <v>44059</v>
      </c>
      <c r="C644" s="1" t="n">
        <v>45760</v>
      </c>
      <c r="D644" t="inlineStr">
        <is>
          <t>VÄSTERBOTTENS LÄN</t>
        </is>
      </c>
      <c r="E644" t="inlineStr">
        <is>
          <t>SKELLEFTEÅ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38119-2020</t>
        </is>
      </c>
      <c r="B645" s="1" t="n">
        <v>44059</v>
      </c>
      <c r="C645" s="1" t="n">
        <v>45760</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38187-2020</t>
        </is>
      </c>
      <c r="B646" s="1" t="n">
        <v>44060</v>
      </c>
      <c r="C646" s="1" t="n">
        <v>45760</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38192-2020</t>
        </is>
      </c>
      <c r="B647" s="1" t="n">
        <v>44060</v>
      </c>
      <c r="C647" s="1" t="n">
        <v>45760</v>
      </c>
      <c r="D647" t="inlineStr">
        <is>
          <t>VÄSTERBOTTENS LÄN</t>
        </is>
      </c>
      <c r="E647" t="inlineStr">
        <is>
          <t>SKELLEFTEÅ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39268-2020</t>
        </is>
      </c>
      <c r="B648" s="1" t="n">
        <v>44063</v>
      </c>
      <c r="C648" s="1" t="n">
        <v>45760</v>
      </c>
      <c r="D648" t="inlineStr">
        <is>
          <t>VÄSTERBOTTENS LÄN</t>
        </is>
      </c>
      <c r="E648" t="inlineStr">
        <is>
          <t>SKELLEFTEÅ</t>
        </is>
      </c>
      <c r="F648" t="inlineStr">
        <is>
          <t>Holmen skog AB</t>
        </is>
      </c>
      <c r="G648" t="n">
        <v>10.2</v>
      </c>
      <c r="H648" t="n">
        <v>0</v>
      </c>
      <c r="I648" t="n">
        <v>0</v>
      </c>
      <c r="J648" t="n">
        <v>0</v>
      </c>
      <c r="K648" t="n">
        <v>0</v>
      </c>
      <c r="L648" t="n">
        <v>0</v>
      </c>
      <c r="M648" t="n">
        <v>0</v>
      </c>
      <c r="N648" t="n">
        <v>0</v>
      </c>
      <c r="O648" t="n">
        <v>0</v>
      </c>
      <c r="P648" t="n">
        <v>0</v>
      </c>
      <c r="Q648" t="n">
        <v>0</v>
      </c>
      <c r="R648" s="2" t="inlineStr"/>
    </row>
    <row r="649" ht="15" customHeight="1">
      <c r="A649" t="inlineStr">
        <is>
          <t>A 39992-2020</t>
        </is>
      </c>
      <c r="B649" s="1" t="n">
        <v>44067</v>
      </c>
      <c r="C649" s="1" t="n">
        <v>45760</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40196-2020</t>
        </is>
      </c>
      <c r="B650" s="1" t="n">
        <v>44068</v>
      </c>
      <c r="C650" s="1" t="n">
        <v>45760</v>
      </c>
      <c r="D650" t="inlineStr">
        <is>
          <t>VÄSTERBOTTENS LÄN</t>
        </is>
      </c>
      <c r="E650" t="inlineStr">
        <is>
          <t>SKELLEFTEÅ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40277-2020</t>
        </is>
      </c>
      <c r="B651" s="1" t="n">
        <v>44068</v>
      </c>
      <c r="C651" s="1" t="n">
        <v>45760</v>
      </c>
      <c r="D651" t="inlineStr">
        <is>
          <t>VÄSTERBOTTENS LÄN</t>
        </is>
      </c>
      <c r="E651" t="inlineStr">
        <is>
          <t>SKELLEFTEÅ</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40860-2020</t>
        </is>
      </c>
      <c r="B652" s="1" t="n">
        <v>44068</v>
      </c>
      <c r="C652" s="1" t="n">
        <v>45760</v>
      </c>
      <c r="D652" t="inlineStr">
        <is>
          <t>VÄSTERBOTTENS LÄN</t>
        </is>
      </c>
      <c r="E652" t="inlineStr">
        <is>
          <t>SKELLEFTEÅ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41005-2020</t>
        </is>
      </c>
      <c r="B653" s="1" t="n">
        <v>44068</v>
      </c>
      <c r="C653" s="1" t="n">
        <v>45760</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40469-2020</t>
        </is>
      </c>
      <c r="B654" s="1" t="n">
        <v>44069</v>
      </c>
      <c r="C654" s="1" t="n">
        <v>45760</v>
      </c>
      <c r="D654" t="inlineStr">
        <is>
          <t>VÄSTERBOTTENS LÄN</t>
        </is>
      </c>
      <c r="E654" t="inlineStr">
        <is>
          <t>SKELLEFTEÅ</t>
        </is>
      </c>
      <c r="G654" t="n">
        <v>4.4</v>
      </c>
      <c r="H654" t="n">
        <v>0</v>
      </c>
      <c r="I654" t="n">
        <v>0</v>
      </c>
      <c r="J654" t="n">
        <v>0</v>
      </c>
      <c r="K654" t="n">
        <v>0</v>
      </c>
      <c r="L654" t="n">
        <v>0</v>
      </c>
      <c r="M654" t="n">
        <v>0</v>
      </c>
      <c r="N654" t="n">
        <v>0</v>
      </c>
      <c r="O654" t="n">
        <v>0</v>
      </c>
      <c r="P654" t="n">
        <v>0</v>
      </c>
      <c r="Q654" t="n">
        <v>0</v>
      </c>
      <c r="R654" s="2" t="inlineStr"/>
    </row>
    <row r="655" ht="15" customHeight="1">
      <c r="A655" t="inlineStr">
        <is>
          <t>A 40566-2020</t>
        </is>
      </c>
      <c r="B655" s="1" t="n">
        <v>44069</v>
      </c>
      <c r="C655" s="1" t="n">
        <v>45760</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40756-2020</t>
        </is>
      </c>
      <c r="B656" s="1" t="n">
        <v>44069</v>
      </c>
      <c r="C656" s="1" t="n">
        <v>45760</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40828-2020</t>
        </is>
      </c>
      <c r="B657" s="1" t="n">
        <v>44070</v>
      </c>
      <c r="C657" s="1" t="n">
        <v>45760</v>
      </c>
      <c r="D657" t="inlineStr">
        <is>
          <t>VÄSTERBOTTENS LÄN</t>
        </is>
      </c>
      <c r="E657" t="inlineStr">
        <is>
          <t>SKELLEFTEÅ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41372-2020</t>
        </is>
      </c>
      <c r="B658" s="1" t="n">
        <v>44071</v>
      </c>
      <c r="C658" s="1" t="n">
        <v>45760</v>
      </c>
      <c r="D658" t="inlineStr">
        <is>
          <t>VÄSTERBOTTENS LÄN</t>
        </is>
      </c>
      <c r="E658" t="inlineStr">
        <is>
          <t>SKELLEFTEÅ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42123-2020</t>
        </is>
      </c>
      <c r="B659" s="1" t="n">
        <v>44071</v>
      </c>
      <c r="C659" s="1" t="n">
        <v>45760</v>
      </c>
      <c r="D659" t="inlineStr">
        <is>
          <t>VÄSTERBOTTENS LÄN</t>
        </is>
      </c>
      <c r="E659" t="inlineStr">
        <is>
          <t>SKELLEFTEÅ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41428-2020</t>
        </is>
      </c>
      <c r="B660" s="1" t="n">
        <v>44073</v>
      </c>
      <c r="C660" s="1" t="n">
        <v>45760</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41841-2020</t>
        </is>
      </c>
      <c r="B661" s="1" t="n">
        <v>44074</v>
      </c>
      <c r="C661" s="1" t="n">
        <v>45760</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42049-2020</t>
        </is>
      </c>
      <c r="B662" s="1" t="n">
        <v>44074</v>
      </c>
      <c r="C662" s="1" t="n">
        <v>45760</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41989-2020</t>
        </is>
      </c>
      <c r="B663" s="1" t="n">
        <v>44075</v>
      </c>
      <c r="C663" s="1" t="n">
        <v>45760</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42685-2020</t>
        </is>
      </c>
      <c r="B664" s="1" t="n">
        <v>44075</v>
      </c>
      <c r="C664" s="1" t="n">
        <v>45760</v>
      </c>
      <c r="D664" t="inlineStr">
        <is>
          <t>VÄSTERBOTTENS LÄN</t>
        </is>
      </c>
      <c r="E664" t="inlineStr">
        <is>
          <t>SKELLEFTEÅ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42679-2020</t>
        </is>
      </c>
      <c r="B665" s="1" t="n">
        <v>44075</v>
      </c>
      <c r="C665" s="1" t="n">
        <v>45760</v>
      </c>
      <c r="D665" t="inlineStr">
        <is>
          <t>VÄSTERBOTTENS LÄN</t>
        </is>
      </c>
      <c r="E665" t="inlineStr">
        <is>
          <t>SKELLEFTEÅ</t>
        </is>
      </c>
      <c r="G665" t="n">
        <v>1.2</v>
      </c>
      <c r="H665" t="n">
        <v>0</v>
      </c>
      <c r="I665" t="n">
        <v>0</v>
      </c>
      <c r="J665" t="n">
        <v>0</v>
      </c>
      <c r="K665" t="n">
        <v>0</v>
      </c>
      <c r="L665" t="n">
        <v>0</v>
      </c>
      <c r="M665" t="n">
        <v>0</v>
      </c>
      <c r="N665" t="n">
        <v>0</v>
      </c>
      <c r="O665" t="n">
        <v>0</v>
      </c>
      <c r="P665" t="n">
        <v>0</v>
      </c>
      <c r="Q665" t="n">
        <v>0</v>
      </c>
      <c r="R665" s="2" t="inlineStr"/>
    </row>
    <row r="666" ht="15" customHeight="1">
      <c r="A666" t="inlineStr">
        <is>
          <t>A 43331-2020</t>
        </is>
      </c>
      <c r="B666" s="1" t="n">
        <v>44076</v>
      </c>
      <c r="C666" s="1" t="n">
        <v>45760</v>
      </c>
      <c r="D666" t="inlineStr">
        <is>
          <t>VÄSTERBOTTENS LÄN</t>
        </is>
      </c>
      <c r="E666" t="inlineStr">
        <is>
          <t>SKELLEFTEÅ</t>
        </is>
      </c>
      <c r="G666" t="n">
        <v>3.8</v>
      </c>
      <c r="H666" t="n">
        <v>0</v>
      </c>
      <c r="I666" t="n">
        <v>0</v>
      </c>
      <c r="J666" t="n">
        <v>0</v>
      </c>
      <c r="K666" t="n">
        <v>0</v>
      </c>
      <c r="L666" t="n">
        <v>0</v>
      </c>
      <c r="M666" t="n">
        <v>0</v>
      </c>
      <c r="N666" t="n">
        <v>0</v>
      </c>
      <c r="O666" t="n">
        <v>0</v>
      </c>
      <c r="P666" t="n">
        <v>0</v>
      </c>
      <c r="Q666" t="n">
        <v>0</v>
      </c>
      <c r="R666" s="2" t="inlineStr"/>
    </row>
    <row r="667" ht="15" customHeight="1">
      <c r="A667" t="inlineStr">
        <is>
          <t>A 42648-2020</t>
        </is>
      </c>
      <c r="B667" s="1" t="n">
        <v>44077</v>
      </c>
      <c r="C667" s="1" t="n">
        <v>45760</v>
      </c>
      <c r="D667" t="inlineStr">
        <is>
          <t>VÄSTERBOTTENS LÄN</t>
        </is>
      </c>
      <c r="E667" t="inlineStr">
        <is>
          <t>SKELLEFTEÅ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42808-2020</t>
        </is>
      </c>
      <c r="B668" s="1" t="n">
        <v>44078</v>
      </c>
      <c r="C668" s="1" t="n">
        <v>45760</v>
      </c>
      <c r="D668" t="inlineStr">
        <is>
          <t>VÄSTERBOTTENS LÄN</t>
        </is>
      </c>
      <c r="E668" t="inlineStr">
        <is>
          <t>SKELLEFTEÅ</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43054-2020</t>
        </is>
      </c>
      <c r="B669" s="1" t="n">
        <v>44078</v>
      </c>
      <c r="C669" s="1" t="n">
        <v>45760</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43222-2020</t>
        </is>
      </c>
      <c r="B670" s="1" t="n">
        <v>44081</v>
      </c>
      <c r="C670" s="1" t="n">
        <v>45760</v>
      </c>
      <c r="D670" t="inlineStr">
        <is>
          <t>VÄSTERBOTTENS LÄN</t>
        </is>
      </c>
      <c r="E670" t="inlineStr">
        <is>
          <t>SKELLEFTEÅ</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43292-2020</t>
        </is>
      </c>
      <c r="B671" s="1" t="n">
        <v>44081</v>
      </c>
      <c r="C671" s="1" t="n">
        <v>45760</v>
      </c>
      <c r="D671" t="inlineStr">
        <is>
          <t>VÄSTERBOTTENS LÄN</t>
        </is>
      </c>
      <c r="E671" t="inlineStr">
        <is>
          <t>SKELLEFTEÅ</t>
        </is>
      </c>
      <c r="F671" t="inlineStr">
        <is>
          <t>Sveaskog</t>
        </is>
      </c>
      <c r="G671" t="n">
        <v>10.1</v>
      </c>
      <c r="H671" t="n">
        <v>0</v>
      </c>
      <c r="I671" t="n">
        <v>0</v>
      </c>
      <c r="J671" t="n">
        <v>0</v>
      </c>
      <c r="K671" t="n">
        <v>0</v>
      </c>
      <c r="L671" t="n">
        <v>0</v>
      </c>
      <c r="M671" t="n">
        <v>0</v>
      </c>
      <c r="N671" t="n">
        <v>0</v>
      </c>
      <c r="O671" t="n">
        <v>0</v>
      </c>
      <c r="P671" t="n">
        <v>0</v>
      </c>
      <c r="Q671" t="n">
        <v>0</v>
      </c>
      <c r="R671" s="2" t="inlineStr"/>
    </row>
    <row r="672" ht="15" customHeight="1">
      <c r="A672" t="inlineStr">
        <is>
          <t>A 43344-2020</t>
        </is>
      </c>
      <c r="B672" s="1" t="n">
        <v>44081</v>
      </c>
      <c r="C672" s="1" t="n">
        <v>45760</v>
      </c>
      <c r="D672" t="inlineStr">
        <is>
          <t>VÄSTERBOTTENS LÄN</t>
        </is>
      </c>
      <c r="E672" t="inlineStr">
        <is>
          <t>SKELLEFTEÅ</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43327-2020</t>
        </is>
      </c>
      <c r="B673" s="1" t="n">
        <v>44081</v>
      </c>
      <c r="C673" s="1" t="n">
        <v>45760</v>
      </c>
      <c r="D673" t="inlineStr">
        <is>
          <t>VÄSTERBOTTENS LÄN</t>
        </is>
      </c>
      <c r="E673" t="inlineStr">
        <is>
          <t>SKELLEFTEÅ</t>
        </is>
      </c>
      <c r="F673" t="inlineStr">
        <is>
          <t>Sveaskog</t>
        </is>
      </c>
      <c r="G673" t="n">
        <v>23.3</v>
      </c>
      <c r="H673" t="n">
        <v>0</v>
      </c>
      <c r="I673" t="n">
        <v>0</v>
      </c>
      <c r="J673" t="n">
        <v>0</v>
      </c>
      <c r="K673" t="n">
        <v>0</v>
      </c>
      <c r="L673" t="n">
        <v>0</v>
      </c>
      <c r="M673" t="n">
        <v>0</v>
      </c>
      <c r="N673" t="n">
        <v>0</v>
      </c>
      <c r="O673" t="n">
        <v>0</v>
      </c>
      <c r="P673" t="n">
        <v>0</v>
      </c>
      <c r="Q673" t="n">
        <v>0</v>
      </c>
      <c r="R673" s="2" t="inlineStr"/>
    </row>
    <row r="674" ht="15" customHeight="1">
      <c r="A674" t="inlineStr">
        <is>
          <t>A 43505-2020</t>
        </is>
      </c>
      <c r="B674" s="1" t="n">
        <v>44082</v>
      </c>
      <c r="C674" s="1" t="n">
        <v>45760</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44564-2020</t>
        </is>
      </c>
      <c r="B675" s="1" t="n">
        <v>44082</v>
      </c>
      <c r="C675" s="1" t="n">
        <v>45760</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44721-2020</t>
        </is>
      </c>
      <c r="B676" s="1" t="n">
        <v>44082</v>
      </c>
      <c r="C676" s="1" t="n">
        <v>45760</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43928-2020</t>
        </is>
      </c>
      <c r="B677" s="1" t="n">
        <v>44083</v>
      </c>
      <c r="C677" s="1" t="n">
        <v>45760</v>
      </c>
      <c r="D677" t="inlineStr">
        <is>
          <t>VÄSTERBOTTENS LÄN</t>
        </is>
      </c>
      <c r="E677" t="inlineStr">
        <is>
          <t>SKELLEFTEÅ</t>
        </is>
      </c>
      <c r="F677" t="inlineStr">
        <is>
          <t>Sveaskog</t>
        </is>
      </c>
      <c r="G677" t="n">
        <v>5.8</v>
      </c>
      <c r="H677" t="n">
        <v>0</v>
      </c>
      <c r="I677" t="n">
        <v>0</v>
      </c>
      <c r="J677" t="n">
        <v>0</v>
      </c>
      <c r="K677" t="n">
        <v>0</v>
      </c>
      <c r="L677" t="n">
        <v>0</v>
      </c>
      <c r="M677" t="n">
        <v>0</v>
      </c>
      <c r="N677" t="n">
        <v>0</v>
      </c>
      <c r="O677" t="n">
        <v>0</v>
      </c>
      <c r="P677" t="n">
        <v>0</v>
      </c>
      <c r="Q677" t="n">
        <v>0</v>
      </c>
      <c r="R677" s="2" t="inlineStr"/>
    </row>
    <row r="678" ht="15" customHeight="1">
      <c r="A678" t="inlineStr">
        <is>
          <t>A 43923-2020</t>
        </is>
      </c>
      <c r="B678" s="1" t="n">
        <v>44083</v>
      </c>
      <c r="C678" s="1" t="n">
        <v>45760</v>
      </c>
      <c r="D678" t="inlineStr">
        <is>
          <t>VÄSTERBOTTENS LÄN</t>
        </is>
      </c>
      <c r="E678" t="inlineStr">
        <is>
          <t>SKELLEFTEÅ</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43933-2020</t>
        </is>
      </c>
      <c r="B679" s="1" t="n">
        <v>44083</v>
      </c>
      <c r="C679" s="1" t="n">
        <v>45760</v>
      </c>
      <c r="D679" t="inlineStr">
        <is>
          <t>VÄSTERBOTTENS LÄN</t>
        </is>
      </c>
      <c r="E679" t="inlineStr">
        <is>
          <t>SKELLEFTEÅ</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44068-2020</t>
        </is>
      </c>
      <c r="B680" s="1" t="n">
        <v>44083</v>
      </c>
      <c r="C680" s="1" t="n">
        <v>45760</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43930-2020</t>
        </is>
      </c>
      <c r="B681" s="1" t="n">
        <v>44083</v>
      </c>
      <c r="C681" s="1" t="n">
        <v>45760</v>
      </c>
      <c r="D681" t="inlineStr">
        <is>
          <t>VÄSTERBOTTENS LÄN</t>
        </is>
      </c>
      <c r="E681" t="inlineStr">
        <is>
          <t>SKELLEFTEÅ</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43993-2020</t>
        </is>
      </c>
      <c r="B682" s="1" t="n">
        <v>44083</v>
      </c>
      <c r="C682" s="1" t="n">
        <v>45760</v>
      </c>
      <c r="D682" t="inlineStr">
        <is>
          <t>VÄSTERBOTTENS LÄN</t>
        </is>
      </c>
      <c r="E682" t="inlineStr">
        <is>
          <t>SKELLEFTEÅ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18255-2021</t>
        </is>
      </c>
      <c r="B683" s="1" t="n">
        <v>44083</v>
      </c>
      <c r="C683" s="1" t="n">
        <v>45760</v>
      </c>
      <c r="D683" t="inlineStr">
        <is>
          <t>VÄSTERBOTTENS LÄN</t>
        </is>
      </c>
      <c r="E683" t="inlineStr">
        <is>
          <t>SKELLEFTEÅ</t>
        </is>
      </c>
      <c r="G683" t="n">
        <v>1.4</v>
      </c>
      <c r="H683" t="n">
        <v>0</v>
      </c>
      <c r="I683" t="n">
        <v>0</v>
      </c>
      <c r="J683" t="n">
        <v>0</v>
      </c>
      <c r="K683" t="n">
        <v>0</v>
      </c>
      <c r="L683" t="n">
        <v>0</v>
      </c>
      <c r="M683" t="n">
        <v>0</v>
      </c>
      <c r="N683" t="n">
        <v>0</v>
      </c>
      <c r="O683" t="n">
        <v>0</v>
      </c>
      <c r="P683" t="n">
        <v>0</v>
      </c>
      <c r="Q683" t="n">
        <v>0</v>
      </c>
      <c r="R683" s="2" t="inlineStr"/>
    </row>
    <row r="684" ht="15" customHeight="1">
      <c r="A684" t="inlineStr">
        <is>
          <t>A 18263-2021</t>
        </is>
      </c>
      <c r="B684" s="1" t="n">
        <v>44083</v>
      </c>
      <c r="C684" s="1" t="n">
        <v>45760</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44436-2020</t>
        </is>
      </c>
      <c r="B685" s="1" t="n">
        <v>44084</v>
      </c>
      <c r="C685" s="1" t="n">
        <v>45760</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44587-2020</t>
        </is>
      </c>
      <c r="B686" s="1" t="n">
        <v>44085</v>
      </c>
      <c r="C686" s="1" t="n">
        <v>45760</v>
      </c>
      <c r="D686" t="inlineStr">
        <is>
          <t>VÄSTERBOTTENS LÄN</t>
        </is>
      </c>
      <c r="E686" t="inlineStr">
        <is>
          <t>SKELLEFTEÅ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44572-2020</t>
        </is>
      </c>
      <c r="B687" s="1" t="n">
        <v>44085</v>
      </c>
      <c r="C687" s="1" t="n">
        <v>45760</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44592-2020</t>
        </is>
      </c>
      <c r="B688" s="1" t="n">
        <v>44085</v>
      </c>
      <c r="C688" s="1" t="n">
        <v>45760</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44667-2020</t>
        </is>
      </c>
      <c r="B689" s="1" t="n">
        <v>44085</v>
      </c>
      <c r="C689" s="1" t="n">
        <v>45760</v>
      </c>
      <c r="D689" t="inlineStr">
        <is>
          <t>VÄSTERBOTTENS LÄN</t>
        </is>
      </c>
      <c r="E689" t="inlineStr">
        <is>
          <t>SKELLEFTEÅ</t>
        </is>
      </c>
      <c r="F689" t="inlineStr">
        <is>
          <t>Sveaskog</t>
        </is>
      </c>
      <c r="G689" t="n">
        <v>15.6</v>
      </c>
      <c r="H689" t="n">
        <v>0</v>
      </c>
      <c r="I689" t="n">
        <v>0</v>
      </c>
      <c r="J689" t="n">
        <v>0</v>
      </c>
      <c r="K689" t="n">
        <v>0</v>
      </c>
      <c r="L689" t="n">
        <v>0</v>
      </c>
      <c r="M689" t="n">
        <v>0</v>
      </c>
      <c r="N689" t="n">
        <v>0</v>
      </c>
      <c r="O689" t="n">
        <v>0</v>
      </c>
      <c r="P689" t="n">
        <v>0</v>
      </c>
      <c r="Q689" t="n">
        <v>0</v>
      </c>
      <c r="R689" s="2" t="inlineStr"/>
    </row>
    <row r="690" ht="15" customHeight="1">
      <c r="A690" t="inlineStr">
        <is>
          <t>A 45181-2020</t>
        </is>
      </c>
      <c r="B690" s="1" t="n">
        <v>44088</v>
      </c>
      <c r="C690" s="1" t="n">
        <v>45760</v>
      </c>
      <c r="D690" t="inlineStr">
        <is>
          <t>VÄSTERBOTTENS LÄN</t>
        </is>
      </c>
      <c r="E690" t="inlineStr">
        <is>
          <t>SKELLEFTEÅ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45514-2020</t>
        </is>
      </c>
      <c r="B691" s="1" t="n">
        <v>44089</v>
      </c>
      <c r="C691" s="1" t="n">
        <v>45760</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46686-2020</t>
        </is>
      </c>
      <c r="B692" s="1" t="n">
        <v>44089</v>
      </c>
      <c r="C692" s="1" t="n">
        <v>45760</v>
      </c>
      <c r="D692" t="inlineStr">
        <is>
          <t>VÄSTERBOTTENS LÄN</t>
        </is>
      </c>
      <c r="E692" t="inlineStr">
        <is>
          <t>SKELLEFTEÅ</t>
        </is>
      </c>
      <c r="G692" t="n">
        <v>0.6</v>
      </c>
      <c r="H692" t="n">
        <v>0</v>
      </c>
      <c r="I692" t="n">
        <v>0</v>
      </c>
      <c r="J692" t="n">
        <v>0</v>
      </c>
      <c r="K692" t="n">
        <v>0</v>
      </c>
      <c r="L692" t="n">
        <v>0</v>
      </c>
      <c r="M692" t="n">
        <v>0</v>
      </c>
      <c r="N692" t="n">
        <v>0</v>
      </c>
      <c r="O692" t="n">
        <v>0</v>
      </c>
      <c r="P692" t="n">
        <v>0</v>
      </c>
      <c r="Q692" t="n">
        <v>0</v>
      </c>
      <c r="R692" s="2" t="inlineStr"/>
    </row>
    <row r="693" ht="15" customHeight="1">
      <c r="A693" t="inlineStr">
        <is>
          <t>A 45690-2020</t>
        </is>
      </c>
      <c r="B693" s="1" t="n">
        <v>44090</v>
      </c>
      <c r="C693" s="1" t="n">
        <v>45760</v>
      </c>
      <c r="D693" t="inlineStr">
        <is>
          <t>VÄSTERBOTTENS LÄN</t>
        </is>
      </c>
      <c r="E693" t="inlineStr">
        <is>
          <t>SKELLEFTEÅ</t>
        </is>
      </c>
      <c r="G693" t="n">
        <v>9.6</v>
      </c>
      <c r="H693" t="n">
        <v>0</v>
      </c>
      <c r="I693" t="n">
        <v>0</v>
      </c>
      <c r="J693" t="n">
        <v>0</v>
      </c>
      <c r="K693" t="n">
        <v>0</v>
      </c>
      <c r="L693" t="n">
        <v>0</v>
      </c>
      <c r="M693" t="n">
        <v>0</v>
      </c>
      <c r="N693" t="n">
        <v>0</v>
      </c>
      <c r="O693" t="n">
        <v>0</v>
      </c>
      <c r="P693" t="n">
        <v>0</v>
      </c>
      <c r="Q693" t="n">
        <v>0</v>
      </c>
      <c r="R693" s="2" t="inlineStr"/>
    </row>
    <row r="694" ht="15" customHeight="1">
      <c r="A694" t="inlineStr">
        <is>
          <t>A 46821-2020</t>
        </is>
      </c>
      <c r="B694" s="1" t="n">
        <v>44090</v>
      </c>
      <c r="C694" s="1" t="n">
        <v>45760</v>
      </c>
      <c r="D694" t="inlineStr">
        <is>
          <t>VÄSTERBOTTENS LÄN</t>
        </is>
      </c>
      <c r="E694" t="inlineStr">
        <is>
          <t>SKELLEFTEÅ</t>
        </is>
      </c>
      <c r="G694" t="n">
        <v>3.5</v>
      </c>
      <c r="H694" t="n">
        <v>0</v>
      </c>
      <c r="I694" t="n">
        <v>0</v>
      </c>
      <c r="J694" t="n">
        <v>0</v>
      </c>
      <c r="K694" t="n">
        <v>0</v>
      </c>
      <c r="L694" t="n">
        <v>0</v>
      </c>
      <c r="M694" t="n">
        <v>0</v>
      </c>
      <c r="N694" t="n">
        <v>0</v>
      </c>
      <c r="O694" t="n">
        <v>0</v>
      </c>
      <c r="P694" t="n">
        <v>0</v>
      </c>
      <c r="Q694" t="n">
        <v>0</v>
      </c>
      <c r="R694" s="2" t="inlineStr"/>
    </row>
    <row r="695" ht="15" customHeight="1">
      <c r="A695" t="inlineStr">
        <is>
          <t>A 46205-2020</t>
        </is>
      </c>
      <c r="B695" s="1" t="n">
        <v>44092</v>
      </c>
      <c r="C695" s="1" t="n">
        <v>45760</v>
      </c>
      <c r="D695" t="inlineStr">
        <is>
          <t>VÄSTERBOTTENS LÄN</t>
        </is>
      </c>
      <c r="E695" t="inlineStr">
        <is>
          <t>SKELLEFTEÅ</t>
        </is>
      </c>
      <c r="F695" t="inlineStr">
        <is>
          <t>Holmen skog AB</t>
        </is>
      </c>
      <c r="G695" t="n">
        <v>5.1</v>
      </c>
      <c r="H695" t="n">
        <v>0</v>
      </c>
      <c r="I695" t="n">
        <v>0</v>
      </c>
      <c r="J695" t="n">
        <v>0</v>
      </c>
      <c r="K695" t="n">
        <v>0</v>
      </c>
      <c r="L695" t="n">
        <v>0</v>
      </c>
      <c r="M695" t="n">
        <v>0</v>
      </c>
      <c r="N695" t="n">
        <v>0</v>
      </c>
      <c r="O695" t="n">
        <v>0</v>
      </c>
      <c r="P695" t="n">
        <v>0</v>
      </c>
      <c r="Q695" t="n">
        <v>0</v>
      </c>
      <c r="R695" s="2" t="inlineStr"/>
    </row>
    <row r="696" ht="15" customHeight="1">
      <c r="A696" t="inlineStr">
        <is>
          <t>A 46638-2020</t>
        </is>
      </c>
      <c r="B696" s="1" t="n">
        <v>44095</v>
      </c>
      <c r="C696" s="1" t="n">
        <v>45760</v>
      </c>
      <c r="D696" t="inlineStr">
        <is>
          <t>VÄSTERBOTTENS LÄN</t>
        </is>
      </c>
      <c r="E696" t="inlineStr">
        <is>
          <t>SKELLEFTEÅ</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47405-2020</t>
        </is>
      </c>
      <c r="B697" s="1" t="n">
        <v>44095</v>
      </c>
      <c r="C697" s="1" t="n">
        <v>45760</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46819-2020</t>
        </is>
      </c>
      <c r="B698" s="1" t="n">
        <v>44096</v>
      </c>
      <c r="C698" s="1" t="n">
        <v>45760</v>
      </c>
      <c r="D698" t="inlineStr">
        <is>
          <t>VÄSTERBOTTENS LÄN</t>
        </is>
      </c>
      <c r="E698" t="inlineStr">
        <is>
          <t>SKELLEFTEÅ</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46842-2020</t>
        </is>
      </c>
      <c r="B699" s="1" t="n">
        <v>44096</v>
      </c>
      <c r="C699" s="1" t="n">
        <v>45760</v>
      </c>
      <c r="D699" t="inlineStr">
        <is>
          <t>VÄSTERBOTTENS LÄN</t>
        </is>
      </c>
      <c r="E699" t="inlineStr">
        <is>
          <t>SKELLEFTEÅ</t>
        </is>
      </c>
      <c r="F699" t="inlineStr">
        <is>
          <t>Holmen skog AB</t>
        </is>
      </c>
      <c r="G699" t="n">
        <v>6.5</v>
      </c>
      <c r="H699" t="n">
        <v>0</v>
      </c>
      <c r="I699" t="n">
        <v>0</v>
      </c>
      <c r="J699" t="n">
        <v>0</v>
      </c>
      <c r="K699" t="n">
        <v>0</v>
      </c>
      <c r="L699" t="n">
        <v>0</v>
      </c>
      <c r="M699" t="n">
        <v>0</v>
      </c>
      <c r="N699" t="n">
        <v>0</v>
      </c>
      <c r="O699" t="n">
        <v>0</v>
      </c>
      <c r="P699" t="n">
        <v>0</v>
      </c>
      <c r="Q699" t="n">
        <v>0</v>
      </c>
      <c r="R699" s="2" t="inlineStr"/>
    </row>
    <row r="700" ht="15" customHeight="1">
      <c r="A700" t="inlineStr">
        <is>
          <t>A 46857-2020</t>
        </is>
      </c>
      <c r="B700" s="1" t="n">
        <v>44096</v>
      </c>
      <c r="C700" s="1" t="n">
        <v>45760</v>
      </c>
      <c r="D700" t="inlineStr">
        <is>
          <t>VÄSTERBOTTENS LÄN</t>
        </is>
      </c>
      <c r="E700" t="inlineStr">
        <is>
          <t>SKELLEFTEÅ</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48584-2020</t>
        </is>
      </c>
      <c r="B701" s="1" t="n">
        <v>44098</v>
      </c>
      <c r="C701" s="1" t="n">
        <v>45760</v>
      </c>
      <c r="D701" t="inlineStr">
        <is>
          <t>VÄSTERBOTTENS LÄN</t>
        </is>
      </c>
      <c r="E701" t="inlineStr">
        <is>
          <t>SKELLEFTEÅ</t>
        </is>
      </c>
      <c r="G701" t="n">
        <v>2.9</v>
      </c>
      <c r="H701" t="n">
        <v>0</v>
      </c>
      <c r="I701" t="n">
        <v>0</v>
      </c>
      <c r="J701" t="n">
        <v>0</v>
      </c>
      <c r="K701" t="n">
        <v>0</v>
      </c>
      <c r="L701" t="n">
        <v>0</v>
      </c>
      <c r="M701" t="n">
        <v>0</v>
      </c>
      <c r="N701" t="n">
        <v>0</v>
      </c>
      <c r="O701" t="n">
        <v>0</v>
      </c>
      <c r="P701" t="n">
        <v>0</v>
      </c>
      <c r="Q701" t="n">
        <v>0</v>
      </c>
      <c r="R701" s="2" t="inlineStr"/>
    </row>
    <row r="702" ht="15" customHeight="1">
      <c r="A702" t="inlineStr">
        <is>
          <t>A 49241-2020</t>
        </is>
      </c>
      <c r="B702" s="1" t="n">
        <v>44102</v>
      </c>
      <c r="C702" s="1" t="n">
        <v>45760</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48575-2020</t>
        </is>
      </c>
      <c r="B703" s="1" t="n">
        <v>44103</v>
      </c>
      <c r="C703" s="1" t="n">
        <v>45760</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48609-2020</t>
        </is>
      </c>
      <c r="B704" s="1" t="n">
        <v>44103</v>
      </c>
      <c r="C704" s="1" t="n">
        <v>45760</v>
      </c>
      <c r="D704" t="inlineStr">
        <is>
          <t>VÄSTERBOTTENS LÄN</t>
        </is>
      </c>
      <c r="E704" t="inlineStr">
        <is>
          <t>SKELLEFTEÅ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48893-2020</t>
        </is>
      </c>
      <c r="B705" s="1" t="n">
        <v>44104</v>
      </c>
      <c r="C705" s="1" t="n">
        <v>45760</v>
      </c>
      <c r="D705" t="inlineStr">
        <is>
          <t>VÄSTERBOTTENS LÄN</t>
        </is>
      </c>
      <c r="E705" t="inlineStr">
        <is>
          <t>SKELLEFTEÅ</t>
        </is>
      </c>
      <c r="F705" t="inlineStr">
        <is>
          <t>Sveaskog</t>
        </is>
      </c>
      <c r="G705" t="n">
        <v>42.8</v>
      </c>
      <c r="H705" t="n">
        <v>0</v>
      </c>
      <c r="I705" t="n">
        <v>0</v>
      </c>
      <c r="J705" t="n">
        <v>0</v>
      </c>
      <c r="K705" t="n">
        <v>0</v>
      </c>
      <c r="L705" t="n">
        <v>0</v>
      </c>
      <c r="M705" t="n">
        <v>0</v>
      </c>
      <c r="N705" t="n">
        <v>0</v>
      </c>
      <c r="O705" t="n">
        <v>0</v>
      </c>
      <c r="P705" t="n">
        <v>0</v>
      </c>
      <c r="Q705" t="n">
        <v>0</v>
      </c>
      <c r="R705" s="2" t="inlineStr"/>
    </row>
    <row r="706" ht="15" customHeight="1">
      <c r="A706" t="inlineStr">
        <is>
          <t>A 48939-2020</t>
        </is>
      </c>
      <c r="B706" s="1" t="n">
        <v>44104</v>
      </c>
      <c r="C706" s="1" t="n">
        <v>45760</v>
      </c>
      <c r="D706" t="inlineStr">
        <is>
          <t>VÄSTERBOTTENS LÄN</t>
        </is>
      </c>
      <c r="E706" t="inlineStr">
        <is>
          <t>SKELLEFTEÅ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49986-2020</t>
        </is>
      </c>
      <c r="B707" s="1" t="n">
        <v>44104</v>
      </c>
      <c r="C707" s="1" t="n">
        <v>45760</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49236-2020</t>
        </is>
      </c>
      <c r="B708" s="1" t="n">
        <v>44105</v>
      </c>
      <c r="C708" s="1" t="n">
        <v>45760</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49183-2020</t>
        </is>
      </c>
      <c r="B709" s="1" t="n">
        <v>44105</v>
      </c>
      <c r="C709" s="1" t="n">
        <v>45760</v>
      </c>
      <c r="D709" t="inlineStr">
        <is>
          <t>VÄSTERBOTTENS LÄN</t>
        </is>
      </c>
      <c r="E709" t="inlineStr">
        <is>
          <t>SKELLEFTEÅ</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51654-2020</t>
        </is>
      </c>
      <c r="B710" s="1" t="n">
        <v>44109</v>
      </c>
      <c r="C710" s="1" t="n">
        <v>45760</v>
      </c>
      <c r="D710" t="inlineStr">
        <is>
          <t>VÄSTERBOTTENS LÄN</t>
        </is>
      </c>
      <c r="E710" t="inlineStr">
        <is>
          <t>SKELLEFTEÅ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50275-2020</t>
        </is>
      </c>
      <c r="B711" s="1" t="n">
        <v>44109</v>
      </c>
      <c r="C711" s="1" t="n">
        <v>45760</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49952-2020</t>
        </is>
      </c>
      <c r="B712" s="1" t="n">
        <v>44109</v>
      </c>
      <c r="C712" s="1" t="n">
        <v>45760</v>
      </c>
      <c r="D712" t="inlineStr">
        <is>
          <t>VÄSTERBOTTENS LÄN</t>
        </is>
      </c>
      <c r="E712" t="inlineStr">
        <is>
          <t>SKELLEFTEÅ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49974-2020</t>
        </is>
      </c>
      <c r="B713" s="1" t="n">
        <v>44109</v>
      </c>
      <c r="C713" s="1" t="n">
        <v>45760</v>
      </c>
      <c r="D713" t="inlineStr">
        <is>
          <t>VÄSTERBOTTENS LÄN</t>
        </is>
      </c>
      <c r="E713" t="inlineStr">
        <is>
          <t>SKELLEFTEÅ</t>
        </is>
      </c>
      <c r="F713" t="inlineStr">
        <is>
          <t>Holmen skog AB</t>
        </is>
      </c>
      <c r="G713" t="n">
        <v>15.8</v>
      </c>
      <c r="H713" t="n">
        <v>0</v>
      </c>
      <c r="I713" t="n">
        <v>0</v>
      </c>
      <c r="J713" t="n">
        <v>0</v>
      </c>
      <c r="K713" t="n">
        <v>0</v>
      </c>
      <c r="L713" t="n">
        <v>0</v>
      </c>
      <c r="M713" t="n">
        <v>0</v>
      </c>
      <c r="N713" t="n">
        <v>0</v>
      </c>
      <c r="O713" t="n">
        <v>0</v>
      </c>
      <c r="P713" t="n">
        <v>0</v>
      </c>
      <c r="Q713" t="n">
        <v>0</v>
      </c>
      <c r="R713" s="2" t="inlineStr"/>
    </row>
    <row r="714" ht="15" customHeight="1">
      <c r="A714" t="inlineStr">
        <is>
          <t>A 52119-2020</t>
        </is>
      </c>
      <c r="B714" s="1" t="n">
        <v>44110</v>
      </c>
      <c r="C714" s="1" t="n">
        <v>45760</v>
      </c>
      <c r="D714" t="inlineStr">
        <is>
          <t>VÄSTERBOTTENS LÄN</t>
        </is>
      </c>
      <c r="E714" t="inlineStr">
        <is>
          <t>SKELLEFTEÅ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50431-2020</t>
        </is>
      </c>
      <c r="B715" s="1" t="n">
        <v>44110</v>
      </c>
      <c r="C715" s="1" t="n">
        <v>45760</v>
      </c>
      <c r="D715" t="inlineStr">
        <is>
          <t>VÄSTERBOTTENS LÄN</t>
        </is>
      </c>
      <c r="E715" t="inlineStr">
        <is>
          <t>SKELLEFTEÅ</t>
        </is>
      </c>
      <c r="F715" t="inlineStr">
        <is>
          <t>Holmen skog AB</t>
        </is>
      </c>
      <c r="G715" t="n">
        <v>9.4</v>
      </c>
      <c r="H715" t="n">
        <v>0</v>
      </c>
      <c r="I715" t="n">
        <v>0</v>
      </c>
      <c r="J715" t="n">
        <v>0</v>
      </c>
      <c r="K715" t="n">
        <v>0</v>
      </c>
      <c r="L715" t="n">
        <v>0</v>
      </c>
      <c r="M715" t="n">
        <v>0</v>
      </c>
      <c r="N715" t="n">
        <v>0</v>
      </c>
      <c r="O715" t="n">
        <v>0</v>
      </c>
      <c r="P715" t="n">
        <v>0</v>
      </c>
      <c r="Q715" t="n">
        <v>0</v>
      </c>
      <c r="R715" s="2" t="inlineStr"/>
    </row>
    <row r="716" ht="15" customHeight="1">
      <c r="A716" t="inlineStr">
        <is>
          <t>A 50701-2020</t>
        </is>
      </c>
      <c r="B716" s="1" t="n">
        <v>44111</v>
      </c>
      <c r="C716" s="1" t="n">
        <v>45760</v>
      </c>
      <c r="D716" t="inlineStr">
        <is>
          <t>VÄSTERBOTTENS LÄN</t>
        </is>
      </c>
      <c r="E716" t="inlineStr">
        <is>
          <t>SKELLEFTEÅ</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51283-2020</t>
        </is>
      </c>
      <c r="B717" s="1" t="n">
        <v>44112</v>
      </c>
      <c r="C717" s="1" t="n">
        <v>45760</v>
      </c>
      <c r="D717" t="inlineStr">
        <is>
          <t>VÄSTERBOTTENS LÄN</t>
        </is>
      </c>
      <c r="E717" t="inlineStr">
        <is>
          <t>SKELLEFTEÅ</t>
        </is>
      </c>
      <c r="F717" t="inlineStr">
        <is>
          <t>Sveaskog</t>
        </is>
      </c>
      <c r="G717" t="n">
        <v>14.1</v>
      </c>
      <c r="H717" t="n">
        <v>0</v>
      </c>
      <c r="I717" t="n">
        <v>0</v>
      </c>
      <c r="J717" t="n">
        <v>0</v>
      </c>
      <c r="K717" t="n">
        <v>0</v>
      </c>
      <c r="L717" t="n">
        <v>0</v>
      </c>
      <c r="M717" t="n">
        <v>0</v>
      </c>
      <c r="N717" t="n">
        <v>0</v>
      </c>
      <c r="O717" t="n">
        <v>0</v>
      </c>
      <c r="P717" t="n">
        <v>0</v>
      </c>
      <c r="Q717" t="n">
        <v>0</v>
      </c>
      <c r="R717" s="2" t="inlineStr"/>
    </row>
    <row r="718" ht="15" customHeight="1">
      <c r="A718" t="inlineStr">
        <is>
          <t>A 51547-2020</t>
        </is>
      </c>
      <c r="B718" s="1" t="n">
        <v>44113</v>
      </c>
      <c r="C718" s="1" t="n">
        <v>45760</v>
      </c>
      <c r="D718" t="inlineStr">
        <is>
          <t>VÄSTERBOTTENS LÄN</t>
        </is>
      </c>
      <c r="E718" t="inlineStr">
        <is>
          <t>SKELLEFTEÅ</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51536-2020</t>
        </is>
      </c>
      <c r="B719" s="1" t="n">
        <v>44113</v>
      </c>
      <c r="C719" s="1" t="n">
        <v>45760</v>
      </c>
      <c r="D719" t="inlineStr">
        <is>
          <t>VÄSTERBOTTENS LÄN</t>
        </is>
      </c>
      <c r="E719" t="inlineStr">
        <is>
          <t>SKELLEFTEÅ</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51565-2020</t>
        </is>
      </c>
      <c r="B720" s="1" t="n">
        <v>44113</v>
      </c>
      <c r="C720" s="1" t="n">
        <v>45760</v>
      </c>
      <c r="D720" t="inlineStr">
        <is>
          <t>VÄSTERBOTTENS LÄN</t>
        </is>
      </c>
      <c r="E720" t="inlineStr">
        <is>
          <t>SKELLEFTEÅ</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51530-2020</t>
        </is>
      </c>
      <c r="B721" s="1" t="n">
        <v>44113</v>
      </c>
      <c r="C721" s="1" t="n">
        <v>45760</v>
      </c>
      <c r="D721" t="inlineStr">
        <is>
          <t>VÄSTERBOTTENS LÄN</t>
        </is>
      </c>
      <c r="E721" t="inlineStr">
        <is>
          <t>SKELLEFTEÅ</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51907-2020</t>
        </is>
      </c>
      <c r="B722" s="1" t="n">
        <v>44116</v>
      </c>
      <c r="C722" s="1" t="n">
        <v>45760</v>
      </c>
      <c r="D722" t="inlineStr">
        <is>
          <t>VÄSTERBOTTENS LÄN</t>
        </is>
      </c>
      <c r="E722" t="inlineStr">
        <is>
          <t>SKELLEFTEÅ</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52292-2020</t>
        </is>
      </c>
      <c r="B723" s="1" t="n">
        <v>44117</v>
      </c>
      <c r="C723" s="1" t="n">
        <v>45760</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52640-2020</t>
        </is>
      </c>
      <c r="B724" s="1" t="n">
        <v>44118</v>
      </c>
      <c r="C724" s="1" t="n">
        <v>45760</v>
      </c>
      <c r="D724" t="inlineStr">
        <is>
          <t>VÄSTERBOTTENS LÄN</t>
        </is>
      </c>
      <c r="E724" t="inlineStr">
        <is>
          <t>SKELLEFTEÅ</t>
        </is>
      </c>
      <c r="G724" t="n">
        <v>11.5</v>
      </c>
      <c r="H724" t="n">
        <v>0</v>
      </c>
      <c r="I724" t="n">
        <v>0</v>
      </c>
      <c r="J724" t="n">
        <v>0</v>
      </c>
      <c r="K724" t="n">
        <v>0</v>
      </c>
      <c r="L724" t="n">
        <v>0</v>
      </c>
      <c r="M724" t="n">
        <v>0</v>
      </c>
      <c r="N724" t="n">
        <v>0</v>
      </c>
      <c r="O724" t="n">
        <v>0</v>
      </c>
      <c r="P724" t="n">
        <v>0</v>
      </c>
      <c r="Q724" t="n">
        <v>0</v>
      </c>
      <c r="R724" s="2" t="inlineStr"/>
    </row>
    <row r="725" ht="15" customHeight="1">
      <c r="A725" t="inlineStr">
        <is>
          <t>A 52714-2020</t>
        </is>
      </c>
      <c r="B725" s="1" t="n">
        <v>44119</v>
      </c>
      <c r="C725" s="1" t="n">
        <v>45760</v>
      </c>
      <c r="D725" t="inlineStr">
        <is>
          <t>VÄSTERBOTTENS LÄN</t>
        </is>
      </c>
      <c r="E725" t="inlineStr">
        <is>
          <t>SKELLEFTEÅ</t>
        </is>
      </c>
      <c r="F725" t="inlineStr">
        <is>
          <t>Holmen skog AB</t>
        </is>
      </c>
      <c r="G725" t="n">
        <v>4.6</v>
      </c>
      <c r="H725" t="n">
        <v>0</v>
      </c>
      <c r="I725" t="n">
        <v>0</v>
      </c>
      <c r="J725" t="n">
        <v>0</v>
      </c>
      <c r="K725" t="n">
        <v>0</v>
      </c>
      <c r="L725" t="n">
        <v>0</v>
      </c>
      <c r="M725" t="n">
        <v>0</v>
      </c>
      <c r="N725" t="n">
        <v>0</v>
      </c>
      <c r="O725" t="n">
        <v>0</v>
      </c>
      <c r="P725" t="n">
        <v>0</v>
      </c>
      <c r="Q725" t="n">
        <v>0</v>
      </c>
      <c r="R725" s="2" t="inlineStr"/>
    </row>
    <row r="726" ht="15" customHeight="1">
      <c r="A726" t="inlineStr">
        <is>
          <t>A 53114-2020</t>
        </is>
      </c>
      <c r="B726" s="1" t="n">
        <v>44120</v>
      </c>
      <c r="C726" s="1" t="n">
        <v>45760</v>
      </c>
      <c r="D726" t="inlineStr">
        <is>
          <t>VÄSTERBOTTENS LÄN</t>
        </is>
      </c>
      <c r="E726" t="inlineStr">
        <is>
          <t>SKELLEFTEÅ</t>
        </is>
      </c>
      <c r="G726" t="n">
        <v>6.1</v>
      </c>
      <c r="H726" t="n">
        <v>0</v>
      </c>
      <c r="I726" t="n">
        <v>0</v>
      </c>
      <c r="J726" t="n">
        <v>0</v>
      </c>
      <c r="K726" t="n">
        <v>0</v>
      </c>
      <c r="L726" t="n">
        <v>0</v>
      </c>
      <c r="M726" t="n">
        <v>0</v>
      </c>
      <c r="N726" t="n">
        <v>0</v>
      </c>
      <c r="O726" t="n">
        <v>0</v>
      </c>
      <c r="P726" t="n">
        <v>0</v>
      </c>
      <c r="Q726" t="n">
        <v>0</v>
      </c>
      <c r="R726" s="2" t="inlineStr"/>
    </row>
    <row r="727" ht="15" customHeight="1">
      <c r="A727" t="inlineStr">
        <is>
          <t>A 53373-2020</t>
        </is>
      </c>
      <c r="B727" s="1" t="n">
        <v>44123</v>
      </c>
      <c r="C727" s="1" t="n">
        <v>45760</v>
      </c>
      <c r="D727" t="inlineStr">
        <is>
          <t>VÄSTERBOTTENS LÄN</t>
        </is>
      </c>
      <c r="E727" t="inlineStr">
        <is>
          <t>SKELLEFTEÅ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54356-2020</t>
        </is>
      </c>
      <c r="B728" s="1" t="n">
        <v>44125</v>
      </c>
      <c r="C728" s="1" t="n">
        <v>45760</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54850-2020</t>
        </is>
      </c>
      <c r="B729" s="1" t="n">
        <v>44126</v>
      </c>
      <c r="C729" s="1" t="n">
        <v>45760</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54872-2020</t>
        </is>
      </c>
      <c r="B730" s="1" t="n">
        <v>44126</v>
      </c>
      <c r="C730" s="1" t="n">
        <v>45760</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54662-2020</t>
        </is>
      </c>
      <c r="B731" s="1" t="n">
        <v>44127</v>
      </c>
      <c r="C731" s="1" t="n">
        <v>45760</v>
      </c>
      <c r="D731" t="inlineStr">
        <is>
          <t>VÄSTERBOTTENS LÄN</t>
        </is>
      </c>
      <c r="E731" t="inlineStr">
        <is>
          <t>SKELLEFTEÅ</t>
        </is>
      </c>
      <c r="F731" t="inlineStr">
        <is>
          <t>Holmen skog AB</t>
        </is>
      </c>
      <c r="G731" t="n">
        <v>13.4</v>
      </c>
      <c r="H731" t="n">
        <v>0</v>
      </c>
      <c r="I731" t="n">
        <v>0</v>
      </c>
      <c r="J731" t="n">
        <v>0</v>
      </c>
      <c r="K731" t="n">
        <v>0</v>
      </c>
      <c r="L731" t="n">
        <v>0</v>
      </c>
      <c r="M731" t="n">
        <v>0</v>
      </c>
      <c r="N731" t="n">
        <v>0</v>
      </c>
      <c r="O731" t="n">
        <v>0</v>
      </c>
      <c r="P731" t="n">
        <v>0</v>
      </c>
      <c r="Q731" t="n">
        <v>0</v>
      </c>
      <c r="R731" s="2" t="inlineStr"/>
    </row>
    <row r="732" ht="15" customHeight="1">
      <c r="A732" t="inlineStr">
        <is>
          <t>A 54921-2020</t>
        </is>
      </c>
      <c r="B732" s="1" t="n">
        <v>44127</v>
      </c>
      <c r="C732" s="1" t="n">
        <v>45760</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54913-2020</t>
        </is>
      </c>
      <c r="B733" s="1" t="n">
        <v>44127</v>
      </c>
      <c r="C733" s="1" t="n">
        <v>45760</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54942-2020</t>
        </is>
      </c>
      <c r="B734" s="1" t="n">
        <v>44129</v>
      </c>
      <c r="C734" s="1" t="n">
        <v>45760</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55628-2020</t>
        </is>
      </c>
      <c r="B735" s="1" t="n">
        <v>44131</v>
      </c>
      <c r="C735" s="1" t="n">
        <v>45760</v>
      </c>
      <c r="D735" t="inlineStr">
        <is>
          <t>VÄSTERBOTTENS LÄN</t>
        </is>
      </c>
      <c r="E735" t="inlineStr">
        <is>
          <t>SKELLEFTEÅ</t>
        </is>
      </c>
      <c r="F735" t="inlineStr">
        <is>
          <t>Sveaskog</t>
        </is>
      </c>
      <c r="G735" t="n">
        <v>25.9</v>
      </c>
      <c r="H735" t="n">
        <v>0</v>
      </c>
      <c r="I735" t="n">
        <v>0</v>
      </c>
      <c r="J735" t="n">
        <v>0</v>
      </c>
      <c r="K735" t="n">
        <v>0</v>
      </c>
      <c r="L735" t="n">
        <v>0</v>
      </c>
      <c r="M735" t="n">
        <v>0</v>
      </c>
      <c r="N735" t="n">
        <v>0</v>
      </c>
      <c r="O735" t="n">
        <v>0</v>
      </c>
      <c r="P735" t="n">
        <v>0</v>
      </c>
      <c r="Q735" t="n">
        <v>0</v>
      </c>
      <c r="R735" s="2" t="inlineStr"/>
    </row>
    <row r="736" ht="15" customHeight="1">
      <c r="A736" t="inlineStr">
        <is>
          <t>A 55633-2020</t>
        </is>
      </c>
      <c r="B736" s="1" t="n">
        <v>44131</v>
      </c>
      <c r="C736" s="1" t="n">
        <v>45760</v>
      </c>
      <c r="D736" t="inlineStr">
        <is>
          <t>VÄSTERBOTTENS LÄN</t>
        </is>
      </c>
      <c r="E736" t="inlineStr">
        <is>
          <t>SKELLEFTEÅ</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55572-2020</t>
        </is>
      </c>
      <c r="B737" s="1" t="n">
        <v>44131</v>
      </c>
      <c r="C737" s="1" t="n">
        <v>45760</v>
      </c>
      <c r="D737" t="inlineStr">
        <is>
          <t>VÄSTERBOTTENS LÄN</t>
        </is>
      </c>
      <c r="E737" t="inlineStr">
        <is>
          <t>SKELLEFTEÅ</t>
        </is>
      </c>
      <c r="F737" t="inlineStr">
        <is>
          <t>Sveaskog</t>
        </is>
      </c>
      <c r="G737" t="n">
        <v>12.6</v>
      </c>
      <c r="H737" t="n">
        <v>0</v>
      </c>
      <c r="I737" t="n">
        <v>0</v>
      </c>
      <c r="J737" t="n">
        <v>0</v>
      </c>
      <c r="K737" t="n">
        <v>0</v>
      </c>
      <c r="L737" t="n">
        <v>0</v>
      </c>
      <c r="M737" t="n">
        <v>0</v>
      </c>
      <c r="N737" t="n">
        <v>0</v>
      </c>
      <c r="O737" t="n">
        <v>0</v>
      </c>
      <c r="P737" t="n">
        <v>0</v>
      </c>
      <c r="Q737" t="n">
        <v>0</v>
      </c>
      <c r="R737" s="2" t="inlineStr"/>
    </row>
    <row r="738" ht="15" customHeight="1">
      <c r="A738" t="inlineStr">
        <is>
          <t>A 55626-2020</t>
        </is>
      </c>
      <c r="B738" s="1" t="n">
        <v>44131</v>
      </c>
      <c r="C738" s="1" t="n">
        <v>45760</v>
      </c>
      <c r="D738" t="inlineStr">
        <is>
          <t>VÄSTERBOTTENS LÄN</t>
        </is>
      </c>
      <c r="E738" t="inlineStr">
        <is>
          <t>SKELLEFTEÅ</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56029-2020</t>
        </is>
      </c>
      <c r="B739" s="1" t="n">
        <v>44133</v>
      </c>
      <c r="C739" s="1" t="n">
        <v>45760</v>
      </c>
      <c r="D739" t="inlineStr">
        <is>
          <t>VÄSTERBOTTENS LÄN</t>
        </is>
      </c>
      <c r="E739" t="inlineStr">
        <is>
          <t>SKELLEFTEÅ</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56683-2020</t>
        </is>
      </c>
      <c r="B740" s="1" t="n">
        <v>44133</v>
      </c>
      <c r="C740" s="1" t="n">
        <v>45760</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56879-2020</t>
        </is>
      </c>
      <c r="B741" s="1" t="n">
        <v>44134</v>
      </c>
      <c r="C741" s="1" t="n">
        <v>45760</v>
      </c>
      <c r="D741" t="inlineStr">
        <is>
          <t>VÄSTERBOTTENS LÄN</t>
        </is>
      </c>
      <c r="E741" t="inlineStr">
        <is>
          <t>SKELLEFTEÅ</t>
        </is>
      </c>
      <c r="G741" t="n">
        <v>8.5</v>
      </c>
      <c r="H741" t="n">
        <v>0</v>
      </c>
      <c r="I741" t="n">
        <v>0</v>
      </c>
      <c r="J741" t="n">
        <v>0</v>
      </c>
      <c r="K741" t="n">
        <v>0</v>
      </c>
      <c r="L741" t="n">
        <v>0</v>
      </c>
      <c r="M741" t="n">
        <v>0</v>
      </c>
      <c r="N741" t="n">
        <v>0</v>
      </c>
      <c r="O741" t="n">
        <v>0</v>
      </c>
      <c r="P741" t="n">
        <v>0</v>
      </c>
      <c r="Q741" t="n">
        <v>0</v>
      </c>
      <c r="R741" s="2" t="inlineStr"/>
    </row>
    <row r="742" ht="15" customHeight="1">
      <c r="A742" t="inlineStr">
        <is>
          <t>A 56604-2020</t>
        </is>
      </c>
      <c r="B742" s="1" t="n">
        <v>44137</v>
      </c>
      <c r="C742" s="1" t="n">
        <v>45760</v>
      </c>
      <c r="D742" t="inlineStr">
        <is>
          <t>VÄSTERBOTTENS LÄN</t>
        </is>
      </c>
      <c r="E742" t="inlineStr">
        <is>
          <t>SKELLEFTEÅ</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56720-2020</t>
        </is>
      </c>
      <c r="B743" s="1" t="n">
        <v>44137</v>
      </c>
      <c r="C743" s="1" t="n">
        <v>45760</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56692-2020</t>
        </is>
      </c>
      <c r="B744" s="1" t="n">
        <v>44137</v>
      </c>
      <c r="C744" s="1" t="n">
        <v>45760</v>
      </c>
      <c r="D744" t="inlineStr">
        <is>
          <t>VÄSTERBOTTENS LÄN</t>
        </is>
      </c>
      <c r="E744" t="inlineStr">
        <is>
          <t>SKELLEFTEÅ</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56718-2020</t>
        </is>
      </c>
      <c r="B745" s="1" t="n">
        <v>44137</v>
      </c>
      <c r="C745" s="1" t="n">
        <v>45760</v>
      </c>
      <c r="D745" t="inlineStr">
        <is>
          <t>VÄSTERBOTTENS LÄN</t>
        </is>
      </c>
      <c r="E745" t="inlineStr">
        <is>
          <t>SKELLEFTEÅ</t>
        </is>
      </c>
      <c r="G745" t="n">
        <v>0.8</v>
      </c>
      <c r="H745" t="n">
        <v>0</v>
      </c>
      <c r="I745" t="n">
        <v>0</v>
      </c>
      <c r="J745" t="n">
        <v>0</v>
      </c>
      <c r="K745" t="n">
        <v>0</v>
      </c>
      <c r="L745" t="n">
        <v>0</v>
      </c>
      <c r="M745" t="n">
        <v>0</v>
      </c>
      <c r="N745" t="n">
        <v>0</v>
      </c>
      <c r="O745" t="n">
        <v>0</v>
      </c>
      <c r="P745" t="n">
        <v>0</v>
      </c>
      <c r="Q745" t="n">
        <v>0</v>
      </c>
      <c r="R745" s="2" t="inlineStr"/>
    </row>
    <row r="746" ht="15" customHeight="1">
      <c r="A746" t="inlineStr">
        <is>
          <t>A 56945-2020</t>
        </is>
      </c>
      <c r="B746" s="1" t="n">
        <v>44138</v>
      </c>
      <c r="C746" s="1" t="n">
        <v>45760</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57620-2020</t>
        </is>
      </c>
      <c r="B747" s="1" t="n">
        <v>44140</v>
      </c>
      <c r="C747" s="1" t="n">
        <v>45760</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57770-2020</t>
        </is>
      </c>
      <c r="B748" s="1" t="n">
        <v>44141</v>
      </c>
      <c r="C748" s="1" t="n">
        <v>45760</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58427-2020</t>
        </is>
      </c>
      <c r="B749" s="1" t="n">
        <v>44141</v>
      </c>
      <c r="C749" s="1" t="n">
        <v>45760</v>
      </c>
      <c r="D749" t="inlineStr">
        <is>
          <t>VÄSTERBOTTENS LÄN</t>
        </is>
      </c>
      <c r="E749" t="inlineStr">
        <is>
          <t>SKELLEFTEÅ</t>
        </is>
      </c>
      <c r="G749" t="n">
        <v>5.5</v>
      </c>
      <c r="H749" t="n">
        <v>0</v>
      </c>
      <c r="I749" t="n">
        <v>0</v>
      </c>
      <c r="J749" t="n">
        <v>0</v>
      </c>
      <c r="K749" t="n">
        <v>0</v>
      </c>
      <c r="L749" t="n">
        <v>0</v>
      </c>
      <c r="M749" t="n">
        <v>0</v>
      </c>
      <c r="N749" t="n">
        <v>0</v>
      </c>
      <c r="O749" t="n">
        <v>0</v>
      </c>
      <c r="P749" t="n">
        <v>0</v>
      </c>
      <c r="Q749" t="n">
        <v>0</v>
      </c>
      <c r="R749" s="2" t="inlineStr"/>
    </row>
    <row r="750" ht="15" customHeight="1">
      <c r="A750" t="inlineStr">
        <is>
          <t>A 58520-2020</t>
        </is>
      </c>
      <c r="B750" s="1" t="n">
        <v>44144</v>
      </c>
      <c r="C750" s="1" t="n">
        <v>45760</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58544-2020</t>
        </is>
      </c>
      <c r="B751" s="1" t="n">
        <v>44145</v>
      </c>
      <c r="C751" s="1" t="n">
        <v>45760</v>
      </c>
      <c r="D751" t="inlineStr">
        <is>
          <t>VÄSTERBOTTENS LÄN</t>
        </is>
      </c>
      <c r="E751" t="inlineStr">
        <is>
          <t>SKELLEFTEÅ</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58769-2020</t>
        </is>
      </c>
      <c r="B752" s="1" t="n">
        <v>44145</v>
      </c>
      <c r="C752" s="1" t="n">
        <v>45760</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58861-2020</t>
        </is>
      </c>
      <c r="B753" s="1" t="n">
        <v>44146</v>
      </c>
      <c r="C753" s="1" t="n">
        <v>45760</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59406-2020</t>
        </is>
      </c>
      <c r="B754" s="1" t="n">
        <v>44147</v>
      </c>
      <c r="C754" s="1" t="n">
        <v>45760</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59518-2020</t>
        </is>
      </c>
      <c r="B755" s="1" t="n">
        <v>44148</v>
      </c>
      <c r="C755" s="1" t="n">
        <v>45760</v>
      </c>
      <c r="D755" t="inlineStr">
        <is>
          <t>VÄSTERBOTTENS LÄN</t>
        </is>
      </c>
      <c r="E755" t="inlineStr">
        <is>
          <t>SKELLEFTEÅ</t>
        </is>
      </c>
      <c r="F755" t="inlineStr">
        <is>
          <t>Holmen skog AB</t>
        </is>
      </c>
      <c r="G755" t="n">
        <v>4.5</v>
      </c>
      <c r="H755" t="n">
        <v>0</v>
      </c>
      <c r="I755" t="n">
        <v>0</v>
      </c>
      <c r="J755" t="n">
        <v>0</v>
      </c>
      <c r="K755" t="n">
        <v>0</v>
      </c>
      <c r="L755" t="n">
        <v>0</v>
      </c>
      <c r="M755" t="n">
        <v>0</v>
      </c>
      <c r="N755" t="n">
        <v>0</v>
      </c>
      <c r="O755" t="n">
        <v>0</v>
      </c>
      <c r="P755" t="n">
        <v>0</v>
      </c>
      <c r="Q755" t="n">
        <v>0</v>
      </c>
      <c r="R755" s="2" t="inlineStr"/>
    </row>
    <row r="756" ht="15" customHeight="1">
      <c r="A756" t="inlineStr">
        <is>
          <t>A 59870-2020</t>
        </is>
      </c>
      <c r="B756" s="1" t="n">
        <v>44151</v>
      </c>
      <c r="C756" s="1" t="n">
        <v>45760</v>
      </c>
      <c r="D756" t="inlineStr">
        <is>
          <t>VÄSTERBOTTENS LÄN</t>
        </is>
      </c>
      <c r="E756" t="inlineStr">
        <is>
          <t>SKELLEFTEÅ</t>
        </is>
      </c>
      <c r="F756" t="inlineStr">
        <is>
          <t>Kommuner</t>
        </is>
      </c>
      <c r="G756" t="n">
        <v>5.7</v>
      </c>
      <c r="H756" t="n">
        <v>0</v>
      </c>
      <c r="I756" t="n">
        <v>0</v>
      </c>
      <c r="J756" t="n">
        <v>0</v>
      </c>
      <c r="K756" t="n">
        <v>0</v>
      </c>
      <c r="L756" t="n">
        <v>0</v>
      </c>
      <c r="M756" t="n">
        <v>0</v>
      </c>
      <c r="N756" t="n">
        <v>0</v>
      </c>
      <c r="O756" t="n">
        <v>0</v>
      </c>
      <c r="P756" t="n">
        <v>0</v>
      </c>
      <c r="Q756" t="n">
        <v>0</v>
      </c>
      <c r="R756" s="2" t="inlineStr"/>
    </row>
    <row r="757" ht="15" customHeight="1">
      <c r="A757" t="inlineStr">
        <is>
          <t>A 60152-2020</t>
        </is>
      </c>
      <c r="B757" s="1" t="n">
        <v>44151</v>
      </c>
      <c r="C757" s="1" t="n">
        <v>45760</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60489-2020</t>
        </is>
      </c>
      <c r="B758" s="1" t="n">
        <v>44152</v>
      </c>
      <c r="C758" s="1" t="n">
        <v>45760</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61260-2020</t>
        </is>
      </c>
      <c r="B759" s="1" t="n">
        <v>44153</v>
      </c>
      <c r="C759" s="1" t="n">
        <v>45760</v>
      </c>
      <c r="D759" t="inlineStr">
        <is>
          <t>VÄSTERBOTTENS LÄN</t>
        </is>
      </c>
      <c r="E759" t="inlineStr">
        <is>
          <t>SKELLEFTEÅ</t>
        </is>
      </c>
      <c r="G759" t="n">
        <v>16.1</v>
      </c>
      <c r="H759" t="n">
        <v>0</v>
      </c>
      <c r="I759" t="n">
        <v>0</v>
      </c>
      <c r="J759" t="n">
        <v>0</v>
      </c>
      <c r="K759" t="n">
        <v>0</v>
      </c>
      <c r="L759" t="n">
        <v>0</v>
      </c>
      <c r="M759" t="n">
        <v>0</v>
      </c>
      <c r="N759" t="n">
        <v>0</v>
      </c>
      <c r="O759" t="n">
        <v>0</v>
      </c>
      <c r="P759" t="n">
        <v>0</v>
      </c>
      <c r="Q759" t="n">
        <v>0</v>
      </c>
      <c r="R759" s="2" t="inlineStr"/>
    </row>
    <row r="760" ht="15" customHeight="1">
      <c r="A760" t="inlineStr">
        <is>
          <t>A 61937-2020</t>
        </is>
      </c>
      <c r="B760" s="1" t="n">
        <v>44155</v>
      </c>
      <c r="C760" s="1" t="n">
        <v>45760</v>
      </c>
      <c r="D760" t="inlineStr">
        <is>
          <t>VÄSTERBOTTENS LÄN</t>
        </is>
      </c>
      <c r="E760" t="inlineStr">
        <is>
          <t>SKELLEFTEÅ</t>
        </is>
      </c>
      <c r="G760" t="n">
        <v>1.4</v>
      </c>
      <c r="H760" t="n">
        <v>0</v>
      </c>
      <c r="I760" t="n">
        <v>0</v>
      </c>
      <c r="J760" t="n">
        <v>0</v>
      </c>
      <c r="K760" t="n">
        <v>0</v>
      </c>
      <c r="L760" t="n">
        <v>0</v>
      </c>
      <c r="M760" t="n">
        <v>0</v>
      </c>
      <c r="N760" t="n">
        <v>0</v>
      </c>
      <c r="O760" t="n">
        <v>0</v>
      </c>
      <c r="P760" t="n">
        <v>0</v>
      </c>
      <c r="Q760" t="n">
        <v>0</v>
      </c>
      <c r="R760" s="2" t="inlineStr"/>
    </row>
    <row r="761" ht="15" customHeight="1">
      <c r="A761" t="inlineStr">
        <is>
          <t>A 61958-2020</t>
        </is>
      </c>
      <c r="B761" s="1" t="n">
        <v>44155</v>
      </c>
      <c r="C761" s="1" t="n">
        <v>45760</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62158-2020</t>
        </is>
      </c>
      <c r="B762" s="1" t="n">
        <v>44159</v>
      </c>
      <c r="C762" s="1" t="n">
        <v>45760</v>
      </c>
      <c r="D762" t="inlineStr">
        <is>
          <t>VÄSTERBOTTENS LÄN</t>
        </is>
      </c>
      <c r="E762" t="inlineStr">
        <is>
          <t>SKELLEFTEÅ</t>
        </is>
      </c>
      <c r="F762" t="inlineStr">
        <is>
          <t>Sveaskog</t>
        </is>
      </c>
      <c r="G762" t="n">
        <v>14.7</v>
      </c>
      <c r="H762" t="n">
        <v>0</v>
      </c>
      <c r="I762" t="n">
        <v>0</v>
      </c>
      <c r="J762" t="n">
        <v>0</v>
      </c>
      <c r="K762" t="n">
        <v>0</v>
      </c>
      <c r="L762" t="n">
        <v>0</v>
      </c>
      <c r="M762" t="n">
        <v>0</v>
      </c>
      <c r="N762" t="n">
        <v>0</v>
      </c>
      <c r="O762" t="n">
        <v>0</v>
      </c>
      <c r="P762" t="n">
        <v>0</v>
      </c>
      <c r="Q762" t="n">
        <v>0</v>
      </c>
      <c r="R762" s="2" t="inlineStr"/>
    </row>
    <row r="763" ht="15" customHeight="1">
      <c r="A763" t="inlineStr">
        <is>
          <t>A 62466-2020</t>
        </is>
      </c>
      <c r="B763" s="1" t="n">
        <v>44160</v>
      </c>
      <c r="C763" s="1" t="n">
        <v>45760</v>
      </c>
      <c r="D763" t="inlineStr">
        <is>
          <t>VÄSTERBOTTENS LÄN</t>
        </is>
      </c>
      <c r="E763" t="inlineStr">
        <is>
          <t>SKELLEFTEÅ</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62467-2020</t>
        </is>
      </c>
      <c r="B764" s="1" t="n">
        <v>44160</v>
      </c>
      <c r="C764" s="1" t="n">
        <v>45760</v>
      </c>
      <c r="D764" t="inlineStr">
        <is>
          <t>VÄSTERBOTTENS LÄN</t>
        </is>
      </c>
      <c r="E764" t="inlineStr">
        <is>
          <t>SKELLEFTEÅ</t>
        </is>
      </c>
      <c r="F764" t="inlineStr">
        <is>
          <t>Sveaskog</t>
        </is>
      </c>
      <c r="G764" t="n">
        <v>3.6</v>
      </c>
      <c r="H764" t="n">
        <v>0</v>
      </c>
      <c r="I764" t="n">
        <v>0</v>
      </c>
      <c r="J764" t="n">
        <v>0</v>
      </c>
      <c r="K764" t="n">
        <v>0</v>
      </c>
      <c r="L764" t="n">
        <v>0</v>
      </c>
      <c r="M764" t="n">
        <v>0</v>
      </c>
      <c r="N764" t="n">
        <v>0</v>
      </c>
      <c r="O764" t="n">
        <v>0</v>
      </c>
      <c r="P764" t="n">
        <v>0</v>
      </c>
      <c r="Q764" t="n">
        <v>0</v>
      </c>
      <c r="R764" s="2" t="inlineStr"/>
    </row>
    <row r="765" ht="15" customHeight="1">
      <c r="A765" t="inlineStr">
        <is>
          <t>A 62763-2020</t>
        </is>
      </c>
      <c r="B765" s="1" t="n">
        <v>44160</v>
      </c>
      <c r="C765" s="1" t="n">
        <v>45760</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62592-2020</t>
        </is>
      </c>
      <c r="B766" s="1" t="n">
        <v>44161</v>
      </c>
      <c r="C766" s="1" t="n">
        <v>45760</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63241-2020</t>
        </is>
      </c>
      <c r="B767" s="1" t="n">
        <v>44163</v>
      </c>
      <c r="C767" s="1" t="n">
        <v>45760</v>
      </c>
      <c r="D767" t="inlineStr">
        <is>
          <t>VÄSTERBOTTENS LÄN</t>
        </is>
      </c>
      <c r="E767" t="inlineStr">
        <is>
          <t>SKELLEFTEÅ</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63839-2020</t>
        </is>
      </c>
      <c r="B768" s="1" t="n">
        <v>44165</v>
      </c>
      <c r="C768" s="1" t="n">
        <v>45760</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64650-2020</t>
        </is>
      </c>
      <c r="B769" s="1" t="n">
        <v>44166</v>
      </c>
      <c r="C769" s="1" t="n">
        <v>45760</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64198-2020</t>
        </is>
      </c>
      <c r="B770" s="1" t="n">
        <v>44167</v>
      </c>
      <c r="C770" s="1" t="n">
        <v>45760</v>
      </c>
      <c r="D770" t="inlineStr">
        <is>
          <t>VÄSTERBOTTENS LÄN</t>
        </is>
      </c>
      <c r="E770" t="inlineStr">
        <is>
          <t>SKELLEFTEÅ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64977-2020</t>
        </is>
      </c>
      <c r="B771" s="1" t="n">
        <v>44167</v>
      </c>
      <c r="C771" s="1" t="n">
        <v>45760</v>
      </c>
      <c r="D771" t="inlineStr">
        <is>
          <t>VÄSTERBOTTENS LÄN</t>
        </is>
      </c>
      <c r="E771" t="inlineStr">
        <is>
          <t>SKELLEFTEÅ</t>
        </is>
      </c>
      <c r="G771" t="n">
        <v>9</v>
      </c>
      <c r="H771" t="n">
        <v>0</v>
      </c>
      <c r="I771" t="n">
        <v>0</v>
      </c>
      <c r="J771" t="n">
        <v>0</v>
      </c>
      <c r="K771" t="n">
        <v>0</v>
      </c>
      <c r="L771" t="n">
        <v>0</v>
      </c>
      <c r="M771" t="n">
        <v>0</v>
      </c>
      <c r="N771" t="n">
        <v>0</v>
      </c>
      <c r="O771" t="n">
        <v>0</v>
      </c>
      <c r="P771" t="n">
        <v>0</v>
      </c>
      <c r="Q771" t="n">
        <v>0</v>
      </c>
      <c r="R771" s="2" t="inlineStr"/>
    </row>
    <row r="772" ht="15" customHeight="1">
      <c r="A772" t="inlineStr">
        <is>
          <t>A 65096-2020</t>
        </is>
      </c>
      <c r="B772" s="1" t="n">
        <v>44167</v>
      </c>
      <c r="C772" s="1" t="n">
        <v>45760</v>
      </c>
      <c r="D772" t="inlineStr">
        <is>
          <t>VÄSTERBOTTENS LÄN</t>
        </is>
      </c>
      <c r="E772" t="inlineStr">
        <is>
          <t>SKELLEFTEÅ</t>
        </is>
      </c>
      <c r="G772" t="n">
        <v>3.2</v>
      </c>
      <c r="H772" t="n">
        <v>0</v>
      </c>
      <c r="I772" t="n">
        <v>0</v>
      </c>
      <c r="J772" t="n">
        <v>0</v>
      </c>
      <c r="K772" t="n">
        <v>0</v>
      </c>
      <c r="L772" t="n">
        <v>0</v>
      </c>
      <c r="M772" t="n">
        <v>0</v>
      </c>
      <c r="N772" t="n">
        <v>0</v>
      </c>
      <c r="O772" t="n">
        <v>0</v>
      </c>
      <c r="P772" t="n">
        <v>0</v>
      </c>
      <c r="Q772" t="n">
        <v>0</v>
      </c>
      <c r="R772" s="2" t="inlineStr"/>
    </row>
    <row r="773" ht="15" customHeight="1">
      <c r="A773" t="inlineStr">
        <is>
          <t>A 65053-2020</t>
        </is>
      </c>
      <c r="B773" s="1" t="n">
        <v>44167</v>
      </c>
      <c r="C773" s="1" t="n">
        <v>45760</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65103-2020</t>
        </is>
      </c>
      <c r="B774" s="1" t="n">
        <v>44167</v>
      </c>
      <c r="C774" s="1" t="n">
        <v>45760</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64296-2020</t>
        </is>
      </c>
      <c r="B775" s="1" t="n">
        <v>44168</v>
      </c>
      <c r="C775" s="1" t="n">
        <v>45760</v>
      </c>
      <c r="D775" t="inlineStr">
        <is>
          <t>VÄSTERBOTTENS LÄN</t>
        </is>
      </c>
      <c r="E775" t="inlineStr">
        <is>
          <t>SKELLEFTEÅ</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64481-2020</t>
        </is>
      </c>
      <c r="B776" s="1" t="n">
        <v>44168</v>
      </c>
      <c r="C776" s="1" t="n">
        <v>45760</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64507-2020</t>
        </is>
      </c>
      <c r="B777" s="1" t="n">
        <v>44168</v>
      </c>
      <c r="C777" s="1" t="n">
        <v>45760</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64485-2020</t>
        </is>
      </c>
      <c r="B778" s="1" t="n">
        <v>44168</v>
      </c>
      <c r="C778" s="1" t="n">
        <v>45760</v>
      </c>
      <c r="D778" t="inlineStr">
        <is>
          <t>VÄSTERBOTTENS LÄN</t>
        </is>
      </c>
      <c r="E778" t="inlineStr">
        <is>
          <t>SKELLEFTEÅ</t>
        </is>
      </c>
      <c r="G778" t="n">
        <v>35.4</v>
      </c>
      <c r="H778" t="n">
        <v>0</v>
      </c>
      <c r="I778" t="n">
        <v>0</v>
      </c>
      <c r="J778" t="n">
        <v>0</v>
      </c>
      <c r="K778" t="n">
        <v>0</v>
      </c>
      <c r="L778" t="n">
        <v>0</v>
      </c>
      <c r="M778" t="n">
        <v>0</v>
      </c>
      <c r="N778" t="n">
        <v>0</v>
      </c>
      <c r="O778" t="n">
        <v>0</v>
      </c>
      <c r="P778" t="n">
        <v>0</v>
      </c>
      <c r="Q778" t="n">
        <v>0</v>
      </c>
      <c r="R778" s="2" t="inlineStr"/>
    </row>
    <row r="779" ht="15" customHeight="1">
      <c r="A779" t="inlineStr">
        <is>
          <t>A 65254-2020</t>
        </is>
      </c>
      <c r="B779" s="1" t="n">
        <v>44172</v>
      </c>
      <c r="C779" s="1" t="n">
        <v>45760</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65582-2020</t>
        </is>
      </c>
      <c r="B780" s="1" t="n">
        <v>44172</v>
      </c>
      <c r="C780" s="1" t="n">
        <v>45760</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65486-2020</t>
        </is>
      </c>
      <c r="B781" s="1" t="n">
        <v>44172</v>
      </c>
      <c r="C781" s="1" t="n">
        <v>45760</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65379-2020</t>
        </is>
      </c>
      <c r="B782" s="1" t="n">
        <v>44173</v>
      </c>
      <c r="C782" s="1" t="n">
        <v>45760</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65384-2020</t>
        </is>
      </c>
      <c r="B783" s="1" t="n">
        <v>44173</v>
      </c>
      <c r="C783" s="1" t="n">
        <v>45760</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65567-2020</t>
        </is>
      </c>
      <c r="B784" s="1" t="n">
        <v>44173</v>
      </c>
      <c r="C784" s="1" t="n">
        <v>45760</v>
      </c>
      <c r="D784" t="inlineStr">
        <is>
          <t>VÄSTERBOTTENS LÄN</t>
        </is>
      </c>
      <c r="E784" t="inlineStr">
        <is>
          <t>SKELLEFTEÅ</t>
        </is>
      </c>
      <c r="F784" t="inlineStr">
        <is>
          <t>Sveaskog</t>
        </is>
      </c>
      <c r="G784" t="n">
        <v>17.7</v>
      </c>
      <c r="H784" t="n">
        <v>0</v>
      </c>
      <c r="I784" t="n">
        <v>0</v>
      </c>
      <c r="J784" t="n">
        <v>0</v>
      </c>
      <c r="K784" t="n">
        <v>0</v>
      </c>
      <c r="L784" t="n">
        <v>0</v>
      </c>
      <c r="M784" t="n">
        <v>0</v>
      </c>
      <c r="N784" t="n">
        <v>0</v>
      </c>
      <c r="O784" t="n">
        <v>0</v>
      </c>
      <c r="P784" t="n">
        <v>0</v>
      </c>
      <c r="Q784" t="n">
        <v>0</v>
      </c>
      <c r="R784" s="2" t="inlineStr"/>
    </row>
    <row r="785" ht="15" customHeight="1">
      <c r="A785" t="inlineStr">
        <is>
          <t>A 65382-2020</t>
        </is>
      </c>
      <c r="B785" s="1" t="n">
        <v>44173</v>
      </c>
      <c r="C785" s="1" t="n">
        <v>45760</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66061-2020</t>
        </is>
      </c>
      <c r="B786" s="1" t="n">
        <v>44173</v>
      </c>
      <c r="C786" s="1" t="n">
        <v>45760</v>
      </c>
      <c r="D786" t="inlineStr">
        <is>
          <t>VÄSTERBOTTENS LÄN</t>
        </is>
      </c>
      <c r="E786" t="inlineStr">
        <is>
          <t>SKELLEFTEÅ</t>
        </is>
      </c>
      <c r="G786" t="n">
        <v>5.8</v>
      </c>
      <c r="H786" t="n">
        <v>0</v>
      </c>
      <c r="I786" t="n">
        <v>0</v>
      </c>
      <c r="J786" t="n">
        <v>0</v>
      </c>
      <c r="K786" t="n">
        <v>0</v>
      </c>
      <c r="L786" t="n">
        <v>0</v>
      </c>
      <c r="M786" t="n">
        <v>0</v>
      </c>
      <c r="N786" t="n">
        <v>0</v>
      </c>
      <c r="O786" t="n">
        <v>0</v>
      </c>
      <c r="P786" t="n">
        <v>0</v>
      </c>
      <c r="Q786" t="n">
        <v>0</v>
      </c>
      <c r="R786" s="2" t="inlineStr"/>
    </row>
    <row r="787" ht="15" customHeight="1">
      <c r="A787" t="inlineStr">
        <is>
          <t>A 66480-2020</t>
        </is>
      </c>
      <c r="B787" s="1" t="n">
        <v>44177</v>
      </c>
      <c r="C787" s="1" t="n">
        <v>45760</v>
      </c>
      <c r="D787" t="inlineStr">
        <is>
          <t>VÄSTERBOTTENS LÄN</t>
        </is>
      </c>
      <c r="E787" t="inlineStr">
        <is>
          <t>SKELLEFTEÅ</t>
        </is>
      </c>
      <c r="G787" t="n">
        <v>5.2</v>
      </c>
      <c r="H787" t="n">
        <v>0</v>
      </c>
      <c r="I787" t="n">
        <v>0</v>
      </c>
      <c r="J787" t="n">
        <v>0</v>
      </c>
      <c r="K787" t="n">
        <v>0</v>
      </c>
      <c r="L787" t="n">
        <v>0</v>
      </c>
      <c r="M787" t="n">
        <v>0</v>
      </c>
      <c r="N787" t="n">
        <v>0</v>
      </c>
      <c r="O787" t="n">
        <v>0</v>
      </c>
      <c r="P787" t="n">
        <v>0</v>
      </c>
      <c r="Q787" t="n">
        <v>0</v>
      </c>
      <c r="R787" s="2" t="inlineStr"/>
    </row>
    <row r="788" ht="15" customHeight="1">
      <c r="A788" t="inlineStr">
        <is>
          <t>A 66820-2020</t>
        </is>
      </c>
      <c r="B788" s="1" t="n">
        <v>44179</v>
      </c>
      <c r="C788" s="1" t="n">
        <v>45760</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67297-2020</t>
        </is>
      </c>
      <c r="B789" s="1" t="n">
        <v>44181</v>
      </c>
      <c r="C789" s="1" t="n">
        <v>45760</v>
      </c>
      <c r="D789" t="inlineStr">
        <is>
          <t>VÄSTERBOTTENS LÄN</t>
        </is>
      </c>
      <c r="E789" t="inlineStr">
        <is>
          <t>SKELLEFTEÅ</t>
        </is>
      </c>
      <c r="G789" t="n">
        <v>6.8</v>
      </c>
      <c r="H789" t="n">
        <v>0</v>
      </c>
      <c r="I789" t="n">
        <v>0</v>
      </c>
      <c r="J789" t="n">
        <v>0</v>
      </c>
      <c r="K789" t="n">
        <v>0</v>
      </c>
      <c r="L789" t="n">
        <v>0</v>
      </c>
      <c r="M789" t="n">
        <v>0</v>
      </c>
      <c r="N789" t="n">
        <v>0</v>
      </c>
      <c r="O789" t="n">
        <v>0</v>
      </c>
      <c r="P789" t="n">
        <v>0</v>
      </c>
      <c r="Q789" t="n">
        <v>0</v>
      </c>
      <c r="R789" s="2" t="inlineStr"/>
    </row>
    <row r="790" ht="15" customHeight="1">
      <c r="A790" t="inlineStr">
        <is>
          <t>A 67624-2020</t>
        </is>
      </c>
      <c r="B790" s="1" t="n">
        <v>44181</v>
      </c>
      <c r="C790" s="1" t="n">
        <v>45760</v>
      </c>
      <c r="D790" t="inlineStr">
        <is>
          <t>VÄSTERBOTTENS LÄN</t>
        </is>
      </c>
      <c r="E790" t="inlineStr">
        <is>
          <t>SKELLEFTEÅ</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67678-2020</t>
        </is>
      </c>
      <c r="B791" s="1" t="n">
        <v>44182</v>
      </c>
      <c r="C791" s="1" t="n">
        <v>45760</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67976-2020</t>
        </is>
      </c>
      <c r="B792" s="1" t="n">
        <v>44182</v>
      </c>
      <c r="C792" s="1" t="n">
        <v>45760</v>
      </c>
      <c r="D792" t="inlineStr">
        <is>
          <t>VÄSTERBOTTENS LÄN</t>
        </is>
      </c>
      <c r="E792" t="inlineStr">
        <is>
          <t>SKELLEFTEÅ</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68116-2020</t>
        </is>
      </c>
      <c r="B793" s="1" t="n">
        <v>44183</v>
      </c>
      <c r="C793" s="1" t="n">
        <v>45760</v>
      </c>
      <c r="D793" t="inlineStr">
        <is>
          <t>VÄSTERBOTTENS LÄN</t>
        </is>
      </c>
      <c r="E793" t="inlineStr">
        <is>
          <t>SKELLEFTEÅ</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68203-2020</t>
        </is>
      </c>
      <c r="B794" s="1" t="n">
        <v>44183</v>
      </c>
      <c r="C794" s="1" t="n">
        <v>45760</v>
      </c>
      <c r="D794" t="inlineStr">
        <is>
          <t>VÄSTERBOTTENS LÄN</t>
        </is>
      </c>
      <c r="E794" t="inlineStr">
        <is>
          <t>SKELLEFTEÅ</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68055-2020</t>
        </is>
      </c>
      <c r="B795" s="1" t="n">
        <v>44183</v>
      </c>
      <c r="C795" s="1" t="n">
        <v>45760</v>
      </c>
      <c r="D795" t="inlineStr">
        <is>
          <t>VÄSTERBOTTENS LÄN</t>
        </is>
      </c>
      <c r="E795" t="inlineStr">
        <is>
          <t>SKELLEFTEÅ</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68564-2020</t>
        </is>
      </c>
      <c r="B796" s="1" t="n">
        <v>44186</v>
      </c>
      <c r="C796" s="1" t="n">
        <v>45760</v>
      </c>
      <c r="D796" t="inlineStr">
        <is>
          <t>VÄSTERBOTTENS LÄN</t>
        </is>
      </c>
      <c r="E796" t="inlineStr">
        <is>
          <t>SKELLEFTEÅ</t>
        </is>
      </c>
      <c r="G796" t="n">
        <v>11.4</v>
      </c>
      <c r="H796" t="n">
        <v>0</v>
      </c>
      <c r="I796" t="n">
        <v>0</v>
      </c>
      <c r="J796" t="n">
        <v>0</v>
      </c>
      <c r="K796" t="n">
        <v>0</v>
      </c>
      <c r="L796" t="n">
        <v>0</v>
      </c>
      <c r="M796" t="n">
        <v>0</v>
      </c>
      <c r="N796" t="n">
        <v>0</v>
      </c>
      <c r="O796" t="n">
        <v>0</v>
      </c>
      <c r="P796" t="n">
        <v>0</v>
      </c>
      <c r="Q796" t="n">
        <v>0</v>
      </c>
      <c r="R796" s="2" t="inlineStr"/>
    </row>
    <row r="797" ht="15" customHeight="1">
      <c r="A797" t="inlineStr">
        <is>
          <t>A 69583-2020</t>
        </is>
      </c>
      <c r="B797" s="1" t="n">
        <v>44195</v>
      </c>
      <c r="C797" s="1" t="n">
        <v>45760</v>
      </c>
      <c r="D797" t="inlineStr">
        <is>
          <t>VÄSTERBOTTENS LÄN</t>
        </is>
      </c>
      <c r="E797" t="inlineStr">
        <is>
          <t>SKELLEFTEÅ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69585-2020</t>
        </is>
      </c>
      <c r="B798" s="1" t="n">
        <v>44195</v>
      </c>
      <c r="C798" s="1" t="n">
        <v>45760</v>
      </c>
      <c r="D798" t="inlineStr">
        <is>
          <t>VÄSTERBOTTENS LÄN</t>
        </is>
      </c>
      <c r="E798" t="inlineStr">
        <is>
          <t>SKELLEFTEÅ</t>
        </is>
      </c>
      <c r="G798" t="n">
        <v>4.5</v>
      </c>
      <c r="H798" t="n">
        <v>0</v>
      </c>
      <c r="I798" t="n">
        <v>0</v>
      </c>
      <c r="J798" t="n">
        <v>0</v>
      </c>
      <c r="K798" t="n">
        <v>0</v>
      </c>
      <c r="L798" t="n">
        <v>0</v>
      </c>
      <c r="M798" t="n">
        <v>0</v>
      </c>
      <c r="N798" t="n">
        <v>0</v>
      </c>
      <c r="O798" t="n">
        <v>0</v>
      </c>
      <c r="P798" t="n">
        <v>0</v>
      </c>
      <c r="Q798" t="n">
        <v>0</v>
      </c>
      <c r="R798" s="2" t="inlineStr"/>
    </row>
    <row r="799" ht="15" customHeight="1">
      <c r="A799" t="inlineStr">
        <is>
          <t>A 69581-2020</t>
        </is>
      </c>
      <c r="B799" s="1" t="n">
        <v>44195</v>
      </c>
      <c r="C799" s="1" t="n">
        <v>45760</v>
      </c>
      <c r="D799" t="inlineStr">
        <is>
          <t>VÄSTERBOTTENS LÄN</t>
        </is>
      </c>
      <c r="E799" t="inlineStr">
        <is>
          <t>SKELLEFTEÅ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353-2021</t>
        </is>
      </c>
      <c r="B800" s="1" t="n">
        <v>44201</v>
      </c>
      <c r="C800" s="1" t="n">
        <v>45760</v>
      </c>
      <c r="D800" t="inlineStr">
        <is>
          <t>VÄSTERBOTTENS LÄN</t>
        </is>
      </c>
      <c r="E800" t="inlineStr">
        <is>
          <t>SKELLEFTEÅ</t>
        </is>
      </c>
      <c r="G800" t="n">
        <v>37.7</v>
      </c>
      <c r="H800" t="n">
        <v>0</v>
      </c>
      <c r="I800" t="n">
        <v>0</v>
      </c>
      <c r="J800" t="n">
        <v>0</v>
      </c>
      <c r="K800" t="n">
        <v>0</v>
      </c>
      <c r="L800" t="n">
        <v>0</v>
      </c>
      <c r="M800" t="n">
        <v>0</v>
      </c>
      <c r="N800" t="n">
        <v>0</v>
      </c>
      <c r="O800" t="n">
        <v>0</v>
      </c>
      <c r="P800" t="n">
        <v>0</v>
      </c>
      <c r="Q800" t="n">
        <v>0</v>
      </c>
      <c r="R800" s="2" t="inlineStr"/>
    </row>
    <row r="801" ht="15" customHeight="1">
      <c r="A801" t="inlineStr">
        <is>
          <t>A 1076-2021</t>
        </is>
      </c>
      <c r="B801" s="1" t="n">
        <v>44207</v>
      </c>
      <c r="C801" s="1" t="n">
        <v>45760</v>
      </c>
      <c r="D801" t="inlineStr">
        <is>
          <t>VÄSTERBOTTENS LÄN</t>
        </is>
      </c>
      <c r="E801" t="inlineStr">
        <is>
          <t>SKELLEFTEÅ</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1149-2021</t>
        </is>
      </c>
      <c r="B802" s="1" t="n">
        <v>44207</v>
      </c>
      <c r="C802" s="1" t="n">
        <v>45760</v>
      </c>
      <c r="D802" t="inlineStr">
        <is>
          <t>VÄSTERBOTTENS LÄN</t>
        </is>
      </c>
      <c r="E802" t="inlineStr">
        <is>
          <t>SKELLEFTEÅ</t>
        </is>
      </c>
      <c r="G802" t="n">
        <v>3.1</v>
      </c>
      <c r="H802" t="n">
        <v>0</v>
      </c>
      <c r="I802" t="n">
        <v>0</v>
      </c>
      <c r="J802" t="n">
        <v>0</v>
      </c>
      <c r="K802" t="n">
        <v>0</v>
      </c>
      <c r="L802" t="n">
        <v>0</v>
      </c>
      <c r="M802" t="n">
        <v>0</v>
      </c>
      <c r="N802" t="n">
        <v>0</v>
      </c>
      <c r="O802" t="n">
        <v>0</v>
      </c>
      <c r="P802" t="n">
        <v>0</v>
      </c>
      <c r="Q802" t="n">
        <v>0</v>
      </c>
      <c r="R802" s="2" t="inlineStr"/>
    </row>
    <row r="803" ht="15" customHeight="1">
      <c r="A803" t="inlineStr">
        <is>
          <t>A 1140-2021</t>
        </is>
      </c>
      <c r="B803" s="1" t="n">
        <v>44207</v>
      </c>
      <c r="C803" s="1" t="n">
        <v>45760</v>
      </c>
      <c r="D803" t="inlineStr">
        <is>
          <t>VÄSTERBOTTENS LÄN</t>
        </is>
      </c>
      <c r="E803" t="inlineStr">
        <is>
          <t>SKELLEFTEÅ</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1891-2021</t>
        </is>
      </c>
      <c r="B804" s="1" t="n">
        <v>44210</v>
      </c>
      <c r="C804" s="1" t="n">
        <v>45760</v>
      </c>
      <c r="D804" t="inlineStr">
        <is>
          <t>VÄSTERBOTTENS LÄN</t>
        </is>
      </c>
      <c r="E804" t="inlineStr">
        <is>
          <t>SKELLEFTEÅ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2575-2021</t>
        </is>
      </c>
      <c r="B805" s="1" t="n">
        <v>44214</v>
      </c>
      <c r="C805" s="1" t="n">
        <v>45760</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3031-2021</t>
        </is>
      </c>
      <c r="B806" s="1" t="n">
        <v>44216</v>
      </c>
      <c r="C806" s="1" t="n">
        <v>45760</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3844-2021</t>
        </is>
      </c>
      <c r="B807" s="1" t="n">
        <v>44216</v>
      </c>
      <c r="C807" s="1" t="n">
        <v>45760</v>
      </c>
      <c r="D807" t="inlineStr">
        <is>
          <t>VÄSTERBOTTENS LÄN</t>
        </is>
      </c>
      <c r="E807" t="inlineStr">
        <is>
          <t>SKELLEFTEÅ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3951-2021</t>
        </is>
      </c>
      <c r="B808" s="1" t="n">
        <v>44217</v>
      </c>
      <c r="C808" s="1" t="n">
        <v>45760</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4202-2021</t>
        </is>
      </c>
      <c r="B809" s="1" t="n">
        <v>44218</v>
      </c>
      <c r="C809" s="1" t="n">
        <v>45760</v>
      </c>
      <c r="D809" t="inlineStr">
        <is>
          <t>VÄSTERBOTTENS LÄN</t>
        </is>
      </c>
      <c r="E809" t="inlineStr">
        <is>
          <t>SKELLEFTEÅ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3575-2021</t>
        </is>
      </c>
      <c r="B810" s="1" t="n">
        <v>44218</v>
      </c>
      <c r="C810" s="1" t="n">
        <v>45760</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3934-2021</t>
        </is>
      </c>
      <c r="B811" s="1" t="n">
        <v>44221</v>
      </c>
      <c r="C811" s="1" t="n">
        <v>45760</v>
      </c>
      <c r="D811" t="inlineStr">
        <is>
          <t>VÄSTERBOTTENS LÄN</t>
        </is>
      </c>
      <c r="E811" t="inlineStr">
        <is>
          <t>SKELLEFTEÅ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4299-2021</t>
        </is>
      </c>
      <c r="B812" s="1" t="n">
        <v>44223</v>
      </c>
      <c r="C812" s="1" t="n">
        <v>45760</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5095-2021</t>
        </is>
      </c>
      <c r="B813" s="1" t="n">
        <v>44224</v>
      </c>
      <c r="C813" s="1" t="n">
        <v>45760</v>
      </c>
      <c r="D813" t="inlineStr">
        <is>
          <t>VÄSTERBOTTENS LÄN</t>
        </is>
      </c>
      <c r="E813" t="inlineStr">
        <is>
          <t>SKELLEFTEÅ</t>
        </is>
      </c>
      <c r="G813" t="n">
        <v>5.6</v>
      </c>
      <c r="H813" t="n">
        <v>0</v>
      </c>
      <c r="I813" t="n">
        <v>0</v>
      </c>
      <c r="J813" t="n">
        <v>0</v>
      </c>
      <c r="K813" t="n">
        <v>0</v>
      </c>
      <c r="L813" t="n">
        <v>0</v>
      </c>
      <c r="M813" t="n">
        <v>0</v>
      </c>
      <c r="N813" t="n">
        <v>0</v>
      </c>
      <c r="O813" t="n">
        <v>0</v>
      </c>
      <c r="P813" t="n">
        <v>0</v>
      </c>
      <c r="Q813" t="n">
        <v>0</v>
      </c>
      <c r="R813" s="2" t="inlineStr"/>
    </row>
    <row r="814" ht="15" customHeight="1">
      <c r="A814" t="inlineStr">
        <is>
          <t>A 5143-2021</t>
        </is>
      </c>
      <c r="B814" s="1" t="n">
        <v>44228</v>
      </c>
      <c r="C814" s="1" t="n">
        <v>45760</v>
      </c>
      <c r="D814" t="inlineStr">
        <is>
          <t>VÄSTERBOTTENS LÄN</t>
        </is>
      </c>
      <c r="E814" t="inlineStr">
        <is>
          <t>SKELLEFTEÅ</t>
        </is>
      </c>
      <c r="G814" t="n">
        <v>5.3</v>
      </c>
      <c r="H814" t="n">
        <v>0</v>
      </c>
      <c r="I814" t="n">
        <v>0</v>
      </c>
      <c r="J814" t="n">
        <v>0</v>
      </c>
      <c r="K814" t="n">
        <v>0</v>
      </c>
      <c r="L814" t="n">
        <v>0</v>
      </c>
      <c r="M814" t="n">
        <v>0</v>
      </c>
      <c r="N814" t="n">
        <v>0</v>
      </c>
      <c r="O814" t="n">
        <v>0</v>
      </c>
      <c r="P814" t="n">
        <v>0</v>
      </c>
      <c r="Q814" t="n">
        <v>0</v>
      </c>
      <c r="R814" s="2" t="inlineStr"/>
    </row>
    <row r="815" ht="15" customHeight="1">
      <c r="A815" t="inlineStr">
        <is>
          <t>A 5603-2021</t>
        </is>
      </c>
      <c r="B815" s="1" t="n">
        <v>44230</v>
      </c>
      <c r="C815" s="1" t="n">
        <v>45760</v>
      </c>
      <c r="D815" t="inlineStr">
        <is>
          <t>VÄSTERBOTTENS LÄN</t>
        </is>
      </c>
      <c r="E815" t="inlineStr">
        <is>
          <t>SKELLEFTEÅ</t>
        </is>
      </c>
      <c r="G815" t="n">
        <v>2.6</v>
      </c>
      <c r="H815" t="n">
        <v>0</v>
      </c>
      <c r="I815" t="n">
        <v>0</v>
      </c>
      <c r="J815" t="n">
        <v>0</v>
      </c>
      <c r="K815" t="n">
        <v>0</v>
      </c>
      <c r="L815" t="n">
        <v>0</v>
      </c>
      <c r="M815" t="n">
        <v>0</v>
      </c>
      <c r="N815" t="n">
        <v>0</v>
      </c>
      <c r="O815" t="n">
        <v>0</v>
      </c>
      <c r="P815" t="n">
        <v>0</v>
      </c>
      <c r="Q815" t="n">
        <v>0</v>
      </c>
      <c r="R815" s="2" t="inlineStr"/>
    </row>
    <row r="816" ht="15" customHeight="1">
      <c r="A816" t="inlineStr">
        <is>
          <t>A 6356-2021</t>
        </is>
      </c>
      <c r="B816" s="1" t="n">
        <v>44235</v>
      </c>
      <c r="C816" s="1" t="n">
        <v>45760</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6557-2021</t>
        </is>
      </c>
      <c r="B817" s="1" t="n">
        <v>44236</v>
      </c>
      <c r="C817" s="1" t="n">
        <v>45760</v>
      </c>
      <c r="D817" t="inlineStr">
        <is>
          <t>VÄSTERBOTTENS LÄN</t>
        </is>
      </c>
      <c r="E817" t="inlineStr">
        <is>
          <t>SKELLEFTEÅ</t>
        </is>
      </c>
      <c r="G817" t="n">
        <v>6.4</v>
      </c>
      <c r="H817" t="n">
        <v>0</v>
      </c>
      <c r="I817" t="n">
        <v>0</v>
      </c>
      <c r="J817" t="n">
        <v>0</v>
      </c>
      <c r="K817" t="n">
        <v>0</v>
      </c>
      <c r="L817" t="n">
        <v>0</v>
      </c>
      <c r="M817" t="n">
        <v>0</v>
      </c>
      <c r="N817" t="n">
        <v>0</v>
      </c>
      <c r="O817" t="n">
        <v>0</v>
      </c>
      <c r="P817" t="n">
        <v>0</v>
      </c>
      <c r="Q817" t="n">
        <v>0</v>
      </c>
      <c r="R817" s="2" t="inlineStr"/>
    </row>
    <row r="818" ht="15" customHeight="1">
      <c r="A818" t="inlineStr">
        <is>
          <t>A 6635-2021</t>
        </is>
      </c>
      <c r="B818" s="1" t="n">
        <v>44236</v>
      </c>
      <c r="C818" s="1" t="n">
        <v>45760</v>
      </c>
      <c r="D818" t="inlineStr">
        <is>
          <t>VÄSTERBOTTENS LÄN</t>
        </is>
      </c>
      <c r="E818" t="inlineStr">
        <is>
          <t>SKELLEFTEÅ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7038-2021</t>
        </is>
      </c>
      <c r="B819" s="1" t="n">
        <v>44237</v>
      </c>
      <c r="C819" s="1" t="n">
        <v>45760</v>
      </c>
      <c r="D819" t="inlineStr">
        <is>
          <t>VÄSTERBOTTENS LÄN</t>
        </is>
      </c>
      <c r="E819" t="inlineStr">
        <is>
          <t>SKELLEFTEÅ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7034-2021</t>
        </is>
      </c>
      <c r="B820" s="1" t="n">
        <v>44237</v>
      </c>
      <c r="C820" s="1" t="n">
        <v>45760</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7823-2021</t>
        </is>
      </c>
      <c r="B821" s="1" t="n">
        <v>44242</v>
      </c>
      <c r="C821" s="1" t="n">
        <v>45760</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7950-2021</t>
        </is>
      </c>
      <c r="B822" s="1" t="n">
        <v>44242</v>
      </c>
      <c r="C822" s="1" t="n">
        <v>45760</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8644-2021</t>
        </is>
      </c>
      <c r="B823" s="1" t="n">
        <v>44245</v>
      </c>
      <c r="C823" s="1" t="n">
        <v>45760</v>
      </c>
      <c r="D823" t="inlineStr">
        <is>
          <t>VÄSTERBOTTENS LÄN</t>
        </is>
      </c>
      <c r="E823" t="inlineStr">
        <is>
          <t>SKELLEFTEÅ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8648-2021</t>
        </is>
      </c>
      <c r="B824" s="1" t="n">
        <v>44245</v>
      </c>
      <c r="C824" s="1" t="n">
        <v>45760</v>
      </c>
      <c r="D824" t="inlineStr">
        <is>
          <t>VÄSTERBOTTENS LÄN</t>
        </is>
      </c>
      <c r="E824" t="inlineStr">
        <is>
          <t>SKELLEFTEÅ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8911-2021</t>
        </is>
      </c>
      <c r="B825" s="1" t="n">
        <v>44245</v>
      </c>
      <c r="C825" s="1" t="n">
        <v>45760</v>
      </c>
      <c r="D825" t="inlineStr">
        <is>
          <t>VÄSTERBOTTENS LÄN</t>
        </is>
      </c>
      <c r="E825" t="inlineStr">
        <is>
          <t>SKELLEFTEÅ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8652-2021</t>
        </is>
      </c>
      <c r="B826" s="1" t="n">
        <v>44245</v>
      </c>
      <c r="C826" s="1" t="n">
        <v>45760</v>
      </c>
      <c r="D826" t="inlineStr">
        <is>
          <t>VÄSTERBOTTENS LÄN</t>
        </is>
      </c>
      <c r="E826" t="inlineStr">
        <is>
          <t>SKELLEFTEÅ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8846-2021</t>
        </is>
      </c>
      <c r="B827" s="1" t="n">
        <v>44246</v>
      </c>
      <c r="C827" s="1" t="n">
        <v>45760</v>
      </c>
      <c r="D827" t="inlineStr">
        <is>
          <t>VÄSTERBOTTENS LÄN</t>
        </is>
      </c>
      <c r="E827" t="inlineStr">
        <is>
          <t>SKELLEFTEÅ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9081-2021</t>
        </is>
      </c>
      <c r="B828" s="1" t="n">
        <v>44249</v>
      </c>
      <c r="C828" s="1" t="n">
        <v>45760</v>
      </c>
      <c r="D828" t="inlineStr">
        <is>
          <t>VÄSTERBOTTENS LÄN</t>
        </is>
      </c>
      <c r="E828" t="inlineStr">
        <is>
          <t>SKELLEFTEÅ</t>
        </is>
      </c>
      <c r="G828" t="n">
        <v>16.2</v>
      </c>
      <c r="H828" t="n">
        <v>0</v>
      </c>
      <c r="I828" t="n">
        <v>0</v>
      </c>
      <c r="J828" t="n">
        <v>0</v>
      </c>
      <c r="K828" t="n">
        <v>0</v>
      </c>
      <c r="L828" t="n">
        <v>0</v>
      </c>
      <c r="M828" t="n">
        <v>0</v>
      </c>
      <c r="N828" t="n">
        <v>0</v>
      </c>
      <c r="O828" t="n">
        <v>0</v>
      </c>
      <c r="P828" t="n">
        <v>0</v>
      </c>
      <c r="Q828" t="n">
        <v>0</v>
      </c>
      <c r="R828" s="2" t="inlineStr"/>
    </row>
    <row r="829" ht="15" customHeight="1">
      <c r="A829" t="inlineStr">
        <is>
          <t>A 9045-2021</t>
        </is>
      </c>
      <c r="B829" s="1" t="n">
        <v>44249</v>
      </c>
      <c r="C829" s="1" t="n">
        <v>45760</v>
      </c>
      <c r="D829" t="inlineStr">
        <is>
          <t>VÄSTERBOTTENS LÄN</t>
        </is>
      </c>
      <c r="E829" t="inlineStr">
        <is>
          <t>SKELLEFTEÅ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9059-2021</t>
        </is>
      </c>
      <c r="B830" s="1" t="n">
        <v>44249</v>
      </c>
      <c r="C830" s="1" t="n">
        <v>45760</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9192-2021</t>
        </is>
      </c>
      <c r="B831" s="1" t="n">
        <v>44249</v>
      </c>
      <c r="C831" s="1" t="n">
        <v>45760</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9035-2021</t>
        </is>
      </c>
      <c r="B832" s="1" t="n">
        <v>44249</v>
      </c>
      <c r="C832" s="1" t="n">
        <v>45760</v>
      </c>
      <c r="D832" t="inlineStr">
        <is>
          <t>VÄSTERBOTTENS LÄN</t>
        </is>
      </c>
      <c r="E832" t="inlineStr">
        <is>
          <t>SKELLEFTEÅ</t>
        </is>
      </c>
      <c r="G832" t="n">
        <v>6.7</v>
      </c>
      <c r="H832" t="n">
        <v>0</v>
      </c>
      <c r="I832" t="n">
        <v>0</v>
      </c>
      <c r="J832" t="n">
        <v>0</v>
      </c>
      <c r="K832" t="n">
        <v>0</v>
      </c>
      <c r="L832" t="n">
        <v>0</v>
      </c>
      <c r="M832" t="n">
        <v>0</v>
      </c>
      <c r="N832" t="n">
        <v>0</v>
      </c>
      <c r="O832" t="n">
        <v>0</v>
      </c>
      <c r="P832" t="n">
        <v>0</v>
      </c>
      <c r="Q832" t="n">
        <v>0</v>
      </c>
      <c r="R832" s="2" t="inlineStr"/>
    </row>
    <row r="833" ht="15" customHeight="1">
      <c r="A833" t="inlineStr">
        <is>
          <t>A 9051-2021</t>
        </is>
      </c>
      <c r="B833" s="1" t="n">
        <v>44249</v>
      </c>
      <c r="C833" s="1" t="n">
        <v>45760</v>
      </c>
      <c r="D833" t="inlineStr">
        <is>
          <t>VÄSTERBOTTENS LÄN</t>
        </is>
      </c>
      <c r="E833" t="inlineStr">
        <is>
          <t>SKELLEFTEÅ</t>
        </is>
      </c>
      <c r="G833" t="n">
        <v>5</v>
      </c>
      <c r="H833" t="n">
        <v>0</v>
      </c>
      <c r="I833" t="n">
        <v>0</v>
      </c>
      <c r="J833" t="n">
        <v>0</v>
      </c>
      <c r="K833" t="n">
        <v>0</v>
      </c>
      <c r="L833" t="n">
        <v>0</v>
      </c>
      <c r="M833" t="n">
        <v>0</v>
      </c>
      <c r="N833" t="n">
        <v>0</v>
      </c>
      <c r="O833" t="n">
        <v>0</v>
      </c>
      <c r="P833" t="n">
        <v>0</v>
      </c>
      <c r="Q833" t="n">
        <v>0</v>
      </c>
      <c r="R833" s="2" t="inlineStr"/>
    </row>
    <row r="834" ht="15" customHeight="1">
      <c r="A834" t="inlineStr">
        <is>
          <t>A 9090-2021</t>
        </is>
      </c>
      <c r="B834" s="1" t="n">
        <v>44249</v>
      </c>
      <c r="C834" s="1" t="n">
        <v>45760</v>
      </c>
      <c r="D834" t="inlineStr">
        <is>
          <t>VÄSTERBOTTENS LÄN</t>
        </is>
      </c>
      <c r="E834" t="inlineStr">
        <is>
          <t>SKELLEFTEÅ</t>
        </is>
      </c>
      <c r="G834" t="n">
        <v>10.8</v>
      </c>
      <c r="H834" t="n">
        <v>0</v>
      </c>
      <c r="I834" t="n">
        <v>0</v>
      </c>
      <c r="J834" t="n">
        <v>0</v>
      </c>
      <c r="K834" t="n">
        <v>0</v>
      </c>
      <c r="L834" t="n">
        <v>0</v>
      </c>
      <c r="M834" t="n">
        <v>0</v>
      </c>
      <c r="N834" t="n">
        <v>0</v>
      </c>
      <c r="O834" t="n">
        <v>0</v>
      </c>
      <c r="P834" t="n">
        <v>0</v>
      </c>
      <c r="Q834" t="n">
        <v>0</v>
      </c>
      <c r="R834" s="2" t="inlineStr"/>
    </row>
    <row r="835" ht="15" customHeight="1">
      <c r="A835" t="inlineStr">
        <is>
          <t>A 10051-2021</t>
        </is>
      </c>
      <c r="B835" s="1" t="n">
        <v>44256</v>
      </c>
      <c r="C835" s="1" t="n">
        <v>45760</v>
      </c>
      <c r="D835" t="inlineStr">
        <is>
          <t>VÄSTERBOTTENS LÄN</t>
        </is>
      </c>
      <c r="E835" t="inlineStr">
        <is>
          <t>SKELLEFTEÅ</t>
        </is>
      </c>
      <c r="G835" t="n">
        <v>1.6</v>
      </c>
      <c r="H835" t="n">
        <v>0</v>
      </c>
      <c r="I835" t="n">
        <v>0</v>
      </c>
      <c r="J835" t="n">
        <v>0</v>
      </c>
      <c r="K835" t="n">
        <v>0</v>
      </c>
      <c r="L835" t="n">
        <v>0</v>
      </c>
      <c r="M835" t="n">
        <v>0</v>
      </c>
      <c r="N835" t="n">
        <v>0</v>
      </c>
      <c r="O835" t="n">
        <v>0</v>
      </c>
      <c r="P835" t="n">
        <v>0</v>
      </c>
      <c r="Q835" t="n">
        <v>0</v>
      </c>
      <c r="R835" s="2" t="inlineStr"/>
    </row>
    <row r="836" ht="15" customHeight="1">
      <c r="A836" t="inlineStr">
        <is>
          <t>A 10471-2021</t>
        </is>
      </c>
      <c r="B836" s="1" t="n">
        <v>44257</v>
      </c>
      <c r="C836" s="1" t="n">
        <v>45760</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11087-2021</t>
        </is>
      </c>
      <c r="B837" s="1" t="n">
        <v>44259</v>
      </c>
      <c r="C837" s="1" t="n">
        <v>45760</v>
      </c>
      <c r="D837" t="inlineStr">
        <is>
          <t>VÄSTERBOTTENS LÄN</t>
        </is>
      </c>
      <c r="E837" t="inlineStr">
        <is>
          <t>SKELLEFTEÅ</t>
        </is>
      </c>
      <c r="G837" t="n">
        <v>4.6</v>
      </c>
      <c r="H837" t="n">
        <v>0</v>
      </c>
      <c r="I837" t="n">
        <v>0</v>
      </c>
      <c r="J837" t="n">
        <v>0</v>
      </c>
      <c r="K837" t="n">
        <v>0</v>
      </c>
      <c r="L837" t="n">
        <v>0</v>
      </c>
      <c r="M837" t="n">
        <v>0</v>
      </c>
      <c r="N837" t="n">
        <v>0</v>
      </c>
      <c r="O837" t="n">
        <v>0</v>
      </c>
      <c r="P837" t="n">
        <v>0</v>
      </c>
      <c r="Q837" t="n">
        <v>0</v>
      </c>
      <c r="R837" s="2" t="inlineStr"/>
    </row>
    <row r="838" ht="15" customHeight="1">
      <c r="A838" t="inlineStr">
        <is>
          <t>A 11102-2021</t>
        </is>
      </c>
      <c r="B838" s="1" t="n">
        <v>44259</v>
      </c>
      <c r="C838" s="1" t="n">
        <v>45760</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11409-2021</t>
        </is>
      </c>
      <c r="B839" s="1" t="n">
        <v>44263</v>
      </c>
      <c r="C839" s="1" t="n">
        <v>45760</v>
      </c>
      <c r="D839" t="inlineStr">
        <is>
          <t>VÄSTERBOTTENS LÄN</t>
        </is>
      </c>
      <c r="E839" t="inlineStr">
        <is>
          <t>SKELLEFTEÅ</t>
        </is>
      </c>
      <c r="G839" t="n">
        <v>6</v>
      </c>
      <c r="H839" t="n">
        <v>0</v>
      </c>
      <c r="I839" t="n">
        <v>0</v>
      </c>
      <c r="J839" t="n">
        <v>0</v>
      </c>
      <c r="K839" t="n">
        <v>0</v>
      </c>
      <c r="L839" t="n">
        <v>0</v>
      </c>
      <c r="M839" t="n">
        <v>0</v>
      </c>
      <c r="N839" t="n">
        <v>0</v>
      </c>
      <c r="O839" t="n">
        <v>0</v>
      </c>
      <c r="P839" t="n">
        <v>0</v>
      </c>
      <c r="Q839" t="n">
        <v>0</v>
      </c>
      <c r="R839" s="2" t="inlineStr"/>
    </row>
    <row r="840" ht="15" customHeight="1">
      <c r="A840" t="inlineStr">
        <is>
          <t>A 11454-2021</t>
        </is>
      </c>
      <c r="B840" s="1" t="n">
        <v>44264</v>
      </c>
      <c r="C840" s="1" t="n">
        <v>45760</v>
      </c>
      <c r="D840" t="inlineStr">
        <is>
          <t>VÄSTERBOTTENS LÄN</t>
        </is>
      </c>
      <c r="E840" t="inlineStr">
        <is>
          <t>SKELLEFTEÅ</t>
        </is>
      </c>
      <c r="G840" t="n">
        <v>14.6</v>
      </c>
      <c r="H840" t="n">
        <v>0</v>
      </c>
      <c r="I840" t="n">
        <v>0</v>
      </c>
      <c r="J840" t="n">
        <v>0</v>
      </c>
      <c r="K840" t="n">
        <v>0</v>
      </c>
      <c r="L840" t="n">
        <v>0</v>
      </c>
      <c r="M840" t="n">
        <v>0</v>
      </c>
      <c r="N840" t="n">
        <v>0</v>
      </c>
      <c r="O840" t="n">
        <v>0</v>
      </c>
      <c r="P840" t="n">
        <v>0</v>
      </c>
      <c r="Q840" t="n">
        <v>0</v>
      </c>
      <c r="R840" s="2" t="inlineStr"/>
    </row>
    <row r="841" ht="15" customHeight="1">
      <c r="A841" t="inlineStr">
        <is>
          <t>A 11499-2021</t>
        </is>
      </c>
      <c r="B841" s="1" t="n">
        <v>44264</v>
      </c>
      <c r="C841" s="1" t="n">
        <v>45760</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12416-2021</t>
        </is>
      </c>
      <c r="B842" s="1" t="n">
        <v>44267</v>
      </c>
      <c r="C842" s="1" t="n">
        <v>45760</v>
      </c>
      <c r="D842" t="inlineStr">
        <is>
          <t>VÄSTERBOTTENS LÄN</t>
        </is>
      </c>
      <c r="E842" t="inlineStr">
        <is>
          <t>SKELLEFTEÅ</t>
        </is>
      </c>
      <c r="G842" t="n">
        <v>3.5</v>
      </c>
      <c r="H842" t="n">
        <v>0</v>
      </c>
      <c r="I842" t="n">
        <v>0</v>
      </c>
      <c r="J842" t="n">
        <v>0</v>
      </c>
      <c r="K842" t="n">
        <v>0</v>
      </c>
      <c r="L842" t="n">
        <v>0</v>
      </c>
      <c r="M842" t="n">
        <v>0</v>
      </c>
      <c r="N842" t="n">
        <v>0</v>
      </c>
      <c r="O842" t="n">
        <v>0</v>
      </c>
      <c r="P842" t="n">
        <v>0</v>
      </c>
      <c r="Q842" t="n">
        <v>0</v>
      </c>
      <c r="R842" s="2" t="inlineStr"/>
    </row>
    <row r="843" ht="15" customHeight="1">
      <c r="A843" t="inlineStr">
        <is>
          <t>A 12928-2021</t>
        </is>
      </c>
      <c r="B843" s="1" t="n">
        <v>44270</v>
      </c>
      <c r="C843" s="1" t="n">
        <v>45760</v>
      </c>
      <c r="D843" t="inlineStr">
        <is>
          <t>VÄSTERBOTTENS LÄN</t>
        </is>
      </c>
      <c r="E843" t="inlineStr">
        <is>
          <t>SKELLEFTEÅ</t>
        </is>
      </c>
      <c r="G843" t="n">
        <v>17.8</v>
      </c>
      <c r="H843" t="n">
        <v>0</v>
      </c>
      <c r="I843" t="n">
        <v>0</v>
      </c>
      <c r="J843" t="n">
        <v>0</v>
      </c>
      <c r="K843" t="n">
        <v>0</v>
      </c>
      <c r="L843" t="n">
        <v>0</v>
      </c>
      <c r="M843" t="n">
        <v>0</v>
      </c>
      <c r="N843" t="n">
        <v>0</v>
      </c>
      <c r="O843" t="n">
        <v>0</v>
      </c>
      <c r="P843" t="n">
        <v>0</v>
      </c>
      <c r="Q843" t="n">
        <v>0</v>
      </c>
      <c r="R843" s="2" t="inlineStr"/>
    </row>
    <row r="844" ht="15" customHeight="1">
      <c r="A844" t="inlineStr">
        <is>
          <t>A 13086-2021</t>
        </is>
      </c>
      <c r="B844" s="1" t="n">
        <v>44271</v>
      </c>
      <c r="C844" s="1" t="n">
        <v>45760</v>
      </c>
      <c r="D844" t="inlineStr">
        <is>
          <t>VÄSTERBOTTENS LÄN</t>
        </is>
      </c>
      <c r="E844" t="inlineStr">
        <is>
          <t>SKELLEFTEÅ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13729-2021</t>
        </is>
      </c>
      <c r="B845" s="1" t="n">
        <v>44274</v>
      </c>
      <c r="C845" s="1" t="n">
        <v>45760</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14850-2021</t>
        </is>
      </c>
      <c r="B846" s="1" t="n">
        <v>44280</v>
      </c>
      <c r="C846" s="1" t="n">
        <v>45760</v>
      </c>
      <c r="D846" t="inlineStr">
        <is>
          <t>VÄSTERBOTTENS LÄN</t>
        </is>
      </c>
      <c r="E846" t="inlineStr">
        <is>
          <t>SKELLEFTEÅ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14865-2021</t>
        </is>
      </c>
      <c r="B847" s="1" t="n">
        <v>44280</v>
      </c>
      <c r="C847" s="1" t="n">
        <v>45760</v>
      </c>
      <c r="D847" t="inlineStr">
        <is>
          <t>VÄSTERBOTTENS LÄN</t>
        </is>
      </c>
      <c r="E847" t="inlineStr">
        <is>
          <t>SKELLEFTEÅ</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14851-2021</t>
        </is>
      </c>
      <c r="B848" s="1" t="n">
        <v>44280</v>
      </c>
      <c r="C848" s="1" t="n">
        <v>45760</v>
      </c>
      <c r="D848" t="inlineStr">
        <is>
          <t>VÄSTERBOTTENS LÄN</t>
        </is>
      </c>
      <c r="E848" t="inlineStr">
        <is>
          <t>SKELLEFTEÅ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14858-2021</t>
        </is>
      </c>
      <c r="B849" s="1" t="n">
        <v>44280</v>
      </c>
      <c r="C849" s="1" t="n">
        <v>45760</v>
      </c>
      <c r="D849" t="inlineStr">
        <is>
          <t>VÄSTERBOTTENS LÄN</t>
        </is>
      </c>
      <c r="E849" t="inlineStr">
        <is>
          <t>SKELLEFTEÅ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14848-2021</t>
        </is>
      </c>
      <c r="B850" s="1" t="n">
        <v>44280</v>
      </c>
      <c r="C850" s="1" t="n">
        <v>45760</v>
      </c>
      <c r="D850" t="inlineStr">
        <is>
          <t>VÄSTERBOTTENS LÄN</t>
        </is>
      </c>
      <c r="E850" t="inlineStr">
        <is>
          <t>SKELLEFTEÅ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14853-2021</t>
        </is>
      </c>
      <c r="B851" s="1" t="n">
        <v>44280</v>
      </c>
      <c r="C851" s="1" t="n">
        <v>45760</v>
      </c>
      <c r="D851" t="inlineStr">
        <is>
          <t>VÄSTERBOTTENS LÄN</t>
        </is>
      </c>
      <c r="E851" t="inlineStr">
        <is>
          <t>SKELLEFTEÅ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15108-2021</t>
        </is>
      </c>
      <c r="B852" s="1" t="n">
        <v>44281</v>
      </c>
      <c r="C852" s="1" t="n">
        <v>45760</v>
      </c>
      <c r="D852" t="inlineStr">
        <is>
          <t>VÄSTERBOTTENS LÄN</t>
        </is>
      </c>
      <c r="E852" t="inlineStr">
        <is>
          <t>SKELLEFTEÅ</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15109-2021</t>
        </is>
      </c>
      <c r="B853" s="1" t="n">
        <v>44281</v>
      </c>
      <c r="C853" s="1" t="n">
        <v>45760</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15459-2021</t>
        </is>
      </c>
      <c r="B854" s="1" t="n">
        <v>44284</v>
      </c>
      <c r="C854" s="1" t="n">
        <v>45760</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18073-2021</t>
        </is>
      </c>
      <c r="B855" s="1" t="n">
        <v>44302</v>
      </c>
      <c r="C855" s="1" t="n">
        <v>45760</v>
      </c>
      <c r="D855" t="inlineStr">
        <is>
          <t>VÄSTERBOTTENS LÄN</t>
        </is>
      </c>
      <c r="E855" t="inlineStr">
        <is>
          <t>SKELLEFTEÅ</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18101-2021</t>
        </is>
      </c>
      <c r="B856" s="1" t="n">
        <v>44302</v>
      </c>
      <c r="C856" s="1" t="n">
        <v>45760</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18182-2021</t>
        </is>
      </c>
      <c r="B857" s="1" t="n">
        <v>44302</v>
      </c>
      <c r="C857" s="1" t="n">
        <v>45760</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18183-2021</t>
        </is>
      </c>
      <c r="B858" s="1" t="n">
        <v>44302</v>
      </c>
      <c r="C858" s="1" t="n">
        <v>45760</v>
      </c>
      <c r="D858" t="inlineStr">
        <is>
          <t>VÄSTERBOTTENS LÄN</t>
        </is>
      </c>
      <c r="E858" t="inlineStr">
        <is>
          <t>SKELLEFTEÅ</t>
        </is>
      </c>
      <c r="G858" t="n">
        <v>7.4</v>
      </c>
      <c r="H858" t="n">
        <v>0</v>
      </c>
      <c r="I858" t="n">
        <v>0</v>
      </c>
      <c r="J858" t="n">
        <v>0</v>
      </c>
      <c r="K858" t="n">
        <v>0</v>
      </c>
      <c r="L858" t="n">
        <v>0</v>
      </c>
      <c r="M858" t="n">
        <v>0</v>
      </c>
      <c r="N858" t="n">
        <v>0</v>
      </c>
      <c r="O858" t="n">
        <v>0</v>
      </c>
      <c r="P858" t="n">
        <v>0</v>
      </c>
      <c r="Q858" t="n">
        <v>0</v>
      </c>
      <c r="R858" s="2" t="inlineStr"/>
    </row>
    <row r="859" ht="15" customHeight="1">
      <c r="A859" t="inlineStr">
        <is>
          <t>A 18104-2021</t>
        </is>
      </c>
      <c r="B859" s="1" t="n">
        <v>44302</v>
      </c>
      <c r="C859" s="1" t="n">
        <v>45760</v>
      </c>
      <c r="D859" t="inlineStr">
        <is>
          <t>VÄSTERBOTTENS LÄN</t>
        </is>
      </c>
      <c r="E859" t="inlineStr">
        <is>
          <t>SKELLEFTEÅ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18216-2021</t>
        </is>
      </c>
      <c r="B860" s="1" t="n">
        <v>44303</v>
      </c>
      <c r="C860" s="1" t="n">
        <v>45760</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18353-2021</t>
        </is>
      </c>
      <c r="B861" s="1" t="n">
        <v>44305</v>
      </c>
      <c r="C861" s="1" t="n">
        <v>45760</v>
      </c>
      <c r="D861" t="inlineStr">
        <is>
          <t>VÄSTERBOTTENS LÄN</t>
        </is>
      </c>
      <c r="E861" t="inlineStr">
        <is>
          <t>SKELLEFTEÅ</t>
        </is>
      </c>
      <c r="G861" t="n">
        <v>7.2</v>
      </c>
      <c r="H861" t="n">
        <v>0</v>
      </c>
      <c r="I861" t="n">
        <v>0</v>
      </c>
      <c r="J861" t="n">
        <v>0</v>
      </c>
      <c r="K861" t="n">
        <v>0</v>
      </c>
      <c r="L861" t="n">
        <v>0</v>
      </c>
      <c r="M861" t="n">
        <v>0</v>
      </c>
      <c r="N861" t="n">
        <v>0</v>
      </c>
      <c r="O861" t="n">
        <v>0</v>
      </c>
      <c r="P861" t="n">
        <v>0</v>
      </c>
      <c r="Q861" t="n">
        <v>0</v>
      </c>
      <c r="R861" s="2" t="inlineStr"/>
    </row>
    <row r="862" ht="15" customHeight="1">
      <c r="A862" t="inlineStr">
        <is>
          <t>A 19538-2021</t>
        </is>
      </c>
      <c r="B862" s="1" t="n">
        <v>44309</v>
      </c>
      <c r="C862" s="1" t="n">
        <v>45760</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19748-2021</t>
        </is>
      </c>
      <c r="B863" s="1" t="n">
        <v>44312</v>
      </c>
      <c r="C863" s="1" t="n">
        <v>45760</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19679-2021</t>
        </is>
      </c>
      <c r="B864" s="1" t="n">
        <v>44312</v>
      </c>
      <c r="C864" s="1" t="n">
        <v>45760</v>
      </c>
      <c r="D864" t="inlineStr">
        <is>
          <t>VÄSTERBOTTENS LÄN</t>
        </is>
      </c>
      <c r="E864" t="inlineStr">
        <is>
          <t>SKELLEFTEÅ</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20051-2021</t>
        </is>
      </c>
      <c r="B865" s="1" t="n">
        <v>44313</v>
      </c>
      <c r="C865" s="1" t="n">
        <v>45760</v>
      </c>
      <c r="D865" t="inlineStr">
        <is>
          <t>VÄSTERBOTTENS LÄN</t>
        </is>
      </c>
      <c r="E865" t="inlineStr">
        <is>
          <t>SKELLEFTEÅ</t>
        </is>
      </c>
      <c r="G865" t="n">
        <v>5.5</v>
      </c>
      <c r="H865" t="n">
        <v>0</v>
      </c>
      <c r="I865" t="n">
        <v>0</v>
      </c>
      <c r="J865" t="n">
        <v>0</v>
      </c>
      <c r="K865" t="n">
        <v>0</v>
      </c>
      <c r="L865" t="n">
        <v>0</v>
      </c>
      <c r="M865" t="n">
        <v>0</v>
      </c>
      <c r="N865" t="n">
        <v>0</v>
      </c>
      <c r="O865" t="n">
        <v>0</v>
      </c>
      <c r="P865" t="n">
        <v>0</v>
      </c>
      <c r="Q865" t="n">
        <v>0</v>
      </c>
      <c r="R865" s="2" t="inlineStr"/>
    </row>
    <row r="866" ht="15" customHeight="1">
      <c r="A866" t="inlineStr">
        <is>
          <t>A 20046-2021</t>
        </is>
      </c>
      <c r="B866" s="1" t="n">
        <v>44313</v>
      </c>
      <c r="C866" s="1" t="n">
        <v>45760</v>
      </c>
      <c r="D866" t="inlineStr">
        <is>
          <t>VÄSTERBOTTENS LÄN</t>
        </is>
      </c>
      <c r="E866" t="inlineStr">
        <is>
          <t>SKELLEFTEÅ</t>
        </is>
      </c>
      <c r="G866" t="n">
        <v>3.1</v>
      </c>
      <c r="H866" t="n">
        <v>0</v>
      </c>
      <c r="I866" t="n">
        <v>0</v>
      </c>
      <c r="J866" t="n">
        <v>0</v>
      </c>
      <c r="K866" t="n">
        <v>0</v>
      </c>
      <c r="L866" t="n">
        <v>0</v>
      </c>
      <c r="M866" t="n">
        <v>0</v>
      </c>
      <c r="N866" t="n">
        <v>0</v>
      </c>
      <c r="O866" t="n">
        <v>0</v>
      </c>
      <c r="P866" t="n">
        <v>0</v>
      </c>
      <c r="Q866" t="n">
        <v>0</v>
      </c>
      <c r="R866" s="2" t="inlineStr"/>
    </row>
    <row r="867" ht="15" customHeight="1">
      <c r="A867" t="inlineStr">
        <is>
          <t>A 20381-2021</t>
        </is>
      </c>
      <c r="B867" s="1" t="n">
        <v>44314</v>
      </c>
      <c r="C867" s="1" t="n">
        <v>45760</v>
      </c>
      <c r="D867" t="inlineStr">
        <is>
          <t>VÄSTERBOTTENS LÄN</t>
        </is>
      </c>
      <c r="E867" t="inlineStr">
        <is>
          <t>SKELLEFTEÅ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20856-2021</t>
        </is>
      </c>
      <c r="B868" s="1" t="n">
        <v>44319</v>
      </c>
      <c r="C868" s="1" t="n">
        <v>45760</v>
      </c>
      <c r="D868" t="inlineStr">
        <is>
          <t>VÄSTERBOTTENS LÄN</t>
        </is>
      </c>
      <c r="E868" t="inlineStr">
        <is>
          <t>SKELLEFTEÅ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24606-2021</t>
        </is>
      </c>
      <c r="B869" s="1" t="n">
        <v>44319</v>
      </c>
      <c r="C869" s="1" t="n">
        <v>45760</v>
      </c>
      <c r="D869" t="inlineStr">
        <is>
          <t>VÄSTERBOTTENS LÄN</t>
        </is>
      </c>
      <c r="E869" t="inlineStr">
        <is>
          <t>SKELLEFTEÅ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21265-2021</t>
        </is>
      </c>
      <c r="B870" s="1" t="n">
        <v>44320</v>
      </c>
      <c r="C870" s="1" t="n">
        <v>45760</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22067-2021</t>
        </is>
      </c>
      <c r="B871" s="1" t="n">
        <v>44322</v>
      </c>
      <c r="C871" s="1" t="n">
        <v>45760</v>
      </c>
      <c r="D871" t="inlineStr">
        <is>
          <t>VÄSTERBOTTENS LÄN</t>
        </is>
      </c>
      <c r="E871" t="inlineStr">
        <is>
          <t>SKELLEFTEÅ</t>
        </is>
      </c>
      <c r="G871" t="n">
        <v>10.7</v>
      </c>
      <c r="H871" t="n">
        <v>0</v>
      </c>
      <c r="I871" t="n">
        <v>0</v>
      </c>
      <c r="J871" t="n">
        <v>0</v>
      </c>
      <c r="K871" t="n">
        <v>0</v>
      </c>
      <c r="L871" t="n">
        <v>0</v>
      </c>
      <c r="M871" t="n">
        <v>0</v>
      </c>
      <c r="N871" t="n">
        <v>0</v>
      </c>
      <c r="O871" t="n">
        <v>0</v>
      </c>
      <c r="P871" t="n">
        <v>0</v>
      </c>
      <c r="Q871" t="n">
        <v>0</v>
      </c>
      <c r="R871" s="2" t="inlineStr"/>
    </row>
    <row r="872" ht="15" customHeight="1">
      <c r="A872" t="inlineStr">
        <is>
          <t>A 22568-2021</t>
        </is>
      </c>
      <c r="B872" s="1" t="n">
        <v>44322</v>
      </c>
      <c r="C872" s="1" t="n">
        <v>45760</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22626-2021</t>
        </is>
      </c>
      <c r="B873" s="1" t="n">
        <v>44326</v>
      </c>
      <c r="C873" s="1" t="n">
        <v>45760</v>
      </c>
      <c r="D873" t="inlineStr">
        <is>
          <t>VÄSTERBOTTENS LÄN</t>
        </is>
      </c>
      <c r="E873" t="inlineStr">
        <is>
          <t>SKELLEFTEÅ</t>
        </is>
      </c>
      <c r="G873" t="n">
        <v>8.4</v>
      </c>
      <c r="H873" t="n">
        <v>0</v>
      </c>
      <c r="I873" t="n">
        <v>0</v>
      </c>
      <c r="J873" t="n">
        <v>0</v>
      </c>
      <c r="K873" t="n">
        <v>0</v>
      </c>
      <c r="L873" t="n">
        <v>0</v>
      </c>
      <c r="M873" t="n">
        <v>0</v>
      </c>
      <c r="N873" t="n">
        <v>0</v>
      </c>
      <c r="O873" t="n">
        <v>0</v>
      </c>
      <c r="P873" t="n">
        <v>0</v>
      </c>
      <c r="Q873" t="n">
        <v>0</v>
      </c>
      <c r="R873" s="2" t="inlineStr"/>
    </row>
    <row r="874" ht="15" customHeight="1">
      <c r="A874" t="inlineStr">
        <is>
          <t>A 23132-2021</t>
        </is>
      </c>
      <c r="B874" s="1" t="n">
        <v>44331</v>
      </c>
      <c r="C874" s="1" t="n">
        <v>45760</v>
      </c>
      <c r="D874" t="inlineStr">
        <is>
          <t>VÄSTERBOTTENS LÄN</t>
        </is>
      </c>
      <c r="E874" t="inlineStr">
        <is>
          <t>SKELLEFTEÅ</t>
        </is>
      </c>
      <c r="G874" t="n">
        <v>2.6</v>
      </c>
      <c r="H874" t="n">
        <v>0</v>
      </c>
      <c r="I874" t="n">
        <v>0</v>
      </c>
      <c r="J874" t="n">
        <v>0</v>
      </c>
      <c r="K874" t="n">
        <v>0</v>
      </c>
      <c r="L874" t="n">
        <v>0</v>
      </c>
      <c r="M874" t="n">
        <v>0</v>
      </c>
      <c r="N874" t="n">
        <v>0</v>
      </c>
      <c r="O874" t="n">
        <v>0</v>
      </c>
      <c r="P874" t="n">
        <v>0</v>
      </c>
      <c r="Q874" t="n">
        <v>0</v>
      </c>
      <c r="R874" s="2" t="inlineStr"/>
    </row>
    <row r="875" ht="15" customHeight="1">
      <c r="A875" t="inlineStr">
        <is>
          <t>A 23408-2021</t>
        </is>
      </c>
      <c r="B875" s="1" t="n">
        <v>44333</v>
      </c>
      <c r="C875" s="1" t="n">
        <v>45760</v>
      </c>
      <c r="D875" t="inlineStr">
        <is>
          <t>VÄSTERBOTTENS LÄN</t>
        </is>
      </c>
      <c r="E875" t="inlineStr">
        <is>
          <t>SKELLEFTEÅ</t>
        </is>
      </c>
      <c r="F875" t="inlineStr">
        <is>
          <t>Holmen skog AB</t>
        </is>
      </c>
      <c r="G875" t="n">
        <v>4.2</v>
      </c>
      <c r="H875" t="n">
        <v>0</v>
      </c>
      <c r="I875" t="n">
        <v>0</v>
      </c>
      <c r="J875" t="n">
        <v>0</v>
      </c>
      <c r="K875" t="n">
        <v>0</v>
      </c>
      <c r="L875" t="n">
        <v>0</v>
      </c>
      <c r="M875" t="n">
        <v>0</v>
      </c>
      <c r="N875" t="n">
        <v>0</v>
      </c>
      <c r="O875" t="n">
        <v>0</v>
      </c>
      <c r="P875" t="n">
        <v>0</v>
      </c>
      <c r="Q875" t="n">
        <v>0</v>
      </c>
      <c r="R875" s="2" t="inlineStr"/>
    </row>
    <row r="876" ht="15" customHeight="1">
      <c r="A876" t="inlineStr">
        <is>
          <t>A 23801-2021</t>
        </is>
      </c>
      <c r="B876" s="1" t="n">
        <v>44334</v>
      </c>
      <c r="C876" s="1" t="n">
        <v>45760</v>
      </c>
      <c r="D876" t="inlineStr">
        <is>
          <t>VÄSTERBOTTENS LÄN</t>
        </is>
      </c>
      <c r="E876" t="inlineStr">
        <is>
          <t>SKELLEFTEÅ</t>
        </is>
      </c>
      <c r="G876" t="n">
        <v>2.8</v>
      </c>
      <c r="H876" t="n">
        <v>0</v>
      </c>
      <c r="I876" t="n">
        <v>0</v>
      </c>
      <c r="J876" t="n">
        <v>0</v>
      </c>
      <c r="K876" t="n">
        <v>0</v>
      </c>
      <c r="L876" t="n">
        <v>0</v>
      </c>
      <c r="M876" t="n">
        <v>0</v>
      </c>
      <c r="N876" t="n">
        <v>0</v>
      </c>
      <c r="O876" t="n">
        <v>0</v>
      </c>
      <c r="P876" t="n">
        <v>0</v>
      </c>
      <c r="Q876" t="n">
        <v>0</v>
      </c>
      <c r="R876" s="2" t="inlineStr"/>
    </row>
    <row r="877" ht="15" customHeight="1">
      <c r="A877" t="inlineStr">
        <is>
          <t>A 23885-2021</t>
        </is>
      </c>
      <c r="B877" s="1" t="n">
        <v>44335</v>
      </c>
      <c r="C877" s="1" t="n">
        <v>45760</v>
      </c>
      <c r="D877" t="inlineStr">
        <is>
          <t>VÄSTERBOTTENS LÄN</t>
        </is>
      </c>
      <c r="E877" t="inlineStr">
        <is>
          <t>SKELLEFTEÅ</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24238-2021</t>
        </is>
      </c>
      <c r="B878" s="1" t="n">
        <v>44337</v>
      </c>
      <c r="C878" s="1" t="n">
        <v>45760</v>
      </c>
      <c r="D878" t="inlineStr">
        <is>
          <t>VÄSTERBOTTENS LÄN</t>
        </is>
      </c>
      <c r="E878" t="inlineStr">
        <is>
          <t>SKELLEFTEÅ</t>
        </is>
      </c>
      <c r="G878" t="n">
        <v>2.3</v>
      </c>
      <c r="H878" t="n">
        <v>0</v>
      </c>
      <c r="I878" t="n">
        <v>0</v>
      </c>
      <c r="J878" t="n">
        <v>0</v>
      </c>
      <c r="K878" t="n">
        <v>0</v>
      </c>
      <c r="L878" t="n">
        <v>0</v>
      </c>
      <c r="M878" t="n">
        <v>0</v>
      </c>
      <c r="N878" t="n">
        <v>0</v>
      </c>
      <c r="O878" t="n">
        <v>0</v>
      </c>
      <c r="P878" t="n">
        <v>0</v>
      </c>
      <c r="Q878" t="n">
        <v>0</v>
      </c>
      <c r="R878" s="2" t="inlineStr"/>
    </row>
    <row r="879" ht="15" customHeight="1">
      <c r="A879" t="inlineStr">
        <is>
          <t>A 24303-2021</t>
        </is>
      </c>
      <c r="B879" s="1" t="n">
        <v>44337</v>
      </c>
      <c r="C879" s="1" t="n">
        <v>45760</v>
      </c>
      <c r="D879" t="inlineStr">
        <is>
          <t>VÄSTERBOTTENS LÄN</t>
        </is>
      </c>
      <c r="E879" t="inlineStr">
        <is>
          <t>SKELLEFTEÅ</t>
        </is>
      </c>
      <c r="G879" t="n">
        <v>6.1</v>
      </c>
      <c r="H879" t="n">
        <v>0</v>
      </c>
      <c r="I879" t="n">
        <v>0</v>
      </c>
      <c r="J879" t="n">
        <v>0</v>
      </c>
      <c r="K879" t="n">
        <v>0</v>
      </c>
      <c r="L879" t="n">
        <v>0</v>
      </c>
      <c r="M879" t="n">
        <v>0</v>
      </c>
      <c r="N879" t="n">
        <v>0</v>
      </c>
      <c r="O879" t="n">
        <v>0</v>
      </c>
      <c r="P879" t="n">
        <v>0</v>
      </c>
      <c r="Q879" t="n">
        <v>0</v>
      </c>
      <c r="R879" s="2" t="inlineStr"/>
    </row>
    <row r="880" ht="15" customHeight="1">
      <c r="A880" t="inlineStr">
        <is>
          <t>A 24653-2021</t>
        </is>
      </c>
      <c r="B880" s="1" t="n">
        <v>44340</v>
      </c>
      <c r="C880" s="1" t="n">
        <v>45760</v>
      </c>
      <c r="D880" t="inlineStr">
        <is>
          <t>VÄSTERBOTTENS LÄN</t>
        </is>
      </c>
      <c r="E880" t="inlineStr">
        <is>
          <t>SKELLEFTEÅ</t>
        </is>
      </c>
      <c r="G880" t="n">
        <v>6.7</v>
      </c>
      <c r="H880" t="n">
        <v>0</v>
      </c>
      <c r="I880" t="n">
        <v>0</v>
      </c>
      <c r="J880" t="n">
        <v>0</v>
      </c>
      <c r="K880" t="n">
        <v>0</v>
      </c>
      <c r="L880" t="n">
        <v>0</v>
      </c>
      <c r="M880" t="n">
        <v>0</v>
      </c>
      <c r="N880" t="n">
        <v>0</v>
      </c>
      <c r="O880" t="n">
        <v>0</v>
      </c>
      <c r="P880" t="n">
        <v>0</v>
      </c>
      <c r="Q880" t="n">
        <v>0</v>
      </c>
      <c r="R880" s="2" t="inlineStr"/>
    </row>
    <row r="881" ht="15" customHeight="1">
      <c r="A881" t="inlineStr">
        <is>
          <t>A 25513-2021</t>
        </is>
      </c>
      <c r="B881" s="1" t="n">
        <v>44343</v>
      </c>
      <c r="C881" s="1" t="n">
        <v>45760</v>
      </c>
      <c r="D881" t="inlineStr">
        <is>
          <t>VÄSTERBOTTENS LÄN</t>
        </is>
      </c>
      <c r="E881" t="inlineStr">
        <is>
          <t>SKELLEFTEÅ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25512-2021</t>
        </is>
      </c>
      <c r="B882" s="1" t="n">
        <v>44342</v>
      </c>
      <c r="C882" s="1" t="n">
        <v>45760</v>
      </c>
      <c r="D882" t="inlineStr">
        <is>
          <t>VÄSTERBOTTENS LÄN</t>
        </is>
      </c>
      <c r="E882" t="inlineStr">
        <is>
          <t>SKELLEFTEÅ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25515-2021</t>
        </is>
      </c>
      <c r="B883" s="1" t="n">
        <v>44343</v>
      </c>
      <c r="C883" s="1" t="n">
        <v>45760</v>
      </c>
      <c r="D883" t="inlineStr">
        <is>
          <t>VÄSTERBOTTENS LÄN</t>
        </is>
      </c>
      <c r="E883" t="inlineStr">
        <is>
          <t>SKELLEFTEÅ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25520-2021</t>
        </is>
      </c>
      <c r="B884" s="1" t="n">
        <v>44343</v>
      </c>
      <c r="C884" s="1" t="n">
        <v>45760</v>
      </c>
      <c r="D884" t="inlineStr">
        <is>
          <t>VÄSTERBOTTENS LÄN</t>
        </is>
      </c>
      <c r="E884" t="inlineStr">
        <is>
          <t>SKELLEFTEÅ</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25473-2021</t>
        </is>
      </c>
      <c r="B885" s="1" t="n">
        <v>44342</v>
      </c>
      <c r="C885" s="1" t="n">
        <v>45760</v>
      </c>
      <c r="D885" t="inlineStr">
        <is>
          <t>VÄSTERBOTTENS LÄN</t>
        </is>
      </c>
      <c r="E885" t="inlineStr">
        <is>
          <t>SKELLEFTEÅ</t>
        </is>
      </c>
      <c r="G885" t="n">
        <v>6.6</v>
      </c>
      <c r="H885" t="n">
        <v>0</v>
      </c>
      <c r="I885" t="n">
        <v>0</v>
      </c>
      <c r="J885" t="n">
        <v>0</v>
      </c>
      <c r="K885" t="n">
        <v>0</v>
      </c>
      <c r="L885" t="n">
        <v>0</v>
      </c>
      <c r="M885" t="n">
        <v>0</v>
      </c>
      <c r="N885" t="n">
        <v>0</v>
      </c>
      <c r="O885" t="n">
        <v>0</v>
      </c>
      <c r="P885" t="n">
        <v>0</v>
      </c>
      <c r="Q885" t="n">
        <v>0</v>
      </c>
      <c r="R885" s="2" t="inlineStr"/>
    </row>
    <row r="886" ht="15" customHeight="1">
      <c r="A886" t="inlineStr">
        <is>
          <t>A 25491-2021</t>
        </is>
      </c>
      <c r="B886" s="1" t="n">
        <v>44342</v>
      </c>
      <c r="C886" s="1" t="n">
        <v>45760</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26129-2021</t>
        </is>
      </c>
      <c r="B887" s="1" t="n">
        <v>44346</v>
      </c>
      <c r="C887" s="1" t="n">
        <v>45760</v>
      </c>
      <c r="D887" t="inlineStr">
        <is>
          <t>VÄSTERBOTTENS LÄN</t>
        </is>
      </c>
      <c r="E887" t="inlineStr">
        <is>
          <t>SKELLEFTEÅ</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26130-2021</t>
        </is>
      </c>
      <c r="B888" s="1" t="n">
        <v>44346</v>
      </c>
      <c r="C888" s="1" t="n">
        <v>45760</v>
      </c>
      <c r="D888" t="inlineStr">
        <is>
          <t>VÄSTERBOTTENS LÄN</t>
        </is>
      </c>
      <c r="E888" t="inlineStr">
        <is>
          <t>SKELLEFTEÅ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26473-2021</t>
        </is>
      </c>
      <c r="B889" s="1" t="n">
        <v>44348</v>
      </c>
      <c r="C889" s="1" t="n">
        <v>45760</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26599-2021</t>
        </is>
      </c>
      <c r="B890" s="1" t="n">
        <v>44348</v>
      </c>
      <c r="C890" s="1" t="n">
        <v>45760</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26858-2021</t>
        </is>
      </c>
      <c r="B891" s="1" t="n">
        <v>44349</v>
      </c>
      <c r="C891" s="1" t="n">
        <v>45760</v>
      </c>
      <c r="D891" t="inlineStr">
        <is>
          <t>VÄSTERBOTTENS LÄN</t>
        </is>
      </c>
      <c r="E891" t="inlineStr">
        <is>
          <t>SKELLEFTEÅ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26957-2021</t>
        </is>
      </c>
      <c r="B892" s="1" t="n">
        <v>44350</v>
      </c>
      <c r="C892" s="1" t="n">
        <v>45760</v>
      </c>
      <c r="D892" t="inlineStr">
        <is>
          <t>VÄSTERBOTTENS LÄN</t>
        </is>
      </c>
      <c r="E892" t="inlineStr">
        <is>
          <t>SKELLEFTEÅ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26975-2021</t>
        </is>
      </c>
      <c r="B893" s="1" t="n">
        <v>44350</v>
      </c>
      <c r="C893" s="1" t="n">
        <v>45760</v>
      </c>
      <c r="D893" t="inlineStr">
        <is>
          <t>VÄSTERBOTTENS LÄN</t>
        </is>
      </c>
      <c r="E893" t="inlineStr">
        <is>
          <t>SKELLEFTEÅ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27444-2021</t>
        </is>
      </c>
      <c r="B894" s="1" t="n">
        <v>44351</v>
      </c>
      <c r="C894" s="1" t="n">
        <v>45760</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27698-2021</t>
        </is>
      </c>
      <c r="B895" s="1" t="n">
        <v>44354</v>
      </c>
      <c r="C895" s="1" t="n">
        <v>45760</v>
      </c>
      <c r="D895" t="inlineStr">
        <is>
          <t>VÄSTERBOTTENS LÄN</t>
        </is>
      </c>
      <c r="E895" t="inlineStr">
        <is>
          <t>SKELLEFTEÅ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27643-2021</t>
        </is>
      </c>
      <c r="B896" s="1" t="n">
        <v>44354</v>
      </c>
      <c r="C896" s="1" t="n">
        <v>45760</v>
      </c>
      <c r="D896" t="inlineStr">
        <is>
          <t>VÄSTERBOTTENS LÄN</t>
        </is>
      </c>
      <c r="E896" t="inlineStr">
        <is>
          <t>SKELLEFTEÅ</t>
        </is>
      </c>
      <c r="F896" t="inlineStr">
        <is>
          <t>Holmen skog AB</t>
        </is>
      </c>
      <c r="G896" t="n">
        <v>3.7</v>
      </c>
      <c r="H896" t="n">
        <v>0</v>
      </c>
      <c r="I896" t="n">
        <v>0</v>
      </c>
      <c r="J896" t="n">
        <v>0</v>
      </c>
      <c r="K896" t="n">
        <v>0</v>
      </c>
      <c r="L896" t="n">
        <v>0</v>
      </c>
      <c r="M896" t="n">
        <v>0</v>
      </c>
      <c r="N896" t="n">
        <v>0</v>
      </c>
      <c r="O896" t="n">
        <v>0</v>
      </c>
      <c r="P896" t="n">
        <v>0</v>
      </c>
      <c r="Q896" t="n">
        <v>0</v>
      </c>
      <c r="R896" s="2" t="inlineStr"/>
    </row>
    <row r="897" ht="15" customHeight="1">
      <c r="A897" t="inlineStr">
        <is>
          <t>A 27774-2021</t>
        </is>
      </c>
      <c r="B897" s="1" t="n">
        <v>44354</v>
      </c>
      <c r="C897" s="1" t="n">
        <v>45760</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28121-2021</t>
        </is>
      </c>
      <c r="B898" s="1" t="n">
        <v>44355</v>
      </c>
      <c r="C898" s="1" t="n">
        <v>45760</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28191-2021</t>
        </is>
      </c>
      <c r="B899" s="1" t="n">
        <v>44355</v>
      </c>
      <c r="C899" s="1" t="n">
        <v>45760</v>
      </c>
      <c r="D899" t="inlineStr">
        <is>
          <t>VÄSTERBOTTENS LÄN</t>
        </is>
      </c>
      <c r="E899" t="inlineStr">
        <is>
          <t>SKELLEFTEÅ</t>
        </is>
      </c>
      <c r="G899" t="n">
        <v>7.6</v>
      </c>
      <c r="H899" t="n">
        <v>0</v>
      </c>
      <c r="I899" t="n">
        <v>0</v>
      </c>
      <c r="J899" t="n">
        <v>0</v>
      </c>
      <c r="K899" t="n">
        <v>0</v>
      </c>
      <c r="L899" t="n">
        <v>0</v>
      </c>
      <c r="M899" t="n">
        <v>0</v>
      </c>
      <c r="N899" t="n">
        <v>0</v>
      </c>
      <c r="O899" t="n">
        <v>0</v>
      </c>
      <c r="P899" t="n">
        <v>0</v>
      </c>
      <c r="Q899" t="n">
        <v>0</v>
      </c>
      <c r="R899" s="2" t="inlineStr"/>
    </row>
    <row r="900" ht="15" customHeight="1">
      <c r="A900" t="inlineStr">
        <is>
          <t>A 28196-2021</t>
        </is>
      </c>
      <c r="B900" s="1" t="n">
        <v>44355</v>
      </c>
      <c r="C900" s="1" t="n">
        <v>45760</v>
      </c>
      <c r="D900" t="inlineStr">
        <is>
          <t>VÄSTERBOTTENS LÄN</t>
        </is>
      </c>
      <c r="E900" t="inlineStr">
        <is>
          <t>SKELLEFTEÅ</t>
        </is>
      </c>
      <c r="F900" t="inlineStr">
        <is>
          <t>Holmen skog AB</t>
        </is>
      </c>
      <c r="G900" t="n">
        <v>7.5</v>
      </c>
      <c r="H900" t="n">
        <v>0</v>
      </c>
      <c r="I900" t="n">
        <v>0</v>
      </c>
      <c r="J900" t="n">
        <v>0</v>
      </c>
      <c r="K900" t="n">
        <v>0</v>
      </c>
      <c r="L900" t="n">
        <v>0</v>
      </c>
      <c r="M900" t="n">
        <v>0</v>
      </c>
      <c r="N900" t="n">
        <v>0</v>
      </c>
      <c r="O900" t="n">
        <v>0</v>
      </c>
      <c r="P900" t="n">
        <v>0</v>
      </c>
      <c r="Q900" t="n">
        <v>0</v>
      </c>
      <c r="R900" s="2" t="inlineStr"/>
    </row>
    <row r="901" ht="15" customHeight="1">
      <c r="A901" t="inlineStr">
        <is>
          <t>A 28244-2021</t>
        </is>
      </c>
      <c r="B901" s="1" t="n">
        <v>44355</v>
      </c>
      <c r="C901" s="1" t="n">
        <v>45760</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28291-2021</t>
        </is>
      </c>
      <c r="B902" s="1" t="n">
        <v>44356</v>
      </c>
      <c r="C902" s="1" t="n">
        <v>45760</v>
      </c>
      <c r="D902" t="inlineStr">
        <is>
          <t>VÄSTERBOTTENS LÄN</t>
        </is>
      </c>
      <c r="E902" t="inlineStr">
        <is>
          <t>SKELLEFTEÅ</t>
        </is>
      </c>
      <c r="G902" t="n">
        <v>10.1</v>
      </c>
      <c r="H902" t="n">
        <v>0</v>
      </c>
      <c r="I902" t="n">
        <v>0</v>
      </c>
      <c r="J902" t="n">
        <v>0</v>
      </c>
      <c r="K902" t="n">
        <v>0</v>
      </c>
      <c r="L902" t="n">
        <v>0</v>
      </c>
      <c r="M902" t="n">
        <v>0</v>
      </c>
      <c r="N902" t="n">
        <v>0</v>
      </c>
      <c r="O902" t="n">
        <v>0</v>
      </c>
      <c r="P902" t="n">
        <v>0</v>
      </c>
      <c r="Q902" t="n">
        <v>0</v>
      </c>
      <c r="R902" s="2" t="inlineStr"/>
    </row>
    <row r="903" ht="15" customHeight="1">
      <c r="A903" t="inlineStr">
        <is>
          <t>A 28525-2021</t>
        </is>
      </c>
      <c r="B903" s="1" t="n">
        <v>44356</v>
      </c>
      <c r="C903" s="1" t="n">
        <v>45760</v>
      </c>
      <c r="D903" t="inlineStr">
        <is>
          <t>VÄSTERBOTTENS LÄN</t>
        </is>
      </c>
      <c r="E903" t="inlineStr">
        <is>
          <t>SKELLEFTEÅ</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28666-2021</t>
        </is>
      </c>
      <c r="B904" s="1" t="n">
        <v>44357</v>
      </c>
      <c r="C904" s="1" t="n">
        <v>45760</v>
      </c>
      <c r="D904" t="inlineStr">
        <is>
          <t>VÄSTERBOTTENS LÄN</t>
        </is>
      </c>
      <c r="E904" t="inlineStr">
        <is>
          <t>SKELLEFTEÅ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28822-2021</t>
        </is>
      </c>
      <c r="B905" s="1" t="n">
        <v>44357</v>
      </c>
      <c r="C905" s="1" t="n">
        <v>45760</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29115-2021</t>
        </is>
      </c>
      <c r="B906" s="1" t="n">
        <v>44358</v>
      </c>
      <c r="C906" s="1" t="n">
        <v>45760</v>
      </c>
      <c r="D906" t="inlineStr">
        <is>
          <t>VÄSTERBOTTENS LÄN</t>
        </is>
      </c>
      <c r="E906" t="inlineStr">
        <is>
          <t>SKELLEFTEÅ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28959-2021</t>
        </is>
      </c>
      <c r="B907" s="1" t="n">
        <v>44358</v>
      </c>
      <c r="C907" s="1" t="n">
        <v>45760</v>
      </c>
      <c r="D907" t="inlineStr">
        <is>
          <t>VÄSTERBOTTENS LÄN</t>
        </is>
      </c>
      <c r="E907" t="inlineStr">
        <is>
          <t>SKELLEFTEÅ</t>
        </is>
      </c>
      <c r="G907" t="n">
        <v>4.9</v>
      </c>
      <c r="H907" t="n">
        <v>0</v>
      </c>
      <c r="I907" t="n">
        <v>0</v>
      </c>
      <c r="J907" t="n">
        <v>0</v>
      </c>
      <c r="K907" t="n">
        <v>0</v>
      </c>
      <c r="L907" t="n">
        <v>0</v>
      </c>
      <c r="M907" t="n">
        <v>0</v>
      </c>
      <c r="N907" t="n">
        <v>0</v>
      </c>
      <c r="O907" t="n">
        <v>0</v>
      </c>
      <c r="P907" t="n">
        <v>0</v>
      </c>
      <c r="Q907" t="n">
        <v>0</v>
      </c>
      <c r="R907" s="2" t="inlineStr"/>
    </row>
    <row r="908" ht="15" customHeight="1">
      <c r="A908" t="inlineStr">
        <is>
          <t>A 29319-2021</t>
        </is>
      </c>
      <c r="B908" s="1" t="n">
        <v>44361</v>
      </c>
      <c r="C908" s="1" t="n">
        <v>45760</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29276-2021</t>
        </is>
      </c>
      <c r="B909" s="1" t="n">
        <v>44361</v>
      </c>
      <c r="C909" s="1" t="n">
        <v>45760</v>
      </c>
      <c r="D909" t="inlineStr">
        <is>
          <t>VÄSTERBOTTENS LÄN</t>
        </is>
      </c>
      <c r="E909" t="inlineStr">
        <is>
          <t>SKELLEFTEÅ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29407-2021</t>
        </is>
      </c>
      <c r="B910" s="1" t="n">
        <v>44361</v>
      </c>
      <c r="C910" s="1" t="n">
        <v>45760</v>
      </c>
      <c r="D910" t="inlineStr">
        <is>
          <t>VÄSTERBOTTENS LÄN</t>
        </is>
      </c>
      <c r="E910" t="inlineStr">
        <is>
          <t>SKELLEFTEÅ</t>
        </is>
      </c>
      <c r="F910" t="inlineStr">
        <is>
          <t>Holmen skog AB</t>
        </is>
      </c>
      <c r="G910" t="n">
        <v>3.2</v>
      </c>
      <c r="H910" t="n">
        <v>0</v>
      </c>
      <c r="I910" t="n">
        <v>0</v>
      </c>
      <c r="J910" t="n">
        <v>0</v>
      </c>
      <c r="K910" t="n">
        <v>0</v>
      </c>
      <c r="L910" t="n">
        <v>0</v>
      </c>
      <c r="M910" t="n">
        <v>0</v>
      </c>
      <c r="N910" t="n">
        <v>0</v>
      </c>
      <c r="O910" t="n">
        <v>0</v>
      </c>
      <c r="P910" t="n">
        <v>0</v>
      </c>
      <c r="Q910" t="n">
        <v>0</v>
      </c>
      <c r="R910" s="2" t="inlineStr"/>
    </row>
    <row r="911" ht="15" customHeight="1">
      <c r="A911" t="inlineStr">
        <is>
          <t>A 29687-2021</t>
        </is>
      </c>
      <c r="B911" s="1" t="n">
        <v>44362</v>
      </c>
      <c r="C911" s="1" t="n">
        <v>45760</v>
      </c>
      <c r="D911" t="inlineStr">
        <is>
          <t>VÄSTERBOTTENS LÄN</t>
        </is>
      </c>
      <c r="E911" t="inlineStr">
        <is>
          <t>SKELLEFTEÅ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29649-2021</t>
        </is>
      </c>
      <c r="B912" s="1" t="n">
        <v>44362</v>
      </c>
      <c r="C912" s="1" t="n">
        <v>45760</v>
      </c>
      <c r="D912" t="inlineStr">
        <is>
          <t>VÄSTERBOTTENS LÄN</t>
        </is>
      </c>
      <c r="E912" t="inlineStr">
        <is>
          <t>SKELLEFTEÅ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29731-2021</t>
        </is>
      </c>
      <c r="B913" s="1" t="n">
        <v>44362</v>
      </c>
      <c r="C913" s="1" t="n">
        <v>45760</v>
      </c>
      <c r="D913" t="inlineStr">
        <is>
          <t>VÄSTERBOTTENS LÄN</t>
        </is>
      </c>
      <c r="E913" t="inlineStr">
        <is>
          <t>SKELLEFTEÅ</t>
        </is>
      </c>
      <c r="F913" t="inlineStr">
        <is>
          <t>Holmen skog AB</t>
        </is>
      </c>
      <c r="G913" t="n">
        <v>15.1</v>
      </c>
      <c r="H913" t="n">
        <v>0</v>
      </c>
      <c r="I913" t="n">
        <v>0</v>
      </c>
      <c r="J913" t="n">
        <v>0</v>
      </c>
      <c r="K913" t="n">
        <v>0</v>
      </c>
      <c r="L913" t="n">
        <v>0</v>
      </c>
      <c r="M913" t="n">
        <v>0</v>
      </c>
      <c r="N913" t="n">
        <v>0</v>
      </c>
      <c r="O913" t="n">
        <v>0</v>
      </c>
      <c r="P913" t="n">
        <v>0</v>
      </c>
      <c r="Q913" t="n">
        <v>0</v>
      </c>
      <c r="R913" s="2" t="inlineStr"/>
    </row>
    <row r="914" ht="15" customHeight="1">
      <c r="A914" t="inlineStr">
        <is>
          <t>A 30086-2021</t>
        </is>
      </c>
      <c r="B914" s="1" t="n">
        <v>44363</v>
      </c>
      <c r="C914" s="1" t="n">
        <v>45760</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30194-2021</t>
        </is>
      </c>
      <c r="B915" s="1" t="n">
        <v>44363</v>
      </c>
      <c r="C915" s="1" t="n">
        <v>45760</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30449-2021</t>
        </is>
      </c>
      <c r="B916" s="1" t="n">
        <v>44364</v>
      </c>
      <c r="C916" s="1" t="n">
        <v>45760</v>
      </c>
      <c r="D916" t="inlineStr">
        <is>
          <t>VÄSTERBOTTENS LÄN</t>
        </is>
      </c>
      <c r="E916" t="inlineStr">
        <is>
          <t>SKELLEFTEÅ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30332-2021</t>
        </is>
      </c>
      <c r="B917" s="1" t="n">
        <v>44364</v>
      </c>
      <c r="C917" s="1" t="n">
        <v>45760</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30744-2021</t>
        </is>
      </c>
      <c r="B918" s="1" t="n">
        <v>44365</v>
      </c>
      <c r="C918" s="1" t="n">
        <v>45760</v>
      </c>
      <c r="D918" t="inlineStr">
        <is>
          <t>VÄSTERBOTTENS LÄN</t>
        </is>
      </c>
      <c r="E918" t="inlineStr">
        <is>
          <t>SKELLEFTEÅ</t>
        </is>
      </c>
      <c r="G918" t="n">
        <v>38.3</v>
      </c>
      <c r="H918" t="n">
        <v>0</v>
      </c>
      <c r="I918" t="n">
        <v>0</v>
      </c>
      <c r="J918" t="n">
        <v>0</v>
      </c>
      <c r="K918" t="n">
        <v>0</v>
      </c>
      <c r="L918" t="n">
        <v>0</v>
      </c>
      <c r="M918" t="n">
        <v>0</v>
      </c>
      <c r="N918" t="n">
        <v>0</v>
      </c>
      <c r="O918" t="n">
        <v>0</v>
      </c>
      <c r="P918" t="n">
        <v>0</v>
      </c>
      <c r="Q918" t="n">
        <v>0</v>
      </c>
      <c r="R918" s="2" t="inlineStr"/>
    </row>
    <row r="919" ht="15" customHeight="1">
      <c r="A919" t="inlineStr">
        <is>
          <t>A 30719-2021</t>
        </is>
      </c>
      <c r="B919" s="1" t="n">
        <v>44365</v>
      </c>
      <c r="C919" s="1" t="n">
        <v>45760</v>
      </c>
      <c r="D919" t="inlineStr">
        <is>
          <t>VÄSTERBOTTENS LÄN</t>
        </is>
      </c>
      <c r="E919" t="inlineStr">
        <is>
          <t>SKELLEFTEÅ</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30704-2021</t>
        </is>
      </c>
      <c r="B920" s="1" t="n">
        <v>44365</v>
      </c>
      <c r="C920" s="1" t="n">
        <v>45760</v>
      </c>
      <c r="D920" t="inlineStr">
        <is>
          <t>VÄSTERBOTTENS LÄN</t>
        </is>
      </c>
      <c r="E920" t="inlineStr">
        <is>
          <t>SKELLEFTEÅ</t>
        </is>
      </c>
      <c r="G920" t="n">
        <v>20.2</v>
      </c>
      <c r="H920" t="n">
        <v>0</v>
      </c>
      <c r="I920" t="n">
        <v>0</v>
      </c>
      <c r="J920" t="n">
        <v>0</v>
      </c>
      <c r="K920" t="n">
        <v>0</v>
      </c>
      <c r="L920" t="n">
        <v>0</v>
      </c>
      <c r="M920" t="n">
        <v>0</v>
      </c>
      <c r="N920" t="n">
        <v>0</v>
      </c>
      <c r="O920" t="n">
        <v>0</v>
      </c>
      <c r="P920" t="n">
        <v>0</v>
      </c>
      <c r="Q920" t="n">
        <v>0</v>
      </c>
      <c r="R920" s="2" t="inlineStr"/>
    </row>
    <row r="921" ht="15" customHeight="1">
      <c r="A921" t="inlineStr">
        <is>
          <t>A 30754-2021</t>
        </is>
      </c>
      <c r="B921" s="1" t="n">
        <v>44365</v>
      </c>
      <c r="C921" s="1" t="n">
        <v>45760</v>
      </c>
      <c r="D921" t="inlineStr">
        <is>
          <t>VÄSTERBOTTENS LÄN</t>
        </is>
      </c>
      <c r="E921" t="inlineStr">
        <is>
          <t>SKELLEFTEÅ</t>
        </is>
      </c>
      <c r="G921" t="n">
        <v>1.3</v>
      </c>
      <c r="H921" t="n">
        <v>0</v>
      </c>
      <c r="I921" t="n">
        <v>0</v>
      </c>
      <c r="J921" t="n">
        <v>0</v>
      </c>
      <c r="K921" t="n">
        <v>0</v>
      </c>
      <c r="L921" t="n">
        <v>0</v>
      </c>
      <c r="M921" t="n">
        <v>0</v>
      </c>
      <c r="N921" t="n">
        <v>0</v>
      </c>
      <c r="O921" t="n">
        <v>0</v>
      </c>
      <c r="P921" t="n">
        <v>0</v>
      </c>
      <c r="Q921" t="n">
        <v>0</v>
      </c>
      <c r="R921" s="2" t="inlineStr"/>
    </row>
    <row r="922" ht="15" customHeight="1">
      <c r="A922" t="inlineStr">
        <is>
          <t>A 30870-2021</t>
        </is>
      </c>
      <c r="B922" s="1" t="n">
        <v>44365</v>
      </c>
      <c r="C922" s="1" t="n">
        <v>45760</v>
      </c>
      <c r="D922" t="inlineStr">
        <is>
          <t>VÄSTERBOTTENS LÄN</t>
        </is>
      </c>
      <c r="E922" t="inlineStr">
        <is>
          <t>SKELLEFTEÅ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30959-2021</t>
        </is>
      </c>
      <c r="B923" s="1" t="n">
        <v>44365</v>
      </c>
      <c r="C923" s="1" t="n">
        <v>45760</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31185-2021</t>
        </is>
      </c>
      <c r="B924" s="1" t="n">
        <v>44367</v>
      </c>
      <c r="C924" s="1" t="n">
        <v>45760</v>
      </c>
      <c r="D924" t="inlineStr">
        <is>
          <t>VÄSTERBOTTENS LÄN</t>
        </is>
      </c>
      <c r="E924" t="inlineStr">
        <is>
          <t>SKELLEFTEÅ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31186-2021</t>
        </is>
      </c>
      <c r="B925" s="1" t="n">
        <v>44368</v>
      </c>
      <c r="C925" s="1" t="n">
        <v>45760</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31181-2021</t>
        </is>
      </c>
      <c r="B926" s="1" t="n">
        <v>44368</v>
      </c>
      <c r="C926" s="1" t="n">
        <v>45760</v>
      </c>
      <c r="D926" t="inlineStr">
        <is>
          <t>VÄSTERBOTTENS LÄN</t>
        </is>
      </c>
      <c r="E926" t="inlineStr">
        <is>
          <t>SKELLEFTEÅ</t>
        </is>
      </c>
      <c r="G926" t="n">
        <v>6.3</v>
      </c>
      <c r="H926" t="n">
        <v>0</v>
      </c>
      <c r="I926" t="n">
        <v>0</v>
      </c>
      <c r="J926" t="n">
        <v>0</v>
      </c>
      <c r="K926" t="n">
        <v>0</v>
      </c>
      <c r="L926" t="n">
        <v>0</v>
      </c>
      <c r="M926" t="n">
        <v>0</v>
      </c>
      <c r="N926" t="n">
        <v>0</v>
      </c>
      <c r="O926" t="n">
        <v>0</v>
      </c>
      <c r="P926" t="n">
        <v>0</v>
      </c>
      <c r="Q926" t="n">
        <v>0</v>
      </c>
      <c r="R926" s="2" t="inlineStr"/>
    </row>
    <row r="927" ht="15" customHeight="1">
      <c r="A927" t="inlineStr">
        <is>
          <t>A 31197-2021</t>
        </is>
      </c>
      <c r="B927" s="1" t="n">
        <v>44368</v>
      </c>
      <c r="C927" s="1" t="n">
        <v>45760</v>
      </c>
      <c r="D927" t="inlineStr">
        <is>
          <t>VÄSTERBOTTENS LÄN</t>
        </is>
      </c>
      <c r="E927" t="inlineStr">
        <is>
          <t>SKELLEFTEÅ</t>
        </is>
      </c>
      <c r="G927" t="n">
        <v>2.2</v>
      </c>
      <c r="H927" t="n">
        <v>0</v>
      </c>
      <c r="I927" t="n">
        <v>0</v>
      </c>
      <c r="J927" t="n">
        <v>0</v>
      </c>
      <c r="K927" t="n">
        <v>0</v>
      </c>
      <c r="L927" t="n">
        <v>0</v>
      </c>
      <c r="M927" t="n">
        <v>0</v>
      </c>
      <c r="N927" t="n">
        <v>0</v>
      </c>
      <c r="O927" t="n">
        <v>0</v>
      </c>
      <c r="P927" t="n">
        <v>0</v>
      </c>
      <c r="Q927" t="n">
        <v>0</v>
      </c>
      <c r="R927" s="2" t="inlineStr"/>
    </row>
    <row r="928" ht="15" customHeight="1">
      <c r="A928" t="inlineStr">
        <is>
          <t>A 31251-2021</t>
        </is>
      </c>
      <c r="B928" s="1" t="n">
        <v>44368</v>
      </c>
      <c r="C928" s="1" t="n">
        <v>45760</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31419-2021</t>
        </is>
      </c>
      <c r="B929" s="1" t="n">
        <v>44368</v>
      </c>
      <c r="C929" s="1" t="n">
        <v>45760</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31395-2021</t>
        </is>
      </c>
      <c r="B930" s="1" t="n">
        <v>44369</v>
      </c>
      <c r="C930" s="1" t="n">
        <v>45760</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31766-2021</t>
        </is>
      </c>
      <c r="B931" s="1" t="n">
        <v>44369</v>
      </c>
      <c r="C931" s="1" t="n">
        <v>45760</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32114-2021</t>
        </is>
      </c>
      <c r="B932" s="1" t="n">
        <v>44371</v>
      </c>
      <c r="C932" s="1" t="n">
        <v>45760</v>
      </c>
      <c r="D932" t="inlineStr">
        <is>
          <t>VÄSTERBOTTENS LÄN</t>
        </is>
      </c>
      <c r="E932" t="inlineStr">
        <is>
          <t>SKELLEFTEÅ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32439-2021</t>
        </is>
      </c>
      <c r="B933" s="1" t="n">
        <v>44371</v>
      </c>
      <c r="C933" s="1" t="n">
        <v>45760</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32438-2021</t>
        </is>
      </c>
      <c r="B934" s="1" t="n">
        <v>44371</v>
      </c>
      <c r="C934" s="1" t="n">
        <v>45760</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32616-2021</t>
        </is>
      </c>
      <c r="B935" s="1" t="n">
        <v>44371</v>
      </c>
      <c r="C935" s="1" t="n">
        <v>45760</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32585-2021</t>
        </is>
      </c>
      <c r="B936" s="1" t="n">
        <v>44375</v>
      </c>
      <c r="C936" s="1" t="n">
        <v>45760</v>
      </c>
      <c r="D936" t="inlineStr">
        <is>
          <t>VÄSTERBOTTENS LÄN</t>
        </is>
      </c>
      <c r="E936" t="inlineStr">
        <is>
          <t>SKELLEFTEÅ</t>
        </is>
      </c>
      <c r="F936" t="inlineStr">
        <is>
          <t>Holmen skog AB</t>
        </is>
      </c>
      <c r="G936" t="n">
        <v>4.6</v>
      </c>
      <c r="H936" t="n">
        <v>0</v>
      </c>
      <c r="I936" t="n">
        <v>0</v>
      </c>
      <c r="J936" t="n">
        <v>0</v>
      </c>
      <c r="K936" t="n">
        <v>0</v>
      </c>
      <c r="L936" t="n">
        <v>0</v>
      </c>
      <c r="M936" t="n">
        <v>0</v>
      </c>
      <c r="N936" t="n">
        <v>0</v>
      </c>
      <c r="O936" t="n">
        <v>0</v>
      </c>
      <c r="P936" t="n">
        <v>0</v>
      </c>
      <c r="Q936" t="n">
        <v>0</v>
      </c>
      <c r="R936" s="2" t="inlineStr"/>
    </row>
    <row r="937" ht="15" customHeight="1">
      <c r="A937" t="inlineStr">
        <is>
          <t>A 32917-2021</t>
        </is>
      </c>
      <c r="B937" s="1" t="n">
        <v>44375</v>
      </c>
      <c r="C937" s="1" t="n">
        <v>45760</v>
      </c>
      <c r="D937" t="inlineStr">
        <is>
          <t>VÄSTERBOTTENS LÄN</t>
        </is>
      </c>
      <c r="E937" t="inlineStr">
        <is>
          <t>SKELLEFTEÅ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33236-2021</t>
        </is>
      </c>
      <c r="B938" s="1" t="n">
        <v>44376</v>
      </c>
      <c r="C938" s="1" t="n">
        <v>45760</v>
      </c>
      <c r="D938" t="inlineStr">
        <is>
          <t>VÄSTERBOTTENS LÄN</t>
        </is>
      </c>
      <c r="E938" t="inlineStr">
        <is>
          <t>SKELLEFTEÅ</t>
        </is>
      </c>
      <c r="G938" t="n">
        <v>5.4</v>
      </c>
      <c r="H938" t="n">
        <v>0</v>
      </c>
      <c r="I938" t="n">
        <v>0</v>
      </c>
      <c r="J938" t="n">
        <v>0</v>
      </c>
      <c r="K938" t="n">
        <v>0</v>
      </c>
      <c r="L938" t="n">
        <v>0</v>
      </c>
      <c r="M938" t="n">
        <v>0</v>
      </c>
      <c r="N938" t="n">
        <v>0</v>
      </c>
      <c r="O938" t="n">
        <v>0</v>
      </c>
      <c r="P938" t="n">
        <v>0</v>
      </c>
      <c r="Q938" t="n">
        <v>0</v>
      </c>
      <c r="R938" s="2" t="inlineStr"/>
    </row>
    <row r="939" ht="15" customHeight="1">
      <c r="A939" t="inlineStr">
        <is>
          <t>A 33283-2021</t>
        </is>
      </c>
      <c r="B939" s="1" t="n">
        <v>44377</v>
      </c>
      <c r="C939" s="1" t="n">
        <v>45760</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33284-2021</t>
        </is>
      </c>
      <c r="B940" s="1" t="n">
        <v>44377</v>
      </c>
      <c r="C940" s="1" t="n">
        <v>45760</v>
      </c>
      <c r="D940" t="inlineStr">
        <is>
          <t>VÄSTERBOTTENS LÄN</t>
        </is>
      </c>
      <c r="E940" t="inlineStr">
        <is>
          <t>SKELLEFTEÅ</t>
        </is>
      </c>
      <c r="G940" t="n">
        <v>3.6</v>
      </c>
      <c r="H940" t="n">
        <v>0</v>
      </c>
      <c r="I940" t="n">
        <v>0</v>
      </c>
      <c r="J940" t="n">
        <v>0</v>
      </c>
      <c r="K940" t="n">
        <v>0</v>
      </c>
      <c r="L940" t="n">
        <v>0</v>
      </c>
      <c r="M940" t="n">
        <v>0</v>
      </c>
      <c r="N940" t="n">
        <v>0</v>
      </c>
      <c r="O940" t="n">
        <v>0</v>
      </c>
      <c r="P940" t="n">
        <v>0</v>
      </c>
      <c r="Q940" t="n">
        <v>0</v>
      </c>
      <c r="R940" s="2" t="inlineStr"/>
    </row>
    <row r="941" ht="15" customHeight="1">
      <c r="A941" t="inlineStr">
        <is>
          <t>A 33373-2021</t>
        </is>
      </c>
      <c r="B941" s="1" t="n">
        <v>44377</v>
      </c>
      <c r="C941" s="1" t="n">
        <v>45760</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33473-2021</t>
        </is>
      </c>
      <c r="B942" s="1" t="n">
        <v>44377</v>
      </c>
      <c r="C942" s="1" t="n">
        <v>45760</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33520-2021</t>
        </is>
      </c>
      <c r="B943" s="1" t="n">
        <v>44377</v>
      </c>
      <c r="C943" s="1" t="n">
        <v>45760</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33576-2021</t>
        </is>
      </c>
      <c r="B944" s="1" t="n">
        <v>44378</v>
      </c>
      <c r="C944" s="1" t="n">
        <v>45760</v>
      </c>
      <c r="D944" t="inlineStr">
        <is>
          <t>VÄSTERBOTTENS LÄN</t>
        </is>
      </c>
      <c r="E944" t="inlineStr">
        <is>
          <t>SKELLEFTEÅ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33519-2021</t>
        </is>
      </c>
      <c r="B945" s="1" t="n">
        <v>44377</v>
      </c>
      <c r="C945" s="1" t="n">
        <v>45760</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33680-2021</t>
        </is>
      </c>
      <c r="B946" s="1" t="n">
        <v>44378</v>
      </c>
      <c r="C946" s="1" t="n">
        <v>45760</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33661-2021</t>
        </is>
      </c>
      <c r="B947" s="1" t="n">
        <v>44378</v>
      </c>
      <c r="C947" s="1" t="n">
        <v>45760</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33687-2021</t>
        </is>
      </c>
      <c r="B948" s="1" t="n">
        <v>44378</v>
      </c>
      <c r="C948" s="1" t="n">
        <v>45760</v>
      </c>
      <c r="D948" t="inlineStr">
        <is>
          <t>VÄSTERBOTTENS LÄN</t>
        </is>
      </c>
      <c r="E948" t="inlineStr">
        <is>
          <t>SKELLEFTEÅ</t>
        </is>
      </c>
      <c r="G948" t="n">
        <v>0.1</v>
      </c>
      <c r="H948" t="n">
        <v>0</v>
      </c>
      <c r="I948" t="n">
        <v>0</v>
      </c>
      <c r="J948" t="n">
        <v>0</v>
      </c>
      <c r="K948" t="n">
        <v>0</v>
      </c>
      <c r="L948" t="n">
        <v>0</v>
      </c>
      <c r="M948" t="n">
        <v>0</v>
      </c>
      <c r="N948" t="n">
        <v>0</v>
      </c>
      <c r="O948" t="n">
        <v>0</v>
      </c>
      <c r="P948" t="n">
        <v>0</v>
      </c>
      <c r="Q948" t="n">
        <v>0</v>
      </c>
      <c r="R948" s="2" t="inlineStr"/>
    </row>
    <row r="949" ht="15" customHeight="1">
      <c r="A949" t="inlineStr">
        <is>
          <t>A 33841-2021</t>
        </is>
      </c>
      <c r="B949" s="1" t="n">
        <v>44378</v>
      </c>
      <c r="C949" s="1" t="n">
        <v>45760</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34111-2021</t>
        </is>
      </c>
      <c r="B950" s="1" t="n">
        <v>44379</v>
      </c>
      <c r="C950" s="1" t="n">
        <v>45760</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34633-2021</t>
        </is>
      </c>
      <c r="B951" s="1" t="n">
        <v>44382</v>
      </c>
      <c r="C951" s="1" t="n">
        <v>45760</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34773-2021</t>
        </is>
      </c>
      <c r="B952" s="1" t="n">
        <v>44382</v>
      </c>
      <c r="C952" s="1" t="n">
        <v>45760</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35049-2021</t>
        </is>
      </c>
      <c r="B953" s="1" t="n">
        <v>44384</v>
      </c>
      <c r="C953" s="1" t="n">
        <v>45760</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35087-2021</t>
        </is>
      </c>
      <c r="B954" s="1" t="n">
        <v>44383</v>
      </c>
      <c r="C954" s="1" t="n">
        <v>45760</v>
      </c>
      <c r="D954" t="inlineStr">
        <is>
          <t>VÄSTERBOTTENS LÄN</t>
        </is>
      </c>
      <c r="E954" t="inlineStr">
        <is>
          <t>SKELLEFTEÅ</t>
        </is>
      </c>
      <c r="G954" t="n">
        <v>7</v>
      </c>
      <c r="H954" t="n">
        <v>0</v>
      </c>
      <c r="I954" t="n">
        <v>0</v>
      </c>
      <c r="J954" t="n">
        <v>0</v>
      </c>
      <c r="K954" t="n">
        <v>0</v>
      </c>
      <c r="L954" t="n">
        <v>0</v>
      </c>
      <c r="M954" t="n">
        <v>0</v>
      </c>
      <c r="N954" t="n">
        <v>0</v>
      </c>
      <c r="O954" t="n">
        <v>0</v>
      </c>
      <c r="P954" t="n">
        <v>0</v>
      </c>
      <c r="Q954" t="n">
        <v>0</v>
      </c>
      <c r="R954" s="2" t="inlineStr"/>
    </row>
    <row r="955" ht="15" customHeight="1">
      <c r="A955" t="inlineStr">
        <is>
          <t>A 35078-2021</t>
        </is>
      </c>
      <c r="B955" s="1" t="n">
        <v>44384</v>
      </c>
      <c r="C955" s="1" t="n">
        <v>45760</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35442-2021</t>
        </is>
      </c>
      <c r="B956" s="1" t="n">
        <v>44384</v>
      </c>
      <c r="C956" s="1" t="n">
        <v>45760</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35435-2021</t>
        </is>
      </c>
      <c r="B957" s="1" t="n">
        <v>44385</v>
      </c>
      <c r="C957" s="1" t="n">
        <v>45760</v>
      </c>
      <c r="D957" t="inlineStr">
        <is>
          <t>VÄSTERBOTTENS LÄN</t>
        </is>
      </c>
      <c r="E957" t="inlineStr">
        <is>
          <t>SKELLEFTEÅ</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35578-2021</t>
        </is>
      </c>
      <c r="B958" s="1" t="n">
        <v>44386</v>
      </c>
      <c r="C958" s="1" t="n">
        <v>45760</v>
      </c>
      <c r="D958" t="inlineStr">
        <is>
          <t>VÄSTERBOTTENS LÄN</t>
        </is>
      </c>
      <c r="E958" t="inlineStr">
        <is>
          <t>SKELLEFTEÅ</t>
        </is>
      </c>
      <c r="F958" t="inlineStr">
        <is>
          <t>Sveaskog</t>
        </is>
      </c>
      <c r="G958" t="n">
        <v>15.5</v>
      </c>
      <c r="H958" t="n">
        <v>0</v>
      </c>
      <c r="I958" t="n">
        <v>0</v>
      </c>
      <c r="J958" t="n">
        <v>0</v>
      </c>
      <c r="K958" t="n">
        <v>0</v>
      </c>
      <c r="L958" t="n">
        <v>0</v>
      </c>
      <c r="M958" t="n">
        <v>0</v>
      </c>
      <c r="N958" t="n">
        <v>0</v>
      </c>
      <c r="O958" t="n">
        <v>0</v>
      </c>
      <c r="P958" t="n">
        <v>0</v>
      </c>
      <c r="Q958" t="n">
        <v>0</v>
      </c>
      <c r="R958" s="2" t="inlineStr"/>
    </row>
    <row r="959" ht="15" customHeight="1">
      <c r="A959" t="inlineStr">
        <is>
          <t>A 35650-2021</t>
        </is>
      </c>
      <c r="B959" s="1" t="n">
        <v>44386</v>
      </c>
      <c r="C959" s="1" t="n">
        <v>45760</v>
      </c>
      <c r="D959" t="inlineStr">
        <is>
          <t>VÄSTERBOTTENS LÄN</t>
        </is>
      </c>
      <c r="E959" t="inlineStr">
        <is>
          <t>SKELLEFTEÅ</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36086-2021</t>
        </is>
      </c>
      <c r="B960" s="1" t="n">
        <v>44386</v>
      </c>
      <c r="C960" s="1" t="n">
        <v>45760</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36564-2021</t>
        </is>
      </c>
      <c r="B961" s="1" t="n">
        <v>44391</v>
      </c>
      <c r="C961" s="1" t="n">
        <v>45760</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36588-2021</t>
        </is>
      </c>
      <c r="B962" s="1" t="n">
        <v>44391</v>
      </c>
      <c r="C962" s="1" t="n">
        <v>45760</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36603-2021</t>
        </is>
      </c>
      <c r="B963" s="1" t="n">
        <v>44391</v>
      </c>
      <c r="C963" s="1" t="n">
        <v>45760</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36609-2021</t>
        </is>
      </c>
      <c r="B964" s="1" t="n">
        <v>44391</v>
      </c>
      <c r="C964" s="1" t="n">
        <v>45760</v>
      </c>
      <c r="D964" t="inlineStr">
        <is>
          <t>VÄSTERBOTTENS LÄN</t>
        </is>
      </c>
      <c r="E964" t="inlineStr">
        <is>
          <t>SKELLEFTEÅ</t>
        </is>
      </c>
      <c r="G964" t="n">
        <v>10.6</v>
      </c>
      <c r="H964" t="n">
        <v>0</v>
      </c>
      <c r="I964" t="n">
        <v>0</v>
      </c>
      <c r="J964" t="n">
        <v>0</v>
      </c>
      <c r="K964" t="n">
        <v>0</v>
      </c>
      <c r="L964" t="n">
        <v>0</v>
      </c>
      <c r="M964" t="n">
        <v>0</v>
      </c>
      <c r="N964" t="n">
        <v>0</v>
      </c>
      <c r="O964" t="n">
        <v>0</v>
      </c>
      <c r="P964" t="n">
        <v>0</v>
      </c>
      <c r="Q964" t="n">
        <v>0</v>
      </c>
      <c r="R964" s="2" t="inlineStr"/>
    </row>
    <row r="965" ht="15" customHeight="1">
      <c r="A965" t="inlineStr">
        <is>
          <t>A 37210-2021</t>
        </is>
      </c>
      <c r="B965" s="1" t="n">
        <v>44396</v>
      </c>
      <c r="C965" s="1" t="n">
        <v>45760</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37211-2021</t>
        </is>
      </c>
      <c r="B966" s="1" t="n">
        <v>44396</v>
      </c>
      <c r="C966" s="1" t="n">
        <v>45760</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37208-2021</t>
        </is>
      </c>
      <c r="B967" s="1" t="n">
        <v>44396</v>
      </c>
      <c r="C967" s="1" t="n">
        <v>45760</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37498-2021</t>
        </is>
      </c>
      <c r="B968" s="1" t="n">
        <v>44399</v>
      </c>
      <c r="C968" s="1" t="n">
        <v>45760</v>
      </c>
      <c r="D968" t="inlineStr">
        <is>
          <t>VÄSTERBOTTENS LÄN</t>
        </is>
      </c>
      <c r="E968" t="inlineStr">
        <is>
          <t>SKELLEFTEÅ</t>
        </is>
      </c>
      <c r="G968" t="n">
        <v>12.8</v>
      </c>
      <c r="H968" t="n">
        <v>0</v>
      </c>
      <c r="I968" t="n">
        <v>0</v>
      </c>
      <c r="J968" t="n">
        <v>0</v>
      </c>
      <c r="K968" t="n">
        <v>0</v>
      </c>
      <c r="L968" t="n">
        <v>0</v>
      </c>
      <c r="M968" t="n">
        <v>0</v>
      </c>
      <c r="N968" t="n">
        <v>0</v>
      </c>
      <c r="O968" t="n">
        <v>0</v>
      </c>
      <c r="P968" t="n">
        <v>0</v>
      </c>
      <c r="Q968" t="n">
        <v>0</v>
      </c>
      <c r="R968" s="2" t="inlineStr"/>
    </row>
    <row r="969" ht="15" customHeight="1">
      <c r="A969" t="inlineStr">
        <is>
          <t>A 37792-2021</t>
        </is>
      </c>
      <c r="B969" s="1" t="n">
        <v>44401</v>
      </c>
      <c r="C969" s="1" t="n">
        <v>45760</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37937-2021</t>
        </is>
      </c>
      <c r="B970" s="1" t="n">
        <v>44403</v>
      </c>
      <c r="C970" s="1" t="n">
        <v>45760</v>
      </c>
      <c r="D970" t="inlineStr">
        <is>
          <t>VÄSTERBOTTENS LÄN</t>
        </is>
      </c>
      <c r="E970" t="inlineStr">
        <is>
          <t>SKELLEFTEÅ</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37938-2021</t>
        </is>
      </c>
      <c r="B971" s="1" t="n">
        <v>44403</v>
      </c>
      <c r="C971" s="1" t="n">
        <v>45760</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38026-2021</t>
        </is>
      </c>
      <c r="B972" s="1" t="n">
        <v>44404</v>
      </c>
      <c r="C972" s="1" t="n">
        <v>45760</v>
      </c>
      <c r="D972" t="inlineStr">
        <is>
          <t>VÄSTERBOTTENS LÄN</t>
        </is>
      </c>
      <c r="E972" t="inlineStr">
        <is>
          <t>SKELLEFTEÅ</t>
        </is>
      </c>
      <c r="F972" t="inlineStr">
        <is>
          <t>Holmen skog AB</t>
        </is>
      </c>
      <c r="G972" t="n">
        <v>7.8</v>
      </c>
      <c r="H972" t="n">
        <v>0</v>
      </c>
      <c r="I972" t="n">
        <v>0</v>
      </c>
      <c r="J972" t="n">
        <v>0</v>
      </c>
      <c r="K972" t="n">
        <v>0</v>
      </c>
      <c r="L972" t="n">
        <v>0</v>
      </c>
      <c r="M972" t="n">
        <v>0</v>
      </c>
      <c r="N972" t="n">
        <v>0</v>
      </c>
      <c r="O972" t="n">
        <v>0</v>
      </c>
      <c r="P972" t="n">
        <v>0</v>
      </c>
      <c r="Q972" t="n">
        <v>0</v>
      </c>
      <c r="R972" s="2" t="inlineStr"/>
    </row>
    <row r="973" ht="15" customHeight="1">
      <c r="A973" t="inlineStr">
        <is>
          <t>A 38260-2021</t>
        </is>
      </c>
      <c r="B973" s="1" t="n">
        <v>44405</v>
      </c>
      <c r="C973" s="1" t="n">
        <v>45760</v>
      </c>
      <c r="D973" t="inlineStr">
        <is>
          <t>VÄSTERBOTTENS LÄN</t>
        </is>
      </c>
      <c r="E973" t="inlineStr">
        <is>
          <t>SKELLEFTEÅ</t>
        </is>
      </c>
      <c r="G973" t="n">
        <v>8.5</v>
      </c>
      <c r="H973" t="n">
        <v>0</v>
      </c>
      <c r="I973" t="n">
        <v>0</v>
      </c>
      <c r="J973" t="n">
        <v>0</v>
      </c>
      <c r="K973" t="n">
        <v>0</v>
      </c>
      <c r="L973" t="n">
        <v>0</v>
      </c>
      <c r="M973" t="n">
        <v>0</v>
      </c>
      <c r="N973" t="n">
        <v>0</v>
      </c>
      <c r="O973" t="n">
        <v>0</v>
      </c>
      <c r="P973" t="n">
        <v>0</v>
      </c>
      <c r="Q973" t="n">
        <v>0</v>
      </c>
      <c r="R973" s="2" t="inlineStr"/>
    </row>
    <row r="974" ht="15" customHeight="1">
      <c r="A974" t="inlineStr">
        <is>
          <t>A 38504-2021</t>
        </is>
      </c>
      <c r="B974" s="1" t="n">
        <v>44407</v>
      </c>
      <c r="C974" s="1" t="n">
        <v>45760</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38506-2021</t>
        </is>
      </c>
      <c r="B975" s="1" t="n">
        <v>44407</v>
      </c>
      <c r="C975" s="1" t="n">
        <v>45760</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38505-2021</t>
        </is>
      </c>
      <c r="B976" s="1" t="n">
        <v>44407</v>
      </c>
      <c r="C976" s="1" t="n">
        <v>45760</v>
      </c>
      <c r="D976" t="inlineStr">
        <is>
          <t>VÄSTERBOTTENS LÄN</t>
        </is>
      </c>
      <c r="E976" t="inlineStr">
        <is>
          <t>SKELLEFTEÅ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39035-2021</t>
        </is>
      </c>
      <c r="B977" s="1" t="n">
        <v>44411</v>
      </c>
      <c r="C977" s="1" t="n">
        <v>45760</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39623-2021</t>
        </is>
      </c>
      <c r="B978" s="1" t="n">
        <v>44413</v>
      </c>
      <c r="C978" s="1" t="n">
        <v>45760</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39185-2021</t>
        </is>
      </c>
      <c r="B979" s="1" t="n">
        <v>44413</v>
      </c>
      <c r="C979" s="1" t="n">
        <v>45760</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39277-2021</t>
        </is>
      </c>
      <c r="B980" s="1" t="n">
        <v>44413</v>
      </c>
      <c r="C980" s="1" t="n">
        <v>45760</v>
      </c>
      <c r="D980" t="inlineStr">
        <is>
          <t>VÄSTERBOTTENS LÄN</t>
        </is>
      </c>
      <c r="E980" t="inlineStr">
        <is>
          <t>SKELLEFTEÅ</t>
        </is>
      </c>
      <c r="F980" t="inlineStr">
        <is>
          <t>Holmen skog AB</t>
        </is>
      </c>
      <c r="G980" t="n">
        <v>6.3</v>
      </c>
      <c r="H980" t="n">
        <v>0</v>
      </c>
      <c r="I980" t="n">
        <v>0</v>
      </c>
      <c r="J980" t="n">
        <v>0</v>
      </c>
      <c r="K980" t="n">
        <v>0</v>
      </c>
      <c r="L980" t="n">
        <v>0</v>
      </c>
      <c r="M980" t="n">
        <v>0</v>
      </c>
      <c r="N980" t="n">
        <v>0</v>
      </c>
      <c r="O980" t="n">
        <v>0</v>
      </c>
      <c r="P980" t="n">
        <v>0</v>
      </c>
      <c r="Q980" t="n">
        <v>0</v>
      </c>
      <c r="R980" s="2" t="inlineStr"/>
    </row>
    <row r="981" ht="15" customHeight="1">
      <c r="A981" t="inlineStr">
        <is>
          <t>A 39192-2021</t>
        </is>
      </c>
      <c r="B981" s="1" t="n">
        <v>44413</v>
      </c>
      <c r="C981" s="1" t="n">
        <v>45760</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39226-2021</t>
        </is>
      </c>
      <c r="B982" s="1" t="n">
        <v>44413</v>
      </c>
      <c r="C982" s="1" t="n">
        <v>45760</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39589-2021</t>
        </is>
      </c>
      <c r="B983" s="1" t="n">
        <v>44413</v>
      </c>
      <c r="C983" s="1" t="n">
        <v>45760</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39590-2021</t>
        </is>
      </c>
      <c r="B984" s="1" t="n">
        <v>44413</v>
      </c>
      <c r="C984" s="1" t="n">
        <v>45760</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39553-2021</t>
        </is>
      </c>
      <c r="B985" s="1" t="n">
        <v>44416</v>
      </c>
      <c r="C985" s="1" t="n">
        <v>45760</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39827-2021</t>
        </is>
      </c>
      <c r="B986" s="1" t="n">
        <v>44417</v>
      </c>
      <c r="C986" s="1" t="n">
        <v>45760</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40683-2021</t>
        </is>
      </c>
      <c r="B987" s="1" t="n">
        <v>44420</v>
      </c>
      <c r="C987" s="1" t="n">
        <v>45760</v>
      </c>
      <c r="D987" t="inlineStr">
        <is>
          <t>VÄSTERBOTTENS LÄN</t>
        </is>
      </c>
      <c r="E987" t="inlineStr">
        <is>
          <t>SKELLEFTEÅ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40828-2021</t>
        </is>
      </c>
      <c r="B988" s="1" t="n">
        <v>44421</v>
      </c>
      <c r="C988" s="1" t="n">
        <v>45760</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40906-2021</t>
        </is>
      </c>
      <c r="B989" s="1" t="n">
        <v>44421</v>
      </c>
      <c r="C989" s="1" t="n">
        <v>45760</v>
      </c>
      <c r="D989" t="inlineStr">
        <is>
          <t>VÄSTERBOTTENS LÄN</t>
        </is>
      </c>
      <c r="E989" t="inlineStr">
        <is>
          <t>SKELLEFTEÅ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40929-2021</t>
        </is>
      </c>
      <c r="B990" s="1" t="n">
        <v>44421</v>
      </c>
      <c r="C990" s="1" t="n">
        <v>45760</v>
      </c>
      <c r="D990" t="inlineStr">
        <is>
          <t>VÄSTERBOTTENS LÄN</t>
        </is>
      </c>
      <c r="E990" t="inlineStr">
        <is>
          <t>SKELLEFTEÅ</t>
        </is>
      </c>
      <c r="F990" t="inlineStr">
        <is>
          <t>Holmen skog AB</t>
        </is>
      </c>
      <c r="G990" t="n">
        <v>2.8</v>
      </c>
      <c r="H990" t="n">
        <v>0</v>
      </c>
      <c r="I990" t="n">
        <v>0</v>
      </c>
      <c r="J990" t="n">
        <v>0</v>
      </c>
      <c r="K990" t="n">
        <v>0</v>
      </c>
      <c r="L990" t="n">
        <v>0</v>
      </c>
      <c r="M990" t="n">
        <v>0</v>
      </c>
      <c r="N990" t="n">
        <v>0</v>
      </c>
      <c r="O990" t="n">
        <v>0</v>
      </c>
      <c r="P990" t="n">
        <v>0</v>
      </c>
      <c r="Q990" t="n">
        <v>0</v>
      </c>
      <c r="R990" s="2" t="inlineStr"/>
    </row>
    <row r="991" ht="15" customHeight="1">
      <c r="A991" t="inlineStr">
        <is>
          <t>A 40898-2021</t>
        </is>
      </c>
      <c r="B991" s="1" t="n">
        <v>44421</v>
      </c>
      <c r="C991" s="1" t="n">
        <v>45760</v>
      </c>
      <c r="D991" t="inlineStr">
        <is>
          <t>VÄSTERBOTTENS LÄN</t>
        </is>
      </c>
      <c r="E991" t="inlineStr">
        <is>
          <t>SKELLEFTEÅ</t>
        </is>
      </c>
      <c r="G991" t="n">
        <v>5.3</v>
      </c>
      <c r="H991" t="n">
        <v>0</v>
      </c>
      <c r="I991" t="n">
        <v>0</v>
      </c>
      <c r="J991" t="n">
        <v>0</v>
      </c>
      <c r="K991" t="n">
        <v>0</v>
      </c>
      <c r="L991" t="n">
        <v>0</v>
      </c>
      <c r="M991" t="n">
        <v>0</v>
      </c>
      <c r="N991" t="n">
        <v>0</v>
      </c>
      <c r="O991" t="n">
        <v>0</v>
      </c>
      <c r="P991" t="n">
        <v>0</v>
      </c>
      <c r="Q991" t="n">
        <v>0</v>
      </c>
      <c r="R991" s="2" t="inlineStr"/>
    </row>
    <row r="992" ht="15" customHeight="1">
      <c r="A992" t="inlineStr">
        <is>
          <t>A 41464-2021</t>
        </is>
      </c>
      <c r="B992" s="1" t="n">
        <v>44424</v>
      </c>
      <c r="C992" s="1" t="n">
        <v>45760</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41507-2021</t>
        </is>
      </c>
      <c r="B993" s="1" t="n">
        <v>44425</v>
      </c>
      <c r="C993" s="1" t="n">
        <v>45760</v>
      </c>
      <c r="D993" t="inlineStr">
        <is>
          <t>VÄSTERBOTTENS LÄN</t>
        </is>
      </c>
      <c r="E993" t="inlineStr">
        <is>
          <t>SKELLEFTEÅ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42057-2021</t>
        </is>
      </c>
      <c r="B994" s="1" t="n">
        <v>44426</v>
      </c>
      <c r="C994" s="1" t="n">
        <v>45760</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41993-2021</t>
        </is>
      </c>
      <c r="B995" s="1" t="n">
        <v>44426</v>
      </c>
      <c r="C995" s="1" t="n">
        <v>45760</v>
      </c>
      <c r="D995" t="inlineStr">
        <is>
          <t>VÄSTERBOTTENS LÄN</t>
        </is>
      </c>
      <c r="E995" t="inlineStr">
        <is>
          <t>SKELLEFTEÅ</t>
        </is>
      </c>
      <c r="F995" t="inlineStr">
        <is>
          <t>Sveaskog</t>
        </is>
      </c>
      <c r="G995" t="n">
        <v>14.3</v>
      </c>
      <c r="H995" t="n">
        <v>0</v>
      </c>
      <c r="I995" t="n">
        <v>0</v>
      </c>
      <c r="J995" t="n">
        <v>0</v>
      </c>
      <c r="K995" t="n">
        <v>0</v>
      </c>
      <c r="L995" t="n">
        <v>0</v>
      </c>
      <c r="M995" t="n">
        <v>0</v>
      </c>
      <c r="N995" t="n">
        <v>0</v>
      </c>
      <c r="O995" t="n">
        <v>0</v>
      </c>
      <c r="P995" t="n">
        <v>0</v>
      </c>
      <c r="Q995" t="n">
        <v>0</v>
      </c>
      <c r="R995" s="2" t="inlineStr"/>
    </row>
    <row r="996" ht="15" customHeight="1">
      <c r="A996" t="inlineStr">
        <is>
          <t>A 42026-2021</t>
        </is>
      </c>
      <c r="B996" s="1" t="n">
        <v>44426</v>
      </c>
      <c r="C996" s="1" t="n">
        <v>45760</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42323-2021</t>
        </is>
      </c>
      <c r="B997" s="1" t="n">
        <v>44426</v>
      </c>
      <c r="C997" s="1" t="n">
        <v>45760</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42367-2021</t>
        </is>
      </c>
      <c r="B998" s="1" t="n">
        <v>44427</v>
      </c>
      <c r="C998" s="1" t="n">
        <v>45760</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42557-2021</t>
        </is>
      </c>
      <c r="B999" s="1" t="n">
        <v>44428</v>
      </c>
      <c r="C999" s="1" t="n">
        <v>45760</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42609-2021</t>
        </is>
      </c>
      <c r="B1000" s="1" t="n">
        <v>44428</v>
      </c>
      <c r="C1000" s="1" t="n">
        <v>45760</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43228-2021</t>
        </is>
      </c>
      <c r="B1001" s="1" t="n">
        <v>44432</v>
      </c>
      <c r="C1001" s="1" t="n">
        <v>45760</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43252-2021</t>
        </is>
      </c>
      <c r="B1002" s="1" t="n">
        <v>44432</v>
      </c>
      <c r="C1002" s="1" t="n">
        <v>45760</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43863-2021</t>
        </is>
      </c>
      <c r="B1003" s="1" t="n">
        <v>44433</v>
      </c>
      <c r="C1003" s="1" t="n">
        <v>45760</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44090-2021</t>
        </is>
      </c>
      <c r="B1004" s="1" t="n">
        <v>44434</v>
      </c>
      <c r="C1004" s="1" t="n">
        <v>45760</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44570-2021</t>
        </is>
      </c>
      <c r="B1005" s="1" t="n">
        <v>44435</v>
      </c>
      <c r="C1005" s="1" t="n">
        <v>45760</v>
      </c>
      <c r="D1005" t="inlineStr">
        <is>
          <t>VÄSTERBOTTENS LÄN</t>
        </is>
      </c>
      <c r="E1005" t="inlineStr">
        <is>
          <t>SKELLEFTEÅ</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45043-2021</t>
        </is>
      </c>
      <c r="B1006" s="1" t="n">
        <v>44438</v>
      </c>
      <c r="C1006" s="1" t="n">
        <v>45760</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45036-2021</t>
        </is>
      </c>
      <c r="B1007" s="1" t="n">
        <v>44438</v>
      </c>
      <c r="C1007" s="1" t="n">
        <v>45760</v>
      </c>
      <c r="D1007" t="inlineStr">
        <is>
          <t>VÄSTERBOTTENS LÄN</t>
        </is>
      </c>
      <c r="E1007" t="inlineStr">
        <is>
          <t>SKELLEFTEÅ</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45384-2021</t>
        </is>
      </c>
      <c r="B1008" s="1" t="n">
        <v>44440</v>
      </c>
      <c r="C1008" s="1" t="n">
        <v>45760</v>
      </c>
      <c r="D1008" t="inlineStr">
        <is>
          <t>VÄSTERBOTTENS LÄN</t>
        </is>
      </c>
      <c r="E1008" t="inlineStr">
        <is>
          <t>SKELLEFTEÅ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45406-2021</t>
        </is>
      </c>
      <c r="B1009" s="1" t="n">
        <v>44440</v>
      </c>
      <c r="C1009" s="1" t="n">
        <v>45760</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45389-2021</t>
        </is>
      </c>
      <c r="B1010" s="1" t="n">
        <v>44440</v>
      </c>
      <c r="C1010" s="1" t="n">
        <v>45760</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46005-2021</t>
        </is>
      </c>
      <c r="B1011" s="1" t="n">
        <v>44441</v>
      </c>
      <c r="C1011" s="1" t="n">
        <v>45760</v>
      </c>
      <c r="D1011" t="inlineStr">
        <is>
          <t>VÄSTERBOTTENS LÄN</t>
        </is>
      </c>
      <c r="E1011" t="inlineStr">
        <is>
          <t>SKELLEFTEÅ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46006-2021</t>
        </is>
      </c>
      <c r="B1012" s="1" t="n">
        <v>44441</v>
      </c>
      <c r="C1012" s="1" t="n">
        <v>45760</v>
      </c>
      <c r="D1012" t="inlineStr">
        <is>
          <t>VÄSTERBOTTENS LÄN</t>
        </is>
      </c>
      <c r="E1012" t="inlineStr">
        <is>
          <t>SKELLEFTEÅ</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46178-2021</t>
        </is>
      </c>
      <c r="B1013" s="1" t="n">
        <v>44441</v>
      </c>
      <c r="C1013" s="1" t="n">
        <v>45760</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46619-2021</t>
        </is>
      </c>
      <c r="B1014" s="1" t="n">
        <v>44442</v>
      </c>
      <c r="C1014" s="1" t="n">
        <v>45760</v>
      </c>
      <c r="D1014" t="inlineStr">
        <is>
          <t>VÄSTERBOTTENS LÄN</t>
        </is>
      </c>
      <c r="E1014" t="inlineStr">
        <is>
          <t>SKELLEFTEÅ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46628-2021</t>
        </is>
      </c>
      <c r="B1015" s="1" t="n">
        <v>44445</v>
      </c>
      <c r="C1015" s="1" t="n">
        <v>45760</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47039-2021</t>
        </is>
      </c>
      <c r="B1016" s="1" t="n">
        <v>44446</v>
      </c>
      <c r="C1016" s="1" t="n">
        <v>45760</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47610-2021</t>
        </is>
      </c>
      <c r="B1017" s="1" t="n">
        <v>44448</v>
      </c>
      <c r="C1017" s="1" t="n">
        <v>45760</v>
      </c>
      <c r="D1017" t="inlineStr">
        <is>
          <t>VÄSTERBOTTENS LÄN</t>
        </is>
      </c>
      <c r="E1017" t="inlineStr">
        <is>
          <t>SKELLEFTEÅ</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47974-2021</t>
        </is>
      </c>
      <c r="B1018" s="1" t="n">
        <v>44448</v>
      </c>
      <c r="C1018" s="1" t="n">
        <v>45760</v>
      </c>
      <c r="D1018" t="inlineStr">
        <is>
          <t>VÄSTERBOTTENS LÄN</t>
        </is>
      </c>
      <c r="E1018" t="inlineStr">
        <is>
          <t>SKELLEFTEÅ</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48015-2021</t>
        </is>
      </c>
      <c r="B1019" s="1" t="n">
        <v>44449</v>
      </c>
      <c r="C1019" s="1" t="n">
        <v>45760</v>
      </c>
      <c r="D1019" t="inlineStr">
        <is>
          <t>VÄSTERBOTTENS LÄN</t>
        </is>
      </c>
      <c r="E1019" t="inlineStr">
        <is>
          <t>SKELLEFTEÅ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48538-2021</t>
        </is>
      </c>
      <c r="B1020" s="1" t="n">
        <v>44451</v>
      </c>
      <c r="C1020" s="1" t="n">
        <v>45760</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50603-2021</t>
        </is>
      </c>
      <c r="B1021" s="1" t="n">
        <v>44459</v>
      </c>
      <c r="C1021" s="1" t="n">
        <v>45760</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50772-2021</t>
        </is>
      </c>
      <c r="B1022" s="1" t="n">
        <v>44460</v>
      </c>
      <c r="C1022" s="1" t="n">
        <v>45760</v>
      </c>
      <c r="D1022" t="inlineStr">
        <is>
          <t>VÄSTERBOTTENS LÄN</t>
        </is>
      </c>
      <c r="E1022" t="inlineStr">
        <is>
          <t>SKELLEFTEÅ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51789-2021</t>
        </is>
      </c>
      <c r="B1023" s="1" t="n">
        <v>44461</v>
      </c>
      <c r="C1023" s="1" t="n">
        <v>45760</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51734-2021</t>
        </is>
      </c>
      <c r="B1024" s="1" t="n">
        <v>44461</v>
      </c>
      <c r="C1024" s="1" t="n">
        <v>45760</v>
      </c>
      <c r="D1024" t="inlineStr">
        <is>
          <t>VÄSTERBOTTENS LÄN</t>
        </is>
      </c>
      <c r="E1024" t="inlineStr">
        <is>
          <t>SKELLEFTEÅ</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51476-2021</t>
        </is>
      </c>
      <c r="B1025" s="1" t="n">
        <v>44462</v>
      </c>
      <c r="C1025" s="1" t="n">
        <v>45760</v>
      </c>
      <c r="D1025" t="inlineStr">
        <is>
          <t>VÄSTERBOTTENS LÄN</t>
        </is>
      </c>
      <c r="E1025" t="inlineStr">
        <is>
          <t>SKELLEFTEÅ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51587-2021</t>
        </is>
      </c>
      <c r="B1026" s="1" t="n">
        <v>44462</v>
      </c>
      <c r="C1026" s="1" t="n">
        <v>45760</v>
      </c>
      <c r="D1026" t="inlineStr">
        <is>
          <t>VÄSTERBOTTENS LÄN</t>
        </is>
      </c>
      <c r="E1026" t="inlineStr">
        <is>
          <t>SKELLEFTEÅ</t>
        </is>
      </c>
      <c r="F1026" t="inlineStr">
        <is>
          <t>Holmen skog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51544-2021</t>
        </is>
      </c>
      <c r="B1027" s="1" t="n">
        <v>44462</v>
      </c>
      <c r="C1027" s="1" t="n">
        <v>45760</v>
      </c>
      <c r="D1027" t="inlineStr">
        <is>
          <t>VÄSTERBOTTENS LÄN</t>
        </is>
      </c>
      <c r="E1027" t="inlineStr">
        <is>
          <t>SKELLEFTEÅ</t>
        </is>
      </c>
      <c r="F1027" t="inlineStr">
        <is>
          <t>Holmen skog AB</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52069-2021</t>
        </is>
      </c>
      <c r="B1028" s="1" t="n">
        <v>44462</v>
      </c>
      <c r="C1028" s="1" t="n">
        <v>45760</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52080-2021</t>
        </is>
      </c>
      <c r="B1029" s="1" t="n">
        <v>44463</v>
      </c>
      <c r="C1029" s="1" t="n">
        <v>45760</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52086-2021</t>
        </is>
      </c>
      <c r="B1030" s="1" t="n">
        <v>44463</v>
      </c>
      <c r="C1030" s="1" t="n">
        <v>45760</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52453-2021</t>
        </is>
      </c>
      <c r="B1031" s="1" t="n">
        <v>44463</v>
      </c>
      <c r="C1031" s="1" t="n">
        <v>45760</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52462-2021</t>
        </is>
      </c>
      <c r="B1032" s="1" t="n">
        <v>44463</v>
      </c>
      <c r="C1032" s="1" t="n">
        <v>45760</v>
      </c>
      <c r="D1032" t="inlineStr">
        <is>
          <t>VÄSTERBOTTENS LÄN</t>
        </is>
      </c>
      <c r="E1032" t="inlineStr">
        <is>
          <t>SKELLEFTEÅ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52746-2021</t>
        </is>
      </c>
      <c r="B1033" s="1" t="n">
        <v>44467</v>
      </c>
      <c r="C1033" s="1" t="n">
        <v>45760</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53152-2021</t>
        </is>
      </c>
      <c r="B1034" s="1" t="n">
        <v>44468</v>
      </c>
      <c r="C1034" s="1" t="n">
        <v>45760</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54193-2021</t>
        </is>
      </c>
      <c r="B1035" s="1" t="n">
        <v>44470</v>
      </c>
      <c r="C1035" s="1" t="n">
        <v>45760</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54280-2021</t>
        </is>
      </c>
      <c r="B1036" s="1" t="n">
        <v>44470</v>
      </c>
      <c r="C1036" s="1" t="n">
        <v>45760</v>
      </c>
      <c r="D1036" t="inlineStr">
        <is>
          <t>VÄSTERBOTTENS LÄN</t>
        </is>
      </c>
      <c r="E1036" t="inlineStr">
        <is>
          <t>SKELLEFTEÅ</t>
        </is>
      </c>
      <c r="F1036" t="inlineStr">
        <is>
          <t>Sveaskog</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54288-2021</t>
        </is>
      </c>
      <c r="B1037" s="1" t="n">
        <v>44471</v>
      </c>
      <c r="C1037" s="1" t="n">
        <v>45760</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54287-2021</t>
        </is>
      </c>
      <c r="B1038" s="1" t="n">
        <v>44471</v>
      </c>
      <c r="C1038" s="1" t="n">
        <v>45760</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54384-2021</t>
        </is>
      </c>
      <c r="B1039" s="1" t="n">
        <v>44473</v>
      </c>
      <c r="C1039" s="1" t="n">
        <v>45760</v>
      </c>
      <c r="D1039" t="inlineStr">
        <is>
          <t>VÄSTERBOTTENS LÄN</t>
        </is>
      </c>
      <c r="E1039" t="inlineStr">
        <is>
          <t>SKELLEFTEÅ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54863-2021</t>
        </is>
      </c>
      <c r="B1040" s="1" t="n">
        <v>44473</v>
      </c>
      <c r="C1040" s="1" t="n">
        <v>45760</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54850-2021</t>
        </is>
      </c>
      <c r="B1041" s="1" t="n">
        <v>44473</v>
      </c>
      <c r="C1041" s="1" t="n">
        <v>45760</v>
      </c>
      <c r="D1041" t="inlineStr">
        <is>
          <t>VÄSTERBOTTENS LÄN</t>
        </is>
      </c>
      <c r="E1041" t="inlineStr">
        <is>
          <t>SKELLEFTEÅ</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55067-2021</t>
        </is>
      </c>
      <c r="B1042" s="1" t="n">
        <v>44474</v>
      </c>
      <c r="C1042" s="1" t="n">
        <v>45760</v>
      </c>
      <c r="D1042" t="inlineStr">
        <is>
          <t>VÄSTERBOTTENS LÄN</t>
        </is>
      </c>
      <c r="E1042" t="inlineStr">
        <is>
          <t>SKELLEFTEÅ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55032-2021</t>
        </is>
      </c>
      <c r="B1043" s="1" t="n">
        <v>44474</v>
      </c>
      <c r="C1043" s="1" t="n">
        <v>45760</v>
      </c>
      <c r="D1043" t="inlineStr">
        <is>
          <t>VÄSTERBOTTENS LÄN</t>
        </is>
      </c>
      <c r="E1043" t="inlineStr">
        <is>
          <t>SKELLEFTEÅ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55168-2021</t>
        </is>
      </c>
      <c r="B1044" s="1" t="n">
        <v>44475</v>
      </c>
      <c r="C1044" s="1" t="n">
        <v>45760</v>
      </c>
      <c r="D1044" t="inlineStr">
        <is>
          <t>VÄSTERBOTTENS LÄN</t>
        </is>
      </c>
      <c r="E1044" t="inlineStr">
        <is>
          <t>SKELLEFTEÅ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55206-2021</t>
        </is>
      </c>
      <c r="B1045" s="1" t="n">
        <v>44475</v>
      </c>
      <c r="C1045" s="1" t="n">
        <v>45760</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55182-2021</t>
        </is>
      </c>
      <c r="B1046" s="1" t="n">
        <v>44475</v>
      </c>
      <c r="C1046" s="1" t="n">
        <v>45760</v>
      </c>
      <c r="D1046" t="inlineStr">
        <is>
          <t>VÄSTERBOTTENS LÄN</t>
        </is>
      </c>
      <c r="E1046" t="inlineStr">
        <is>
          <t>SKELLEFTEÅ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55471-2021</t>
        </is>
      </c>
      <c r="B1047" s="1" t="n">
        <v>44475</v>
      </c>
      <c r="C1047" s="1" t="n">
        <v>45760</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55568-2021</t>
        </is>
      </c>
      <c r="B1048" s="1" t="n">
        <v>44475</v>
      </c>
      <c r="C1048" s="1" t="n">
        <v>45760</v>
      </c>
      <c r="D1048" t="inlineStr">
        <is>
          <t>VÄSTERBOTTENS LÄN</t>
        </is>
      </c>
      <c r="E1048" t="inlineStr">
        <is>
          <t>SKELLEFTEÅ</t>
        </is>
      </c>
      <c r="F1048" t="inlineStr">
        <is>
          <t>Sveaskog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55814-2021</t>
        </is>
      </c>
      <c r="B1049" s="1" t="n">
        <v>44476</v>
      </c>
      <c r="C1049" s="1" t="n">
        <v>45760</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56084-2021</t>
        </is>
      </c>
      <c r="B1050" s="1" t="n">
        <v>44477</v>
      </c>
      <c r="C1050" s="1" t="n">
        <v>45760</v>
      </c>
      <c r="D1050" t="inlineStr">
        <is>
          <t>VÄSTERBOTTENS LÄN</t>
        </is>
      </c>
      <c r="E1050" t="inlineStr">
        <is>
          <t>SKELLEFTEÅ</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56134-2021</t>
        </is>
      </c>
      <c r="B1051" s="1" t="n">
        <v>44477</v>
      </c>
      <c r="C1051" s="1" t="n">
        <v>45760</v>
      </c>
      <c r="D1051" t="inlineStr">
        <is>
          <t>VÄSTERBOTTENS LÄN</t>
        </is>
      </c>
      <c r="E1051" t="inlineStr">
        <is>
          <t>SKELLEFTEÅ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56001-2021</t>
        </is>
      </c>
      <c r="B1052" s="1" t="n">
        <v>44477</v>
      </c>
      <c r="C1052" s="1" t="n">
        <v>45760</v>
      </c>
      <c r="D1052" t="inlineStr">
        <is>
          <t>VÄSTERBOTTENS LÄN</t>
        </is>
      </c>
      <c r="E1052" t="inlineStr">
        <is>
          <t>SKELLEFTEÅ</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56536-2021</t>
        </is>
      </c>
      <c r="B1053" s="1" t="n">
        <v>44480</v>
      </c>
      <c r="C1053" s="1" t="n">
        <v>45760</v>
      </c>
      <c r="D1053" t="inlineStr">
        <is>
          <t>VÄSTERBOTTENS LÄN</t>
        </is>
      </c>
      <c r="E1053" t="inlineStr">
        <is>
          <t>SKELLEFTEÅ</t>
        </is>
      </c>
      <c r="F1053" t="inlineStr">
        <is>
          <t>Holmen skog AB</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56540-2021</t>
        </is>
      </c>
      <c r="B1054" s="1" t="n">
        <v>44480</v>
      </c>
      <c r="C1054" s="1" t="n">
        <v>45760</v>
      </c>
      <c r="D1054" t="inlineStr">
        <is>
          <t>VÄSTERBOTTENS LÄN</t>
        </is>
      </c>
      <c r="E1054" t="inlineStr">
        <is>
          <t>SKELLEFTEÅ</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56627-2021</t>
        </is>
      </c>
      <c r="B1055" s="1" t="n">
        <v>44480</v>
      </c>
      <c r="C1055" s="1" t="n">
        <v>45760</v>
      </c>
      <c r="D1055" t="inlineStr">
        <is>
          <t>VÄSTERBOTTENS LÄN</t>
        </is>
      </c>
      <c r="E1055" t="inlineStr">
        <is>
          <t>SKELLEFTEÅ</t>
        </is>
      </c>
      <c r="F1055" t="inlineStr">
        <is>
          <t>Sveaskog</t>
        </is>
      </c>
      <c r="G1055" t="n">
        <v>20.1</v>
      </c>
      <c r="H1055" t="n">
        <v>0</v>
      </c>
      <c r="I1055" t="n">
        <v>0</v>
      </c>
      <c r="J1055" t="n">
        <v>0</v>
      </c>
      <c r="K1055" t="n">
        <v>0</v>
      </c>
      <c r="L1055" t="n">
        <v>0</v>
      </c>
      <c r="M1055" t="n">
        <v>0</v>
      </c>
      <c r="N1055" t="n">
        <v>0</v>
      </c>
      <c r="O1055" t="n">
        <v>0</v>
      </c>
      <c r="P1055" t="n">
        <v>0</v>
      </c>
      <c r="Q1055" t="n">
        <v>0</v>
      </c>
      <c r="R1055" s="2" t="inlineStr"/>
    </row>
    <row r="1056" ht="15" customHeight="1">
      <c r="A1056" t="inlineStr">
        <is>
          <t>A 57197-2021</t>
        </is>
      </c>
      <c r="B1056" s="1" t="n">
        <v>44483</v>
      </c>
      <c r="C1056" s="1" t="n">
        <v>45760</v>
      </c>
      <c r="D1056" t="inlineStr">
        <is>
          <t>VÄSTERBOTTENS LÄN</t>
        </is>
      </c>
      <c r="E1056" t="inlineStr">
        <is>
          <t>SKELLEFTEÅ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57370-2021</t>
        </is>
      </c>
      <c r="B1057" s="1" t="n">
        <v>44483</v>
      </c>
      <c r="C1057" s="1" t="n">
        <v>45760</v>
      </c>
      <c r="D1057" t="inlineStr">
        <is>
          <t>VÄSTERBOTTENS LÄN</t>
        </is>
      </c>
      <c r="E1057" t="inlineStr">
        <is>
          <t>SKELLEFTEÅ</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57530-2021</t>
        </is>
      </c>
      <c r="B1058" s="1" t="n">
        <v>44483</v>
      </c>
      <c r="C1058" s="1" t="n">
        <v>45760</v>
      </c>
      <c r="D1058" t="inlineStr">
        <is>
          <t>VÄSTERBOTTENS LÄN</t>
        </is>
      </c>
      <c r="E1058" t="inlineStr">
        <is>
          <t>SKELLEFTEÅ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57978-2021</t>
        </is>
      </c>
      <c r="B1059" s="1" t="n">
        <v>44484</v>
      </c>
      <c r="C1059" s="1" t="n">
        <v>45760</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57714-2021</t>
        </is>
      </c>
      <c r="B1060" s="1" t="n">
        <v>44484</v>
      </c>
      <c r="C1060" s="1" t="n">
        <v>45760</v>
      </c>
      <c r="D1060" t="inlineStr">
        <is>
          <t>VÄSTERBOTTENS LÄN</t>
        </is>
      </c>
      <c r="E1060" t="inlineStr">
        <is>
          <t>SKELLEFTEÅ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57966-2021</t>
        </is>
      </c>
      <c r="B1061" s="1" t="n">
        <v>44484</v>
      </c>
      <c r="C1061" s="1" t="n">
        <v>45760</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58303-2021</t>
        </is>
      </c>
      <c r="B1062" s="1" t="n">
        <v>44488</v>
      </c>
      <c r="C1062" s="1" t="n">
        <v>45760</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58570-2021</t>
        </is>
      </c>
      <c r="B1063" s="1" t="n">
        <v>44489</v>
      </c>
      <c r="C1063" s="1" t="n">
        <v>45760</v>
      </c>
      <c r="D1063" t="inlineStr">
        <is>
          <t>VÄSTERBOTTENS LÄN</t>
        </is>
      </c>
      <c r="E1063" t="inlineStr">
        <is>
          <t>SKELLEFTEÅ</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58808-2021</t>
        </is>
      </c>
      <c r="B1064" s="1" t="n">
        <v>44489</v>
      </c>
      <c r="C1064" s="1" t="n">
        <v>45760</v>
      </c>
      <c r="D1064" t="inlineStr">
        <is>
          <t>VÄSTERBOTTENS LÄN</t>
        </is>
      </c>
      <c r="E1064" t="inlineStr">
        <is>
          <t>SKELLEFTEÅ</t>
        </is>
      </c>
      <c r="F1064" t="inlineStr">
        <is>
          <t>Sveaskog</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58844-2021</t>
        </is>
      </c>
      <c r="B1065" s="1" t="n">
        <v>44489</v>
      </c>
      <c r="C1065" s="1" t="n">
        <v>45760</v>
      </c>
      <c r="D1065" t="inlineStr">
        <is>
          <t>VÄSTERBOTTENS LÄN</t>
        </is>
      </c>
      <c r="E1065" t="inlineStr">
        <is>
          <t>SKELLEFTEÅ</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58813-2021</t>
        </is>
      </c>
      <c r="B1066" s="1" t="n">
        <v>44489</v>
      </c>
      <c r="C1066" s="1" t="n">
        <v>45760</v>
      </c>
      <c r="D1066" t="inlineStr">
        <is>
          <t>VÄSTERBOTTENS LÄN</t>
        </is>
      </c>
      <c r="E1066" t="inlineStr">
        <is>
          <t>SKELLEFTEÅ</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58847-2021</t>
        </is>
      </c>
      <c r="B1067" s="1" t="n">
        <v>44489</v>
      </c>
      <c r="C1067" s="1" t="n">
        <v>45760</v>
      </c>
      <c r="D1067" t="inlineStr">
        <is>
          <t>VÄSTERBOTTENS LÄN</t>
        </is>
      </c>
      <c r="E1067" t="inlineStr">
        <is>
          <t>SKELLEFTEÅ</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58872-2021</t>
        </is>
      </c>
      <c r="B1068" s="1" t="n">
        <v>44489</v>
      </c>
      <c r="C1068" s="1" t="n">
        <v>45760</v>
      </c>
      <c r="D1068" t="inlineStr">
        <is>
          <t>VÄSTERBOTTENS LÄN</t>
        </is>
      </c>
      <c r="E1068" t="inlineStr">
        <is>
          <t>SKELLEFTEÅ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58811-2021</t>
        </is>
      </c>
      <c r="B1069" s="1" t="n">
        <v>44489</v>
      </c>
      <c r="C1069" s="1" t="n">
        <v>45760</v>
      </c>
      <c r="D1069" t="inlineStr">
        <is>
          <t>VÄSTERBOTTENS LÄN</t>
        </is>
      </c>
      <c r="E1069" t="inlineStr">
        <is>
          <t>SKELLEFTEÅ</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59180-2021</t>
        </is>
      </c>
      <c r="B1070" s="1" t="n">
        <v>44489</v>
      </c>
      <c r="C1070" s="1" t="n">
        <v>45760</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59171-2021</t>
        </is>
      </c>
      <c r="B1071" s="1" t="n">
        <v>44489</v>
      </c>
      <c r="C1071" s="1" t="n">
        <v>45760</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58892-2021</t>
        </is>
      </c>
      <c r="B1072" s="1" t="n">
        <v>44489</v>
      </c>
      <c r="C1072" s="1" t="n">
        <v>45760</v>
      </c>
      <c r="D1072" t="inlineStr">
        <is>
          <t>VÄSTERBOTTENS LÄN</t>
        </is>
      </c>
      <c r="E1072" t="inlineStr">
        <is>
          <t>SKELLEFTEÅ</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59457-2021</t>
        </is>
      </c>
      <c r="B1073" s="1" t="n">
        <v>44491</v>
      </c>
      <c r="C1073" s="1" t="n">
        <v>45760</v>
      </c>
      <c r="D1073" t="inlineStr">
        <is>
          <t>VÄSTERBOTTENS LÄN</t>
        </is>
      </c>
      <c r="E1073" t="inlineStr">
        <is>
          <t>SKELLEFTEÅ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59372-2021</t>
        </is>
      </c>
      <c r="B1074" s="1" t="n">
        <v>44491</v>
      </c>
      <c r="C1074" s="1" t="n">
        <v>45760</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59851-2021</t>
        </is>
      </c>
      <c r="B1075" s="1" t="n">
        <v>44491</v>
      </c>
      <c r="C1075" s="1" t="n">
        <v>45760</v>
      </c>
      <c r="D1075" t="inlineStr">
        <is>
          <t>VÄSTERBOTTENS LÄN</t>
        </is>
      </c>
      <c r="E1075" t="inlineStr">
        <is>
          <t>SKELLEFTEÅ</t>
        </is>
      </c>
      <c r="G1075" t="n">
        <v>11.6</v>
      </c>
      <c r="H1075" t="n">
        <v>0</v>
      </c>
      <c r="I1075" t="n">
        <v>0</v>
      </c>
      <c r="J1075" t="n">
        <v>0</v>
      </c>
      <c r="K1075" t="n">
        <v>0</v>
      </c>
      <c r="L1075" t="n">
        <v>0</v>
      </c>
      <c r="M1075" t="n">
        <v>0</v>
      </c>
      <c r="N1075" t="n">
        <v>0</v>
      </c>
      <c r="O1075" t="n">
        <v>0</v>
      </c>
      <c r="P1075" t="n">
        <v>0</v>
      </c>
      <c r="Q1075" t="n">
        <v>0</v>
      </c>
      <c r="R1075" s="2" t="inlineStr"/>
    </row>
    <row r="1076" ht="15" customHeight="1">
      <c r="A1076" t="inlineStr">
        <is>
          <t>A 59522-2021</t>
        </is>
      </c>
      <c r="B1076" s="1" t="n">
        <v>44491</v>
      </c>
      <c r="C1076" s="1" t="n">
        <v>45760</v>
      </c>
      <c r="D1076" t="inlineStr">
        <is>
          <t>VÄSTERBOTTENS LÄN</t>
        </is>
      </c>
      <c r="E1076" t="inlineStr">
        <is>
          <t>SKELLEFTEÅ</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59659-2021</t>
        </is>
      </c>
      <c r="B1077" s="1" t="n">
        <v>44491</v>
      </c>
      <c r="C1077" s="1" t="n">
        <v>45760</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59647-2021</t>
        </is>
      </c>
      <c r="B1078" s="1" t="n">
        <v>44493</v>
      </c>
      <c r="C1078" s="1" t="n">
        <v>45760</v>
      </c>
      <c r="D1078" t="inlineStr">
        <is>
          <t>VÄSTERBOTTENS LÄN</t>
        </is>
      </c>
      <c r="E1078" t="inlineStr">
        <is>
          <t>SKELLEFTEÅ</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59711-2021</t>
        </is>
      </c>
      <c r="B1079" s="1" t="n">
        <v>44494</v>
      </c>
      <c r="C1079" s="1" t="n">
        <v>45760</v>
      </c>
      <c r="D1079" t="inlineStr">
        <is>
          <t>VÄSTERBOTTENS LÄN</t>
        </is>
      </c>
      <c r="E1079" t="inlineStr">
        <is>
          <t>SKELLEFTEÅ</t>
        </is>
      </c>
      <c r="F1079" t="inlineStr">
        <is>
          <t>Sveaskog</t>
        </is>
      </c>
      <c r="G1079" t="n">
        <v>33.9</v>
      </c>
      <c r="H1079" t="n">
        <v>0</v>
      </c>
      <c r="I1079" t="n">
        <v>0</v>
      </c>
      <c r="J1079" t="n">
        <v>0</v>
      </c>
      <c r="K1079" t="n">
        <v>0</v>
      </c>
      <c r="L1079" t="n">
        <v>0</v>
      </c>
      <c r="M1079" t="n">
        <v>0</v>
      </c>
      <c r="N1079" t="n">
        <v>0</v>
      </c>
      <c r="O1079" t="n">
        <v>0</v>
      </c>
      <c r="P1079" t="n">
        <v>0</v>
      </c>
      <c r="Q1079" t="n">
        <v>0</v>
      </c>
      <c r="R1079" s="2" t="inlineStr"/>
    </row>
    <row r="1080" ht="15" customHeight="1">
      <c r="A1080" t="inlineStr">
        <is>
          <t>A 59748-2021</t>
        </is>
      </c>
      <c r="B1080" s="1" t="n">
        <v>44494</v>
      </c>
      <c r="C1080" s="1" t="n">
        <v>45760</v>
      </c>
      <c r="D1080" t="inlineStr">
        <is>
          <t>VÄSTERBOTTENS LÄN</t>
        </is>
      </c>
      <c r="E1080" t="inlineStr">
        <is>
          <t>SKELLEFTEÅ</t>
        </is>
      </c>
      <c r="F1080" t="inlineStr">
        <is>
          <t>Sveaskog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59717-2021</t>
        </is>
      </c>
      <c r="B1081" s="1" t="n">
        <v>44494</v>
      </c>
      <c r="C1081" s="1" t="n">
        <v>45760</v>
      </c>
      <c r="D1081" t="inlineStr">
        <is>
          <t>VÄSTERBOTTENS LÄN</t>
        </is>
      </c>
      <c r="E1081" t="inlineStr">
        <is>
          <t>SKELLEFTEÅ</t>
        </is>
      </c>
      <c r="F1081" t="inlineStr">
        <is>
          <t>Sveaskog</t>
        </is>
      </c>
      <c r="G1081" t="n">
        <v>16.2</v>
      </c>
      <c r="H1081" t="n">
        <v>0</v>
      </c>
      <c r="I1081" t="n">
        <v>0</v>
      </c>
      <c r="J1081" t="n">
        <v>0</v>
      </c>
      <c r="K1081" t="n">
        <v>0</v>
      </c>
      <c r="L1081" t="n">
        <v>0</v>
      </c>
      <c r="M1081" t="n">
        <v>0</v>
      </c>
      <c r="N1081" t="n">
        <v>0</v>
      </c>
      <c r="O1081" t="n">
        <v>0</v>
      </c>
      <c r="P1081" t="n">
        <v>0</v>
      </c>
      <c r="Q1081" t="n">
        <v>0</v>
      </c>
      <c r="R1081" s="2" t="inlineStr"/>
    </row>
    <row r="1082" ht="15" customHeight="1">
      <c r="A1082" t="inlineStr">
        <is>
          <t>A 59736-2021</t>
        </is>
      </c>
      <c r="B1082" s="1" t="n">
        <v>44494</v>
      </c>
      <c r="C1082" s="1" t="n">
        <v>45760</v>
      </c>
      <c r="D1082" t="inlineStr">
        <is>
          <t>VÄSTERBOTTENS LÄN</t>
        </is>
      </c>
      <c r="E1082" t="inlineStr">
        <is>
          <t>SKELLEFTEÅ</t>
        </is>
      </c>
      <c r="F1082" t="inlineStr">
        <is>
          <t>Sveaskog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59859-2021</t>
        </is>
      </c>
      <c r="B1083" s="1" t="n">
        <v>44494</v>
      </c>
      <c r="C1083" s="1" t="n">
        <v>45760</v>
      </c>
      <c r="D1083" t="inlineStr">
        <is>
          <t>VÄSTERBOTTENS LÄN</t>
        </is>
      </c>
      <c r="E1083" t="inlineStr">
        <is>
          <t>SKELLEFTEÅ</t>
        </is>
      </c>
      <c r="F1083" t="inlineStr">
        <is>
          <t>Holmen skog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60066-2021</t>
        </is>
      </c>
      <c r="B1084" s="1" t="n">
        <v>44494</v>
      </c>
      <c r="C1084" s="1" t="n">
        <v>45760</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60107-2021</t>
        </is>
      </c>
      <c r="B1085" s="1" t="n">
        <v>44495</v>
      </c>
      <c r="C1085" s="1" t="n">
        <v>45760</v>
      </c>
      <c r="D1085" t="inlineStr">
        <is>
          <t>VÄSTERBOTTENS LÄN</t>
        </is>
      </c>
      <c r="E1085" t="inlineStr">
        <is>
          <t>SKELLEFTEÅ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60539-2021</t>
        </is>
      </c>
      <c r="B1086" s="1" t="n">
        <v>44495</v>
      </c>
      <c r="C1086" s="1" t="n">
        <v>45760</v>
      </c>
      <c r="D1086" t="inlineStr">
        <is>
          <t>VÄSTERBOTTENS LÄN</t>
        </is>
      </c>
      <c r="E1086" t="inlineStr">
        <is>
          <t>SKELLEFTEÅ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61656-2021</t>
        </is>
      </c>
      <c r="B1087" s="1" t="n">
        <v>44501</v>
      </c>
      <c r="C1087" s="1" t="n">
        <v>45760</v>
      </c>
      <c r="D1087" t="inlineStr">
        <is>
          <t>VÄSTERBOTTENS LÄN</t>
        </is>
      </c>
      <c r="E1087" t="inlineStr">
        <is>
          <t>SKELLEFTEÅ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61811-2021</t>
        </is>
      </c>
      <c r="B1088" s="1" t="n">
        <v>44501</v>
      </c>
      <c r="C1088" s="1" t="n">
        <v>45760</v>
      </c>
      <c r="D1088" t="inlineStr">
        <is>
          <t>VÄSTERBOTTENS LÄN</t>
        </is>
      </c>
      <c r="E1088" t="inlineStr">
        <is>
          <t>SKELLEFTEÅ</t>
        </is>
      </c>
      <c r="F1088" t="inlineStr">
        <is>
          <t>Sveaskog</t>
        </is>
      </c>
      <c r="G1088" t="n">
        <v>12.8</v>
      </c>
      <c r="H1088" t="n">
        <v>0</v>
      </c>
      <c r="I1088" t="n">
        <v>0</v>
      </c>
      <c r="J1088" t="n">
        <v>0</v>
      </c>
      <c r="K1088" t="n">
        <v>0</v>
      </c>
      <c r="L1088" t="n">
        <v>0</v>
      </c>
      <c r="M1088" t="n">
        <v>0</v>
      </c>
      <c r="N1088" t="n">
        <v>0</v>
      </c>
      <c r="O1088" t="n">
        <v>0</v>
      </c>
      <c r="P1088" t="n">
        <v>0</v>
      </c>
      <c r="Q1088" t="n">
        <v>0</v>
      </c>
      <c r="R1088" s="2" t="inlineStr"/>
    </row>
    <row r="1089" ht="15" customHeight="1">
      <c r="A1089" t="inlineStr">
        <is>
          <t>A 61844-2021</t>
        </is>
      </c>
      <c r="B1089" s="1" t="n">
        <v>44501</v>
      </c>
      <c r="C1089" s="1" t="n">
        <v>45760</v>
      </c>
      <c r="D1089" t="inlineStr">
        <is>
          <t>VÄSTERBOTTENS LÄN</t>
        </is>
      </c>
      <c r="E1089" t="inlineStr">
        <is>
          <t>SKELLEFTEÅ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62227-2021</t>
        </is>
      </c>
      <c r="B1090" s="1" t="n">
        <v>44501</v>
      </c>
      <c r="C1090" s="1" t="n">
        <v>45760</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62345-2021</t>
        </is>
      </c>
      <c r="B1091" s="1" t="n">
        <v>44503</v>
      </c>
      <c r="C1091" s="1" t="n">
        <v>45760</v>
      </c>
      <c r="D1091" t="inlineStr">
        <is>
          <t>VÄSTERBOTTENS LÄN</t>
        </is>
      </c>
      <c r="E1091" t="inlineStr">
        <is>
          <t>SKELLEFTEÅ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62486-2021</t>
        </is>
      </c>
      <c r="B1092" s="1" t="n">
        <v>44503</v>
      </c>
      <c r="C1092" s="1" t="n">
        <v>45760</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62651-2021</t>
        </is>
      </c>
      <c r="B1093" s="1" t="n">
        <v>44503</v>
      </c>
      <c r="C1093" s="1" t="n">
        <v>45760</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63145-2021</t>
        </is>
      </c>
      <c r="B1094" s="1" t="n">
        <v>44505</v>
      </c>
      <c r="C1094" s="1" t="n">
        <v>45760</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63171-2021</t>
        </is>
      </c>
      <c r="B1095" s="1" t="n">
        <v>44506</v>
      </c>
      <c r="C1095" s="1" t="n">
        <v>45760</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63502-2021</t>
        </is>
      </c>
      <c r="B1096" s="1" t="n">
        <v>44508</v>
      </c>
      <c r="C1096" s="1" t="n">
        <v>45760</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63801-2021</t>
        </is>
      </c>
      <c r="B1097" s="1" t="n">
        <v>44508</v>
      </c>
      <c r="C1097" s="1" t="n">
        <v>45760</v>
      </c>
      <c r="D1097" t="inlineStr">
        <is>
          <t>VÄSTERBOTTENS LÄN</t>
        </is>
      </c>
      <c r="E1097" t="inlineStr">
        <is>
          <t>SKELLEFTEÅ</t>
        </is>
      </c>
      <c r="G1097" t="n">
        <v>22.6</v>
      </c>
      <c r="H1097" t="n">
        <v>0</v>
      </c>
      <c r="I1097" t="n">
        <v>0</v>
      </c>
      <c r="J1097" t="n">
        <v>0</v>
      </c>
      <c r="K1097" t="n">
        <v>0</v>
      </c>
      <c r="L1097" t="n">
        <v>0</v>
      </c>
      <c r="M1097" t="n">
        <v>0</v>
      </c>
      <c r="N1097" t="n">
        <v>0</v>
      </c>
      <c r="O1097" t="n">
        <v>0</v>
      </c>
      <c r="P1097" t="n">
        <v>0</v>
      </c>
      <c r="Q1097" t="n">
        <v>0</v>
      </c>
      <c r="R1097" s="2" t="inlineStr"/>
    </row>
    <row r="1098" ht="15" customHeight="1">
      <c r="A1098" t="inlineStr">
        <is>
          <t>A 63620-2021</t>
        </is>
      </c>
      <c r="B1098" s="1" t="n">
        <v>44509</v>
      </c>
      <c r="C1098" s="1" t="n">
        <v>45760</v>
      </c>
      <c r="D1098" t="inlineStr">
        <is>
          <t>VÄSTERBOTTENS LÄN</t>
        </is>
      </c>
      <c r="E1098" t="inlineStr">
        <is>
          <t>SKELLEFTEÅ</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64087-2021</t>
        </is>
      </c>
      <c r="B1099" s="1" t="n">
        <v>44509</v>
      </c>
      <c r="C1099" s="1" t="n">
        <v>45760</v>
      </c>
      <c r="D1099" t="inlineStr">
        <is>
          <t>VÄSTERBOTTENS LÄN</t>
        </is>
      </c>
      <c r="E1099" t="inlineStr">
        <is>
          <t>SKELLEFTEÅ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64409-2021</t>
        </is>
      </c>
      <c r="B1100" s="1" t="n">
        <v>44510</v>
      </c>
      <c r="C1100" s="1" t="n">
        <v>45760</v>
      </c>
      <c r="D1100" t="inlineStr">
        <is>
          <t>VÄSTERBOTTENS LÄN</t>
        </is>
      </c>
      <c r="E1100" t="inlineStr">
        <is>
          <t>SKELLEFTEÅ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45760</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64391-2021</t>
        </is>
      </c>
      <c r="B1102" s="1" t="n">
        <v>44511</v>
      </c>
      <c r="C1102" s="1" t="n">
        <v>45760</v>
      </c>
      <c r="D1102" t="inlineStr">
        <is>
          <t>VÄSTERBOTTENS LÄN</t>
        </is>
      </c>
      <c r="E1102" t="inlineStr">
        <is>
          <t>SKELLEFTEÅ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64399-2021</t>
        </is>
      </c>
      <c r="B1103" s="1" t="n">
        <v>44511</v>
      </c>
      <c r="C1103" s="1" t="n">
        <v>45760</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64593-2021</t>
        </is>
      </c>
      <c r="B1104" s="1" t="n">
        <v>44511</v>
      </c>
      <c r="C1104" s="1" t="n">
        <v>45760</v>
      </c>
      <c r="D1104" t="inlineStr">
        <is>
          <t>VÄSTERBOTTENS LÄN</t>
        </is>
      </c>
      <c r="E1104" t="inlineStr">
        <is>
          <t>SKELLEFTEÅ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64580-2021</t>
        </is>
      </c>
      <c r="B1105" s="1" t="n">
        <v>44511</v>
      </c>
      <c r="C1105" s="1" t="n">
        <v>45760</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64761-2021</t>
        </is>
      </c>
      <c r="B1106" s="1" t="n">
        <v>44511</v>
      </c>
      <c r="C1106" s="1" t="n">
        <v>45760</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64765-2021</t>
        </is>
      </c>
      <c r="B1107" s="1" t="n">
        <v>44511</v>
      </c>
      <c r="C1107" s="1" t="n">
        <v>45760</v>
      </c>
      <c r="D1107" t="inlineStr">
        <is>
          <t>VÄSTERBOTTENS LÄN</t>
        </is>
      </c>
      <c r="E1107" t="inlineStr">
        <is>
          <t>SKELLEFTEÅ</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65455-2021</t>
        </is>
      </c>
      <c r="B1108" s="1" t="n">
        <v>44516</v>
      </c>
      <c r="C1108" s="1" t="n">
        <v>45760</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66250-2021</t>
        </is>
      </c>
      <c r="B1109" s="1" t="n">
        <v>44518</v>
      </c>
      <c r="C1109" s="1" t="n">
        <v>45760</v>
      </c>
      <c r="D1109" t="inlineStr">
        <is>
          <t>VÄSTERBOTTENS LÄN</t>
        </is>
      </c>
      <c r="E1109" t="inlineStr">
        <is>
          <t>SKELLEFTEÅ</t>
        </is>
      </c>
      <c r="F1109" t="inlineStr">
        <is>
          <t>Holmen skog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66463-2021</t>
        </is>
      </c>
      <c r="B1110" s="1" t="n">
        <v>44518</v>
      </c>
      <c r="C1110" s="1" t="n">
        <v>45760</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66465-2021</t>
        </is>
      </c>
      <c r="B1111" s="1" t="n">
        <v>44518</v>
      </c>
      <c r="C1111" s="1" t="n">
        <v>45760</v>
      </c>
      <c r="D1111" t="inlineStr">
        <is>
          <t>VÄSTERBOTTENS LÄN</t>
        </is>
      </c>
      <c r="E1111" t="inlineStr">
        <is>
          <t>SKELLEFTEÅ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66501-2021</t>
        </is>
      </c>
      <c r="B1112" s="1" t="n">
        <v>44519</v>
      </c>
      <c r="C1112" s="1" t="n">
        <v>45760</v>
      </c>
      <c r="D1112" t="inlineStr">
        <is>
          <t>VÄSTERBOTTENS LÄN</t>
        </is>
      </c>
      <c r="E1112" t="inlineStr">
        <is>
          <t>SKELLEFTEÅ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66500-2021</t>
        </is>
      </c>
      <c r="B1113" s="1" t="n">
        <v>44519</v>
      </c>
      <c r="C1113" s="1" t="n">
        <v>45760</v>
      </c>
      <c r="D1113" t="inlineStr">
        <is>
          <t>VÄSTERBOTTENS LÄN</t>
        </is>
      </c>
      <c r="E1113" t="inlineStr">
        <is>
          <t>SKELLEFTEÅ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66499-2021</t>
        </is>
      </c>
      <c r="B1114" s="1" t="n">
        <v>44519</v>
      </c>
      <c r="C1114" s="1" t="n">
        <v>45760</v>
      </c>
      <c r="D1114" t="inlineStr">
        <is>
          <t>VÄSTERBOTTENS LÄN</t>
        </is>
      </c>
      <c r="E1114" t="inlineStr">
        <is>
          <t>SKELLEFTEÅ</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66502-2021</t>
        </is>
      </c>
      <c r="B1115" s="1" t="n">
        <v>44519</v>
      </c>
      <c r="C1115" s="1" t="n">
        <v>45760</v>
      </c>
      <c r="D1115" t="inlineStr">
        <is>
          <t>VÄSTERBOTTENS LÄN</t>
        </is>
      </c>
      <c r="E1115" t="inlineStr">
        <is>
          <t>SKELLEFTEÅ</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66756-2021</t>
        </is>
      </c>
      <c r="B1116" s="1" t="n">
        <v>44521</v>
      </c>
      <c r="C1116" s="1" t="n">
        <v>45760</v>
      </c>
      <c r="D1116" t="inlineStr">
        <is>
          <t>VÄSTERBOTTENS LÄN</t>
        </is>
      </c>
      <c r="E1116" t="inlineStr">
        <is>
          <t>SKELLEFTEÅ</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66949-2021</t>
        </is>
      </c>
      <c r="B1117" s="1" t="n">
        <v>44522</v>
      </c>
      <c r="C1117" s="1" t="n">
        <v>45760</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c r="U1117">
        <f>HYPERLINK("https://klasma.github.io/Logging_2482/knärot/A 66949-2021 karta knärot.png", "A 66949-2021")</f>
        <v/>
      </c>
      <c r="V1117">
        <f>HYPERLINK("https://klasma.github.io/Logging_2482/klagomål/A 66949-2021 FSC-klagomål.docx", "A 66949-2021")</f>
        <v/>
      </c>
      <c r="W1117">
        <f>HYPERLINK("https://klasma.github.io/Logging_2482/klagomålsmail/A 66949-2021 FSC-klagomål mail.docx", "A 66949-2021")</f>
        <v/>
      </c>
      <c r="X1117">
        <f>HYPERLINK("https://klasma.github.io/Logging_2482/tillsyn/A 66949-2021 tillsynsbegäran.docx", "A 66949-2021")</f>
        <v/>
      </c>
      <c r="Y1117">
        <f>HYPERLINK("https://klasma.github.io/Logging_2482/tillsynsmail/A 66949-2021 tillsynsbegäran mail.docx", "A 66949-2021")</f>
        <v/>
      </c>
    </row>
    <row r="1118" ht="15" customHeight="1">
      <c r="A1118" t="inlineStr">
        <is>
          <t>A 67450-2021</t>
        </is>
      </c>
      <c r="B1118" s="1" t="n">
        <v>44524</v>
      </c>
      <c r="C1118" s="1" t="n">
        <v>45760</v>
      </c>
      <c r="D1118" t="inlineStr">
        <is>
          <t>VÄSTERBOTTENS LÄN</t>
        </is>
      </c>
      <c r="E1118" t="inlineStr">
        <is>
          <t>SKELLEFTEÅ</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67893-2021</t>
        </is>
      </c>
      <c r="B1119" s="1" t="n">
        <v>44525</v>
      </c>
      <c r="C1119" s="1" t="n">
        <v>45760</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68251-2021</t>
        </is>
      </c>
      <c r="B1120" s="1" t="n">
        <v>44525</v>
      </c>
      <c r="C1120" s="1" t="n">
        <v>45760</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68334-2021</t>
        </is>
      </c>
      <c r="B1121" s="1" t="n">
        <v>44527</v>
      </c>
      <c r="C1121" s="1" t="n">
        <v>45760</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69106-2021</t>
        </is>
      </c>
      <c r="B1122" s="1" t="n">
        <v>44530</v>
      </c>
      <c r="C1122" s="1" t="n">
        <v>45760</v>
      </c>
      <c r="D1122" t="inlineStr">
        <is>
          <t>VÄSTERBOTTENS LÄN</t>
        </is>
      </c>
      <c r="E1122" t="inlineStr">
        <is>
          <t>SKELLEFTEÅ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69262-2021</t>
        </is>
      </c>
      <c r="B1123" s="1" t="n">
        <v>44531</v>
      </c>
      <c r="C1123" s="1" t="n">
        <v>45760</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69315-2021</t>
        </is>
      </c>
      <c r="B1124" s="1" t="n">
        <v>44531</v>
      </c>
      <c r="C1124" s="1" t="n">
        <v>45760</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70168-2021</t>
        </is>
      </c>
      <c r="B1125" s="1" t="n">
        <v>44533</v>
      </c>
      <c r="C1125" s="1" t="n">
        <v>45760</v>
      </c>
      <c r="D1125" t="inlineStr">
        <is>
          <t>VÄSTERBOTTENS LÄN</t>
        </is>
      </c>
      <c r="E1125" t="inlineStr">
        <is>
          <t>SKELLEFTEÅ</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70176-2021</t>
        </is>
      </c>
      <c r="B1126" s="1" t="n">
        <v>44533</v>
      </c>
      <c r="C1126" s="1" t="n">
        <v>45760</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70029-2021</t>
        </is>
      </c>
      <c r="B1127" s="1" t="n">
        <v>44533</v>
      </c>
      <c r="C1127" s="1" t="n">
        <v>45760</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69992-2021</t>
        </is>
      </c>
      <c r="B1128" s="1" t="n">
        <v>44533</v>
      </c>
      <c r="C1128" s="1" t="n">
        <v>45760</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69996-2021</t>
        </is>
      </c>
      <c r="B1129" s="1" t="n">
        <v>44533</v>
      </c>
      <c r="C1129" s="1" t="n">
        <v>45760</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69991-2021</t>
        </is>
      </c>
      <c r="B1130" s="1" t="n">
        <v>44533</v>
      </c>
      <c r="C1130" s="1" t="n">
        <v>45760</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69978-2021</t>
        </is>
      </c>
      <c r="B1131" s="1" t="n">
        <v>44533</v>
      </c>
      <c r="C1131" s="1" t="n">
        <v>45760</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70229-2021</t>
        </is>
      </c>
      <c r="B1132" s="1" t="n">
        <v>44533</v>
      </c>
      <c r="C1132" s="1" t="n">
        <v>45760</v>
      </c>
      <c r="D1132" t="inlineStr">
        <is>
          <t>VÄSTERBOTTENS LÄN</t>
        </is>
      </c>
      <c r="E1132" t="inlineStr">
        <is>
          <t>SKELLEFTEÅ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70272-2021</t>
        </is>
      </c>
      <c r="B1133" s="1" t="n">
        <v>44536</v>
      </c>
      <c r="C1133" s="1" t="n">
        <v>45760</v>
      </c>
      <c r="D1133" t="inlineStr">
        <is>
          <t>VÄSTERBOTTENS LÄN</t>
        </is>
      </c>
      <c r="E1133" t="inlineStr">
        <is>
          <t>SKELLEFTEÅ</t>
        </is>
      </c>
      <c r="F1133" t="inlineStr">
        <is>
          <t>Kyrkan</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70339-2021</t>
        </is>
      </c>
      <c r="B1134" s="1" t="n">
        <v>44536</v>
      </c>
      <c r="C1134" s="1" t="n">
        <v>45760</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70508-2021</t>
        </is>
      </c>
      <c r="B1135" s="1" t="n">
        <v>44536</v>
      </c>
      <c r="C1135" s="1" t="n">
        <v>45760</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70703-2021</t>
        </is>
      </c>
      <c r="B1136" s="1" t="n">
        <v>44536</v>
      </c>
      <c r="C1136" s="1" t="n">
        <v>45760</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70718-2021</t>
        </is>
      </c>
      <c r="B1137" s="1" t="n">
        <v>44536</v>
      </c>
      <c r="C1137" s="1" t="n">
        <v>45760</v>
      </c>
      <c r="D1137" t="inlineStr">
        <is>
          <t>VÄSTERBOTTENS LÄN</t>
        </is>
      </c>
      <c r="E1137" t="inlineStr">
        <is>
          <t>SKELLEFTEÅ</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70851-2021</t>
        </is>
      </c>
      <c r="B1138" s="1" t="n">
        <v>44536</v>
      </c>
      <c r="C1138" s="1" t="n">
        <v>45760</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70558-2021</t>
        </is>
      </c>
      <c r="B1139" s="1" t="n">
        <v>44537</v>
      </c>
      <c r="C1139" s="1" t="n">
        <v>45760</v>
      </c>
      <c r="D1139" t="inlineStr">
        <is>
          <t>VÄSTERBOTTENS LÄN</t>
        </is>
      </c>
      <c r="E1139" t="inlineStr">
        <is>
          <t>SKELLEFTEÅ</t>
        </is>
      </c>
      <c r="F1139" t="inlineStr">
        <is>
          <t>Sveaskog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70748-2021</t>
        </is>
      </c>
      <c r="B1140" s="1" t="n">
        <v>44537</v>
      </c>
      <c r="C1140" s="1" t="n">
        <v>45760</v>
      </c>
      <c r="D1140" t="inlineStr">
        <is>
          <t>VÄSTERBOTTENS LÄN</t>
        </is>
      </c>
      <c r="E1140" t="inlineStr">
        <is>
          <t>SKELLEFTEÅ</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71019-2021</t>
        </is>
      </c>
      <c r="B1141" s="1" t="n">
        <v>44538</v>
      </c>
      <c r="C1141" s="1" t="n">
        <v>45760</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71410-2021</t>
        </is>
      </c>
      <c r="B1142" s="1" t="n">
        <v>44540</v>
      </c>
      <c r="C1142" s="1" t="n">
        <v>45760</v>
      </c>
      <c r="D1142" t="inlineStr">
        <is>
          <t>VÄSTERBOTTENS LÄN</t>
        </is>
      </c>
      <c r="E1142" t="inlineStr">
        <is>
          <t>SKELLEFTEÅ</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71422-2021</t>
        </is>
      </c>
      <c r="B1143" s="1" t="n">
        <v>44540</v>
      </c>
      <c r="C1143" s="1" t="n">
        <v>45760</v>
      </c>
      <c r="D1143" t="inlineStr">
        <is>
          <t>VÄSTERBOTTENS LÄN</t>
        </is>
      </c>
      <c r="E1143" t="inlineStr">
        <is>
          <t>SKELLEFTEÅ</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71445-2021</t>
        </is>
      </c>
      <c r="B1144" s="1" t="n">
        <v>44540</v>
      </c>
      <c r="C1144" s="1" t="n">
        <v>45760</v>
      </c>
      <c r="D1144" t="inlineStr">
        <is>
          <t>VÄSTERBOTTENS LÄN</t>
        </is>
      </c>
      <c r="E1144" t="inlineStr">
        <is>
          <t>SKELLEFTEÅ</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71464-2021</t>
        </is>
      </c>
      <c r="B1145" s="1" t="n">
        <v>44540</v>
      </c>
      <c r="C1145" s="1" t="n">
        <v>45760</v>
      </c>
      <c r="D1145" t="inlineStr">
        <is>
          <t>VÄSTERBOTTENS LÄN</t>
        </is>
      </c>
      <c r="E1145" t="inlineStr">
        <is>
          <t>SKELLEFTEÅ</t>
        </is>
      </c>
      <c r="F1145" t="inlineStr">
        <is>
          <t>Sveaskog</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71434-2021</t>
        </is>
      </c>
      <c r="B1146" s="1" t="n">
        <v>44540</v>
      </c>
      <c r="C1146" s="1" t="n">
        <v>45760</v>
      </c>
      <c r="D1146" t="inlineStr">
        <is>
          <t>VÄSTERBOTTENS LÄN</t>
        </is>
      </c>
      <c r="E1146" t="inlineStr">
        <is>
          <t>SKELLEFTEÅ</t>
        </is>
      </c>
      <c r="F1146" t="inlineStr">
        <is>
          <t>Sveaskog</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71565-2021</t>
        </is>
      </c>
      <c r="B1147" s="1" t="n">
        <v>44540</v>
      </c>
      <c r="C1147" s="1" t="n">
        <v>45760</v>
      </c>
      <c r="D1147" t="inlineStr">
        <is>
          <t>VÄSTERBOTTENS LÄN</t>
        </is>
      </c>
      <c r="E1147" t="inlineStr">
        <is>
          <t>SKELLEFTEÅ</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71400-2021</t>
        </is>
      </c>
      <c r="B1148" s="1" t="n">
        <v>44540</v>
      </c>
      <c r="C1148" s="1" t="n">
        <v>45760</v>
      </c>
      <c r="D1148" t="inlineStr">
        <is>
          <t>VÄSTERBOTTENS LÄN</t>
        </is>
      </c>
      <c r="E1148" t="inlineStr">
        <is>
          <t>SKELLEFTEÅ</t>
        </is>
      </c>
      <c r="F1148" t="inlineStr">
        <is>
          <t>Sveaskog</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71460-2021</t>
        </is>
      </c>
      <c r="B1149" s="1" t="n">
        <v>44540</v>
      </c>
      <c r="C1149" s="1" t="n">
        <v>45760</v>
      </c>
      <c r="D1149" t="inlineStr">
        <is>
          <t>VÄSTERBOTTENS LÄN</t>
        </is>
      </c>
      <c r="E1149" t="inlineStr">
        <is>
          <t>SKELLEFTEÅ</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71459-2021</t>
        </is>
      </c>
      <c r="B1150" s="1" t="n">
        <v>44540</v>
      </c>
      <c r="C1150" s="1" t="n">
        <v>45760</v>
      </c>
      <c r="D1150" t="inlineStr">
        <is>
          <t>VÄSTERBOTTENS LÄN</t>
        </is>
      </c>
      <c r="E1150" t="inlineStr">
        <is>
          <t>SKELLEFTEÅ</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71798-2021</t>
        </is>
      </c>
      <c r="B1151" s="1" t="n">
        <v>44543</v>
      </c>
      <c r="C1151" s="1" t="n">
        <v>45760</v>
      </c>
      <c r="D1151" t="inlineStr">
        <is>
          <t>VÄSTERBOTTENS LÄN</t>
        </is>
      </c>
      <c r="E1151" t="inlineStr">
        <is>
          <t>SKELLEFTEÅ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71924-2021</t>
        </is>
      </c>
      <c r="B1152" s="1" t="n">
        <v>44543</v>
      </c>
      <c r="C1152" s="1" t="n">
        <v>45760</v>
      </c>
      <c r="D1152" t="inlineStr">
        <is>
          <t>VÄSTERBOTTENS LÄN</t>
        </is>
      </c>
      <c r="E1152" t="inlineStr">
        <is>
          <t>SKELLEFTEÅ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71943-2021</t>
        </is>
      </c>
      <c r="B1153" s="1" t="n">
        <v>44543</v>
      </c>
      <c r="C1153" s="1" t="n">
        <v>45760</v>
      </c>
      <c r="D1153" t="inlineStr">
        <is>
          <t>VÄSTERBOTTENS LÄN</t>
        </is>
      </c>
      <c r="E1153" t="inlineStr">
        <is>
          <t>SKELLEFTEÅ</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71931-2021</t>
        </is>
      </c>
      <c r="B1154" s="1" t="n">
        <v>44543</v>
      </c>
      <c r="C1154" s="1" t="n">
        <v>45760</v>
      </c>
      <c r="D1154" t="inlineStr">
        <is>
          <t>VÄSTERBOTTENS LÄN</t>
        </is>
      </c>
      <c r="E1154" t="inlineStr">
        <is>
          <t>SKELLEFTEÅ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72203-2021</t>
        </is>
      </c>
      <c r="B1155" s="1" t="n">
        <v>44543</v>
      </c>
      <c r="C1155" s="1" t="n">
        <v>45760</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71934-2021</t>
        </is>
      </c>
      <c r="B1156" s="1" t="n">
        <v>44543</v>
      </c>
      <c r="C1156" s="1" t="n">
        <v>45760</v>
      </c>
      <c r="D1156" t="inlineStr">
        <is>
          <t>VÄSTERBOTTENS LÄN</t>
        </is>
      </c>
      <c r="E1156" t="inlineStr">
        <is>
          <t>SKELLEFTEÅ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72033-2021</t>
        </is>
      </c>
      <c r="B1157" s="1" t="n">
        <v>44544</v>
      </c>
      <c r="C1157" s="1" t="n">
        <v>45760</v>
      </c>
      <c r="D1157" t="inlineStr">
        <is>
          <t>VÄSTERBOTTENS LÄN</t>
        </is>
      </c>
      <c r="E1157" t="inlineStr">
        <is>
          <t>SKELLEFTEÅ</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72183-2021</t>
        </is>
      </c>
      <c r="B1158" s="1" t="n">
        <v>44544</v>
      </c>
      <c r="C1158" s="1" t="n">
        <v>45760</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72692-2021</t>
        </is>
      </c>
      <c r="B1159" s="1" t="n">
        <v>44545</v>
      </c>
      <c r="C1159" s="1" t="n">
        <v>45760</v>
      </c>
      <c r="D1159" t="inlineStr">
        <is>
          <t>VÄSTERBOTTENS LÄN</t>
        </is>
      </c>
      <c r="E1159" t="inlineStr">
        <is>
          <t>SKELLEFTEÅ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72545-2021</t>
        </is>
      </c>
      <c r="B1160" s="1" t="n">
        <v>44546</v>
      </c>
      <c r="C1160" s="1" t="n">
        <v>45760</v>
      </c>
      <c r="D1160" t="inlineStr">
        <is>
          <t>VÄSTERBOTTENS LÄN</t>
        </is>
      </c>
      <c r="E1160" t="inlineStr">
        <is>
          <t>SKELLEFTEÅ</t>
        </is>
      </c>
      <c r="F1160" t="inlineStr">
        <is>
          <t>Holmen skog AB</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73159-2021</t>
        </is>
      </c>
      <c r="B1161" s="1" t="n">
        <v>44550</v>
      </c>
      <c r="C1161" s="1" t="n">
        <v>45760</v>
      </c>
      <c r="D1161" t="inlineStr">
        <is>
          <t>VÄSTERBOTTENS LÄN</t>
        </is>
      </c>
      <c r="E1161" t="inlineStr">
        <is>
          <t>SKELLEFTEÅ</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73556-2021</t>
        </is>
      </c>
      <c r="B1162" s="1" t="n">
        <v>44551</v>
      </c>
      <c r="C1162" s="1" t="n">
        <v>45760</v>
      </c>
      <c r="D1162" t="inlineStr">
        <is>
          <t>VÄSTERBOTTENS LÄN</t>
        </is>
      </c>
      <c r="E1162" t="inlineStr">
        <is>
          <t>SKELLEFTEÅ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73614-2021</t>
        </is>
      </c>
      <c r="B1163" s="1" t="n">
        <v>44551</v>
      </c>
      <c r="C1163" s="1" t="n">
        <v>45760</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73684-2021</t>
        </is>
      </c>
      <c r="B1164" s="1" t="n">
        <v>44551</v>
      </c>
      <c r="C1164" s="1" t="n">
        <v>45760</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73833-2021</t>
        </is>
      </c>
      <c r="B1165" s="1" t="n">
        <v>44552</v>
      </c>
      <c r="C1165" s="1" t="n">
        <v>45760</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73956-2021</t>
        </is>
      </c>
      <c r="B1166" s="1" t="n">
        <v>44553</v>
      </c>
      <c r="C1166" s="1" t="n">
        <v>45760</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73957-2021</t>
        </is>
      </c>
      <c r="B1167" s="1" t="n">
        <v>44553</v>
      </c>
      <c r="C1167" s="1" t="n">
        <v>45760</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73950-2021</t>
        </is>
      </c>
      <c r="B1168" s="1" t="n">
        <v>44553</v>
      </c>
      <c r="C1168" s="1" t="n">
        <v>45760</v>
      </c>
      <c r="D1168" t="inlineStr">
        <is>
          <t>VÄSTERBOTTENS LÄN</t>
        </is>
      </c>
      <c r="E1168" t="inlineStr">
        <is>
          <t>SKELLEFTEÅ</t>
        </is>
      </c>
      <c r="F1168" t="inlineStr">
        <is>
          <t>Sveaskog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73985-2021</t>
        </is>
      </c>
      <c r="B1169" s="1" t="n">
        <v>44555</v>
      </c>
      <c r="C1169" s="1" t="n">
        <v>45760</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74077-2021</t>
        </is>
      </c>
      <c r="B1170" s="1" t="n">
        <v>44557</v>
      </c>
      <c r="C1170" s="1" t="n">
        <v>45760</v>
      </c>
      <c r="D1170" t="inlineStr">
        <is>
          <t>VÄSTERBOTTENS LÄN</t>
        </is>
      </c>
      <c r="E1170" t="inlineStr">
        <is>
          <t>SKELLEFTEÅ</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74205-2021</t>
        </is>
      </c>
      <c r="B1171" s="1" t="n">
        <v>44558</v>
      </c>
      <c r="C1171" s="1" t="n">
        <v>45760</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528-2022</t>
        </is>
      </c>
      <c r="B1172" s="1" t="n">
        <v>44566</v>
      </c>
      <c r="C1172" s="1" t="n">
        <v>45760</v>
      </c>
      <c r="D1172" t="inlineStr">
        <is>
          <t>VÄSTERBOTTENS LÄN</t>
        </is>
      </c>
      <c r="E1172" t="inlineStr">
        <is>
          <t>SKELLEFTEÅ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808-2022</t>
        </is>
      </c>
      <c r="B1173" s="1" t="n">
        <v>44568</v>
      </c>
      <c r="C1173" s="1" t="n">
        <v>45760</v>
      </c>
      <c r="D1173" t="inlineStr">
        <is>
          <t>VÄSTERBOTTENS LÄN</t>
        </is>
      </c>
      <c r="E1173" t="inlineStr">
        <is>
          <t>SKELLEFTEÅ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1626-2022</t>
        </is>
      </c>
      <c r="B1174" s="1" t="n">
        <v>44573</v>
      </c>
      <c r="C1174" s="1" t="n">
        <v>45760</v>
      </c>
      <c r="D1174" t="inlineStr">
        <is>
          <t>VÄSTERBOTTENS LÄN</t>
        </is>
      </c>
      <c r="E1174" t="inlineStr">
        <is>
          <t>SKELLEFTEÅ</t>
        </is>
      </c>
      <c r="G1174" t="n">
        <v>14.1</v>
      </c>
      <c r="H1174" t="n">
        <v>0</v>
      </c>
      <c r="I1174" t="n">
        <v>0</v>
      </c>
      <c r="J1174" t="n">
        <v>0</v>
      </c>
      <c r="K1174" t="n">
        <v>0</v>
      </c>
      <c r="L1174" t="n">
        <v>0</v>
      </c>
      <c r="M1174" t="n">
        <v>0</v>
      </c>
      <c r="N1174" t="n">
        <v>0</v>
      </c>
      <c r="O1174" t="n">
        <v>0</v>
      </c>
      <c r="P1174" t="n">
        <v>0</v>
      </c>
      <c r="Q1174" t="n">
        <v>0</v>
      </c>
      <c r="R1174" s="2" t="inlineStr"/>
    </row>
    <row r="1175" ht="15" customHeight="1">
      <c r="A1175" t="inlineStr">
        <is>
          <t>A 1750-2022</t>
        </is>
      </c>
      <c r="B1175" s="1" t="n">
        <v>44574</v>
      </c>
      <c r="C1175" s="1" t="n">
        <v>45760</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1834-2022</t>
        </is>
      </c>
      <c r="B1176" s="1" t="n">
        <v>44574</v>
      </c>
      <c r="C1176" s="1" t="n">
        <v>45760</v>
      </c>
      <c r="D1176" t="inlineStr">
        <is>
          <t>VÄSTERBOTTENS LÄN</t>
        </is>
      </c>
      <c r="E1176" t="inlineStr">
        <is>
          <t>SKELLEFTEÅ</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2486-2022</t>
        </is>
      </c>
      <c r="B1177" s="1" t="n">
        <v>44579</v>
      </c>
      <c r="C1177" s="1" t="n">
        <v>45760</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2607-2022</t>
        </is>
      </c>
      <c r="B1178" s="1" t="n">
        <v>44580</v>
      </c>
      <c r="C1178" s="1" t="n">
        <v>45760</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2813-2022</t>
        </is>
      </c>
      <c r="B1179" s="1" t="n">
        <v>44580</v>
      </c>
      <c r="C1179" s="1" t="n">
        <v>45760</v>
      </c>
      <c r="D1179" t="inlineStr">
        <is>
          <t>VÄSTERBOTTENS LÄN</t>
        </is>
      </c>
      <c r="E1179" t="inlineStr">
        <is>
          <t>SKELLEFTEÅ</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3006-2022</t>
        </is>
      </c>
      <c r="B1180" s="1" t="n">
        <v>44581</v>
      </c>
      <c r="C1180" s="1" t="n">
        <v>45760</v>
      </c>
      <c r="D1180" t="inlineStr">
        <is>
          <t>VÄSTERBOTTENS LÄN</t>
        </is>
      </c>
      <c r="E1180" t="inlineStr">
        <is>
          <t>SKELLEFTEÅ</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3009-2022</t>
        </is>
      </c>
      <c r="B1181" s="1" t="n">
        <v>44581</v>
      </c>
      <c r="C1181" s="1" t="n">
        <v>45760</v>
      </c>
      <c r="D1181" t="inlineStr">
        <is>
          <t>VÄSTERBOTTENS LÄN</t>
        </is>
      </c>
      <c r="E1181" t="inlineStr">
        <is>
          <t>SKELLEFTEÅ</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3268-2022</t>
        </is>
      </c>
      <c r="B1182" s="1" t="n">
        <v>44583</v>
      </c>
      <c r="C1182" s="1" t="n">
        <v>45760</v>
      </c>
      <c r="D1182" t="inlineStr">
        <is>
          <t>VÄSTERBOTTENS LÄN</t>
        </is>
      </c>
      <c r="E1182" t="inlineStr">
        <is>
          <t>SKELLEFTEÅ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3265-2022</t>
        </is>
      </c>
      <c r="B1183" s="1" t="n">
        <v>44583</v>
      </c>
      <c r="C1183" s="1" t="n">
        <v>45760</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3266-2022</t>
        </is>
      </c>
      <c r="B1184" s="1" t="n">
        <v>44583</v>
      </c>
      <c r="C1184" s="1" t="n">
        <v>45760</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3362-2022</t>
        </is>
      </c>
      <c r="B1185" s="1" t="n">
        <v>44585</v>
      </c>
      <c r="C1185" s="1" t="n">
        <v>45760</v>
      </c>
      <c r="D1185" t="inlineStr">
        <is>
          <t>VÄSTERBOTTENS LÄN</t>
        </is>
      </c>
      <c r="E1185" t="inlineStr">
        <is>
          <t>SKELLEFTEÅ</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3616-2022</t>
        </is>
      </c>
      <c r="B1186" s="1" t="n">
        <v>44586</v>
      </c>
      <c r="C1186" s="1" t="n">
        <v>45760</v>
      </c>
      <c r="D1186" t="inlineStr">
        <is>
          <t>VÄSTERBOTTENS LÄN</t>
        </is>
      </c>
      <c r="E1186" t="inlineStr">
        <is>
          <t>SKELLEFTEÅ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3600-2022</t>
        </is>
      </c>
      <c r="B1187" s="1" t="n">
        <v>44586</v>
      </c>
      <c r="C1187" s="1" t="n">
        <v>45760</v>
      </c>
      <c r="D1187" t="inlineStr">
        <is>
          <t>VÄSTERBOTTENS LÄN</t>
        </is>
      </c>
      <c r="E1187" t="inlineStr">
        <is>
          <t>SKELLEFTEÅ</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3876-2022</t>
        </is>
      </c>
      <c r="B1188" s="1" t="n">
        <v>44587</v>
      </c>
      <c r="C1188" s="1" t="n">
        <v>45760</v>
      </c>
      <c r="D1188" t="inlineStr">
        <is>
          <t>VÄSTERBOTTENS LÄN</t>
        </is>
      </c>
      <c r="E1188" t="inlineStr">
        <is>
          <t>SKELLEFTEÅ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3924-2022</t>
        </is>
      </c>
      <c r="B1189" s="1" t="n">
        <v>44587</v>
      </c>
      <c r="C1189" s="1" t="n">
        <v>45760</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3882-2022</t>
        </is>
      </c>
      <c r="B1190" s="1" t="n">
        <v>44587</v>
      </c>
      <c r="C1190" s="1" t="n">
        <v>45760</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3944-2022</t>
        </is>
      </c>
      <c r="B1191" s="1" t="n">
        <v>44587</v>
      </c>
      <c r="C1191" s="1" t="n">
        <v>45760</v>
      </c>
      <c r="D1191" t="inlineStr">
        <is>
          <t>VÄSTERBOTTENS LÄN</t>
        </is>
      </c>
      <c r="E1191" t="inlineStr">
        <is>
          <t>SKELLEFTEÅ</t>
        </is>
      </c>
      <c r="F1191" t="inlineStr">
        <is>
          <t>Kommuner</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3987-2022</t>
        </is>
      </c>
      <c r="B1192" s="1" t="n">
        <v>44587</v>
      </c>
      <c r="C1192" s="1" t="n">
        <v>45760</v>
      </c>
      <c r="D1192" t="inlineStr">
        <is>
          <t>VÄSTERBOTTENS LÄN</t>
        </is>
      </c>
      <c r="E1192" t="inlineStr">
        <is>
          <t>SKELLEFTEÅ</t>
        </is>
      </c>
      <c r="F1192" t="inlineStr">
        <is>
          <t>Sveaskog</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4008-2022</t>
        </is>
      </c>
      <c r="B1193" s="1" t="n">
        <v>44587</v>
      </c>
      <c r="C1193" s="1" t="n">
        <v>45760</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3963-2022</t>
        </is>
      </c>
      <c r="B1194" s="1" t="n">
        <v>44587</v>
      </c>
      <c r="C1194" s="1" t="n">
        <v>45760</v>
      </c>
      <c r="D1194" t="inlineStr">
        <is>
          <t>VÄSTERBOTTENS LÄN</t>
        </is>
      </c>
      <c r="E1194" t="inlineStr">
        <is>
          <t>SKELLEFTEÅ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4005-2022</t>
        </is>
      </c>
      <c r="B1195" s="1" t="n">
        <v>44587</v>
      </c>
      <c r="C1195" s="1" t="n">
        <v>45760</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4603-2022</t>
        </is>
      </c>
      <c r="B1196" s="1" t="n">
        <v>44592</v>
      </c>
      <c r="C1196" s="1" t="n">
        <v>45760</v>
      </c>
      <c r="D1196" t="inlineStr">
        <is>
          <t>VÄSTERBOTTENS LÄN</t>
        </is>
      </c>
      <c r="E1196" t="inlineStr">
        <is>
          <t>SKELLEFTEÅ</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4653-2022</t>
        </is>
      </c>
      <c r="B1197" s="1" t="n">
        <v>44592</v>
      </c>
      <c r="C1197" s="1" t="n">
        <v>45760</v>
      </c>
      <c r="D1197" t="inlineStr">
        <is>
          <t>VÄSTERBOTTENS LÄN</t>
        </is>
      </c>
      <c r="E1197" t="inlineStr">
        <is>
          <t>SKELLEFTEÅ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4762-2022</t>
        </is>
      </c>
      <c r="B1198" s="1" t="n">
        <v>44592</v>
      </c>
      <c r="C1198" s="1" t="n">
        <v>45760</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4844-2022</t>
        </is>
      </c>
      <c r="B1199" s="1" t="n">
        <v>44592</v>
      </c>
      <c r="C1199" s="1" t="n">
        <v>45760</v>
      </c>
      <c r="D1199" t="inlineStr">
        <is>
          <t>VÄSTERBOTTENS LÄN</t>
        </is>
      </c>
      <c r="E1199" t="inlineStr">
        <is>
          <t>SKELLEFTEÅ</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4791-2022</t>
        </is>
      </c>
      <c r="B1200" s="1" t="n">
        <v>44592</v>
      </c>
      <c r="C1200" s="1" t="n">
        <v>45760</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5817-2022</t>
        </is>
      </c>
      <c r="B1201" s="1" t="n">
        <v>44596</v>
      </c>
      <c r="C1201" s="1" t="n">
        <v>45760</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5826-2022</t>
        </is>
      </c>
      <c r="B1202" s="1" t="n">
        <v>44596</v>
      </c>
      <c r="C1202" s="1" t="n">
        <v>45760</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5828-2022</t>
        </is>
      </c>
      <c r="B1203" s="1" t="n">
        <v>44596</v>
      </c>
      <c r="C1203" s="1" t="n">
        <v>45760</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5972-2022</t>
        </is>
      </c>
      <c r="B1204" s="1" t="n">
        <v>44599</v>
      </c>
      <c r="C1204" s="1" t="n">
        <v>45760</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6635-2022</t>
        </is>
      </c>
      <c r="B1205" s="1" t="n">
        <v>44601</v>
      </c>
      <c r="C1205" s="1" t="n">
        <v>45760</v>
      </c>
      <c r="D1205" t="inlineStr">
        <is>
          <t>VÄSTERBOTTENS LÄN</t>
        </is>
      </c>
      <c r="E1205" t="inlineStr">
        <is>
          <t>SKELLEFTEÅ</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6666-2022</t>
        </is>
      </c>
      <c r="B1206" s="1" t="n">
        <v>44602</v>
      </c>
      <c r="C1206" s="1" t="n">
        <v>45760</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6837-2022</t>
        </is>
      </c>
      <c r="B1207" s="1" t="n">
        <v>44602</v>
      </c>
      <c r="C1207" s="1" t="n">
        <v>45760</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6834-2022</t>
        </is>
      </c>
      <c r="B1208" s="1" t="n">
        <v>44602</v>
      </c>
      <c r="C1208" s="1" t="n">
        <v>45760</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7006-2022</t>
        </is>
      </c>
      <c r="B1209" s="1" t="n">
        <v>44602</v>
      </c>
      <c r="C1209" s="1" t="n">
        <v>45760</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7052-2022</t>
        </is>
      </c>
      <c r="B1210" s="1" t="n">
        <v>44603</v>
      </c>
      <c r="C1210" s="1" t="n">
        <v>45760</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7127-2022</t>
        </is>
      </c>
      <c r="B1211" s="1" t="n">
        <v>44603</v>
      </c>
      <c r="C1211" s="1" t="n">
        <v>45760</v>
      </c>
      <c r="D1211" t="inlineStr">
        <is>
          <t>VÄSTERBOTTENS LÄN</t>
        </is>
      </c>
      <c r="E1211" t="inlineStr">
        <is>
          <t>SKELLEFTEÅ</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7462-2022</t>
        </is>
      </c>
      <c r="B1212" s="1" t="n">
        <v>44606</v>
      </c>
      <c r="C1212" s="1" t="n">
        <v>45760</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7495-2022</t>
        </is>
      </c>
      <c r="B1213" s="1" t="n">
        <v>44607</v>
      </c>
      <c r="C1213" s="1" t="n">
        <v>45760</v>
      </c>
      <c r="D1213" t="inlineStr">
        <is>
          <t>VÄSTERBOTTENS LÄN</t>
        </is>
      </c>
      <c r="E1213" t="inlineStr">
        <is>
          <t>SKELLEFTEÅ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7518-2022</t>
        </is>
      </c>
      <c r="B1214" s="1" t="n">
        <v>44607</v>
      </c>
      <c r="C1214" s="1" t="n">
        <v>45760</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7579-2022</t>
        </is>
      </c>
      <c r="B1215" s="1" t="n">
        <v>44607</v>
      </c>
      <c r="C1215" s="1" t="n">
        <v>45760</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45760</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8203-2022</t>
        </is>
      </c>
      <c r="B1217" s="1" t="n">
        <v>44609</v>
      </c>
      <c r="C1217" s="1" t="n">
        <v>45760</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8456-2022</t>
        </is>
      </c>
      <c r="B1218" s="1" t="n">
        <v>44612</v>
      </c>
      <c r="C1218" s="1" t="n">
        <v>45760</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8436-2022</t>
        </is>
      </c>
      <c r="B1219" s="1" t="n">
        <v>44612</v>
      </c>
      <c r="C1219" s="1" t="n">
        <v>45760</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8600-2022</t>
        </is>
      </c>
      <c r="B1220" s="1" t="n">
        <v>44613</v>
      </c>
      <c r="C1220" s="1" t="n">
        <v>45760</v>
      </c>
      <c r="D1220" t="inlineStr">
        <is>
          <t>VÄSTERBOTTENS LÄN</t>
        </is>
      </c>
      <c r="E1220" t="inlineStr">
        <is>
          <t>SKELLEFTEÅ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8603-2022</t>
        </is>
      </c>
      <c r="B1221" s="1" t="n">
        <v>44613</v>
      </c>
      <c r="C1221" s="1" t="n">
        <v>45760</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8598-2022</t>
        </is>
      </c>
      <c r="B1222" s="1" t="n">
        <v>44613</v>
      </c>
      <c r="C1222" s="1" t="n">
        <v>45760</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8595-2022</t>
        </is>
      </c>
      <c r="B1223" s="1" t="n">
        <v>44613</v>
      </c>
      <c r="C1223" s="1" t="n">
        <v>45760</v>
      </c>
      <c r="D1223" t="inlineStr">
        <is>
          <t>VÄSTERBOTTENS LÄN</t>
        </is>
      </c>
      <c r="E1223" t="inlineStr">
        <is>
          <t>SKELLEFTEÅ</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8539-2022</t>
        </is>
      </c>
      <c r="B1224" s="1" t="n">
        <v>44613</v>
      </c>
      <c r="C1224" s="1" t="n">
        <v>45760</v>
      </c>
      <c r="D1224" t="inlineStr">
        <is>
          <t>VÄSTERBOTTENS LÄN</t>
        </is>
      </c>
      <c r="E1224" t="inlineStr">
        <is>
          <t>SKELLEFTEÅ</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9053-2022</t>
        </is>
      </c>
      <c r="B1225" s="1" t="n">
        <v>44615</v>
      </c>
      <c r="C1225" s="1" t="n">
        <v>45760</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9500-2022</t>
        </is>
      </c>
      <c r="B1226" s="1" t="n">
        <v>44616</v>
      </c>
      <c r="C1226" s="1" t="n">
        <v>45760</v>
      </c>
      <c r="D1226" t="inlineStr">
        <is>
          <t>VÄSTERBOTTENS LÄN</t>
        </is>
      </c>
      <c r="E1226" t="inlineStr">
        <is>
          <t>SKELLEFTEÅ</t>
        </is>
      </c>
      <c r="F1226" t="inlineStr">
        <is>
          <t>SCA</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9579-2022</t>
        </is>
      </c>
      <c r="B1227" s="1" t="n">
        <v>44617</v>
      </c>
      <c r="C1227" s="1" t="n">
        <v>45760</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9925-2022</t>
        </is>
      </c>
      <c r="B1228" s="1" t="n">
        <v>44620</v>
      </c>
      <c r="C1228" s="1" t="n">
        <v>45760</v>
      </c>
      <c r="D1228" t="inlineStr">
        <is>
          <t>VÄSTERBOTTENS LÄN</t>
        </is>
      </c>
      <c r="E1228" t="inlineStr">
        <is>
          <t>SKELLEFTEÅ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9950-2022</t>
        </is>
      </c>
      <c r="B1229" s="1" t="n">
        <v>44620</v>
      </c>
      <c r="C1229" s="1" t="n">
        <v>45760</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10132-2022</t>
        </is>
      </c>
      <c r="B1230" s="1" t="n">
        <v>44621</v>
      </c>
      <c r="C1230" s="1" t="n">
        <v>45760</v>
      </c>
      <c r="D1230" t="inlineStr">
        <is>
          <t>VÄSTERBOTTENS LÄN</t>
        </is>
      </c>
      <c r="E1230" t="inlineStr">
        <is>
          <t>SKELLEFTEÅ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10578-2022</t>
        </is>
      </c>
      <c r="B1231" s="1" t="n">
        <v>44624</v>
      </c>
      <c r="C1231" s="1" t="n">
        <v>45760</v>
      </c>
      <c r="D1231" t="inlineStr">
        <is>
          <t>VÄSTERBOTTENS LÄN</t>
        </is>
      </c>
      <c r="E1231" t="inlineStr">
        <is>
          <t>SKELLEFTEÅ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10568-2022</t>
        </is>
      </c>
      <c r="B1232" s="1" t="n">
        <v>44624</v>
      </c>
      <c r="C1232" s="1" t="n">
        <v>45760</v>
      </c>
      <c r="D1232" t="inlineStr">
        <is>
          <t>VÄSTERBOTTENS LÄN</t>
        </is>
      </c>
      <c r="E1232" t="inlineStr">
        <is>
          <t>SKELLEFTEÅ</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10723-2022</t>
        </is>
      </c>
      <c r="B1233" s="1" t="n">
        <v>44624</v>
      </c>
      <c r="C1233" s="1" t="n">
        <v>45760</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11226-2022</t>
        </is>
      </c>
      <c r="B1234" s="1" t="n">
        <v>44624</v>
      </c>
      <c r="C1234" s="1" t="n">
        <v>45760</v>
      </c>
      <c r="D1234" t="inlineStr">
        <is>
          <t>VÄSTERBOTTENS LÄN</t>
        </is>
      </c>
      <c r="E1234" t="inlineStr">
        <is>
          <t>SKELLEFTEÅ</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11260-2022</t>
        </is>
      </c>
      <c r="B1235" s="1" t="n">
        <v>44629</v>
      </c>
      <c r="C1235" s="1" t="n">
        <v>45760</v>
      </c>
      <c r="D1235" t="inlineStr">
        <is>
          <t>VÄSTERBOTTENS LÄN</t>
        </is>
      </c>
      <c r="E1235" t="inlineStr">
        <is>
          <t>SKELLEFTEÅ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11468-2022</t>
        </is>
      </c>
      <c r="B1236" s="1" t="n">
        <v>44630</v>
      </c>
      <c r="C1236" s="1" t="n">
        <v>45760</v>
      </c>
      <c r="D1236" t="inlineStr">
        <is>
          <t>VÄSTERBOTTENS LÄN</t>
        </is>
      </c>
      <c r="E1236" t="inlineStr">
        <is>
          <t>SKELLEFTEÅ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11685-2022</t>
        </is>
      </c>
      <c r="B1237" s="1" t="n">
        <v>44634</v>
      </c>
      <c r="C1237" s="1" t="n">
        <v>45760</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11790-2022</t>
        </is>
      </c>
      <c r="B1238" s="1" t="n">
        <v>44634</v>
      </c>
      <c r="C1238" s="1" t="n">
        <v>45760</v>
      </c>
      <c r="D1238" t="inlineStr">
        <is>
          <t>VÄSTERBOTTENS LÄN</t>
        </is>
      </c>
      <c r="E1238" t="inlineStr">
        <is>
          <t>SKELLEFTEÅ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11879-2022</t>
        </is>
      </c>
      <c r="B1239" s="1" t="n">
        <v>44635</v>
      </c>
      <c r="C1239" s="1" t="n">
        <v>45760</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12009-2022</t>
        </is>
      </c>
      <c r="B1240" s="1" t="n">
        <v>44635</v>
      </c>
      <c r="C1240" s="1" t="n">
        <v>45760</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12326-2022</t>
        </is>
      </c>
      <c r="B1241" s="1" t="n">
        <v>44637</v>
      </c>
      <c r="C1241" s="1" t="n">
        <v>45760</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12512-2022</t>
        </is>
      </c>
      <c r="B1242" s="1" t="n">
        <v>44638</v>
      </c>
      <c r="C1242" s="1" t="n">
        <v>45760</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12518-2022</t>
        </is>
      </c>
      <c r="B1243" s="1" t="n">
        <v>44638</v>
      </c>
      <c r="C1243" s="1" t="n">
        <v>45760</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12529-2022</t>
        </is>
      </c>
      <c r="B1244" s="1" t="n">
        <v>44638</v>
      </c>
      <c r="C1244" s="1" t="n">
        <v>45760</v>
      </c>
      <c r="D1244" t="inlineStr">
        <is>
          <t>VÄSTERBOTTENS LÄN</t>
        </is>
      </c>
      <c r="E1244" t="inlineStr">
        <is>
          <t>SKELLEFTEÅ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12516-2022</t>
        </is>
      </c>
      <c r="B1245" s="1" t="n">
        <v>44638</v>
      </c>
      <c r="C1245" s="1" t="n">
        <v>45760</v>
      </c>
      <c r="D1245" t="inlineStr">
        <is>
          <t>VÄSTERBOTTENS LÄN</t>
        </is>
      </c>
      <c r="E1245" t="inlineStr">
        <is>
          <t>SKELLEFTEÅ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12511-2022</t>
        </is>
      </c>
      <c r="B1246" s="1" t="n">
        <v>44638</v>
      </c>
      <c r="C1246" s="1" t="n">
        <v>45760</v>
      </c>
      <c r="D1246" t="inlineStr">
        <is>
          <t>VÄSTERBOTTENS LÄN</t>
        </is>
      </c>
      <c r="E1246" t="inlineStr">
        <is>
          <t>SKELLEFTEÅ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12509-2022</t>
        </is>
      </c>
      <c r="B1247" s="1" t="n">
        <v>44638</v>
      </c>
      <c r="C1247" s="1" t="n">
        <v>45760</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12715-2022</t>
        </is>
      </c>
      <c r="B1248" s="1" t="n">
        <v>44641</v>
      </c>
      <c r="C1248" s="1" t="n">
        <v>45760</v>
      </c>
      <c r="D1248" t="inlineStr">
        <is>
          <t>VÄSTERBOTTENS LÄN</t>
        </is>
      </c>
      <c r="E1248" t="inlineStr">
        <is>
          <t>SKELLEFTEÅ</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13131-2022</t>
        </is>
      </c>
      <c r="B1249" s="1" t="n">
        <v>44644</v>
      </c>
      <c r="C1249" s="1" t="n">
        <v>45760</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13430-2022</t>
        </is>
      </c>
      <c r="B1250" s="1" t="n">
        <v>44645</v>
      </c>
      <c r="C1250" s="1" t="n">
        <v>45760</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13391-2022</t>
        </is>
      </c>
      <c r="B1251" s="1" t="n">
        <v>44645</v>
      </c>
      <c r="C1251" s="1" t="n">
        <v>45760</v>
      </c>
      <c r="D1251" t="inlineStr">
        <is>
          <t>VÄSTERBOTTENS LÄN</t>
        </is>
      </c>
      <c r="E1251" t="inlineStr">
        <is>
          <t>SKELLEFTEÅ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13530-2022</t>
        </is>
      </c>
      <c r="B1252" s="1" t="n">
        <v>44648</v>
      </c>
      <c r="C1252" s="1" t="n">
        <v>45760</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13693-2022</t>
        </is>
      </c>
      <c r="B1253" s="1" t="n">
        <v>44648</v>
      </c>
      <c r="C1253" s="1" t="n">
        <v>45760</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14088-2022</t>
        </is>
      </c>
      <c r="B1254" s="1" t="n">
        <v>44650</v>
      </c>
      <c r="C1254" s="1" t="n">
        <v>45760</v>
      </c>
      <c r="D1254" t="inlineStr">
        <is>
          <t>VÄSTERBOTTENS LÄN</t>
        </is>
      </c>
      <c r="E1254" t="inlineStr">
        <is>
          <t>SKELLEFTEÅ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14096-2022</t>
        </is>
      </c>
      <c r="B1255" s="1" t="n">
        <v>44651</v>
      </c>
      <c r="C1255" s="1" t="n">
        <v>45760</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14627-2022</t>
        </is>
      </c>
      <c r="B1256" s="1" t="n">
        <v>44655</v>
      </c>
      <c r="C1256" s="1" t="n">
        <v>45760</v>
      </c>
      <c r="D1256" t="inlineStr">
        <is>
          <t>VÄSTERBOTTENS LÄN</t>
        </is>
      </c>
      <c r="E1256" t="inlineStr">
        <is>
          <t>SKELLEFTEÅ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14759-2022</t>
        </is>
      </c>
      <c r="B1257" s="1" t="n">
        <v>44656</v>
      </c>
      <c r="C1257" s="1" t="n">
        <v>45760</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14756-2022</t>
        </is>
      </c>
      <c r="B1258" s="1" t="n">
        <v>44656</v>
      </c>
      <c r="C1258" s="1" t="n">
        <v>45760</v>
      </c>
      <c r="D1258" t="inlineStr">
        <is>
          <t>VÄSTERBOTTENS LÄN</t>
        </is>
      </c>
      <c r="E1258" t="inlineStr">
        <is>
          <t>SKELLEFTEÅ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14952-2022</t>
        </is>
      </c>
      <c r="B1259" s="1" t="n">
        <v>44657</v>
      </c>
      <c r="C1259" s="1" t="n">
        <v>45760</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15441-2022</t>
        </is>
      </c>
      <c r="B1260" s="1" t="n">
        <v>44659</v>
      </c>
      <c r="C1260" s="1" t="n">
        <v>45760</v>
      </c>
      <c r="D1260" t="inlineStr">
        <is>
          <t>VÄSTERBOTTENS LÄN</t>
        </is>
      </c>
      <c r="E1260" t="inlineStr">
        <is>
          <t>SKELLEFTEÅ</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15740-2022</t>
        </is>
      </c>
      <c r="B1261" s="1" t="n">
        <v>44663</v>
      </c>
      <c r="C1261" s="1" t="n">
        <v>45760</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16139-2022</t>
        </is>
      </c>
      <c r="B1262" s="1" t="n">
        <v>44665</v>
      </c>
      <c r="C1262" s="1" t="n">
        <v>45760</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16198-2022</t>
        </is>
      </c>
      <c r="B1263" s="1" t="n">
        <v>44665</v>
      </c>
      <c r="C1263" s="1" t="n">
        <v>45760</v>
      </c>
      <c r="D1263" t="inlineStr">
        <is>
          <t>VÄSTERBOTTENS LÄN</t>
        </is>
      </c>
      <c r="E1263" t="inlineStr">
        <is>
          <t>SKELLEFTEÅ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16653-2022</t>
        </is>
      </c>
      <c r="B1264" s="1" t="n">
        <v>44672</v>
      </c>
      <c r="C1264" s="1" t="n">
        <v>45760</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16802-2022</t>
        </is>
      </c>
      <c r="B1265" s="1" t="n">
        <v>44673</v>
      </c>
      <c r="C1265" s="1" t="n">
        <v>45760</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16837-2022</t>
        </is>
      </c>
      <c r="B1266" s="1" t="n">
        <v>44674</v>
      </c>
      <c r="C1266" s="1" t="n">
        <v>45760</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16750-2022</t>
        </is>
      </c>
      <c r="B1267" s="1" t="n">
        <v>44673</v>
      </c>
      <c r="C1267" s="1" t="n">
        <v>45760</v>
      </c>
      <c r="D1267" t="inlineStr">
        <is>
          <t>VÄSTERBOTTENS LÄN</t>
        </is>
      </c>
      <c r="E1267" t="inlineStr">
        <is>
          <t>SKELLEFTEÅ</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16842-2022</t>
        </is>
      </c>
      <c r="B1268" s="1" t="n">
        <v>44674</v>
      </c>
      <c r="C1268" s="1" t="n">
        <v>45760</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17197-2022</t>
        </is>
      </c>
      <c r="B1269" s="1" t="n">
        <v>44677</v>
      </c>
      <c r="C1269" s="1" t="n">
        <v>45760</v>
      </c>
      <c r="D1269" t="inlineStr">
        <is>
          <t>VÄSTERBOTTENS LÄN</t>
        </is>
      </c>
      <c r="E1269" t="inlineStr">
        <is>
          <t>SKELLEFTEÅ</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17257-2022</t>
        </is>
      </c>
      <c r="B1270" s="1" t="n">
        <v>44678</v>
      </c>
      <c r="C1270" s="1" t="n">
        <v>45760</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17251-2022</t>
        </is>
      </c>
      <c r="B1271" s="1" t="n">
        <v>44678</v>
      </c>
      <c r="C1271" s="1" t="n">
        <v>45760</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18056-2022</t>
        </is>
      </c>
      <c r="B1272" s="1" t="n">
        <v>44684</v>
      </c>
      <c r="C1272" s="1" t="n">
        <v>45760</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18070-2022</t>
        </is>
      </c>
      <c r="B1273" s="1" t="n">
        <v>44684</v>
      </c>
      <c r="C1273" s="1" t="n">
        <v>45760</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18046-2022</t>
        </is>
      </c>
      <c r="B1274" s="1" t="n">
        <v>44684</v>
      </c>
      <c r="C1274" s="1" t="n">
        <v>45760</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18081-2022</t>
        </is>
      </c>
      <c r="B1275" s="1" t="n">
        <v>44684</v>
      </c>
      <c r="C1275" s="1" t="n">
        <v>45760</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18255-2022</t>
        </is>
      </c>
      <c r="B1276" s="1" t="n">
        <v>44685</v>
      </c>
      <c r="C1276" s="1" t="n">
        <v>45760</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18584-2022</t>
        </is>
      </c>
      <c r="B1277" s="1" t="n">
        <v>44687</v>
      </c>
      <c r="C1277" s="1" t="n">
        <v>45760</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18661-2022</t>
        </is>
      </c>
      <c r="B1278" s="1" t="n">
        <v>44687</v>
      </c>
      <c r="C1278" s="1" t="n">
        <v>45760</v>
      </c>
      <c r="D1278" t="inlineStr">
        <is>
          <t>VÄSTERBOTTENS LÄN</t>
        </is>
      </c>
      <c r="E1278" t="inlineStr">
        <is>
          <t>SKELLEFTEÅ</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19804-2022</t>
        </is>
      </c>
      <c r="B1279" s="1" t="n">
        <v>44694</v>
      </c>
      <c r="C1279" s="1" t="n">
        <v>45760</v>
      </c>
      <c r="D1279" t="inlineStr">
        <is>
          <t>VÄSTERBOTTENS LÄN</t>
        </is>
      </c>
      <c r="E1279" t="inlineStr">
        <is>
          <t>SKELLEFTEÅ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19805-2022</t>
        </is>
      </c>
      <c r="B1280" s="1" t="n">
        <v>44694</v>
      </c>
      <c r="C1280" s="1" t="n">
        <v>45760</v>
      </c>
      <c r="D1280" t="inlineStr">
        <is>
          <t>VÄSTERBOTTENS LÄN</t>
        </is>
      </c>
      <c r="E1280" t="inlineStr">
        <is>
          <t>SKELLEFTEÅ</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19870-2022</t>
        </is>
      </c>
      <c r="B1281" s="1" t="n">
        <v>44694</v>
      </c>
      <c r="C1281" s="1" t="n">
        <v>45760</v>
      </c>
      <c r="D1281" t="inlineStr">
        <is>
          <t>VÄSTERBOTTENS LÄN</t>
        </is>
      </c>
      <c r="E1281" t="inlineStr">
        <is>
          <t>SKELLEFTEÅ</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20515-2022</t>
        </is>
      </c>
      <c r="B1282" s="1" t="n">
        <v>44699</v>
      </c>
      <c r="C1282" s="1" t="n">
        <v>45760</v>
      </c>
      <c r="D1282" t="inlineStr">
        <is>
          <t>VÄSTERBOTTENS LÄN</t>
        </is>
      </c>
      <c r="E1282" t="inlineStr">
        <is>
          <t>SKELLEFTEÅ</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20638-2022</t>
        </is>
      </c>
      <c r="B1283" s="1" t="n">
        <v>44700</v>
      </c>
      <c r="C1283" s="1" t="n">
        <v>45760</v>
      </c>
      <c r="D1283" t="inlineStr">
        <is>
          <t>VÄSTERBOTTENS LÄN</t>
        </is>
      </c>
      <c r="E1283" t="inlineStr">
        <is>
          <t>SKELLEFTEÅ</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20654-2022</t>
        </is>
      </c>
      <c r="B1284" s="1" t="n">
        <v>44700</v>
      </c>
      <c r="C1284" s="1" t="n">
        <v>45760</v>
      </c>
      <c r="D1284" t="inlineStr">
        <is>
          <t>VÄSTERBOTTENS LÄN</t>
        </is>
      </c>
      <c r="E1284" t="inlineStr">
        <is>
          <t>SKELLEFTEÅ</t>
        </is>
      </c>
      <c r="F1284" t="inlineStr">
        <is>
          <t>Holmen skog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20610-2022</t>
        </is>
      </c>
      <c r="B1285" s="1" t="n">
        <v>44700</v>
      </c>
      <c r="C1285" s="1" t="n">
        <v>45760</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21035-2022</t>
        </is>
      </c>
      <c r="B1286" s="1" t="n">
        <v>44704</v>
      </c>
      <c r="C1286" s="1" t="n">
        <v>45760</v>
      </c>
      <c r="D1286" t="inlineStr">
        <is>
          <t>VÄSTERBOTTENS LÄN</t>
        </is>
      </c>
      <c r="E1286" t="inlineStr">
        <is>
          <t>SKELLEFTEÅ</t>
        </is>
      </c>
      <c r="G1286" t="n">
        <v>26.9</v>
      </c>
      <c r="H1286" t="n">
        <v>0</v>
      </c>
      <c r="I1286" t="n">
        <v>0</v>
      </c>
      <c r="J1286" t="n">
        <v>0</v>
      </c>
      <c r="K1286" t="n">
        <v>0</v>
      </c>
      <c r="L1286" t="n">
        <v>0</v>
      </c>
      <c r="M1286" t="n">
        <v>0</v>
      </c>
      <c r="N1286" t="n">
        <v>0</v>
      </c>
      <c r="O1286" t="n">
        <v>0</v>
      </c>
      <c r="P1286" t="n">
        <v>0</v>
      </c>
      <c r="Q1286" t="n">
        <v>0</v>
      </c>
      <c r="R1286" s="2" t="inlineStr"/>
    </row>
    <row r="1287" ht="15" customHeight="1">
      <c r="A1287" t="inlineStr">
        <is>
          <t>A 21136-2022</t>
        </is>
      </c>
      <c r="B1287" s="1" t="n">
        <v>44704</v>
      </c>
      <c r="C1287" s="1" t="n">
        <v>45760</v>
      </c>
      <c r="D1287" t="inlineStr">
        <is>
          <t>VÄSTERBOTTENS LÄN</t>
        </is>
      </c>
      <c r="E1287" t="inlineStr">
        <is>
          <t>SKELLEFTEÅ</t>
        </is>
      </c>
      <c r="F1287" t="inlineStr">
        <is>
          <t>Holmen skog AB</t>
        </is>
      </c>
      <c r="G1287" t="n">
        <v>22.6</v>
      </c>
      <c r="H1287" t="n">
        <v>0</v>
      </c>
      <c r="I1287" t="n">
        <v>0</v>
      </c>
      <c r="J1287" t="n">
        <v>0</v>
      </c>
      <c r="K1287" t="n">
        <v>0</v>
      </c>
      <c r="L1287" t="n">
        <v>0</v>
      </c>
      <c r="M1287" t="n">
        <v>0</v>
      </c>
      <c r="N1287" t="n">
        <v>0</v>
      </c>
      <c r="O1287" t="n">
        <v>0</v>
      </c>
      <c r="P1287" t="n">
        <v>0</v>
      </c>
      <c r="Q1287" t="n">
        <v>0</v>
      </c>
      <c r="R1287" s="2" t="inlineStr"/>
    </row>
    <row r="1288" ht="15" customHeight="1">
      <c r="A1288" t="inlineStr">
        <is>
          <t>A 21395-2022</t>
        </is>
      </c>
      <c r="B1288" s="1" t="n">
        <v>44706</v>
      </c>
      <c r="C1288" s="1" t="n">
        <v>45760</v>
      </c>
      <c r="D1288" t="inlineStr">
        <is>
          <t>VÄSTERBOTTENS LÄN</t>
        </is>
      </c>
      <c r="E1288" t="inlineStr">
        <is>
          <t>SKELLEFTEÅ</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21539-2022</t>
        </is>
      </c>
      <c r="B1289" s="1" t="n">
        <v>44706</v>
      </c>
      <c r="C1289" s="1" t="n">
        <v>45760</v>
      </c>
      <c r="D1289" t="inlineStr">
        <is>
          <t>VÄSTERBOTTENS LÄN</t>
        </is>
      </c>
      <c r="E1289" t="inlineStr">
        <is>
          <t>SKELLEFTEÅ</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21843-2022</t>
        </is>
      </c>
      <c r="B1290" s="1" t="n">
        <v>44711</v>
      </c>
      <c r="C1290" s="1" t="n">
        <v>45760</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21882-2022</t>
        </is>
      </c>
      <c r="B1291" s="1" t="n">
        <v>44711</v>
      </c>
      <c r="C1291" s="1" t="n">
        <v>45760</v>
      </c>
      <c r="D1291" t="inlineStr">
        <is>
          <t>VÄSTERBOTTENS LÄN</t>
        </is>
      </c>
      <c r="E1291" t="inlineStr">
        <is>
          <t>SKELLEFTEÅ</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21883-2022</t>
        </is>
      </c>
      <c r="B1292" s="1" t="n">
        <v>44711</v>
      </c>
      <c r="C1292" s="1" t="n">
        <v>45760</v>
      </c>
      <c r="D1292" t="inlineStr">
        <is>
          <t>VÄSTERBOTTENS LÄN</t>
        </is>
      </c>
      <c r="E1292" t="inlineStr">
        <is>
          <t>SKELLEFTEÅ</t>
        </is>
      </c>
      <c r="F1292" t="inlineStr">
        <is>
          <t>Holmen skog AB</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21842-2022</t>
        </is>
      </c>
      <c r="B1293" s="1" t="n">
        <v>44711</v>
      </c>
      <c r="C1293" s="1" t="n">
        <v>45760</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21996-2022</t>
        </is>
      </c>
      <c r="B1294" s="1" t="n">
        <v>44711</v>
      </c>
      <c r="C1294" s="1" t="n">
        <v>45760</v>
      </c>
      <c r="D1294" t="inlineStr">
        <is>
          <t>VÄSTERBOTTENS LÄN</t>
        </is>
      </c>
      <c r="E1294" t="inlineStr">
        <is>
          <t>SKELLEFTEÅ</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22373-2022</t>
        </is>
      </c>
      <c r="B1295" s="1" t="n">
        <v>44713</v>
      </c>
      <c r="C1295" s="1" t="n">
        <v>45760</v>
      </c>
      <c r="D1295" t="inlineStr">
        <is>
          <t>VÄSTERBOTTENS LÄN</t>
        </is>
      </c>
      <c r="E1295" t="inlineStr">
        <is>
          <t>SKELLEFTEÅ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22364-2022</t>
        </is>
      </c>
      <c r="B1296" s="1" t="n">
        <v>44713</v>
      </c>
      <c r="C1296" s="1" t="n">
        <v>45760</v>
      </c>
      <c r="D1296" t="inlineStr">
        <is>
          <t>VÄSTERBOTTENS LÄN</t>
        </is>
      </c>
      <c r="E1296" t="inlineStr">
        <is>
          <t>SKELLEFTEÅ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22661-2022</t>
        </is>
      </c>
      <c r="B1297" s="1" t="n">
        <v>44714</v>
      </c>
      <c r="C1297" s="1" t="n">
        <v>45760</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22618-2022</t>
        </is>
      </c>
      <c r="B1298" s="1" t="n">
        <v>44714</v>
      </c>
      <c r="C1298" s="1" t="n">
        <v>45760</v>
      </c>
      <c r="D1298" t="inlineStr">
        <is>
          <t>VÄSTERBOTTENS LÄN</t>
        </is>
      </c>
      <c r="E1298" t="inlineStr">
        <is>
          <t>SKELLEFTEÅ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22758-2022</t>
        </is>
      </c>
      <c r="B1299" s="1" t="n">
        <v>44714</v>
      </c>
      <c r="C1299" s="1" t="n">
        <v>45760</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22760-2022</t>
        </is>
      </c>
      <c r="B1300" s="1" t="n">
        <v>44714</v>
      </c>
      <c r="C1300" s="1" t="n">
        <v>45760</v>
      </c>
      <c r="D1300" t="inlineStr">
        <is>
          <t>VÄSTERBOTTENS LÄN</t>
        </is>
      </c>
      <c r="E1300" t="inlineStr">
        <is>
          <t>SKELLEFTEÅ</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22822-2022</t>
        </is>
      </c>
      <c r="B1301" s="1" t="n">
        <v>44714</v>
      </c>
      <c r="C1301" s="1" t="n">
        <v>45760</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22763-2022</t>
        </is>
      </c>
      <c r="B1302" s="1" t="n">
        <v>44715</v>
      </c>
      <c r="C1302" s="1" t="n">
        <v>45760</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22828-2022</t>
        </is>
      </c>
      <c r="B1303" s="1" t="n">
        <v>44714</v>
      </c>
      <c r="C1303" s="1" t="n">
        <v>45760</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22896-2022</t>
        </is>
      </c>
      <c r="B1304" s="1" t="n">
        <v>44715</v>
      </c>
      <c r="C1304" s="1" t="n">
        <v>45760</v>
      </c>
      <c r="D1304" t="inlineStr">
        <is>
          <t>VÄSTERBOTTENS LÄN</t>
        </is>
      </c>
      <c r="E1304" t="inlineStr">
        <is>
          <t>SKELLEFTEÅ</t>
        </is>
      </c>
      <c r="F1304" t="inlineStr">
        <is>
          <t>Holmen skog AB</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23042-2022</t>
        </is>
      </c>
      <c r="B1305" s="1" t="n">
        <v>44719</v>
      </c>
      <c r="C1305" s="1" t="n">
        <v>45760</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23046-2022</t>
        </is>
      </c>
      <c r="B1306" s="1" t="n">
        <v>44719</v>
      </c>
      <c r="C1306" s="1" t="n">
        <v>45760</v>
      </c>
      <c r="D1306" t="inlineStr">
        <is>
          <t>VÄSTERBOTTENS LÄN</t>
        </is>
      </c>
      <c r="E1306" t="inlineStr">
        <is>
          <t>SKELLEFTEÅ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23513-2022</t>
        </is>
      </c>
      <c r="B1307" s="1" t="n">
        <v>44721</v>
      </c>
      <c r="C1307" s="1" t="n">
        <v>45760</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23715-2022</t>
        </is>
      </c>
      <c r="B1308" s="1" t="n">
        <v>44721</v>
      </c>
      <c r="C1308" s="1" t="n">
        <v>45760</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23729-2022</t>
        </is>
      </c>
      <c r="B1309" s="1" t="n">
        <v>44722</v>
      </c>
      <c r="C1309" s="1" t="n">
        <v>45760</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24238-2022</t>
        </is>
      </c>
      <c r="B1310" s="1" t="n">
        <v>44725</v>
      </c>
      <c r="C1310" s="1" t="n">
        <v>45760</v>
      </c>
      <c r="D1310" t="inlineStr">
        <is>
          <t>VÄSTERBOTTENS LÄN</t>
        </is>
      </c>
      <c r="E1310" t="inlineStr">
        <is>
          <t>SKELLEFTEÅ</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24323-2022</t>
        </is>
      </c>
      <c r="B1311" s="1" t="n">
        <v>44725</v>
      </c>
      <c r="C1311" s="1" t="n">
        <v>45760</v>
      </c>
      <c r="D1311" t="inlineStr">
        <is>
          <t>VÄSTERBOTTENS LÄN</t>
        </is>
      </c>
      <c r="E1311" t="inlineStr">
        <is>
          <t>SKELLEFTEÅ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24242-2022</t>
        </is>
      </c>
      <c r="B1312" s="1" t="n">
        <v>44725</v>
      </c>
      <c r="C1312" s="1" t="n">
        <v>45760</v>
      </c>
      <c r="D1312" t="inlineStr">
        <is>
          <t>VÄSTERBOTTENS LÄN</t>
        </is>
      </c>
      <c r="E1312" t="inlineStr">
        <is>
          <t>SKELLEFTEÅ</t>
        </is>
      </c>
      <c r="F1312" t="inlineStr">
        <is>
          <t>Övriga Aktiebolag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24505-2022</t>
        </is>
      </c>
      <c r="B1313" s="1" t="n">
        <v>44727</v>
      </c>
      <c r="C1313" s="1" t="n">
        <v>45760</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24577-2022</t>
        </is>
      </c>
      <c r="B1314" s="1" t="n">
        <v>44727</v>
      </c>
      <c r="C1314" s="1" t="n">
        <v>45760</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24583-2022</t>
        </is>
      </c>
      <c r="B1315" s="1" t="n">
        <v>44727</v>
      </c>
      <c r="C1315" s="1" t="n">
        <v>45760</v>
      </c>
      <c r="D1315" t="inlineStr">
        <is>
          <t>VÄSTERBOTTENS LÄN</t>
        </is>
      </c>
      <c r="E1315" t="inlineStr">
        <is>
          <t>SKELLEFTEÅ</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24663-2022</t>
        </is>
      </c>
      <c r="B1316" s="1" t="n">
        <v>44728</v>
      </c>
      <c r="C1316" s="1" t="n">
        <v>45760</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24832-2022</t>
        </is>
      </c>
      <c r="B1317" s="1" t="n">
        <v>44728</v>
      </c>
      <c r="C1317" s="1" t="n">
        <v>45760</v>
      </c>
      <c r="D1317" t="inlineStr">
        <is>
          <t>VÄSTERBOTTENS LÄN</t>
        </is>
      </c>
      <c r="E1317" t="inlineStr">
        <is>
          <t>SKELLEFTEÅ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24899-2022</t>
        </is>
      </c>
      <c r="B1318" s="1" t="n">
        <v>44728</v>
      </c>
      <c r="C1318" s="1" t="n">
        <v>45760</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24941-2022</t>
        </is>
      </c>
      <c r="B1319" s="1" t="n">
        <v>44728</v>
      </c>
      <c r="C1319" s="1" t="n">
        <v>45760</v>
      </c>
      <c r="D1319" t="inlineStr">
        <is>
          <t>VÄSTERBOTTENS LÄN</t>
        </is>
      </c>
      <c r="E1319" t="inlineStr">
        <is>
          <t>SKELLEFTEÅ</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25009-2022</t>
        </is>
      </c>
      <c r="B1320" s="1" t="n">
        <v>44729</v>
      </c>
      <c r="C1320" s="1" t="n">
        <v>45760</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25182-2022</t>
        </is>
      </c>
      <c r="B1321" s="1" t="n">
        <v>44729</v>
      </c>
      <c r="C1321" s="1" t="n">
        <v>45760</v>
      </c>
      <c r="D1321" t="inlineStr">
        <is>
          <t>VÄSTERBOTTENS LÄN</t>
        </is>
      </c>
      <c r="E1321" t="inlineStr">
        <is>
          <t>SKELLEFTEÅ</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25207-2022</t>
        </is>
      </c>
      <c r="B1322" s="1" t="n">
        <v>44729</v>
      </c>
      <c r="C1322" s="1" t="n">
        <v>45760</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25336-2022</t>
        </is>
      </c>
      <c r="B1323" s="1" t="n">
        <v>44732</v>
      </c>
      <c r="C1323" s="1" t="n">
        <v>45760</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25404-2022</t>
        </is>
      </c>
      <c r="B1324" s="1" t="n">
        <v>44732</v>
      </c>
      <c r="C1324" s="1" t="n">
        <v>45760</v>
      </c>
      <c r="D1324" t="inlineStr">
        <is>
          <t>VÄSTERBOTTENS LÄN</t>
        </is>
      </c>
      <c r="E1324" t="inlineStr">
        <is>
          <t>SKELLEFTEÅ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25568-2022</t>
        </is>
      </c>
      <c r="B1325" s="1" t="n">
        <v>44732</v>
      </c>
      <c r="C1325" s="1" t="n">
        <v>45760</v>
      </c>
      <c r="D1325" t="inlineStr">
        <is>
          <t>VÄSTERBOTTENS LÄN</t>
        </is>
      </c>
      <c r="E1325" t="inlineStr">
        <is>
          <t>SKELLEFTEÅ</t>
        </is>
      </c>
      <c r="F1325" t="inlineStr">
        <is>
          <t>Holmen skog AB</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25596-2022</t>
        </is>
      </c>
      <c r="B1326" s="1" t="n">
        <v>44732</v>
      </c>
      <c r="C1326" s="1" t="n">
        <v>45760</v>
      </c>
      <c r="D1326" t="inlineStr">
        <is>
          <t>VÄSTERBOTTENS LÄN</t>
        </is>
      </c>
      <c r="E1326" t="inlineStr">
        <is>
          <t>SKELLEFTEÅ</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25674-2022</t>
        </is>
      </c>
      <c r="B1327" s="1" t="n">
        <v>44732</v>
      </c>
      <c r="C1327" s="1" t="n">
        <v>45760</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26031-2022</t>
        </is>
      </c>
      <c r="B1328" s="1" t="n">
        <v>44734</v>
      </c>
      <c r="C1328" s="1" t="n">
        <v>45760</v>
      </c>
      <c r="D1328" t="inlineStr">
        <is>
          <t>VÄSTERBOTTENS LÄN</t>
        </is>
      </c>
      <c r="E1328" t="inlineStr">
        <is>
          <t>SKELLEFTEÅ</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26203-2022</t>
        </is>
      </c>
      <c r="B1329" s="1" t="n">
        <v>44735</v>
      </c>
      <c r="C1329" s="1" t="n">
        <v>45760</v>
      </c>
      <c r="D1329" t="inlineStr">
        <is>
          <t>VÄSTERBOTTENS LÄN</t>
        </is>
      </c>
      <c r="E1329" t="inlineStr">
        <is>
          <t>SKELLEFTEÅ</t>
        </is>
      </c>
      <c r="F1329" t="inlineStr">
        <is>
          <t>Kommuner</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26166-2022</t>
        </is>
      </c>
      <c r="B1330" s="1" t="n">
        <v>44735</v>
      </c>
      <c r="C1330" s="1" t="n">
        <v>45760</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26545-2022</t>
        </is>
      </c>
      <c r="B1331" s="1" t="n">
        <v>44739</v>
      </c>
      <c r="C1331" s="1" t="n">
        <v>45760</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26483-2022</t>
        </is>
      </c>
      <c r="B1332" s="1" t="n">
        <v>44739</v>
      </c>
      <c r="C1332" s="1" t="n">
        <v>45760</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26798-2022</t>
        </is>
      </c>
      <c r="B1333" s="1" t="n">
        <v>44740</v>
      </c>
      <c r="C1333" s="1" t="n">
        <v>45760</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26807-2022</t>
        </is>
      </c>
      <c r="B1334" s="1" t="n">
        <v>44740</v>
      </c>
      <c r="C1334" s="1" t="n">
        <v>45760</v>
      </c>
      <c r="D1334" t="inlineStr">
        <is>
          <t>VÄSTERBOTTENS LÄN</t>
        </is>
      </c>
      <c r="E1334" t="inlineStr">
        <is>
          <t>SKELLEFTEÅ</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26803-2022</t>
        </is>
      </c>
      <c r="B1335" s="1" t="n">
        <v>44740</v>
      </c>
      <c r="C1335" s="1" t="n">
        <v>45760</v>
      </c>
      <c r="D1335" t="inlineStr">
        <is>
          <t>VÄSTERBOTTENS LÄN</t>
        </is>
      </c>
      <c r="E1335" t="inlineStr">
        <is>
          <t>SKELLEFTEÅ</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26881-2022</t>
        </is>
      </c>
      <c r="B1336" s="1" t="n">
        <v>44740</v>
      </c>
      <c r="C1336" s="1" t="n">
        <v>45760</v>
      </c>
      <c r="D1336" t="inlineStr">
        <is>
          <t>VÄSTERBOTTENS LÄN</t>
        </is>
      </c>
      <c r="E1336" t="inlineStr">
        <is>
          <t>SKELLEFTEÅ</t>
        </is>
      </c>
      <c r="F1336" t="inlineStr">
        <is>
          <t>Holmen skog AB</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26999-2022</t>
        </is>
      </c>
      <c r="B1337" s="1" t="n">
        <v>44740</v>
      </c>
      <c r="C1337" s="1" t="n">
        <v>45760</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27003-2022</t>
        </is>
      </c>
      <c r="B1338" s="1" t="n">
        <v>44741</v>
      </c>
      <c r="C1338" s="1" t="n">
        <v>45760</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27028-2022</t>
        </is>
      </c>
      <c r="B1339" s="1" t="n">
        <v>44740</v>
      </c>
      <c r="C1339" s="1" t="n">
        <v>45760</v>
      </c>
      <c r="D1339" t="inlineStr">
        <is>
          <t>VÄSTERBOTTENS LÄN</t>
        </is>
      </c>
      <c r="E1339" t="inlineStr">
        <is>
          <t>SKELLEFTEÅ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27002-2022</t>
        </is>
      </c>
      <c r="B1340" s="1" t="n">
        <v>44740</v>
      </c>
      <c r="C1340" s="1" t="n">
        <v>45760</v>
      </c>
      <c r="D1340" t="inlineStr">
        <is>
          <t>VÄSTERBOTTENS LÄN</t>
        </is>
      </c>
      <c r="E1340" t="inlineStr">
        <is>
          <t>SKELLEFTEÅ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27265-2022</t>
        </is>
      </c>
      <c r="B1341" s="1" t="n">
        <v>44741</v>
      </c>
      <c r="C1341" s="1" t="n">
        <v>45760</v>
      </c>
      <c r="D1341" t="inlineStr">
        <is>
          <t>VÄSTERBOTTENS LÄN</t>
        </is>
      </c>
      <c r="E1341" t="inlineStr">
        <is>
          <t>SKELLEFTEÅ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27555-2022</t>
        </is>
      </c>
      <c r="B1342" s="1" t="n">
        <v>44743</v>
      </c>
      <c r="C1342" s="1" t="n">
        <v>45760</v>
      </c>
      <c r="D1342" t="inlineStr">
        <is>
          <t>VÄSTERBOTTENS LÄN</t>
        </is>
      </c>
      <c r="E1342" t="inlineStr">
        <is>
          <t>SKELLEFTEÅ</t>
        </is>
      </c>
      <c r="F1342" t="inlineStr">
        <is>
          <t>Kommuner</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27560-2022</t>
        </is>
      </c>
      <c r="B1343" s="1" t="n">
        <v>44743</v>
      </c>
      <c r="C1343" s="1" t="n">
        <v>45760</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27817-2022</t>
        </is>
      </c>
      <c r="B1344" s="1" t="n">
        <v>44743</v>
      </c>
      <c r="C1344" s="1" t="n">
        <v>45760</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27637-2022</t>
        </is>
      </c>
      <c r="B1345" s="1" t="n">
        <v>44743</v>
      </c>
      <c r="C1345" s="1" t="n">
        <v>45760</v>
      </c>
      <c r="D1345" t="inlineStr">
        <is>
          <t>VÄSTERBOTTENS LÄN</t>
        </is>
      </c>
      <c r="E1345" t="inlineStr">
        <is>
          <t>SKELLEFTEÅ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27672-2022</t>
        </is>
      </c>
      <c r="B1346" s="1" t="n">
        <v>44743</v>
      </c>
      <c r="C1346" s="1" t="n">
        <v>45760</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27631-2022</t>
        </is>
      </c>
      <c r="B1347" s="1" t="n">
        <v>44743</v>
      </c>
      <c r="C1347" s="1" t="n">
        <v>45760</v>
      </c>
      <c r="D1347" t="inlineStr">
        <is>
          <t>VÄSTERBOTTENS LÄN</t>
        </is>
      </c>
      <c r="E1347" t="inlineStr">
        <is>
          <t>SKELLEFTEÅ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27636-2022</t>
        </is>
      </c>
      <c r="B1348" s="1" t="n">
        <v>44743</v>
      </c>
      <c r="C1348" s="1" t="n">
        <v>45760</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27907-2022</t>
        </is>
      </c>
      <c r="B1349" s="1" t="n">
        <v>44743</v>
      </c>
      <c r="C1349" s="1" t="n">
        <v>45760</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27901-2022</t>
        </is>
      </c>
      <c r="B1350" s="1" t="n">
        <v>44743</v>
      </c>
      <c r="C1350" s="1" t="n">
        <v>45760</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28352-2022</t>
        </is>
      </c>
      <c r="B1351" s="1" t="n">
        <v>44747</v>
      </c>
      <c r="C1351" s="1" t="n">
        <v>45760</v>
      </c>
      <c r="D1351" t="inlineStr">
        <is>
          <t>VÄSTERBOTTENS LÄN</t>
        </is>
      </c>
      <c r="E1351" t="inlineStr">
        <is>
          <t>SKELLEFTEÅ</t>
        </is>
      </c>
      <c r="F1351" t="inlineStr">
        <is>
          <t>Holmen skog AB</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29085-2022</t>
        </is>
      </c>
      <c r="B1352" s="1" t="n">
        <v>44749</v>
      </c>
      <c r="C1352" s="1" t="n">
        <v>45760</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29030-2022</t>
        </is>
      </c>
      <c r="B1353" s="1" t="n">
        <v>44749</v>
      </c>
      <c r="C1353" s="1" t="n">
        <v>45760</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29028-2022</t>
        </is>
      </c>
      <c r="B1354" s="1" t="n">
        <v>44749</v>
      </c>
      <c r="C1354" s="1" t="n">
        <v>45760</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29029-2022</t>
        </is>
      </c>
      <c r="B1355" s="1" t="n">
        <v>44749</v>
      </c>
      <c r="C1355" s="1" t="n">
        <v>45760</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29092-2022</t>
        </is>
      </c>
      <c r="B1356" s="1" t="n">
        <v>44750</v>
      </c>
      <c r="C1356" s="1" t="n">
        <v>45760</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29164-2022</t>
        </is>
      </c>
      <c r="B1357" s="1" t="n">
        <v>44750</v>
      </c>
      <c r="C1357" s="1" t="n">
        <v>45760</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29161-2022</t>
        </is>
      </c>
      <c r="B1358" s="1" t="n">
        <v>44750</v>
      </c>
      <c r="C1358" s="1" t="n">
        <v>45760</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29802-2022</t>
        </is>
      </c>
      <c r="B1359" s="1" t="n">
        <v>44755</v>
      </c>
      <c r="C1359" s="1" t="n">
        <v>45760</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30184-2022</t>
        </is>
      </c>
      <c r="B1360" s="1" t="n">
        <v>44757</v>
      </c>
      <c r="C1360" s="1" t="n">
        <v>45760</v>
      </c>
      <c r="D1360" t="inlineStr">
        <is>
          <t>VÄSTERBOTTENS LÄN</t>
        </is>
      </c>
      <c r="E1360" t="inlineStr">
        <is>
          <t>SKELLEFTEÅ</t>
        </is>
      </c>
      <c r="F1360" t="inlineStr">
        <is>
          <t>Holmen skog AB</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30278-2022</t>
        </is>
      </c>
      <c r="B1361" s="1" t="n">
        <v>44759</v>
      </c>
      <c r="C1361" s="1" t="n">
        <v>45760</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30905-2022</t>
        </is>
      </c>
      <c r="B1362" s="1" t="n">
        <v>44767</v>
      </c>
      <c r="C1362" s="1" t="n">
        <v>45760</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31124-2022</t>
        </is>
      </c>
      <c r="B1363" s="1" t="n">
        <v>44770</v>
      </c>
      <c r="C1363" s="1" t="n">
        <v>45760</v>
      </c>
      <c r="D1363" t="inlineStr">
        <is>
          <t>VÄSTERBOTTENS LÄN</t>
        </is>
      </c>
      <c r="E1363" t="inlineStr">
        <is>
          <t>SKELLEFTEÅ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31234-2022</t>
        </is>
      </c>
      <c r="B1364" s="1" t="n">
        <v>44771</v>
      </c>
      <c r="C1364" s="1" t="n">
        <v>45760</v>
      </c>
      <c r="D1364" t="inlineStr">
        <is>
          <t>VÄSTERBOTTENS LÄN</t>
        </is>
      </c>
      <c r="E1364" t="inlineStr">
        <is>
          <t>SKELLEFTEÅ</t>
        </is>
      </c>
      <c r="F1364" t="inlineStr">
        <is>
          <t>Holmen skog AB</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31955-2022</t>
        </is>
      </c>
      <c r="B1365" s="1" t="n">
        <v>44778</v>
      </c>
      <c r="C1365" s="1" t="n">
        <v>45760</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31960-2022</t>
        </is>
      </c>
      <c r="B1366" s="1" t="n">
        <v>44778</v>
      </c>
      <c r="C1366" s="1" t="n">
        <v>45760</v>
      </c>
      <c r="D1366" t="inlineStr">
        <is>
          <t>VÄSTERBOTTENS LÄN</t>
        </is>
      </c>
      <c r="E1366" t="inlineStr">
        <is>
          <t>SKELLEFTEÅ</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31954-2022</t>
        </is>
      </c>
      <c r="B1367" s="1" t="n">
        <v>44778</v>
      </c>
      <c r="C1367" s="1" t="n">
        <v>45760</v>
      </c>
      <c r="D1367" t="inlineStr">
        <is>
          <t>VÄSTERBOTTENS LÄN</t>
        </is>
      </c>
      <c r="E1367" t="inlineStr">
        <is>
          <t>SKELLEFTEÅ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32173-2022</t>
        </is>
      </c>
      <c r="B1368" s="1" t="n">
        <v>44781</v>
      </c>
      <c r="C1368" s="1" t="n">
        <v>45760</v>
      </c>
      <c r="D1368" t="inlineStr">
        <is>
          <t>VÄSTERBOTTENS LÄN</t>
        </is>
      </c>
      <c r="E1368" t="inlineStr">
        <is>
          <t>SKELLEFTEÅ</t>
        </is>
      </c>
      <c r="F1368" t="inlineStr">
        <is>
          <t>Kommuner</t>
        </is>
      </c>
      <c r="G1368" t="n">
        <v>18.6</v>
      </c>
      <c r="H1368" t="n">
        <v>0</v>
      </c>
      <c r="I1368" t="n">
        <v>0</v>
      </c>
      <c r="J1368" t="n">
        <v>0</v>
      </c>
      <c r="K1368" t="n">
        <v>0</v>
      </c>
      <c r="L1368" t="n">
        <v>0</v>
      </c>
      <c r="M1368" t="n">
        <v>0</v>
      </c>
      <c r="N1368" t="n">
        <v>0</v>
      </c>
      <c r="O1368" t="n">
        <v>0</v>
      </c>
      <c r="P1368" t="n">
        <v>0</v>
      </c>
      <c r="Q1368" t="n">
        <v>0</v>
      </c>
      <c r="R1368" s="2" t="inlineStr"/>
    </row>
    <row r="1369" ht="15" customHeight="1">
      <c r="A1369" t="inlineStr">
        <is>
          <t>A 32244-2022</t>
        </is>
      </c>
      <c r="B1369" s="1" t="n">
        <v>44781</v>
      </c>
      <c r="C1369" s="1" t="n">
        <v>45760</v>
      </c>
      <c r="D1369" t="inlineStr">
        <is>
          <t>VÄSTERBOTTENS LÄN</t>
        </is>
      </c>
      <c r="E1369" t="inlineStr">
        <is>
          <t>SKELLEFTEÅ</t>
        </is>
      </c>
      <c r="F1369" t="inlineStr">
        <is>
          <t>Holmen skog AB</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32279-2022</t>
        </is>
      </c>
      <c r="B1370" s="1" t="n">
        <v>44781</v>
      </c>
      <c r="C1370" s="1" t="n">
        <v>45760</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32200-2022</t>
        </is>
      </c>
      <c r="B1371" s="1" t="n">
        <v>44781</v>
      </c>
      <c r="C1371" s="1" t="n">
        <v>45760</v>
      </c>
      <c r="D1371" t="inlineStr">
        <is>
          <t>VÄSTERBOTTENS LÄN</t>
        </is>
      </c>
      <c r="E1371" t="inlineStr">
        <is>
          <t>SKELLEFTEÅ</t>
        </is>
      </c>
      <c r="F1371" t="inlineStr">
        <is>
          <t>Kommuner</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32344-2022</t>
        </is>
      </c>
      <c r="B1372" s="1" t="n">
        <v>44781</v>
      </c>
      <c r="C1372" s="1" t="n">
        <v>45760</v>
      </c>
      <c r="D1372" t="inlineStr">
        <is>
          <t>VÄSTERBOTTENS LÄN</t>
        </is>
      </c>
      <c r="E1372" t="inlineStr">
        <is>
          <t>SKELLEFTEÅ</t>
        </is>
      </c>
      <c r="F1372" t="inlineStr">
        <is>
          <t>Sveaskog</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32427-2022</t>
        </is>
      </c>
      <c r="B1373" s="1" t="n">
        <v>44782</v>
      </c>
      <c r="C1373" s="1" t="n">
        <v>45760</v>
      </c>
      <c r="D1373" t="inlineStr">
        <is>
          <t>VÄSTERBOTTENS LÄN</t>
        </is>
      </c>
      <c r="E1373" t="inlineStr">
        <is>
          <t>SKELLEFTEÅ</t>
        </is>
      </c>
      <c r="F1373" t="inlineStr">
        <is>
          <t>Kommuner</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32434-2022</t>
        </is>
      </c>
      <c r="B1374" s="1" t="n">
        <v>44782</v>
      </c>
      <c r="C1374" s="1" t="n">
        <v>45760</v>
      </c>
      <c r="D1374" t="inlineStr">
        <is>
          <t>VÄSTERBOTTENS LÄN</t>
        </is>
      </c>
      <c r="E1374" t="inlineStr">
        <is>
          <t>SKELLEFTEÅ</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32415-2022</t>
        </is>
      </c>
      <c r="B1375" s="1" t="n">
        <v>44782</v>
      </c>
      <c r="C1375" s="1" t="n">
        <v>45760</v>
      </c>
      <c r="D1375" t="inlineStr">
        <is>
          <t>VÄSTERBOTTENS LÄN</t>
        </is>
      </c>
      <c r="E1375" t="inlineStr">
        <is>
          <t>SKELLEFTEÅ</t>
        </is>
      </c>
      <c r="F1375" t="inlineStr">
        <is>
          <t>Kommuner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32436-2022</t>
        </is>
      </c>
      <c r="B1376" s="1" t="n">
        <v>44782</v>
      </c>
      <c r="C1376" s="1" t="n">
        <v>45760</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32420-2022</t>
        </is>
      </c>
      <c r="B1377" s="1" t="n">
        <v>44782</v>
      </c>
      <c r="C1377" s="1" t="n">
        <v>45760</v>
      </c>
      <c r="D1377" t="inlineStr">
        <is>
          <t>VÄSTERBOTTENS LÄN</t>
        </is>
      </c>
      <c r="E1377" t="inlineStr">
        <is>
          <t>SKELLEFTEÅ</t>
        </is>
      </c>
      <c r="F1377" t="inlineStr">
        <is>
          <t>Kommuner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32448-2022</t>
        </is>
      </c>
      <c r="B1378" s="1" t="n">
        <v>44782</v>
      </c>
      <c r="C1378" s="1" t="n">
        <v>45760</v>
      </c>
      <c r="D1378" t="inlineStr">
        <is>
          <t>VÄSTERBOTTENS LÄN</t>
        </is>
      </c>
      <c r="E1378" t="inlineStr">
        <is>
          <t>SKELLEFTEÅ</t>
        </is>
      </c>
      <c r="F1378" t="inlineStr">
        <is>
          <t>Kommuner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32560-2022</t>
        </is>
      </c>
      <c r="B1379" s="1" t="n">
        <v>44783</v>
      </c>
      <c r="C1379" s="1" t="n">
        <v>45760</v>
      </c>
      <c r="D1379" t="inlineStr">
        <is>
          <t>VÄSTERBOTTENS LÄN</t>
        </is>
      </c>
      <c r="E1379" t="inlineStr">
        <is>
          <t>SKELLEFTEÅ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32677-2022</t>
        </is>
      </c>
      <c r="B1380" s="1" t="n">
        <v>44783</v>
      </c>
      <c r="C1380" s="1" t="n">
        <v>45760</v>
      </c>
      <c r="D1380" t="inlineStr">
        <is>
          <t>VÄSTERBOTTENS LÄN</t>
        </is>
      </c>
      <c r="E1380" t="inlineStr">
        <is>
          <t>SKELLEFTEÅ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32539-2022</t>
        </is>
      </c>
      <c r="B1381" s="1" t="n">
        <v>44783</v>
      </c>
      <c r="C1381" s="1" t="n">
        <v>45760</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32657-2022</t>
        </is>
      </c>
      <c r="B1382" s="1" t="n">
        <v>44783</v>
      </c>
      <c r="C1382" s="1" t="n">
        <v>45760</v>
      </c>
      <c r="D1382" t="inlineStr">
        <is>
          <t>VÄSTERBOTTENS LÄN</t>
        </is>
      </c>
      <c r="E1382" t="inlineStr">
        <is>
          <t>SKELLEFTEÅ</t>
        </is>
      </c>
      <c r="F1382" t="inlineStr">
        <is>
          <t>Sveaskog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32985-2022</t>
        </is>
      </c>
      <c r="B1383" s="1" t="n">
        <v>44785</v>
      </c>
      <c r="C1383" s="1" t="n">
        <v>45760</v>
      </c>
      <c r="D1383" t="inlineStr">
        <is>
          <t>VÄSTERBOTTENS LÄN</t>
        </is>
      </c>
      <c r="E1383" t="inlineStr">
        <is>
          <t>SKELLEFTEÅ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32984-2022</t>
        </is>
      </c>
      <c r="B1384" s="1" t="n">
        <v>44784</v>
      </c>
      <c r="C1384" s="1" t="n">
        <v>45760</v>
      </c>
      <c r="D1384" t="inlineStr">
        <is>
          <t>VÄSTERBOTTENS LÄN</t>
        </is>
      </c>
      <c r="E1384" t="inlineStr">
        <is>
          <t>SKELLEFTEÅ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33268-2022</t>
        </is>
      </c>
      <c r="B1385" s="1" t="n">
        <v>44788</v>
      </c>
      <c r="C1385" s="1" t="n">
        <v>45760</v>
      </c>
      <c r="D1385" t="inlineStr">
        <is>
          <t>VÄSTERBOTTENS LÄN</t>
        </is>
      </c>
      <c r="E1385" t="inlineStr">
        <is>
          <t>SKELLEFTEÅ</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33324-2022</t>
        </is>
      </c>
      <c r="B1386" s="1" t="n">
        <v>44788</v>
      </c>
      <c r="C1386" s="1" t="n">
        <v>45760</v>
      </c>
      <c r="D1386" t="inlineStr">
        <is>
          <t>VÄSTERBOTTENS LÄN</t>
        </is>
      </c>
      <c r="E1386" t="inlineStr">
        <is>
          <t>SKELLEFTEÅ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33629-2022</t>
        </is>
      </c>
      <c r="B1387" s="1" t="n">
        <v>44789</v>
      </c>
      <c r="C1387" s="1" t="n">
        <v>45760</v>
      </c>
      <c r="D1387" t="inlineStr">
        <is>
          <t>VÄSTERBOTTENS LÄN</t>
        </is>
      </c>
      <c r="E1387" t="inlineStr">
        <is>
          <t>SKELLEFTEÅ</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33984-2022</t>
        </is>
      </c>
      <c r="B1388" s="1" t="n">
        <v>44791</v>
      </c>
      <c r="C1388" s="1" t="n">
        <v>45760</v>
      </c>
      <c r="D1388" t="inlineStr">
        <is>
          <t>VÄSTERBOTTENS LÄN</t>
        </is>
      </c>
      <c r="E1388" t="inlineStr">
        <is>
          <t>SKELLEFTEÅ</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34094-2022</t>
        </is>
      </c>
      <c r="B1389" s="1" t="n">
        <v>44791</v>
      </c>
      <c r="C1389" s="1" t="n">
        <v>45760</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34104-2022</t>
        </is>
      </c>
      <c r="B1390" s="1" t="n">
        <v>44791</v>
      </c>
      <c r="C1390" s="1" t="n">
        <v>45760</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34082-2022</t>
        </is>
      </c>
      <c r="B1391" s="1" t="n">
        <v>44791</v>
      </c>
      <c r="C1391" s="1" t="n">
        <v>45760</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34547-2022</t>
        </is>
      </c>
      <c r="B1392" s="1" t="n">
        <v>44794</v>
      </c>
      <c r="C1392" s="1" t="n">
        <v>45760</v>
      </c>
      <c r="D1392" t="inlineStr">
        <is>
          <t>VÄSTERBOTTENS LÄN</t>
        </is>
      </c>
      <c r="E1392" t="inlineStr">
        <is>
          <t>SKELLEFTEÅ</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34639-2022</t>
        </is>
      </c>
      <c r="B1393" s="1" t="n">
        <v>44795</v>
      </c>
      <c r="C1393" s="1" t="n">
        <v>45760</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34895-2022</t>
        </is>
      </c>
      <c r="B1394" s="1" t="n">
        <v>44796</v>
      </c>
      <c r="C1394" s="1" t="n">
        <v>45760</v>
      </c>
      <c r="D1394" t="inlineStr">
        <is>
          <t>VÄSTERBOTTENS LÄN</t>
        </is>
      </c>
      <c r="E1394" t="inlineStr">
        <is>
          <t>SKELLEFTEÅ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35001-2022</t>
        </is>
      </c>
      <c r="B1395" s="1" t="n">
        <v>44797</v>
      </c>
      <c r="C1395" s="1" t="n">
        <v>45760</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35119-2022</t>
        </is>
      </c>
      <c r="B1396" s="1" t="n">
        <v>44797</v>
      </c>
      <c r="C1396" s="1" t="n">
        <v>45760</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35189-2022</t>
        </is>
      </c>
      <c r="B1397" s="1" t="n">
        <v>44797</v>
      </c>
      <c r="C1397" s="1" t="n">
        <v>45760</v>
      </c>
      <c r="D1397" t="inlineStr">
        <is>
          <t>VÄSTERBOTTENS LÄN</t>
        </is>
      </c>
      <c r="E1397" t="inlineStr">
        <is>
          <t>SKELLEFTEÅ</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35491-2022</t>
        </is>
      </c>
      <c r="B1398" s="1" t="n">
        <v>44798</v>
      </c>
      <c r="C1398" s="1" t="n">
        <v>45760</v>
      </c>
      <c r="D1398" t="inlineStr">
        <is>
          <t>VÄSTERBOTTENS LÄN</t>
        </is>
      </c>
      <c r="E1398" t="inlineStr">
        <is>
          <t>SKELLEFTEÅ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35558-2022</t>
        </is>
      </c>
      <c r="B1399" s="1" t="n">
        <v>44799</v>
      </c>
      <c r="C1399" s="1" t="n">
        <v>45760</v>
      </c>
      <c r="D1399" t="inlineStr">
        <is>
          <t>VÄSTERBOTTENS LÄN</t>
        </is>
      </c>
      <c r="E1399" t="inlineStr">
        <is>
          <t>SKELLEFTEÅ</t>
        </is>
      </c>
      <c r="F1399" t="inlineStr">
        <is>
          <t>Sveaskog</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35609-2022</t>
        </is>
      </c>
      <c r="B1400" s="1" t="n">
        <v>44799</v>
      </c>
      <c r="C1400" s="1" t="n">
        <v>45760</v>
      </c>
      <c r="D1400" t="inlineStr">
        <is>
          <t>VÄSTERBOTTENS LÄN</t>
        </is>
      </c>
      <c r="E1400" t="inlineStr">
        <is>
          <t>SKELLEFTEÅ</t>
        </is>
      </c>
      <c r="F1400" t="inlineStr">
        <is>
          <t>Holmen skog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35652-2022</t>
        </is>
      </c>
      <c r="B1401" s="1" t="n">
        <v>44799</v>
      </c>
      <c r="C1401" s="1" t="n">
        <v>45760</v>
      </c>
      <c r="D1401" t="inlineStr">
        <is>
          <t>VÄSTERBOTTENS LÄN</t>
        </is>
      </c>
      <c r="E1401" t="inlineStr">
        <is>
          <t>SKELLEFTEÅ</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35635-2022</t>
        </is>
      </c>
      <c r="B1402" s="1" t="n">
        <v>44799</v>
      </c>
      <c r="C1402" s="1" t="n">
        <v>45760</v>
      </c>
      <c r="D1402" t="inlineStr">
        <is>
          <t>VÄSTERBOTTENS LÄN</t>
        </is>
      </c>
      <c r="E1402" t="inlineStr">
        <is>
          <t>SKELLEFTEÅ</t>
        </is>
      </c>
      <c r="F1402" t="inlineStr">
        <is>
          <t>Holmen skog AB</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35608-2022</t>
        </is>
      </c>
      <c r="B1403" s="1" t="n">
        <v>44799</v>
      </c>
      <c r="C1403" s="1" t="n">
        <v>45760</v>
      </c>
      <c r="D1403" t="inlineStr">
        <is>
          <t>VÄSTERBOTTENS LÄN</t>
        </is>
      </c>
      <c r="E1403" t="inlineStr">
        <is>
          <t>SKELLEFTEÅ</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35794-2022</t>
        </is>
      </c>
      <c r="B1404" s="1" t="n">
        <v>44801</v>
      </c>
      <c r="C1404" s="1" t="n">
        <v>45760</v>
      </c>
      <c r="D1404" t="inlineStr">
        <is>
          <t>VÄSTERBOTTENS LÄN</t>
        </is>
      </c>
      <c r="E1404" t="inlineStr">
        <is>
          <t>SKELLEFTEÅ</t>
        </is>
      </c>
      <c r="F1404" t="inlineStr">
        <is>
          <t>Sveaskog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35771-2022</t>
        </is>
      </c>
      <c r="B1405" s="1" t="n">
        <v>44801</v>
      </c>
      <c r="C1405" s="1" t="n">
        <v>45760</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35809-2022</t>
        </is>
      </c>
      <c r="B1406" s="1" t="n">
        <v>44802</v>
      </c>
      <c r="C1406" s="1" t="n">
        <v>45760</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36208-2022</t>
        </is>
      </c>
      <c r="B1407" s="1" t="n">
        <v>44803</v>
      </c>
      <c r="C1407" s="1" t="n">
        <v>45760</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35888-2022</t>
        </is>
      </c>
      <c r="B1408" s="1" t="n">
        <v>44803</v>
      </c>
      <c r="C1408" s="1" t="n">
        <v>45760</v>
      </c>
      <c r="D1408" t="inlineStr">
        <is>
          <t>VÄSTERBOTTENS LÄN</t>
        </is>
      </c>
      <c r="E1408" t="inlineStr">
        <is>
          <t>SKELLEFTEÅ</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36723-2022</t>
        </is>
      </c>
      <c r="B1409" s="1" t="n">
        <v>44804</v>
      </c>
      <c r="C1409" s="1" t="n">
        <v>45760</v>
      </c>
      <c r="D1409" t="inlineStr">
        <is>
          <t>VÄSTERBOTTENS LÄN</t>
        </is>
      </c>
      <c r="E1409" t="inlineStr">
        <is>
          <t>SKELLEFTEÅ</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36539-2022</t>
        </is>
      </c>
      <c r="B1410" s="1" t="n">
        <v>44804</v>
      </c>
      <c r="C1410" s="1" t="n">
        <v>45760</v>
      </c>
      <c r="D1410" t="inlineStr">
        <is>
          <t>VÄSTERBOTTENS LÄN</t>
        </is>
      </c>
      <c r="E1410" t="inlineStr">
        <is>
          <t>SKELLEFTEÅ</t>
        </is>
      </c>
      <c r="F1410" t="inlineStr">
        <is>
          <t>Kommuner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36728-2022</t>
        </is>
      </c>
      <c r="B1411" s="1" t="n">
        <v>44804</v>
      </c>
      <c r="C1411" s="1" t="n">
        <v>45760</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37669-2022</t>
        </is>
      </c>
      <c r="B1412" s="1" t="n">
        <v>44810</v>
      </c>
      <c r="C1412" s="1" t="n">
        <v>45760</v>
      </c>
      <c r="D1412" t="inlineStr">
        <is>
          <t>VÄSTERBOTTENS LÄN</t>
        </is>
      </c>
      <c r="E1412" t="inlineStr">
        <is>
          <t>SKELLEFTEÅ</t>
        </is>
      </c>
      <c r="G1412" t="n">
        <v>10.9</v>
      </c>
      <c r="H1412" t="n">
        <v>0</v>
      </c>
      <c r="I1412" t="n">
        <v>0</v>
      </c>
      <c r="J1412" t="n">
        <v>0</v>
      </c>
      <c r="K1412" t="n">
        <v>0</v>
      </c>
      <c r="L1412" t="n">
        <v>0</v>
      </c>
      <c r="M1412" t="n">
        <v>0</v>
      </c>
      <c r="N1412" t="n">
        <v>0</v>
      </c>
      <c r="O1412" t="n">
        <v>0</v>
      </c>
      <c r="P1412" t="n">
        <v>0</v>
      </c>
      <c r="Q1412" t="n">
        <v>0</v>
      </c>
      <c r="R1412" s="2" t="inlineStr"/>
    </row>
    <row r="1413" ht="15" customHeight="1">
      <c r="A1413" t="inlineStr">
        <is>
          <t>A 37823-2022</t>
        </is>
      </c>
      <c r="B1413" s="1" t="n">
        <v>44811</v>
      </c>
      <c r="C1413" s="1" t="n">
        <v>45760</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37819-2022</t>
        </is>
      </c>
      <c r="B1414" s="1" t="n">
        <v>44810</v>
      </c>
      <c r="C1414" s="1" t="n">
        <v>45760</v>
      </c>
      <c r="D1414" t="inlineStr">
        <is>
          <t>VÄSTERBOTTENS LÄN</t>
        </is>
      </c>
      <c r="E1414" t="inlineStr">
        <is>
          <t>SKELLEFTEÅ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37825-2022</t>
        </is>
      </c>
      <c r="B1415" s="1" t="n">
        <v>44811</v>
      </c>
      <c r="C1415" s="1" t="n">
        <v>45760</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37944-2022</t>
        </is>
      </c>
      <c r="B1416" s="1" t="n">
        <v>44811</v>
      </c>
      <c r="C1416" s="1" t="n">
        <v>45760</v>
      </c>
      <c r="D1416" t="inlineStr">
        <is>
          <t>VÄSTERBOTTENS LÄN</t>
        </is>
      </c>
      <c r="E1416" t="inlineStr">
        <is>
          <t>SKELLEFTEÅ</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37940-2022</t>
        </is>
      </c>
      <c r="B1417" s="1" t="n">
        <v>44811</v>
      </c>
      <c r="C1417" s="1" t="n">
        <v>45760</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37950-2022</t>
        </is>
      </c>
      <c r="B1418" s="1" t="n">
        <v>44811</v>
      </c>
      <c r="C1418" s="1" t="n">
        <v>45760</v>
      </c>
      <c r="D1418" t="inlineStr">
        <is>
          <t>VÄSTERBOTTENS LÄN</t>
        </is>
      </c>
      <c r="E1418" t="inlineStr">
        <is>
          <t>SKELLEFTEÅ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38275-2022</t>
        </is>
      </c>
      <c r="B1419" s="1" t="n">
        <v>44812</v>
      </c>
      <c r="C1419" s="1" t="n">
        <v>45760</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38457-2022</t>
        </is>
      </c>
      <c r="B1420" s="1" t="n">
        <v>44813</v>
      </c>
      <c r="C1420" s="1" t="n">
        <v>45760</v>
      </c>
      <c r="D1420" t="inlineStr">
        <is>
          <t>VÄSTERBOTTENS LÄN</t>
        </is>
      </c>
      <c r="E1420" t="inlineStr">
        <is>
          <t>SKELLEFTEÅ</t>
        </is>
      </c>
      <c r="F1420" t="inlineStr">
        <is>
          <t>Holmen skog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38578-2022</t>
        </is>
      </c>
      <c r="B1421" s="1" t="n">
        <v>44813</v>
      </c>
      <c r="C1421" s="1" t="n">
        <v>45760</v>
      </c>
      <c r="D1421" t="inlineStr">
        <is>
          <t>VÄSTERBOTTENS LÄN</t>
        </is>
      </c>
      <c r="E1421" t="inlineStr">
        <is>
          <t>SKELLEFTEÅ</t>
        </is>
      </c>
      <c r="F1421" t="inlineStr">
        <is>
          <t>Holmen skog AB</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38514-2022</t>
        </is>
      </c>
      <c r="B1422" s="1" t="n">
        <v>44813</v>
      </c>
      <c r="C1422" s="1" t="n">
        <v>45760</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38728-2022</t>
        </is>
      </c>
      <c r="B1423" s="1" t="n">
        <v>44816</v>
      </c>
      <c r="C1423" s="1" t="n">
        <v>45760</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38727-2022</t>
        </is>
      </c>
      <c r="B1424" s="1" t="n">
        <v>44816</v>
      </c>
      <c r="C1424" s="1" t="n">
        <v>45760</v>
      </c>
      <c r="D1424" t="inlineStr">
        <is>
          <t>VÄSTERBOTTENS LÄN</t>
        </is>
      </c>
      <c r="E1424" t="inlineStr">
        <is>
          <t>SKELLEFTEÅ</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38767-2022</t>
        </is>
      </c>
      <c r="B1425" s="1" t="n">
        <v>44816</v>
      </c>
      <c r="C1425" s="1" t="n">
        <v>45760</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38873-2022</t>
        </is>
      </c>
      <c r="B1426" s="1" t="n">
        <v>44816</v>
      </c>
      <c r="C1426" s="1" t="n">
        <v>45760</v>
      </c>
      <c r="D1426" t="inlineStr">
        <is>
          <t>VÄSTERBOTTENS LÄN</t>
        </is>
      </c>
      <c r="E1426" t="inlineStr">
        <is>
          <t>SKELLEFTEÅ</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38876-2022</t>
        </is>
      </c>
      <c r="B1427" s="1" t="n">
        <v>44816</v>
      </c>
      <c r="C1427" s="1" t="n">
        <v>45760</v>
      </c>
      <c r="D1427" t="inlineStr">
        <is>
          <t>VÄSTERBOTTENS LÄN</t>
        </is>
      </c>
      <c r="E1427" t="inlineStr">
        <is>
          <t>SKELLEFTEÅ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38932-2022</t>
        </is>
      </c>
      <c r="B1428" s="1" t="n">
        <v>44816</v>
      </c>
      <c r="C1428" s="1" t="n">
        <v>45760</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38940-2022</t>
        </is>
      </c>
      <c r="B1429" s="1" t="n">
        <v>44816</v>
      </c>
      <c r="C1429" s="1" t="n">
        <v>45760</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38995-2022</t>
        </is>
      </c>
      <c r="B1430" s="1" t="n">
        <v>44816</v>
      </c>
      <c r="C1430" s="1" t="n">
        <v>45760</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38997-2022</t>
        </is>
      </c>
      <c r="B1431" s="1" t="n">
        <v>44817</v>
      </c>
      <c r="C1431" s="1" t="n">
        <v>45760</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38998-2022</t>
        </is>
      </c>
      <c r="B1432" s="1" t="n">
        <v>44817</v>
      </c>
      <c r="C1432" s="1" t="n">
        <v>45760</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38993-2022</t>
        </is>
      </c>
      <c r="B1433" s="1" t="n">
        <v>44816</v>
      </c>
      <c r="C1433" s="1" t="n">
        <v>45760</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39019-2022</t>
        </is>
      </c>
      <c r="B1434" s="1" t="n">
        <v>44817</v>
      </c>
      <c r="C1434" s="1" t="n">
        <v>45760</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39668-2022</t>
        </is>
      </c>
      <c r="B1435" s="1" t="n">
        <v>44818</v>
      </c>
      <c r="C1435" s="1" t="n">
        <v>45760</v>
      </c>
      <c r="D1435" t="inlineStr">
        <is>
          <t>VÄSTERBOTTENS LÄN</t>
        </is>
      </c>
      <c r="E1435" t="inlineStr">
        <is>
          <t>SKELLEFTEÅ</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39794-2022</t>
        </is>
      </c>
      <c r="B1436" s="1" t="n">
        <v>44819</v>
      </c>
      <c r="C1436" s="1" t="n">
        <v>45760</v>
      </c>
      <c r="D1436" t="inlineStr">
        <is>
          <t>VÄSTERBOTTENS LÄN</t>
        </is>
      </c>
      <c r="E1436" t="inlineStr">
        <is>
          <t>SKELLEFTEÅ</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39732-2022</t>
        </is>
      </c>
      <c r="B1437" s="1" t="n">
        <v>44819</v>
      </c>
      <c r="C1437" s="1" t="n">
        <v>45760</v>
      </c>
      <c r="D1437" t="inlineStr">
        <is>
          <t>VÄSTERBOTTENS LÄN</t>
        </is>
      </c>
      <c r="E1437" t="inlineStr">
        <is>
          <t>SKELLEFTEÅ</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39918-2022</t>
        </is>
      </c>
      <c r="B1438" s="1" t="n">
        <v>44819</v>
      </c>
      <c r="C1438" s="1" t="n">
        <v>45760</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39986-2022</t>
        </is>
      </c>
      <c r="B1439" s="1" t="n">
        <v>44820</v>
      </c>
      <c r="C1439" s="1" t="n">
        <v>45760</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39998-2022</t>
        </is>
      </c>
      <c r="B1440" s="1" t="n">
        <v>44820</v>
      </c>
      <c r="C1440" s="1" t="n">
        <v>45760</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40013-2022</t>
        </is>
      </c>
      <c r="B1441" s="1" t="n">
        <v>44820</v>
      </c>
      <c r="C1441" s="1" t="n">
        <v>45760</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40034-2022</t>
        </is>
      </c>
      <c r="B1442" s="1" t="n">
        <v>44820</v>
      </c>
      <c r="C1442" s="1" t="n">
        <v>45760</v>
      </c>
      <c r="D1442" t="inlineStr">
        <is>
          <t>VÄSTERBOTTENS LÄN</t>
        </is>
      </c>
      <c r="E1442" t="inlineStr">
        <is>
          <t>SKELLEFTEÅ</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39985-2022</t>
        </is>
      </c>
      <c r="B1443" s="1" t="n">
        <v>44820</v>
      </c>
      <c r="C1443" s="1" t="n">
        <v>45760</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40219-2022</t>
        </is>
      </c>
      <c r="B1444" s="1" t="n">
        <v>44820</v>
      </c>
      <c r="C1444" s="1" t="n">
        <v>45760</v>
      </c>
      <c r="D1444" t="inlineStr">
        <is>
          <t>VÄSTERBOTTENS LÄN</t>
        </is>
      </c>
      <c r="E1444" t="inlineStr">
        <is>
          <t>SKELLEFTEÅ</t>
        </is>
      </c>
      <c r="F1444" t="inlineStr">
        <is>
          <t>Sveaskog</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40905-2022</t>
        </is>
      </c>
      <c r="B1445" s="1" t="n">
        <v>44820</v>
      </c>
      <c r="C1445" s="1" t="n">
        <v>45760</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40345-2022</t>
        </is>
      </c>
      <c r="B1446" s="1" t="n">
        <v>44823</v>
      </c>
      <c r="C1446" s="1" t="n">
        <v>45760</v>
      </c>
      <c r="D1446" t="inlineStr">
        <is>
          <t>VÄSTERBOTTENS LÄN</t>
        </is>
      </c>
      <c r="E1446" t="inlineStr">
        <is>
          <t>SKELLEFTEÅ</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40314-2022</t>
        </is>
      </c>
      <c r="B1447" s="1" t="n">
        <v>44823</v>
      </c>
      <c r="C1447" s="1" t="n">
        <v>45760</v>
      </c>
      <c r="D1447" t="inlineStr">
        <is>
          <t>VÄSTERBOTTENS LÄN</t>
        </is>
      </c>
      <c r="E1447" t="inlineStr">
        <is>
          <t>SKELLEFTEÅ</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40329-2022</t>
        </is>
      </c>
      <c r="B1448" s="1" t="n">
        <v>44823</v>
      </c>
      <c r="C1448" s="1" t="n">
        <v>45760</v>
      </c>
      <c r="D1448" t="inlineStr">
        <is>
          <t>VÄSTERBOTTENS LÄN</t>
        </is>
      </c>
      <c r="E1448" t="inlineStr">
        <is>
          <t>SKELLEFTEÅ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40964-2022</t>
        </is>
      </c>
      <c r="B1449" s="1" t="n">
        <v>44823</v>
      </c>
      <c r="C1449" s="1" t="n">
        <v>45760</v>
      </c>
      <c r="D1449" t="inlineStr">
        <is>
          <t>VÄSTERBOTTENS LÄN</t>
        </is>
      </c>
      <c r="E1449" t="inlineStr">
        <is>
          <t>SKELLEFTEÅ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40969-2022</t>
        </is>
      </c>
      <c r="B1450" s="1" t="n">
        <v>44824</v>
      </c>
      <c r="C1450" s="1" t="n">
        <v>45760</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41010-2022</t>
        </is>
      </c>
      <c r="B1451" s="1" t="n">
        <v>44825</v>
      </c>
      <c r="C1451" s="1" t="n">
        <v>45760</v>
      </c>
      <c r="D1451" t="inlineStr">
        <is>
          <t>VÄSTERBOTTENS LÄN</t>
        </is>
      </c>
      <c r="E1451" t="inlineStr">
        <is>
          <t>SKELLEFTEÅ</t>
        </is>
      </c>
      <c r="F1451" t="inlineStr">
        <is>
          <t>Kyrkan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40851-2022</t>
        </is>
      </c>
      <c r="B1452" s="1" t="n">
        <v>44825</v>
      </c>
      <c r="C1452" s="1" t="n">
        <v>45760</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41360-2022</t>
        </is>
      </c>
      <c r="B1453" s="1" t="n">
        <v>44825</v>
      </c>
      <c r="C1453" s="1" t="n">
        <v>45760</v>
      </c>
      <c r="D1453" t="inlineStr">
        <is>
          <t>VÄSTERBOTTENS LÄN</t>
        </is>
      </c>
      <c r="E1453" t="inlineStr">
        <is>
          <t>SKELLEFTEÅ</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v>
      </c>
      <c r="C1454" s="1" t="n">
        <v>45760</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41513-2022</t>
        </is>
      </c>
      <c r="B1455" s="1" t="n">
        <v>44827</v>
      </c>
      <c r="C1455" s="1" t="n">
        <v>45760</v>
      </c>
      <c r="D1455" t="inlineStr">
        <is>
          <t>VÄSTERBOTTENS LÄN</t>
        </is>
      </c>
      <c r="E1455" t="inlineStr">
        <is>
          <t>SKELLEFTEÅ</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41802-2022</t>
        </is>
      </c>
      <c r="B1456" s="1" t="n">
        <v>44827</v>
      </c>
      <c r="C1456" s="1" t="n">
        <v>45760</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41803-2022</t>
        </is>
      </c>
      <c r="B1457" s="1" t="n">
        <v>44828</v>
      </c>
      <c r="C1457" s="1" t="n">
        <v>45760</v>
      </c>
      <c r="D1457" t="inlineStr">
        <is>
          <t>VÄSTERBOTTENS LÄN</t>
        </is>
      </c>
      <c r="E1457" t="inlineStr">
        <is>
          <t>SKELLEFTEÅ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41801-2022</t>
        </is>
      </c>
      <c r="B1458" s="1" t="n">
        <v>44828</v>
      </c>
      <c r="C1458" s="1" t="n">
        <v>45760</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42357-2022</t>
        </is>
      </c>
      <c r="B1459" s="1" t="n">
        <v>44827</v>
      </c>
      <c r="C1459" s="1" t="n">
        <v>45760</v>
      </c>
      <c r="D1459" t="inlineStr">
        <is>
          <t>VÄSTERBOTTENS LÄN</t>
        </is>
      </c>
      <c r="E1459" t="inlineStr">
        <is>
          <t>SKELLEFTEÅ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42348-2022</t>
        </is>
      </c>
      <c r="B1460" s="1" t="n">
        <v>44827</v>
      </c>
      <c r="C1460" s="1" t="n">
        <v>45760</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42109-2022</t>
        </is>
      </c>
      <c r="B1461" s="1" t="n">
        <v>44827</v>
      </c>
      <c r="C1461" s="1" t="n">
        <v>45760</v>
      </c>
      <c r="D1461" t="inlineStr">
        <is>
          <t>VÄSTERBOTTENS LÄN</t>
        </is>
      </c>
      <c r="E1461" t="inlineStr">
        <is>
          <t>SKELLEFTEÅ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42099-2022</t>
        </is>
      </c>
      <c r="B1462" s="1" t="n">
        <v>44827</v>
      </c>
      <c r="C1462" s="1" t="n">
        <v>45760</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41889-2022</t>
        </is>
      </c>
      <c r="B1463" s="1" t="n">
        <v>44830</v>
      </c>
      <c r="C1463" s="1" t="n">
        <v>45760</v>
      </c>
      <c r="D1463" t="inlineStr">
        <is>
          <t>VÄSTERBOTTENS LÄN</t>
        </is>
      </c>
      <c r="E1463" t="inlineStr">
        <is>
          <t>SKELLEFTEÅ</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41956-2022</t>
        </is>
      </c>
      <c r="B1464" s="1" t="n">
        <v>44830</v>
      </c>
      <c r="C1464" s="1" t="n">
        <v>45760</v>
      </c>
      <c r="D1464" t="inlineStr">
        <is>
          <t>VÄSTERBOTTENS LÄN</t>
        </is>
      </c>
      <c r="E1464" t="inlineStr">
        <is>
          <t>SKELLEFTEÅ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41883-2022</t>
        </is>
      </c>
      <c r="B1465" s="1" t="n">
        <v>44830</v>
      </c>
      <c r="C1465" s="1" t="n">
        <v>45760</v>
      </c>
      <c r="D1465" t="inlineStr">
        <is>
          <t>VÄSTERBOTTENS LÄN</t>
        </is>
      </c>
      <c r="E1465" t="inlineStr">
        <is>
          <t>SKELLEFTEÅ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42255-2022</t>
        </is>
      </c>
      <c r="B1466" s="1" t="n">
        <v>44830</v>
      </c>
      <c r="C1466" s="1" t="n">
        <v>45760</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42260-2022</t>
        </is>
      </c>
      <c r="B1467" s="1" t="n">
        <v>44830</v>
      </c>
      <c r="C1467" s="1" t="n">
        <v>45760</v>
      </c>
      <c r="D1467" t="inlineStr">
        <is>
          <t>VÄSTERBOTTENS LÄN</t>
        </is>
      </c>
      <c r="E1467" t="inlineStr">
        <is>
          <t>SKELLEFTEÅ</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45760</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42798-2022</t>
        </is>
      </c>
      <c r="B1469" s="1" t="n">
        <v>44832</v>
      </c>
      <c r="C1469" s="1" t="n">
        <v>45760</v>
      </c>
      <c r="D1469" t="inlineStr">
        <is>
          <t>VÄSTERBOTTENS LÄN</t>
        </is>
      </c>
      <c r="E1469" t="inlineStr">
        <is>
          <t>SKELLEFTEÅ</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42808-2022</t>
        </is>
      </c>
      <c r="B1470" s="1" t="n">
        <v>44832</v>
      </c>
      <c r="C1470" s="1" t="n">
        <v>45760</v>
      </c>
      <c r="D1470" t="inlineStr">
        <is>
          <t>VÄSTERBOTTENS LÄN</t>
        </is>
      </c>
      <c r="E1470" t="inlineStr">
        <is>
          <t>SKELLEFTEÅ</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42946-2022</t>
        </is>
      </c>
      <c r="B1471" s="1" t="n">
        <v>44833</v>
      </c>
      <c r="C1471" s="1" t="n">
        <v>45760</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43069-2022</t>
        </is>
      </c>
      <c r="B1472" s="1" t="n">
        <v>44833</v>
      </c>
      <c r="C1472" s="1" t="n">
        <v>45760</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43078-2022</t>
        </is>
      </c>
      <c r="B1473" s="1" t="n">
        <v>44833</v>
      </c>
      <c r="C1473" s="1" t="n">
        <v>45760</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43515-2022</t>
        </is>
      </c>
      <c r="B1474" s="1" t="n">
        <v>44837</v>
      </c>
      <c r="C1474" s="1" t="n">
        <v>45760</v>
      </c>
      <c r="D1474" t="inlineStr">
        <is>
          <t>VÄSTERBOTTENS LÄN</t>
        </is>
      </c>
      <c r="E1474" t="inlineStr">
        <is>
          <t>SKELLEFTEÅ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43544-2022</t>
        </is>
      </c>
      <c r="B1475" s="1" t="n">
        <v>44837</v>
      </c>
      <c r="C1475" s="1" t="n">
        <v>45760</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43763-2022</t>
        </is>
      </c>
      <c r="B1476" s="1" t="n">
        <v>44838</v>
      </c>
      <c r="C1476" s="1" t="n">
        <v>45760</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43917-2022</t>
        </is>
      </c>
      <c r="B1477" s="1" t="n">
        <v>44838</v>
      </c>
      <c r="C1477" s="1" t="n">
        <v>45760</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44621-2022</t>
        </is>
      </c>
      <c r="B1478" s="1" t="n">
        <v>44838</v>
      </c>
      <c r="C1478" s="1" t="n">
        <v>45760</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44397-2022</t>
        </is>
      </c>
      <c r="B1479" s="1" t="n">
        <v>44839</v>
      </c>
      <c r="C1479" s="1" t="n">
        <v>45760</v>
      </c>
      <c r="D1479" t="inlineStr">
        <is>
          <t>VÄSTERBOTTENS LÄN</t>
        </is>
      </c>
      <c r="E1479" t="inlineStr">
        <is>
          <t>SKELLEFTEÅ</t>
        </is>
      </c>
      <c r="F1479" t="inlineStr">
        <is>
          <t>Sveaskog</t>
        </is>
      </c>
      <c r="G1479" t="n">
        <v>31.1</v>
      </c>
      <c r="H1479" t="n">
        <v>0</v>
      </c>
      <c r="I1479" t="n">
        <v>0</v>
      </c>
      <c r="J1479" t="n">
        <v>0</v>
      </c>
      <c r="K1479" t="n">
        <v>0</v>
      </c>
      <c r="L1479" t="n">
        <v>0</v>
      </c>
      <c r="M1479" t="n">
        <v>0</v>
      </c>
      <c r="N1479" t="n">
        <v>0</v>
      </c>
      <c r="O1479" t="n">
        <v>0</v>
      </c>
      <c r="P1479" t="n">
        <v>0</v>
      </c>
      <c r="Q1479" t="n">
        <v>0</v>
      </c>
      <c r="R1479" s="2" t="inlineStr"/>
    </row>
    <row r="1480" ht="15" customHeight="1">
      <c r="A1480" t="inlineStr">
        <is>
          <t>A 44398-2022</t>
        </is>
      </c>
      <c r="B1480" s="1" t="n">
        <v>44839</v>
      </c>
      <c r="C1480" s="1" t="n">
        <v>45760</v>
      </c>
      <c r="D1480" t="inlineStr">
        <is>
          <t>VÄSTERBOTTENS LÄN</t>
        </is>
      </c>
      <c r="E1480" t="inlineStr">
        <is>
          <t>SKELLEFTEÅ</t>
        </is>
      </c>
      <c r="F1480" t="inlineStr">
        <is>
          <t>Sveaskog</t>
        </is>
      </c>
      <c r="G1480" t="n">
        <v>22.3</v>
      </c>
      <c r="H1480" t="n">
        <v>0</v>
      </c>
      <c r="I1480" t="n">
        <v>0</v>
      </c>
      <c r="J1480" t="n">
        <v>0</v>
      </c>
      <c r="K1480" t="n">
        <v>0</v>
      </c>
      <c r="L1480" t="n">
        <v>0</v>
      </c>
      <c r="M1480" t="n">
        <v>0</v>
      </c>
      <c r="N1480" t="n">
        <v>0</v>
      </c>
      <c r="O1480" t="n">
        <v>0</v>
      </c>
      <c r="P1480" t="n">
        <v>0</v>
      </c>
      <c r="Q1480" t="n">
        <v>0</v>
      </c>
      <c r="R1480" s="2" t="inlineStr"/>
    </row>
    <row r="1481" ht="15" customHeight="1">
      <c r="A1481" t="inlineStr">
        <is>
          <t>A 44616-2022</t>
        </is>
      </c>
      <c r="B1481" s="1" t="n">
        <v>44839</v>
      </c>
      <c r="C1481" s="1" t="n">
        <v>45760</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44959-2022</t>
        </is>
      </c>
      <c r="B1482" s="1" t="n">
        <v>44839</v>
      </c>
      <c r="C1482" s="1" t="n">
        <v>45760</v>
      </c>
      <c r="D1482" t="inlineStr">
        <is>
          <t>VÄSTERBOTTENS LÄN</t>
        </is>
      </c>
      <c r="E1482" t="inlineStr">
        <is>
          <t>SKELLEFTEÅ</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44724-2022</t>
        </is>
      </c>
      <c r="B1483" s="1" t="n">
        <v>44840</v>
      </c>
      <c r="C1483" s="1" t="n">
        <v>45760</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44722-2022</t>
        </is>
      </c>
      <c r="B1484" s="1" t="n">
        <v>44840</v>
      </c>
      <c r="C1484" s="1" t="n">
        <v>45760</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45011-2022</t>
        </is>
      </c>
      <c r="B1485" s="1" t="n">
        <v>44840</v>
      </c>
      <c r="C1485" s="1" t="n">
        <v>45760</v>
      </c>
      <c r="D1485" t="inlineStr">
        <is>
          <t>VÄSTERBOTTENS LÄN</t>
        </is>
      </c>
      <c r="E1485" t="inlineStr">
        <is>
          <t>SKELLEFTEÅ</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45266-2022</t>
        </is>
      </c>
      <c r="B1486" s="1" t="n">
        <v>44844</v>
      </c>
      <c r="C1486" s="1" t="n">
        <v>45760</v>
      </c>
      <c r="D1486" t="inlineStr">
        <is>
          <t>VÄSTERBOTTENS LÄN</t>
        </is>
      </c>
      <c r="E1486" t="inlineStr">
        <is>
          <t>SKELLEFTEÅ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45250-2022</t>
        </is>
      </c>
      <c r="B1487" s="1" t="n">
        <v>44844</v>
      </c>
      <c r="C1487" s="1" t="n">
        <v>45760</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45985-2022</t>
        </is>
      </c>
      <c r="B1488" s="1" t="n">
        <v>44844</v>
      </c>
      <c r="C1488" s="1" t="n">
        <v>45760</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45760</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45495-2022</t>
        </is>
      </c>
      <c r="B1490" s="1" t="n">
        <v>44845</v>
      </c>
      <c r="C1490" s="1" t="n">
        <v>45760</v>
      </c>
      <c r="D1490" t="inlineStr">
        <is>
          <t>VÄSTERBOTTENS LÄN</t>
        </is>
      </c>
      <c r="E1490" t="inlineStr">
        <is>
          <t>SKELLEFTEÅ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45554-2022</t>
        </is>
      </c>
      <c r="B1491" s="1" t="n">
        <v>44845</v>
      </c>
      <c r="C1491" s="1" t="n">
        <v>45760</v>
      </c>
      <c r="D1491" t="inlineStr">
        <is>
          <t>VÄSTERBOTTENS LÄN</t>
        </is>
      </c>
      <c r="E1491" t="inlineStr">
        <is>
          <t>SKELLEFTEÅ</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45619-2022</t>
        </is>
      </c>
      <c r="B1492" s="1" t="n">
        <v>44845</v>
      </c>
      <c r="C1492" s="1" t="n">
        <v>45760</v>
      </c>
      <c r="D1492" t="inlineStr">
        <is>
          <t>VÄSTERBOTTENS LÄN</t>
        </is>
      </c>
      <c r="E1492" t="inlineStr">
        <is>
          <t>SKELLEFTEÅ</t>
        </is>
      </c>
      <c r="F1492" t="inlineStr">
        <is>
          <t>Holmen skog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46181-2022</t>
        </is>
      </c>
      <c r="B1493" s="1" t="n">
        <v>44845</v>
      </c>
      <c r="C1493" s="1" t="n">
        <v>45760</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46218-2022</t>
        </is>
      </c>
      <c r="B1494" s="1" t="n">
        <v>44845</v>
      </c>
      <c r="C1494" s="1" t="n">
        <v>45760</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45748-2022</t>
        </is>
      </c>
      <c r="B1495" s="1" t="n">
        <v>44846</v>
      </c>
      <c r="C1495" s="1" t="n">
        <v>45760</v>
      </c>
      <c r="D1495" t="inlineStr">
        <is>
          <t>VÄSTERBOTTENS LÄN</t>
        </is>
      </c>
      <c r="E1495" t="inlineStr">
        <is>
          <t>SKELLEFTEÅ</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46233-2022</t>
        </is>
      </c>
      <c r="B1496" s="1" t="n">
        <v>44847</v>
      </c>
      <c r="C1496" s="1" t="n">
        <v>45760</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46216-2022</t>
        </is>
      </c>
      <c r="B1497" s="1" t="n">
        <v>44847</v>
      </c>
      <c r="C1497" s="1" t="n">
        <v>45760</v>
      </c>
      <c r="D1497" t="inlineStr">
        <is>
          <t>VÄSTERBOTTENS LÄN</t>
        </is>
      </c>
      <c r="E1497" t="inlineStr">
        <is>
          <t>SKELLEFTEÅ</t>
        </is>
      </c>
      <c r="F1497" t="inlineStr">
        <is>
          <t>Holmen skog AB</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46409-2022</t>
        </is>
      </c>
      <c r="B1498" s="1" t="n">
        <v>44848</v>
      </c>
      <c r="C1498" s="1" t="n">
        <v>45760</v>
      </c>
      <c r="D1498" t="inlineStr">
        <is>
          <t>VÄSTERBOTTENS LÄN</t>
        </is>
      </c>
      <c r="E1498" t="inlineStr">
        <is>
          <t>SKELLEFTEÅ</t>
        </is>
      </c>
      <c r="F1498" t="inlineStr">
        <is>
          <t>Holmen skog AB</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46445-2022</t>
        </is>
      </c>
      <c r="B1499" s="1" t="n">
        <v>44848</v>
      </c>
      <c r="C1499" s="1" t="n">
        <v>45760</v>
      </c>
      <c r="D1499" t="inlineStr">
        <is>
          <t>VÄSTERBOTTENS LÄN</t>
        </is>
      </c>
      <c r="E1499" t="inlineStr">
        <is>
          <t>SKELLEFTEÅ</t>
        </is>
      </c>
      <c r="F1499" t="inlineStr">
        <is>
          <t>Holmen skog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46868-2022</t>
        </is>
      </c>
      <c r="B1500" s="1" t="n">
        <v>44848</v>
      </c>
      <c r="C1500" s="1" t="n">
        <v>45760</v>
      </c>
      <c r="D1500" t="inlineStr">
        <is>
          <t>VÄSTERBOTTENS LÄN</t>
        </is>
      </c>
      <c r="E1500" t="inlineStr">
        <is>
          <t>SKELLEFTEÅ</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47637-2022</t>
        </is>
      </c>
      <c r="B1501" s="1" t="n">
        <v>44852</v>
      </c>
      <c r="C1501" s="1" t="n">
        <v>45760</v>
      </c>
      <c r="D1501" t="inlineStr">
        <is>
          <t>VÄSTERBOTTENS LÄN</t>
        </is>
      </c>
      <c r="E1501" t="inlineStr">
        <is>
          <t>SKELLEFTEÅ</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47500-2022</t>
        </is>
      </c>
      <c r="B1502" s="1" t="n">
        <v>44852</v>
      </c>
      <c r="C1502" s="1" t="n">
        <v>45760</v>
      </c>
      <c r="D1502" t="inlineStr">
        <is>
          <t>VÄSTERBOTTENS LÄN</t>
        </is>
      </c>
      <c r="E1502" t="inlineStr">
        <is>
          <t>SKELLEFTEÅ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47410-2022</t>
        </is>
      </c>
      <c r="B1503" s="1" t="n">
        <v>44853</v>
      </c>
      <c r="C1503" s="1" t="n">
        <v>45760</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47548-2022</t>
        </is>
      </c>
      <c r="B1504" s="1" t="n">
        <v>44854</v>
      </c>
      <c r="C1504" s="1" t="n">
        <v>45760</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47554-2022</t>
        </is>
      </c>
      <c r="B1505" s="1" t="n">
        <v>44854</v>
      </c>
      <c r="C1505" s="1" t="n">
        <v>45760</v>
      </c>
      <c r="D1505" t="inlineStr">
        <is>
          <t>VÄSTERBOTTENS LÄN</t>
        </is>
      </c>
      <c r="E1505" t="inlineStr">
        <is>
          <t>SKELLEFTEÅ</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47988-2022</t>
        </is>
      </c>
      <c r="B1506" s="1" t="n">
        <v>44853</v>
      </c>
      <c r="C1506" s="1" t="n">
        <v>45760</v>
      </c>
      <c r="D1506" t="inlineStr">
        <is>
          <t>VÄSTERBOTTENS LÄN</t>
        </is>
      </c>
      <c r="E1506" t="inlineStr">
        <is>
          <t>SKELLEFTEÅ</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47984-2022</t>
        </is>
      </c>
      <c r="B1507" s="1" t="n">
        <v>44853</v>
      </c>
      <c r="C1507" s="1" t="n">
        <v>45760</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47991-2022</t>
        </is>
      </c>
      <c r="B1508" s="1" t="n">
        <v>44853</v>
      </c>
      <c r="C1508" s="1" t="n">
        <v>45760</v>
      </c>
      <c r="D1508" t="inlineStr">
        <is>
          <t>VÄSTERBOTTENS LÄN</t>
        </is>
      </c>
      <c r="E1508" t="inlineStr">
        <is>
          <t>SKELLEFTEÅ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47696-2022</t>
        </is>
      </c>
      <c r="B1509" s="1" t="n">
        <v>44854</v>
      </c>
      <c r="C1509" s="1" t="n">
        <v>45760</v>
      </c>
      <c r="D1509" t="inlineStr">
        <is>
          <t>VÄSTERBOTTENS LÄN</t>
        </is>
      </c>
      <c r="E1509" t="inlineStr">
        <is>
          <t>SKELLEFTEÅ</t>
        </is>
      </c>
      <c r="F1509" t="inlineStr">
        <is>
          <t>Holmen skog AB</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48011-2022</t>
        </is>
      </c>
      <c r="B1510" s="1" t="n">
        <v>44855</v>
      </c>
      <c r="C1510" s="1" t="n">
        <v>45760</v>
      </c>
      <c r="D1510" t="inlineStr">
        <is>
          <t>VÄSTERBOTTENS LÄN</t>
        </is>
      </c>
      <c r="E1510" t="inlineStr">
        <is>
          <t>SKELLEFTEÅ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48082-2022</t>
        </is>
      </c>
      <c r="B1511" s="1" t="n">
        <v>44856</v>
      </c>
      <c r="C1511" s="1" t="n">
        <v>45760</v>
      </c>
      <c r="D1511" t="inlineStr">
        <is>
          <t>VÄSTERBOTTENS LÄN</t>
        </is>
      </c>
      <c r="E1511" t="inlineStr">
        <is>
          <t>SKELLEFTEÅ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48722-2022</t>
        </is>
      </c>
      <c r="B1512" s="1" t="n">
        <v>44855</v>
      </c>
      <c r="C1512" s="1" t="n">
        <v>45760</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48125-2022</t>
        </is>
      </c>
      <c r="B1513" s="1" t="n">
        <v>44857</v>
      </c>
      <c r="C1513" s="1" t="n">
        <v>45760</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48133-2022</t>
        </is>
      </c>
      <c r="B1514" s="1" t="n">
        <v>44857</v>
      </c>
      <c r="C1514" s="1" t="n">
        <v>45760</v>
      </c>
      <c r="D1514" t="inlineStr">
        <is>
          <t>VÄSTERBOTTENS LÄN</t>
        </is>
      </c>
      <c r="E1514" t="inlineStr">
        <is>
          <t>SKELLEFTEÅ</t>
        </is>
      </c>
      <c r="F1514" t="inlineStr">
        <is>
          <t>Sveaskog</t>
        </is>
      </c>
      <c r="G1514" t="n">
        <v>18.3</v>
      </c>
      <c r="H1514" t="n">
        <v>0</v>
      </c>
      <c r="I1514" t="n">
        <v>0</v>
      </c>
      <c r="J1514" t="n">
        <v>0</v>
      </c>
      <c r="K1514" t="n">
        <v>0</v>
      </c>
      <c r="L1514" t="n">
        <v>0</v>
      </c>
      <c r="M1514" t="n">
        <v>0</v>
      </c>
      <c r="N1514" t="n">
        <v>0</v>
      </c>
      <c r="O1514" t="n">
        <v>0</v>
      </c>
      <c r="P1514" t="n">
        <v>0</v>
      </c>
      <c r="Q1514" t="n">
        <v>0</v>
      </c>
      <c r="R1514" s="2" t="inlineStr"/>
    </row>
    <row r="1515" ht="15" customHeight="1">
      <c r="A1515" t="inlineStr">
        <is>
          <t>A 49241-2022</t>
        </is>
      </c>
      <c r="B1515" s="1" t="n">
        <v>44858</v>
      </c>
      <c r="C1515" s="1" t="n">
        <v>45760</v>
      </c>
      <c r="D1515" t="inlineStr">
        <is>
          <t>VÄSTERBOTTENS LÄN</t>
        </is>
      </c>
      <c r="E1515" t="inlineStr">
        <is>
          <t>SKELLEFTEÅ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49992-2022</t>
        </is>
      </c>
      <c r="B1516" s="1" t="n">
        <v>44860</v>
      </c>
      <c r="C1516" s="1" t="n">
        <v>45760</v>
      </c>
      <c r="D1516" t="inlineStr">
        <is>
          <t>VÄSTERBOTTENS LÄN</t>
        </is>
      </c>
      <c r="E1516" t="inlineStr">
        <is>
          <t>SKELLEFTEÅ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49246-2022</t>
        </is>
      </c>
      <c r="B1517" s="1" t="n">
        <v>44861</v>
      </c>
      <c r="C1517" s="1" t="n">
        <v>45760</v>
      </c>
      <c r="D1517" t="inlineStr">
        <is>
          <t>VÄSTERBOTTENS LÄN</t>
        </is>
      </c>
      <c r="E1517" t="inlineStr">
        <is>
          <t>SKELLEFTEÅ</t>
        </is>
      </c>
      <c r="F1517" t="inlineStr">
        <is>
          <t>Holmen skog AB</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49328-2022</t>
        </is>
      </c>
      <c r="B1518" s="1" t="n">
        <v>44861</v>
      </c>
      <c r="C1518" s="1" t="n">
        <v>45760</v>
      </c>
      <c r="D1518" t="inlineStr">
        <is>
          <t>VÄSTERBOTTENS LÄN</t>
        </is>
      </c>
      <c r="E1518" t="inlineStr">
        <is>
          <t>SKELLEFTEÅ</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49382-2022</t>
        </is>
      </c>
      <c r="B1519" s="1" t="n">
        <v>44861</v>
      </c>
      <c r="C1519" s="1" t="n">
        <v>45760</v>
      </c>
      <c r="D1519" t="inlineStr">
        <is>
          <t>VÄSTERBOTTENS LÄN</t>
        </is>
      </c>
      <c r="E1519" t="inlineStr">
        <is>
          <t>SKELLEFTEÅ</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49277-2022</t>
        </is>
      </c>
      <c r="B1520" s="1" t="n">
        <v>44861</v>
      </c>
      <c r="C1520" s="1" t="n">
        <v>45760</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49757-2022</t>
        </is>
      </c>
      <c r="B1521" s="1" t="n">
        <v>44862</v>
      </c>
      <c r="C1521" s="1" t="n">
        <v>45760</v>
      </c>
      <c r="D1521" t="inlineStr">
        <is>
          <t>VÄSTERBOTTENS LÄN</t>
        </is>
      </c>
      <c r="E1521" t="inlineStr">
        <is>
          <t>SKELLEFTEÅ</t>
        </is>
      </c>
      <c r="F1521" t="inlineStr">
        <is>
          <t>Holmen skog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49749-2022</t>
        </is>
      </c>
      <c r="B1522" s="1" t="n">
        <v>44862</v>
      </c>
      <c r="C1522" s="1" t="n">
        <v>45760</v>
      </c>
      <c r="D1522" t="inlineStr">
        <is>
          <t>VÄSTERBOTTENS LÄN</t>
        </is>
      </c>
      <c r="E1522" t="inlineStr">
        <is>
          <t>SKELLEFTEÅ</t>
        </is>
      </c>
      <c r="F1522" t="inlineStr">
        <is>
          <t>Holmen skog AB</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49876-2022</t>
        </is>
      </c>
      <c r="B1523" s="1" t="n">
        <v>44864</v>
      </c>
      <c r="C1523" s="1" t="n">
        <v>45760</v>
      </c>
      <c r="D1523" t="inlineStr">
        <is>
          <t>VÄSTERBOTTENS LÄN</t>
        </is>
      </c>
      <c r="E1523" t="inlineStr">
        <is>
          <t>SKELLEFTEÅ</t>
        </is>
      </c>
      <c r="F1523" t="inlineStr">
        <is>
          <t>SCA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49875-2022</t>
        </is>
      </c>
      <c r="B1524" s="1" t="n">
        <v>44864</v>
      </c>
      <c r="C1524" s="1" t="n">
        <v>45760</v>
      </c>
      <c r="D1524" t="inlineStr">
        <is>
          <t>VÄSTERBOTTENS LÄN</t>
        </is>
      </c>
      <c r="E1524" t="inlineStr">
        <is>
          <t>SKELLEFTEÅ</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49906-2022</t>
        </is>
      </c>
      <c r="B1525" s="1" t="n">
        <v>44864</v>
      </c>
      <c r="C1525" s="1" t="n">
        <v>45760</v>
      </c>
      <c r="D1525" t="inlineStr">
        <is>
          <t>VÄSTERBOTTENS LÄN</t>
        </is>
      </c>
      <c r="E1525" t="inlineStr">
        <is>
          <t>SKELLEFTEÅ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49908-2022</t>
        </is>
      </c>
      <c r="B1526" s="1" t="n">
        <v>44864</v>
      </c>
      <c r="C1526" s="1" t="n">
        <v>45760</v>
      </c>
      <c r="D1526" t="inlineStr">
        <is>
          <t>VÄSTERBOTTENS LÄN</t>
        </is>
      </c>
      <c r="E1526" t="inlineStr">
        <is>
          <t>SKELLEFTEÅ</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49905-2022</t>
        </is>
      </c>
      <c r="B1527" s="1" t="n">
        <v>44864</v>
      </c>
      <c r="C1527" s="1" t="n">
        <v>45760</v>
      </c>
      <c r="D1527" t="inlineStr">
        <is>
          <t>VÄSTERBOTTENS LÄN</t>
        </is>
      </c>
      <c r="E1527" t="inlineStr">
        <is>
          <t>SKELLEFTEÅ</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49907-2022</t>
        </is>
      </c>
      <c r="B1528" s="1" t="n">
        <v>44864</v>
      </c>
      <c r="C1528" s="1" t="n">
        <v>45760</v>
      </c>
      <c r="D1528" t="inlineStr">
        <is>
          <t>VÄSTERBOTTENS LÄN</t>
        </is>
      </c>
      <c r="E1528" t="inlineStr">
        <is>
          <t>SKELLEFTEÅ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50055-2022</t>
        </is>
      </c>
      <c r="B1529" s="1" t="n">
        <v>44865</v>
      </c>
      <c r="C1529" s="1" t="n">
        <v>45760</v>
      </c>
      <c r="D1529" t="inlineStr">
        <is>
          <t>VÄSTERBOTTENS LÄN</t>
        </is>
      </c>
      <c r="E1529" t="inlineStr">
        <is>
          <t>SKELLEFTEÅ</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49961-2022</t>
        </is>
      </c>
      <c r="B1530" s="1" t="n">
        <v>44865</v>
      </c>
      <c r="C1530" s="1" t="n">
        <v>45760</v>
      </c>
      <c r="D1530" t="inlineStr">
        <is>
          <t>VÄSTERBOTTENS LÄN</t>
        </is>
      </c>
      <c r="E1530" t="inlineStr">
        <is>
          <t>SKELLEFTEÅ</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50371-2022</t>
        </is>
      </c>
      <c r="B1531" s="1" t="n">
        <v>44866</v>
      </c>
      <c r="C1531" s="1" t="n">
        <v>45760</v>
      </c>
      <c r="D1531" t="inlineStr">
        <is>
          <t>VÄSTERBOTTENS LÄN</t>
        </is>
      </c>
      <c r="E1531" t="inlineStr">
        <is>
          <t>SKELLEFTEÅ</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50366-2022</t>
        </is>
      </c>
      <c r="B1532" s="1" t="n">
        <v>44866</v>
      </c>
      <c r="C1532" s="1" t="n">
        <v>45760</v>
      </c>
      <c r="D1532" t="inlineStr">
        <is>
          <t>VÄSTERBOTTENS LÄN</t>
        </is>
      </c>
      <c r="E1532" t="inlineStr">
        <is>
          <t>SKELLEFTEÅ</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50529-2022</t>
        </is>
      </c>
      <c r="B1533" s="1" t="n">
        <v>44866</v>
      </c>
      <c r="C1533" s="1" t="n">
        <v>45760</v>
      </c>
      <c r="D1533" t="inlineStr">
        <is>
          <t>VÄSTERBOTTENS LÄN</t>
        </is>
      </c>
      <c r="E1533" t="inlineStr">
        <is>
          <t>SKELLEFTEÅ</t>
        </is>
      </c>
      <c r="F1533" t="inlineStr">
        <is>
          <t>Holmen skog AB</t>
        </is>
      </c>
      <c r="G1533" t="n">
        <v>20.7</v>
      </c>
      <c r="H1533" t="n">
        <v>0</v>
      </c>
      <c r="I1533" t="n">
        <v>0</v>
      </c>
      <c r="J1533" t="n">
        <v>0</v>
      </c>
      <c r="K1533" t="n">
        <v>0</v>
      </c>
      <c r="L1533" t="n">
        <v>0</v>
      </c>
      <c r="M1533" t="n">
        <v>0</v>
      </c>
      <c r="N1533" t="n">
        <v>0</v>
      </c>
      <c r="O1533" t="n">
        <v>0</v>
      </c>
      <c r="P1533" t="n">
        <v>0</v>
      </c>
      <c r="Q1533" t="n">
        <v>0</v>
      </c>
      <c r="R1533" s="2" t="inlineStr"/>
    </row>
    <row r="1534" ht="15" customHeight="1">
      <c r="A1534" t="inlineStr">
        <is>
          <t>A 50409-2022</t>
        </is>
      </c>
      <c r="B1534" s="1" t="n">
        <v>44866</v>
      </c>
      <c r="C1534" s="1" t="n">
        <v>45760</v>
      </c>
      <c r="D1534" t="inlineStr">
        <is>
          <t>VÄSTERBOTTENS LÄN</t>
        </is>
      </c>
      <c r="E1534" t="inlineStr">
        <is>
          <t>SKELLEFTEÅ</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50538-2022</t>
        </is>
      </c>
      <c r="B1535" s="1" t="n">
        <v>44866</v>
      </c>
      <c r="C1535" s="1" t="n">
        <v>45760</v>
      </c>
      <c r="D1535" t="inlineStr">
        <is>
          <t>VÄSTERBOTTENS LÄN</t>
        </is>
      </c>
      <c r="E1535" t="inlineStr">
        <is>
          <t>SKELLEFTEÅ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50549-2022</t>
        </is>
      </c>
      <c r="B1536" s="1" t="n">
        <v>44866</v>
      </c>
      <c r="C1536" s="1" t="n">
        <v>45760</v>
      </c>
      <c r="D1536" t="inlineStr">
        <is>
          <t>VÄSTERBOTTENS LÄN</t>
        </is>
      </c>
      <c r="E1536" t="inlineStr">
        <is>
          <t>SKELLEFTEÅ</t>
        </is>
      </c>
      <c r="F1536" t="inlineStr">
        <is>
          <t>Kommuner</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50531-2022</t>
        </is>
      </c>
      <c r="B1537" s="1" t="n">
        <v>44866</v>
      </c>
      <c r="C1537" s="1" t="n">
        <v>45760</v>
      </c>
      <c r="D1537" t="inlineStr">
        <is>
          <t>VÄSTERBOTTENS LÄN</t>
        </is>
      </c>
      <c r="E1537" t="inlineStr">
        <is>
          <t>SKELLEFTEÅ</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50554-2022</t>
        </is>
      </c>
      <c r="B1538" s="1" t="n">
        <v>44866</v>
      </c>
      <c r="C1538" s="1" t="n">
        <v>45760</v>
      </c>
      <c r="D1538" t="inlineStr">
        <is>
          <t>VÄSTERBOTTENS LÄN</t>
        </is>
      </c>
      <c r="E1538" t="inlineStr">
        <is>
          <t>SKELLEFTEÅ</t>
        </is>
      </c>
      <c r="F1538" t="inlineStr">
        <is>
          <t>Kommuner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50872-2022</t>
        </is>
      </c>
      <c r="B1539" s="1" t="n">
        <v>44867</v>
      </c>
      <c r="C1539" s="1" t="n">
        <v>45760</v>
      </c>
      <c r="D1539" t="inlineStr">
        <is>
          <t>VÄSTERBOTTENS LÄN</t>
        </is>
      </c>
      <c r="E1539" t="inlineStr">
        <is>
          <t>SKELLEFTEÅ</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50838-2022</t>
        </is>
      </c>
      <c r="B1540" s="1" t="n">
        <v>44867</v>
      </c>
      <c r="C1540" s="1" t="n">
        <v>45760</v>
      </c>
      <c r="D1540" t="inlineStr">
        <is>
          <t>VÄSTERBOTTENS LÄN</t>
        </is>
      </c>
      <c r="E1540" t="inlineStr">
        <is>
          <t>SKELLEFTEÅ</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51222-2022</t>
        </is>
      </c>
      <c r="B1541" s="1" t="n">
        <v>44868</v>
      </c>
      <c r="C1541" s="1" t="n">
        <v>45760</v>
      </c>
      <c r="D1541" t="inlineStr">
        <is>
          <t>VÄSTERBOTTENS LÄN</t>
        </is>
      </c>
      <c r="E1541" t="inlineStr">
        <is>
          <t>SKELLEFTEÅ</t>
        </is>
      </c>
      <c r="F1541" t="inlineStr">
        <is>
          <t>Holmen skog AB</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51160-2022</t>
        </is>
      </c>
      <c r="B1542" s="1" t="n">
        <v>44868</v>
      </c>
      <c r="C1542" s="1" t="n">
        <v>45760</v>
      </c>
      <c r="D1542" t="inlineStr">
        <is>
          <t>VÄSTERBOTTENS LÄN</t>
        </is>
      </c>
      <c r="E1542" t="inlineStr">
        <is>
          <t>SKELLEFTEÅ</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51240-2022</t>
        </is>
      </c>
      <c r="B1543" s="1" t="n">
        <v>44868</v>
      </c>
      <c r="C1543" s="1" t="n">
        <v>45760</v>
      </c>
      <c r="D1543" t="inlineStr">
        <is>
          <t>VÄSTERBOTTENS LÄN</t>
        </is>
      </c>
      <c r="E1543" t="inlineStr">
        <is>
          <t>SKELLEFTEÅ</t>
        </is>
      </c>
      <c r="F1543" t="inlineStr">
        <is>
          <t>Holmen skog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52129-2022</t>
        </is>
      </c>
      <c r="B1544" s="1" t="n">
        <v>44868</v>
      </c>
      <c r="C1544" s="1" t="n">
        <v>45760</v>
      </c>
      <c r="D1544" t="inlineStr">
        <is>
          <t>VÄSTERBOTTENS LÄN</t>
        </is>
      </c>
      <c r="E1544" t="inlineStr">
        <is>
          <t>SKELLEFTEÅ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52141-2022</t>
        </is>
      </c>
      <c r="B1545" s="1" t="n">
        <v>44868</v>
      </c>
      <c r="C1545" s="1" t="n">
        <v>45760</v>
      </c>
      <c r="D1545" t="inlineStr">
        <is>
          <t>VÄSTERBOTTENS LÄN</t>
        </is>
      </c>
      <c r="E1545" t="inlineStr">
        <is>
          <t>SKELLEFTEÅ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52148-2022</t>
        </is>
      </c>
      <c r="B1546" s="1" t="n">
        <v>44868</v>
      </c>
      <c r="C1546" s="1" t="n">
        <v>45760</v>
      </c>
      <c r="D1546" t="inlineStr">
        <is>
          <t>VÄSTERBOTTENS LÄN</t>
        </is>
      </c>
      <c r="E1546" t="inlineStr">
        <is>
          <t>SKELLEFTEÅ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52135-2022</t>
        </is>
      </c>
      <c r="B1547" s="1" t="n">
        <v>44868</v>
      </c>
      <c r="C1547" s="1" t="n">
        <v>45760</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51486-2022</t>
        </is>
      </c>
      <c r="B1548" s="1" t="n">
        <v>44869</v>
      </c>
      <c r="C1548" s="1" t="n">
        <v>45760</v>
      </c>
      <c r="D1548" t="inlineStr">
        <is>
          <t>VÄSTERBOTTENS LÄN</t>
        </is>
      </c>
      <c r="E1548" t="inlineStr">
        <is>
          <t>SKELLEFTEÅ</t>
        </is>
      </c>
      <c r="F1548" t="inlineStr">
        <is>
          <t>Holmen skog AB</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51427-2022</t>
        </is>
      </c>
      <c r="B1549" s="1" t="n">
        <v>44869</v>
      </c>
      <c r="C1549" s="1" t="n">
        <v>45760</v>
      </c>
      <c r="D1549" t="inlineStr">
        <is>
          <t>VÄSTERBOTTENS LÄN</t>
        </is>
      </c>
      <c r="E1549" t="inlineStr">
        <is>
          <t>SKELLEFTEÅ</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51438-2022</t>
        </is>
      </c>
      <c r="B1550" s="1" t="n">
        <v>44869</v>
      </c>
      <c r="C1550" s="1" t="n">
        <v>45760</v>
      </c>
      <c r="D1550" t="inlineStr">
        <is>
          <t>VÄSTERBOTTENS LÄN</t>
        </is>
      </c>
      <c r="E1550" t="inlineStr">
        <is>
          <t>SKELLEFTEÅ</t>
        </is>
      </c>
      <c r="F1550" t="inlineStr">
        <is>
          <t>Holmen skog AB</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52482-2022</t>
        </is>
      </c>
      <c r="B1551" s="1" t="n">
        <v>44869</v>
      </c>
      <c r="C1551" s="1" t="n">
        <v>45760</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45760</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52475-2022</t>
        </is>
      </c>
      <c r="B1553" s="1" t="n">
        <v>44869</v>
      </c>
      <c r="C1553" s="1" t="n">
        <v>45760</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52497-2022</t>
        </is>
      </c>
      <c r="B1554" s="1" t="n">
        <v>44869</v>
      </c>
      <c r="C1554" s="1" t="n">
        <v>45760</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52459-2022</t>
        </is>
      </c>
      <c r="B1555" s="1" t="n">
        <v>44869</v>
      </c>
      <c r="C1555" s="1" t="n">
        <v>45760</v>
      </c>
      <c r="D1555" t="inlineStr">
        <is>
          <t>VÄSTERBOTTENS LÄN</t>
        </is>
      </c>
      <c r="E1555" t="inlineStr">
        <is>
          <t>SKELLEFTEÅ</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52492-2022</t>
        </is>
      </c>
      <c r="B1556" s="1" t="n">
        <v>44869</v>
      </c>
      <c r="C1556" s="1" t="n">
        <v>45760</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52488-2022</t>
        </is>
      </c>
      <c r="B1557" s="1" t="n">
        <v>44869</v>
      </c>
      <c r="C1557" s="1" t="n">
        <v>45760</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51919-2022</t>
        </is>
      </c>
      <c r="B1558" s="1" t="n">
        <v>44872</v>
      </c>
      <c r="C1558" s="1" t="n">
        <v>45760</v>
      </c>
      <c r="D1558" t="inlineStr">
        <is>
          <t>VÄSTERBOTTENS LÄN</t>
        </is>
      </c>
      <c r="E1558" t="inlineStr">
        <is>
          <t>SKELLEFTEÅ</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51951-2022</t>
        </is>
      </c>
      <c r="B1559" s="1" t="n">
        <v>44872</v>
      </c>
      <c r="C1559" s="1" t="n">
        <v>45760</v>
      </c>
      <c r="D1559" t="inlineStr">
        <is>
          <t>VÄSTERBOTTENS LÄN</t>
        </is>
      </c>
      <c r="E1559" t="inlineStr">
        <is>
          <t>SKELLEFTEÅ</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52009-2022</t>
        </is>
      </c>
      <c r="B1560" s="1" t="n">
        <v>44872</v>
      </c>
      <c r="C1560" s="1" t="n">
        <v>45760</v>
      </c>
      <c r="D1560" t="inlineStr">
        <is>
          <t>VÄSTERBOTTENS LÄN</t>
        </is>
      </c>
      <c r="E1560" t="inlineStr">
        <is>
          <t>SKELLEFTEÅ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51982-2022</t>
        </is>
      </c>
      <c r="B1561" s="1" t="n">
        <v>44872</v>
      </c>
      <c r="C1561" s="1" t="n">
        <v>45760</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51874-2022</t>
        </is>
      </c>
      <c r="B1562" s="1" t="n">
        <v>44872</v>
      </c>
      <c r="C1562" s="1" t="n">
        <v>45760</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52864-2022</t>
        </is>
      </c>
      <c r="B1563" s="1" t="n">
        <v>44872</v>
      </c>
      <c r="C1563" s="1" t="n">
        <v>45760</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52003-2022</t>
        </is>
      </c>
      <c r="B1564" s="1" t="n">
        <v>44872</v>
      </c>
      <c r="C1564" s="1" t="n">
        <v>45760</v>
      </c>
      <c r="D1564" t="inlineStr">
        <is>
          <t>VÄSTERBOTTENS LÄN</t>
        </is>
      </c>
      <c r="E1564" t="inlineStr">
        <is>
          <t>SKELLEFTEÅ</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52817-2022</t>
        </is>
      </c>
      <c r="B1565" s="1" t="n">
        <v>44872</v>
      </c>
      <c r="C1565" s="1" t="n">
        <v>45760</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53753-2022</t>
        </is>
      </c>
      <c r="B1566" s="1" t="n">
        <v>44872</v>
      </c>
      <c r="C1566" s="1" t="n">
        <v>45760</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52871-2022</t>
        </is>
      </c>
      <c r="B1567" s="1" t="n">
        <v>44872</v>
      </c>
      <c r="C1567" s="1" t="n">
        <v>45760</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53743-2022</t>
        </is>
      </c>
      <c r="B1568" s="1" t="n">
        <v>44872</v>
      </c>
      <c r="C1568" s="1" t="n">
        <v>45760</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52855-2022</t>
        </is>
      </c>
      <c r="B1569" s="1" t="n">
        <v>44872</v>
      </c>
      <c r="C1569" s="1" t="n">
        <v>45760</v>
      </c>
      <c r="D1569" t="inlineStr">
        <is>
          <t>VÄSTERBOTTENS LÄN</t>
        </is>
      </c>
      <c r="E1569" t="inlineStr">
        <is>
          <t>SKELLEFTEÅ</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52043-2022</t>
        </is>
      </c>
      <c r="B1570" s="1" t="n">
        <v>44873</v>
      </c>
      <c r="C1570" s="1" t="n">
        <v>45760</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52589-2022</t>
        </is>
      </c>
      <c r="B1571" s="1" t="n">
        <v>44874</v>
      </c>
      <c r="C1571" s="1" t="n">
        <v>45760</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52548-2022</t>
        </is>
      </c>
      <c r="B1572" s="1" t="n">
        <v>44874</v>
      </c>
      <c r="C1572" s="1" t="n">
        <v>45760</v>
      </c>
      <c r="D1572" t="inlineStr">
        <is>
          <t>VÄSTERBOTTENS LÄN</t>
        </is>
      </c>
      <c r="E1572" t="inlineStr">
        <is>
          <t>SKELLEFTEÅ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52555-2022</t>
        </is>
      </c>
      <c r="B1573" s="1" t="n">
        <v>44874</v>
      </c>
      <c r="C1573" s="1" t="n">
        <v>45760</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52835-2022</t>
        </is>
      </c>
      <c r="B1574" s="1" t="n">
        <v>44875</v>
      </c>
      <c r="C1574" s="1" t="n">
        <v>45760</v>
      </c>
      <c r="D1574" t="inlineStr">
        <is>
          <t>VÄSTERBOTTENS LÄN</t>
        </is>
      </c>
      <c r="E1574" t="inlineStr">
        <is>
          <t>SKELLEFTEÅ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52869-2022</t>
        </is>
      </c>
      <c r="B1575" s="1" t="n">
        <v>44875</v>
      </c>
      <c r="C1575" s="1" t="n">
        <v>45760</v>
      </c>
      <c r="D1575" t="inlineStr">
        <is>
          <t>VÄSTERBOTTENS LÄN</t>
        </is>
      </c>
      <c r="E1575" t="inlineStr">
        <is>
          <t>SKELLEFTEÅ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52986-2022</t>
        </is>
      </c>
      <c r="B1576" s="1" t="n">
        <v>44875</v>
      </c>
      <c r="C1576" s="1" t="n">
        <v>45760</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52988-2022</t>
        </is>
      </c>
      <c r="B1577" s="1" t="n">
        <v>44875</v>
      </c>
      <c r="C1577" s="1" t="n">
        <v>45760</v>
      </c>
      <c r="D1577" t="inlineStr">
        <is>
          <t>VÄSTERBOTTENS LÄN</t>
        </is>
      </c>
      <c r="E1577" t="inlineStr">
        <is>
          <t>SKELLEFTEÅ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53033-2022</t>
        </is>
      </c>
      <c r="B1578" s="1" t="n">
        <v>44876</v>
      </c>
      <c r="C1578" s="1" t="n">
        <v>45760</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53075-2022</t>
        </is>
      </c>
      <c r="B1579" s="1" t="n">
        <v>44876</v>
      </c>
      <c r="C1579" s="1" t="n">
        <v>45760</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53089-2022</t>
        </is>
      </c>
      <c r="B1580" s="1" t="n">
        <v>44876</v>
      </c>
      <c r="C1580" s="1" t="n">
        <v>45760</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53092-2022</t>
        </is>
      </c>
      <c r="B1581" s="1" t="n">
        <v>44876</v>
      </c>
      <c r="C1581" s="1" t="n">
        <v>45760</v>
      </c>
      <c r="D1581" t="inlineStr">
        <is>
          <t>VÄSTERBOTTENS LÄN</t>
        </is>
      </c>
      <c r="E1581" t="inlineStr">
        <is>
          <t>SKELLEFTEÅ</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53083-2022</t>
        </is>
      </c>
      <c r="B1582" s="1" t="n">
        <v>44876</v>
      </c>
      <c r="C1582" s="1" t="n">
        <v>45760</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53639-2022</t>
        </is>
      </c>
      <c r="B1583" s="1" t="n">
        <v>44879</v>
      </c>
      <c r="C1583" s="1" t="n">
        <v>45760</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53646-2022</t>
        </is>
      </c>
      <c r="B1584" s="1" t="n">
        <v>44879</v>
      </c>
      <c r="C1584" s="1" t="n">
        <v>45760</v>
      </c>
      <c r="D1584" t="inlineStr">
        <is>
          <t>VÄSTERBOTTENS LÄN</t>
        </is>
      </c>
      <c r="E1584" t="inlineStr">
        <is>
          <t>SKELLEFTEÅ</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53642-2022</t>
        </is>
      </c>
      <c r="B1585" s="1" t="n">
        <v>44879</v>
      </c>
      <c r="C1585" s="1" t="n">
        <v>45760</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53641-2022</t>
        </is>
      </c>
      <c r="B1586" s="1" t="n">
        <v>44879</v>
      </c>
      <c r="C1586" s="1" t="n">
        <v>45760</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54316-2022</t>
        </is>
      </c>
      <c r="B1587" s="1" t="n">
        <v>44879</v>
      </c>
      <c r="C1587" s="1" t="n">
        <v>45760</v>
      </c>
      <c r="D1587" t="inlineStr">
        <is>
          <t>VÄSTERBOTTENS LÄN</t>
        </is>
      </c>
      <c r="E1587" t="inlineStr">
        <is>
          <t>SKELLEFTEÅ</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54438-2022</t>
        </is>
      </c>
      <c r="B1588" s="1" t="n">
        <v>44880</v>
      </c>
      <c r="C1588" s="1" t="n">
        <v>45760</v>
      </c>
      <c r="D1588" t="inlineStr">
        <is>
          <t>VÄSTERBOTTENS LÄN</t>
        </is>
      </c>
      <c r="E1588" t="inlineStr">
        <is>
          <t>SKELLEFTEÅ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53903-2022</t>
        </is>
      </c>
      <c r="B1589" s="1" t="n">
        <v>44880</v>
      </c>
      <c r="C1589" s="1" t="n">
        <v>45760</v>
      </c>
      <c r="D1589" t="inlineStr">
        <is>
          <t>VÄSTERBOTTENS LÄN</t>
        </is>
      </c>
      <c r="E1589" t="inlineStr">
        <is>
          <t>SKELLEFTEÅ</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54456-2022</t>
        </is>
      </c>
      <c r="B1590" s="1" t="n">
        <v>44880</v>
      </c>
      <c r="C1590" s="1" t="n">
        <v>45760</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54081-2022</t>
        </is>
      </c>
      <c r="B1591" s="1" t="n">
        <v>44881</v>
      </c>
      <c r="C1591" s="1" t="n">
        <v>45760</v>
      </c>
      <c r="D1591" t="inlineStr">
        <is>
          <t>VÄSTERBOTTENS LÄN</t>
        </is>
      </c>
      <c r="E1591" t="inlineStr">
        <is>
          <t>SKELLEFTEÅ</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54825-2022</t>
        </is>
      </c>
      <c r="B1592" s="1" t="n">
        <v>44883</v>
      </c>
      <c r="C1592" s="1" t="n">
        <v>45760</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54635-2022</t>
        </is>
      </c>
      <c r="B1593" s="1" t="n">
        <v>44883</v>
      </c>
      <c r="C1593" s="1" t="n">
        <v>45760</v>
      </c>
      <c r="D1593" t="inlineStr">
        <is>
          <t>VÄSTERBOTTENS LÄN</t>
        </is>
      </c>
      <c r="E1593" t="inlineStr">
        <is>
          <t>SKELLEFTEÅ</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55018-2022</t>
        </is>
      </c>
      <c r="B1594" s="1" t="n">
        <v>44886</v>
      </c>
      <c r="C1594" s="1" t="n">
        <v>45760</v>
      </c>
      <c r="D1594" t="inlineStr">
        <is>
          <t>VÄSTERBOTTENS LÄN</t>
        </is>
      </c>
      <c r="E1594" t="inlineStr">
        <is>
          <t>SKELLEFTEÅ</t>
        </is>
      </c>
      <c r="F1594" t="inlineStr">
        <is>
          <t>Holmen skog AB</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55063-2022</t>
        </is>
      </c>
      <c r="B1595" s="1" t="n">
        <v>44886</v>
      </c>
      <c r="C1595" s="1" t="n">
        <v>45760</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55037-2022</t>
        </is>
      </c>
      <c r="B1596" s="1" t="n">
        <v>44886</v>
      </c>
      <c r="C1596" s="1" t="n">
        <v>45760</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55176-2022</t>
        </is>
      </c>
      <c r="B1597" s="1" t="n">
        <v>44886</v>
      </c>
      <c r="C1597" s="1" t="n">
        <v>45760</v>
      </c>
      <c r="D1597" t="inlineStr">
        <is>
          <t>VÄSTERBOTTENS LÄN</t>
        </is>
      </c>
      <c r="E1597" t="inlineStr">
        <is>
          <t>SKELLEFTEÅ</t>
        </is>
      </c>
      <c r="F1597" t="inlineStr">
        <is>
          <t>Sveaskog</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56313-2022</t>
        </is>
      </c>
      <c r="B1598" s="1" t="n">
        <v>44887</v>
      </c>
      <c r="C1598" s="1" t="n">
        <v>45760</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56299-2022</t>
        </is>
      </c>
      <c r="B1599" s="1" t="n">
        <v>44887</v>
      </c>
      <c r="C1599" s="1" t="n">
        <v>45760</v>
      </c>
      <c r="D1599" t="inlineStr">
        <is>
          <t>VÄSTERBOTTENS LÄN</t>
        </is>
      </c>
      <c r="E1599" t="inlineStr">
        <is>
          <t>SKELLEFTEÅ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55611-2022</t>
        </is>
      </c>
      <c r="B1600" s="1" t="n">
        <v>44888</v>
      </c>
      <c r="C1600" s="1" t="n">
        <v>45760</v>
      </c>
      <c r="D1600" t="inlineStr">
        <is>
          <t>VÄSTERBOTTENS LÄN</t>
        </is>
      </c>
      <c r="E1600" t="inlineStr">
        <is>
          <t>SKELLEFTEÅ</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55584-2022</t>
        </is>
      </c>
      <c r="B1601" s="1" t="n">
        <v>44888</v>
      </c>
      <c r="C1601" s="1" t="n">
        <v>45760</v>
      </c>
      <c r="D1601" t="inlineStr">
        <is>
          <t>VÄSTERBOTTENS LÄN</t>
        </is>
      </c>
      <c r="E1601" t="inlineStr">
        <is>
          <t>SKELLEFTEÅ</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55603-2022</t>
        </is>
      </c>
      <c r="B1602" s="1" t="n">
        <v>44888</v>
      </c>
      <c r="C1602" s="1" t="n">
        <v>45760</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55623-2022</t>
        </is>
      </c>
      <c r="B1603" s="1" t="n">
        <v>44888</v>
      </c>
      <c r="C1603" s="1" t="n">
        <v>45760</v>
      </c>
      <c r="D1603" t="inlineStr">
        <is>
          <t>VÄSTERBOTTENS LÄN</t>
        </is>
      </c>
      <c r="E1603" t="inlineStr">
        <is>
          <t>SKELLEFTEÅ</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55815-2022</t>
        </is>
      </c>
      <c r="B1604" s="1" t="n">
        <v>44888</v>
      </c>
      <c r="C1604" s="1" t="n">
        <v>45760</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55827-2022</t>
        </is>
      </c>
      <c r="B1605" s="1" t="n">
        <v>44888</v>
      </c>
      <c r="C1605" s="1" t="n">
        <v>45760</v>
      </c>
      <c r="D1605" t="inlineStr">
        <is>
          <t>VÄSTERBOTTENS LÄN</t>
        </is>
      </c>
      <c r="E1605" t="inlineStr">
        <is>
          <t>SKELLEFTEÅ</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56824-2022</t>
        </is>
      </c>
      <c r="B1606" s="1" t="n">
        <v>44888</v>
      </c>
      <c r="C1606" s="1" t="n">
        <v>45760</v>
      </c>
      <c r="D1606" t="inlineStr">
        <is>
          <t>VÄSTERBOTTENS LÄN</t>
        </is>
      </c>
      <c r="E1606" t="inlineStr">
        <is>
          <t>SKELLEFTEÅ</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56031-2022</t>
        </is>
      </c>
      <c r="B1607" s="1" t="n">
        <v>44889</v>
      </c>
      <c r="C1607" s="1" t="n">
        <v>45760</v>
      </c>
      <c r="D1607" t="inlineStr">
        <is>
          <t>VÄSTERBOTTENS LÄN</t>
        </is>
      </c>
      <c r="E1607" t="inlineStr">
        <is>
          <t>SKELLEFTEÅ</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55982-2022</t>
        </is>
      </c>
      <c r="B1608" s="1" t="n">
        <v>44889</v>
      </c>
      <c r="C1608" s="1" t="n">
        <v>45760</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55999-2022</t>
        </is>
      </c>
      <c r="B1609" s="1" t="n">
        <v>44889</v>
      </c>
      <c r="C1609" s="1" t="n">
        <v>45760</v>
      </c>
      <c r="D1609" t="inlineStr">
        <is>
          <t>VÄSTERBOTTENS LÄN</t>
        </is>
      </c>
      <c r="E1609" t="inlineStr">
        <is>
          <t>SKELLEFTEÅ</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56072-2022</t>
        </is>
      </c>
      <c r="B1610" s="1" t="n">
        <v>44889</v>
      </c>
      <c r="C1610" s="1" t="n">
        <v>45760</v>
      </c>
      <c r="D1610" t="inlineStr">
        <is>
          <t>VÄSTERBOTTENS LÄN</t>
        </is>
      </c>
      <c r="E1610" t="inlineStr">
        <is>
          <t>SKELLEFTEÅ</t>
        </is>
      </c>
      <c r="F1610" t="inlineStr">
        <is>
          <t>Holmen skog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56141-2022</t>
        </is>
      </c>
      <c r="B1611" s="1" t="n">
        <v>44889</v>
      </c>
      <c r="C1611" s="1" t="n">
        <v>45760</v>
      </c>
      <c r="D1611" t="inlineStr">
        <is>
          <t>VÄSTERBOTTENS LÄN</t>
        </is>
      </c>
      <c r="E1611" t="inlineStr">
        <is>
          <t>SKELLEFTEÅ</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56155-2022</t>
        </is>
      </c>
      <c r="B1612" s="1" t="n">
        <v>44889</v>
      </c>
      <c r="C1612" s="1" t="n">
        <v>45760</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56113-2022</t>
        </is>
      </c>
      <c r="B1613" s="1" t="n">
        <v>44889</v>
      </c>
      <c r="C1613" s="1" t="n">
        <v>45760</v>
      </c>
      <c r="D1613" t="inlineStr">
        <is>
          <t>VÄSTERBOTTENS LÄN</t>
        </is>
      </c>
      <c r="E1613" t="inlineStr">
        <is>
          <t>SKELLEFTEÅ</t>
        </is>
      </c>
      <c r="F1613" t="inlineStr">
        <is>
          <t>Sveaskog</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56156-2022</t>
        </is>
      </c>
      <c r="B1614" s="1" t="n">
        <v>44889</v>
      </c>
      <c r="C1614" s="1" t="n">
        <v>45760</v>
      </c>
      <c r="D1614" t="inlineStr">
        <is>
          <t>VÄSTERBOTTENS LÄN</t>
        </is>
      </c>
      <c r="E1614" t="inlineStr">
        <is>
          <t>SKELLEFTEÅ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57405-2022</t>
        </is>
      </c>
      <c r="B1615" s="1" t="n">
        <v>44889</v>
      </c>
      <c r="C1615" s="1" t="n">
        <v>45760</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57432-2022</t>
        </is>
      </c>
      <c r="B1616" s="1" t="n">
        <v>44889</v>
      </c>
      <c r="C1616" s="1" t="n">
        <v>45760</v>
      </c>
      <c r="D1616" t="inlineStr">
        <is>
          <t>VÄSTERBOTTENS LÄN</t>
        </is>
      </c>
      <c r="E1616" t="inlineStr">
        <is>
          <t>SKELLEFTEÅ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56284-2022</t>
        </is>
      </c>
      <c r="B1617" s="1" t="n">
        <v>44890</v>
      </c>
      <c r="C1617" s="1" t="n">
        <v>45760</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56394-2022</t>
        </is>
      </c>
      <c r="B1618" s="1" t="n">
        <v>44890</v>
      </c>
      <c r="C1618" s="1" t="n">
        <v>45760</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56435-2022</t>
        </is>
      </c>
      <c r="B1619" s="1" t="n">
        <v>44892</v>
      </c>
      <c r="C1619" s="1" t="n">
        <v>45760</v>
      </c>
      <c r="D1619" t="inlineStr">
        <is>
          <t>VÄSTERBOTTENS LÄN</t>
        </is>
      </c>
      <c r="E1619" t="inlineStr">
        <is>
          <t>SKELLEFTEÅ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56503-2022</t>
        </is>
      </c>
      <c r="B1620" s="1" t="n">
        <v>44893</v>
      </c>
      <c r="C1620" s="1" t="n">
        <v>45760</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57406-2022</t>
        </is>
      </c>
      <c r="B1621" s="1" t="n">
        <v>44893</v>
      </c>
      <c r="C1621" s="1" t="n">
        <v>45760</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58114-2022</t>
        </is>
      </c>
      <c r="B1622" s="1" t="n">
        <v>44893</v>
      </c>
      <c r="C1622" s="1" t="n">
        <v>45760</v>
      </c>
      <c r="D1622" t="inlineStr">
        <is>
          <t>VÄSTERBOTTENS LÄN</t>
        </is>
      </c>
      <c r="E1622" t="inlineStr">
        <is>
          <t>SKELLEFTEÅ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56993-2022</t>
        </is>
      </c>
      <c r="B1623" s="1" t="n">
        <v>44894</v>
      </c>
      <c r="C1623" s="1" t="n">
        <v>45760</v>
      </c>
      <c r="D1623" t="inlineStr">
        <is>
          <t>VÄSTERBOTTENS LÄN</t>
        </is>
      </c>
      <c r="E1623" t="inlineStr">
        <is>
          <t>SKELLEFTEÅ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56960-2022</t>
        </is>
      </c>
      <c r="B1624" s="1" t="n">
        <v>44894</v>
      </c>
      <c r="C1624" s="1" t="n">
        <v>45760</v>
      </c>
      <c r="D1624" t="inlineStr">
        <is>
          <t>VÄSTERBOTTENS LÄN</t>
        </is>
      </c>
      <c r="E1624" t="inlineStr">
        <is>
          <t>SKELLEFTEÅ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56995-2022</t>
        </is>
      </c>
      <c r="B1625" s="1" t="n">
        <v>44894</v>
      </c>
      <c r="C1625" s="1" t="n">
        <v>45760</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58250-2022</t>
        </is>
      </c>
      <c r="B1626" s="1" t="n">
        <v>44894</v>
      </c>
      <c r="C1626" s="1" t="n">
        <v>45760</v>
      </c>
      <c r="D1626" t="inlineStr">
        <is>
          <t>VÄSTERBOTTENS LÄN</t>
        </is>
      </c>
      <c r="E1626" t="inlineStr">
        <is>
          <t>SKELLEFTEÅ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58634-2022</t>
        </is>
      </c>
      <c r="B1627" s="1" t="n">
        <v>44894</v>
      </c>
      <c r="C1627" s="1" t="n">
        <v>45760</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57059-2022</t>
        </is>
      </c>
      <c r="B1628" s="1" t="n">
        <v>44895</v>
      </c>
      <c r="C1628" s="1" t="n">
        <v>45760</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57103-2022</t>
        </is>
      </c>
      <c r="B1629" s="1" t="n">
        <v>44895</v>
      </c>
      <c r="C1629" s="1" t="n">
        <v>45760</v>
      </c>
      <c r="D1629" t="inlineStr">
        <is>
          <t>VÄSTERBOTTENS LÄN</t>
        </is>
      </c>
      <c r="E1629" t="inlineStr">
        <is>
          <t>SKELLEFTEÅ</t>
        </is>
      </c>
      <c r="F1629" t="inlineStr">
        <is>
          <t>Holmen skog AB</t>
        </is>
      </c>
      <c r="G1629" t="n">
        <v>18.7</v>
      </c>
      <c r="H1629" t="n">
        <v>0</v>
      </c>
      <c r="I1629" t="n">
        <v>0</v>
      </c>
      <c r="J1629" t="n">
        <v>0</v>
      </c>
      <c r="K1629" t="n">
        <v>0</v>
      </c>
      <c r="L1629" t="n">
        <v>0</v>
      </c>
      <c r="M1629" t="n">
        <v>0</v>
      </c>
      <c r="N1629" t="n">
        <v>0</v>
      </c>
      <c r="O1629" t="n">
        <v>0</v>
      </c>
      <c r="P1629" t="n">
        <v>0</v>
      </c>
      <c r="Q1629" t="n">
        <v>0</v>
      </c>
      <c r="R1629" s="2" t="inlineStr"/>
    </row>
    <row r="1630" ht="15" customHeight="1">
      <c r="A1630" t="inlineStr">
        <is>
          <t>A 57057-2022</t>
        </is>
      </c>
      <c r="B1630" s="1" t="n">
        <v>44895</v>
      </c>
      <c r="C1630" s="1" t="n">
        <v>45760</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57054-2022</t>
        </is>
      </c>
      <c r="B1631" s="1" t="n">
        <v>44895</v>
      </c>
      <c r="C1631" s="1" t="n">
        <v>45760</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57152-2022</t>
        </is>
      </c>
      <c r="B1632" s="1" t="n">
        <v>44895</v>
      </c>
      <c r="C1632" s="1" t="n">
        <v>45760</v>
      </c>
      <c r="D1632" t="inlineStr">
        <is>
          <t>VÄSTERBOTTENS LÄN</t>
        </is>
      </c>
      <c r="E1632" t="inlineStr">
        <is>
          <t>SKELLEFTEÅ</t>
        </is>
      </c>
      <c r="F1632" t="inlineStr">
        <is>
          <t>Holmen skog AB</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57187-2022</t>
        </is>
      </c>
      <c r="B1633" s="1" t="n">
        <v>44895</v>
      </c>
      <c r="C1633" s="1" t="n">
        <v>45760</v>
      </c>
      <c r="D1633" t="inlineStr">
        <is>
          <t>VÄSTERBOTTENS LÄN</t>
        </is>
      </c>
      <c r="E1633" t="inlineStr">
        <is>
          <t>SKELLEFTEÅ</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58897-2022</t>
        </is>
      </c>
      <c r="B1634" s="1" t="n">
        <v>44895</v>
      </c>
      <c r="C1634" s="1" t="n">
        <v>45760</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58814-2022</t>
        </is>
      </c>
      <c r="B1635" s="1" t="n">
        <v>44895</v>
      </c>
      <c r="C1635" s="1" t="n">
        <v>45760</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57364-2022</t>
        </is>
      </c>
      <c r="B1636" s="1" t="n">
        <v>44896</v>
      </c>
      <c r="C1636" s="1" t="n">
        <v>45760</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57417-2022</t>
        </is>
      </c>
      <c r="B1637" s="1" t="n">
        <v>44896</v>
      </c>
      <c r="C1637" s="1" t="n">
        <v>45760</v>
      </c>
      <c r="D1637" t="inlineStr">
        <is>
          <t>VÄSTERBOTTENS LÄN</t>
        </is>
      </c>
      <c r="E1637" t="inlineStr">
        <is>
          <t>SKELLEFTEÅ</t>
        </is>
      </c>
      <c r="F1637" t="inlineStr">
        <is>
          <t>Holmen skog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57579-2022</t>
        </is>
      </c>
      <c r="B1638" s="1" t="n">
        <v>44896</v>
      </c>
      <c r="C1638" s="1" t="n">
        <v>45760</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57362-2022</t>
        </is>
      </c>
      <c r="B1639" s="1" t="n">
        <v>44896</v>
      </c>
      <c r="C1639" s="1" t="n">
        <v>45760</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57457-2022</t>
        </is>
      </c>
      <c r="B1640" s="1" t="n">
        <v>44896</v>
      </c>
      <c r="C1640" s="1" t="n">
        <v>45760</v>
      </c>
      <c r="D1640" t="inlineStr">
        <is>
          <t>VÄSTERBOTTENS LÄN</t>
        </is>
      </c>
      <c r="E1640" t="inlineStr">
        <is>
          <t>SKELLEFTEÅ</t>
        </is>
      </c>
      <c r="F1640" t="inlineStr">
        <is>
          <t>Holmen skog AB</t>
        </is>
      </c>
      <c r="G1640" t="n">
        <v>16.2</v>
      </c>
      <c r="H1640" t="n">
        <v>0</v>
      </c>
      <c r="I1640" t="n">
        <v>0</v>
      </c>
      <c r="J1640" t="n">
        <v>0</v>
      </c>
      <c r="K1640" t="n">
        <v>0</v>
      </c>
      <c r="L1640" t="n">
        <v>0</v>
      </c>
      <c r="M1640" t="n">
        <v>0</v>
      </c>
      <c r="N1640" t="n">
        <v>0</v>
      </c>
      <c r="O1640" t="n">
        <v>0</v>
      </c>
      <c r="P1640" t="n">
        <v>0</v>
      </c>
      <c r="Q1640" t="n">
        <v>0</v>
      </c>
      <c r="R1640" s="2" t="inlineStr"/>
    </row>
    <row r="1641" ht="15" customHeight="1">
      <c r="A1641" t="inlineStr">
        <is>
          <t>A 57569-2022</t>
        </is>
      </c>
      <c r="B1641" s="1" t="n">
        <v>44896</v>
      </c>
      <c r="C1641" s="1" t="n">
        <v>45760</v>
      </c>
      <c r="D1641" t="inlineStr">
        <is>
          <t>VÄSTERBOTTENS LÄN</t>
        </is>
      </c>
      <c r="E1641" t="inlineStr">
        <is>
          <t>SKELLEFTEÅ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57570-2022</t>
        </is>
      </c>
      <c r="B1642" s="1" t="n">
        <v>44896</v>
      </c>
      <c r="C1642" s="1" t="n">
        <v>45760</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57577-2022</t>
        </is>
      </c>
      <c r="B1643" s="1" t="n">
        <v>44896</v>
      </c>
      <c r="C1643" s="1" t="n">
        <v>45760</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57583-2022</t>
        </is>
      </c>
      <c r="B1644" s="1" t="n">
        <v>44896</v>
      </c>
      <c r="C1644" s="1" t="n">
        <v>45760</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57582-2022</t>
        </is>
      </c>
      <c r="B1645" s="1" t="n">
        <v>44896</v>
      </c>
      <c r="C1645" s="1" t="n">
        <v>45760</v>
      </c>
      <c r="D1645" t="inlineStr">
        <is>
          <t>VÄSTERBOTTENS LÄN</t>
        </is>
      </c>
      <c r="E1645" t="inlineStr">
        <is>
          <t>SKELLEFTEÅ</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57571-2022</t>
        </is>
      </c>
      <c r="B1646" s="1" t="n">
        <v>44896</v>
      </c>
      <c r="C1646" s="1" t="n">
        <v>45760</v>
      </c>
      <c r="D1646" t="inlineStr">
        <is>
          <t>VÄSTERBOTTENS LÄN</t>
        </is>
      </c>
      <c r="E1646" t="inlineStr">
        <is>
          <t>SKELLEFTEÅ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57578-2022</t>
        </is>
      </c>
      <c r="B1647" s="1" t="n">
        <v>44896</v>
      </c>
      <c r="C1647" s="1" t="n">
        <v>45760</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57584-2022</t>
        </is>
      </c>
      <c r="B1648" s="1" t="n">
        <v>44896</v>
      </c>
      <c r="C1648" s="1" t="n">
        <v>45760</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58877-2022</t>
        </is>
      </c>
      <c r="B1649" s="1" t="n">
        <v>44896</v>
      </c>
      <c r="C1649" s="1" t="n">
        <v>45760</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58926-2022</t>
        </is>
      </c>
      <c r="B1650" s="1" t="n">
        <v>44896</v>
      </c>
      <c r="C1650" s="1" t="n">
        <v>45760</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57646-2022</t>
        </is>
      </c>
      <c r="B1651" s="1" t="n">
        <v>44897</v>
      </c>
      <c r="C1651" s="1" t="n">
        <v>45760</v>
      </c>
      <c r="D1651" t="inlineStr">
        <is>
          <t>VÄSTERBOTTENS LÄN</t>
        </is>
      </c>
      <c r="E1651" t="inlineStr">
        <is>
          <t>SKELLEFTEÅ</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57770-2022</t>
        </is>
      </c>
      <c r="B1652" s="1" t="n">
        <v>44897</v>
      </c>
      <c r="C1652" s="1" t="n">
        <v>45760</v>
      </c>
      <c r="D1652" t="inlineStr">
        <is>
          <t>VÄSTERBOTTENS LÄN</t>
        </is>
      </c>
      <c r="E1652" t="inlineStr">
        <is>
          <t>SKELLEFTEÅ</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57654-2022</t>
        </is>
      </c>
      <c r="B1653" s="1" t="n">
        <v>44897</v>
      </c>
      <c r="C1653" s="1" t="n">
        <v>45760</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57659-2022</t>
        </is>
      </c>
      <c r="B1654" s="1" t="n">
        <v>44897</v>
      </c>
      <c r="C1654" s="1" t="n">
        <v>45760</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59020-2022</t>
        </is>
      </c>
      <c r="B1655" s="1" t="n">
        <v>44897</v>
      </c>
      <c r="C1655" s="1" t="n">
        <v>45760</v>
      </c>
      <c r="D1655" t="inlineStr">
        <is>
          <t>VÄSTERBOTTENS LÄN</t>
        </is>
      </c>
      <c r="E1655" t="inlineStr">
        <is>
          <t>SKELLEFTEÅ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57847-2022</t>
        </is>
      </c>
      <c r="B1656" s="1" t="n">
        <v>44898</v>
      </c>
      <c r="C1656" s="1" t="n">
        <v>45760</v>
      </c>
      <c r="D1656" t="inlineStr">
        <is>
          <t>VÄSTERBOTTENS LÄN</t>
        </is>
      </c>
      <c r="E1656" t="inlineStr">
        <is>
          <t>SKELLEFTEÅ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57849-2022</t>
        </is>
      </c>
      <c r="B1657" s="1" t="n">
        <v>44898</v>
      </c>
      <c r="C1657" s="1" t="n">
        <v>45760</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57848-2022</t>
        </is>
      </c>
      <c r="B1658" s="1" t="n">
        <v>44898</v>
      </c>
      <c r="C1658" s="1" t="n">
        <v>45760</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57908-2022</t>
        </is>
      </c>
      <c r="B1659" s="1" t="n">
        <v>44900</v>
      </c>
      <c r="C1659" s="1" t="n">
        <v>45760</v>
      </c>
      <c r="D1659" t="inlineStr">
        <is>
          <t>VÄSTERBOTTENS LÄN</t>
        </is>
      </c>
      <c r="E1659" t="inlineStr">
        <is>
          <t>SKELLEFTEÅ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58053-2022</t>
        </is>
      </c>
      <c r="B1660" s="1" t="n">
        <v>44900</v>
      </c>
      <c r="C1660" s="1" t="n">
        <v>45760</v>
      </c>
      <c r="D1660" t="inlineStr">
        <is>
          <t>VÄSTERBOTTENS LÄN</t>
        </is>
      </c>
      <c r="E1660" t="inlineStr">
        <is>
          <t>SKELLEFTEÅ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57899-2022</t>
        </is>
      </c>
      <c r="B1661" s="1" t="n">
        <v>44900</v>
      </c>
      <c r="C1661" s="1" t="n">
        <v>45760</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58063-2022</t>
        </is>
      </c>
      <c r="B1662" s="1" t="n">
        <v>44900</v>
      </c>
      <c r="C1662" s="1" t="n">
        <v>45760</v>
      </c>
      <c r="D1662" t="inlineStr">
        <is>
          <t>VÄSTERBOTTENS LÄN</t>
        </is>
      </c>
      <c r="E1662" t="inlineStr">
        <is>
          <t>SKELLEFTEÅ</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59754-2022</t>
        </is>
      </c>
      <c r="B1663" s="1" t="n">
        <v>44900</v>
      </c>
      <c r="C1663" s="1" t="n">
        <v>45760</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58298-2022</t>
        </is>
      </c>
      <c r="B1664" s="1" t="n">
        <v>44901</v>
      </c>
      <c r="C1664" s="1" t="n">
        <v>45760</v>
      </c>
      <c r="D1664" t="inlineStr">
        <is>
          <t>VÄSTERBOTTENS LÄN</t>
        </is>
      </c>
      <c r="E1664" t="inlineStr">
        <is>
          <t>SKELLEFTEÅ</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58325-2022</t>
        </is>
      </c>
      <c r="B1665" s="1" t="n">
        <v>44901</v>
      </c>
      <c r="C1665" s="1" t="n">
        <v>45760</v>
      </c>
      <c r="D1665" t="inlineStr">
        <is>
          <t>VÄSTERBOTTENS LÄN</t>
        </is>
      </c>
      <c r="E1665" t="inlineStr">
        <is>
          <t>SKELLEFTEÅ</t>
        </is>
      </c>
      <c r="F1665" t="inlineStr">
        <is>
          <t>Sveaskog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58376-2022</t>
        </is>
      </c>
      <c r="B1666" s="1" t="n">
        <v>44901</v>
      </c>
      <c r="C1666" s="1" t="n">
        <v>45760</v>
      </c>
      <c r="D1666" t="inlineStr">
        <is>
          <t>VÄSTERBOTTENS LÄN</t>
        </is>
      </c>
      <c r="E1666" t="inlineStr">
        <is>
          <t>SKELLEFTEÅ</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58429-2022</t>
        </is>
      </c>
      <c r="B1667" s="1" t="n">
        <v>44901</v>
      </c>
      <c r="C1667" s="1" t="n">
        <v>45760</v>
      </c>
      <c r="D1667" t="inlineStr">
        <is>
          <t>VÄSTERBOTTENS LÄN</t>
        </is>
      </c>
      <c r="E1667" t="inlineStr">
        <is>
          <t>SKELLEFTEÅ</t>
        </is>
      </c>
      <c r="F1667" t="inlineStr">
        <is>
          <t>SCA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58304-2022</t>
        </is>
      </c>
      <c r="B1668" s="1" t="n">
        <v>44901</v>
      </c>
      <c r="C1668" s="1" t="n">
        <v>45760</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58197-2022</t>
        </is>
      </c>
      <c r="B1669" s="1" t="n">
        <v>44901</v>
      </c>
      <c r="C1669" s="1" t="n">
        <v>45760</v>
      </c>
      <c r="D1669" t="inlineStr">
        <is>
          <t>VÄSTERBOTTENS LÄN</t>
        </is>
      </c>
      <c r="E1669" t="inlineStr">
        <is>
          <t>SKELLEFTEÅ</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58295-2022</t>
        </is>
      </c>
      <c r="B1670" s="1" t="n">
        <v>44901</v>
      </c>
      <c r="C1670" s="1" t="n">
        <v>45760</v>
      </c>
      <c r="D1670" t="inlineStr">
        <is>
          <t>VÄSTERBOTTENS LÄN</t>
        </is>
      </c>
      <c r="E1670" t="inlineStr">
        <is>
          <t>SKELLEFTEÅ</t>
        </is>
      </c>
      <c r="F1670" t="inlineStr">
        <is>
          <t>Sveaskog</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58349-2022</t>
        </is>
      </c>
      <c r="B1671" s="1" t="n">
        <v>44901</v>
      </c>
      <c r="C1671" s="1" t="n">
        <v>45760</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58464-2022</t>
        </is>
      </c>
      <c r="B1672" s="1" t="n">
        <v>44902</v>
      </c>
      <c r="C1672" s="1" t="n">
        <v>45760</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58572-2022</t>
        </is>
      </c>
      <c r="B1673" s="1" t="n">
        <v>44902</v>
      </c>
      <c r="C1673" s="1" t="n">
        <v>45760</v>
      </c>
      <c r="D1673" t="inlineStr">
        <is>
          <t>VÄSTERBOTTENS LÄN</t>
        </is>
      </c>
      <c r="E1673" t="inlineStr">
        <is>
          <t>SKELLEFTEÅ</t>
        </is>
      </c>
      <c r="F1673" t="inlineStr">
        <is>
          <t>Sveaskog</t>
        </is>
      </c>
      <c r="G1673" t="n">
        <v>14.7</v>
      </c>
      <c r="H1673" t="n">
        <v>0</v>
      </c>
      <c r="I1673" t="n">
        <v>0</v>
      </c>
      <c r="J1673" t="n">
        <v>0</v>
      </c>
      <c r="K1673" t="n">
        <v>0</v>
      </c>
      <c r="L1673" t="n">
        <v>0</v>
      </c>
      <c r="M1673" t="n">
        <v>0</v>
      </c>
      <c r="N1673" t="n">
        <v>0</v>
      </c>
      <c r="O1673" t="n">
        <v>0</v>
      </c>
      <c r="P1673" t="n">
        <v>0</v>
      </c>
      <c r="Q1673" t="n">
        <v>0</v>
      </c>
      <c r="R1673" s="2" t="inlineStr"/>
    </row>
    <row r="1674" ht="15" customHeight="1">
      <c r="A1674" t="inlineStr">
        <is>
          <t>A 58676-2022</t>
        </is>
      </c>
      <c r="B1674" s="1" t="n">
        <v>44902</v>
      </c>
      <c r="C1674" s="1" t="n">
        <v>45760</v>
      </c>
      <c r="D1674" t="inlineStr">
        <is>
          <t>VÄSTERBOTTENS LÄN</t>
        </is>
      </c>
      <c r="E1674" t="inlineStr">
        <is>
          <t>SKELLEFTEÅ</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58803-2022</t>
        </is>
      </c>
      <c r="B1675" s="1" t="n">
        <v>44903</v>
      </c>
      <c r="C1675" s="1" t="n">
        <v>45760</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60237-2022</t>
        </is>
      </c>
      <c r="B1676" s="1" t="n">
        <v>44903</v>
      </c>
      <c r="C1676" s="1" t="n">
        <v>45760</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59067-2022</t>
        </is>
      </c>
      <c r="B1677" s="1" t="n">
        <v>44904</v>
      </c>
      <c r="C1677" s="1" t="n">
        <v>45760</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60558-2022</t>
        </is>
      </c>
      <c r="B1678" s="1" t="n">
        <v>44904</v>
      </c>
      <c r="C1678" s="1" t="n">
        <v>45760</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60356-2022</t>
        </is>
      </c>
      <c r="B1679" s="1" t="n">
        <v>44904</v>
      </c>
      <c r="C1679" s="1" t="n">
        <v>45760</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59531-2022</t>
        </is>
      </c>
      <c r="B1680" s="1" t="n">
        <v>44907</v>
      </c>
      <c r="C1680" s="1" t="n">
        <v>45760</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60981-2022</t>
        </is>
      </c>
      <c r="B1681" s="1" t="n">
        <v>44907</v>
      </c>
      <c r="C1681" s="1" t="n">
        <v>45760</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60785-2022</t>
        </is>
      </c>
      <c r="B1682" s="1" t="n">
        <v>44907</v>
      </c>
      <c r="C1682" s="1" t="n">
        <v>45760</v>
      </c>
      <c r="D1682" t="inlineStr">
        <is>
          <t>VÄSTERBOTTENS LÄN</t>
        </is>
      </c>
      <c r="E1682" t="inlineStr">
        <is>
          <t>SKELLEFTEÅ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60970-2022</t>
        </is>
      </c>
      <c r="B1683" s="1" t="n">
        <v>44907</v>
      </c>
      <c r="C1683" s="1" t="n">
        <v>45760</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59666-2022</t>
        </is>
      </c>
      <c r="B1684" s="1" t="n">
        <v>44908</v>
      </c>
      <c r="C1684" s="1" t="n">
        <v>45760</v>
      </c>
      <c r="D1684" t="inlineStr">
        <is>
          <t>VÄSTERBOTTENS LÄN</t>
        </is>
      </c>
      <c r="E1684" t="inlineStr">
        <is>
          <t>SKELLEFTEÅ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59744-2022</t>
        </is>
      </c>
      <c r="B1685" s="1" t="n">
        <v>44908</v>
      </c>
      <c r="C1685" s="1" t="n">
        <v>45760</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59664-2022</t>
        </is>
      </c>
      <c r="B1686" s="1" t="n">
        <v>44908</v>
      </c>
      <c r="C1686" s="1" t="n">
        <v>45760</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59748-2022</t>
        </is>
      </c>
      <c r="B1687" s="1" t="n">
        <v>44908</v>
      </c>
      <c r="C1687" s="1" t="n">
        <v>45760</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61153-2022</t>
        </is>
      </c>
      <c r="B1688" s="1" t="n">
        <v>44908</v>
      </c>
      <c r="C1688" s="1" t="n">
        <v>45760</v>
      </c>
      <c r="D1688" t="inlineStr">
        <is>
          <t>VÄSTERBOTTENS LÄN</t>
        </is>
      </c>
      <c r="E1688" t="inlineStr">
        <is>
          <t>SKELLEFTEÅ</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60000-2022</t>
        </is>
      </c>
      <c r="B1689" s="1" t="n">
        <v>44909</v>
      </c>
      <c r="C1689" s="1" t="n">
        <v>45760</v>
      </c>
      <c r="D1689" t="inlineStr">
        <is>
          <t>VÄSTERBOTTENS LÄN</t>
        </is>
      </c>
      <c r="E1689" t="inlineStr">
        <is>
          <t>SKELLEFTEÅ</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61275-2022</t>
        </is>
      </c>
      <c r="B1690" s="1" t="n">
        <v>44909</v>
      </c>
      <c r="C1690" s="1" t="n">
        <v>45760</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60378-2022</t>
        </is>
      </c>
      <c r="B1691" s="1" t="n">
        <v>44910</v>
      </c>
      <c r="C1691" s="1" t="n">
        <v>45760</v>
      </c>
      <c r="D1691" t="inlineStr">
        <is>
          <t>VÄSTERBOTTENS LÄN</t>
        </is>
      </c>
      <c r="E1691" t="inlineStr">
        <is>
          <t>SKELLEFTEÅ</t>
        </is>
      </c>
      <c r="F1691" t="inlineStr">
        <is>
          <t>Holmen skog AB</t>
        </is>
      </c>
      <c r="G1691" t="n">
        <v>18.8</v>
      </c>
      <c r="H1691" t="n">
        <v>0</v>
      </c>
      <c r="I1691" t="n">
        <v>0</v>
      </c>
      <c r="J1691" t="n">
        <v>0</v>
      </c>
      <c r="K1691" t="n">
        <v>0</v>
      </c>
      <c r="L1691" t="n">
        <v>0</v>
      </c>
      <c r="M1691" t="n">
        <v>0</v>
      </c>
      <c r="N1691" t="n">
        <v>0</v>
      </c>
      <c r="O1691" t="n">
        <v>0</v>
      </c>
      <c r="P1691" t="n">
        <v>0</v>
      </c>
      <c r="Q1691" t="n">
        <v>0</v>
      </c>
      <c r="R1691" s="2" t="inlineStr"/>
    </row>
    <row r="1692" ht="15" customHeight="1">
      <c r="A1692" t="inlineStr">
        <is>
          <t>A 60488-2022</t>
        </is>
      </c>
      <c r="B1692" s="1" t="n">
        <v>44911</v>
      </c>
      <c r="C1692" s="1" t="n">
        <v>45760</v>
      </c>
      <c r="D1692" t="inlineStr">
        <is>
          <t>VÄSTERBOTTENS LÄN</t>
        </is>
      </c>
      <c r="E1692" t="inlineStr">
        <is>
          <t>SKELLEFTEÅ</t>
        </is>
      </c>
      <c r="F1692" t="inlineStr">
        <is>
          <t>Sveaskog</t>
        </is>
      </c>
      <c r="G1692" t="n">
        <v>11.6</v>
      </c>
      <c r="H1692" t="n">
        <v>0</v>
      </c>
      <c r="I1692" t="n">
        <v>0</v>
      </c>
      <c r="J1692" t="n">
        <v>0</v>
      </c>
      <c r="K1692" t="n">
        <v>0</v>
      </c>
      <c r="L1692" t="n">
        <v>0</v>
      </c>
      <c r="M1692" t="n">
        <v>0</v>
      </c>
      <c r="N1692" t="n">
        <v>0</v>
      </c>
      <c r="O1692" t="n">
        <v>0</v>
      </c>
      <c r="P1692" t="n">
        <v>0</v>
      </c>
      <c r="Q1692" t="n">
        <v>0</v>
      </c>
      <c r="R1692" s="2" t="inlineStr"/>
      <c r="U1692">
        <f>HYPERLINK("https://klasma.github.io/Logging_2482/knärot/A 60488-2022 karta knärot.png", "A 60488-2022")</f>
        <v/>
      </c>
      <c r="V1692">
        <f>HYPERLINK("https://klasma.github.io/Logging_2482/klagomål/A 60488-2022 FSC-klagomål.docx", "A 60488-2022")</f>
        <v/>
      </c>
      <c r="W1692">
        <f>HYPERLINK("https://klasma.github.io/Logging_2482/klagomålsmail/A 60488-2022 FSC-klagomål mail.docx", "A 60488-2022")</f>
        <v/>
      </c>
      <c r="X1692">
        <f>HYPERLINK("https://klasma.github.io/Logging_2482/tillsyn/A 60488-2022 tillsynsbegäran.docx", "A 60488-2022")</f>
        <v/>
      </c>
      <c r="Y1692">
        <f>HYPERLINK("https://klasma.github.io/Logging_2482/tillsynsmail/A 60488-2022 tillsynsbegäran mail.docx", "A 60488-2022")</f>
        <v/>
      </c>
    </row>
    <row r="1693" ht="15" customHeight="1">
      <c r="A1693" t="inlineStr">
        <is>
          <t>A 60498-2022</t>
        </is>
      </c>
      <c r="B1693" s="1" t="n">
        <v>44911</v>
      </c>
      <c r="C1693" s="1" t="n">
        <v>45760</v>
      </c>
      <c r="D1693" t="inlineStr">
        <is>
          <t>VÄSTERBOTTENS LÄN</t>
        </is>
      </c>
      <c r="E1693" t="inlineStr">
        <is>
          <t>SKELLEFTEÅ</t>
        </is>
      </c>
      <c r="F1693" t="inlineStr">
        <is>
          <t>Sveaskog</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60582-2022</t>
        </is>
      </c>
      <c r="B1694" s="1" t="n">
        <v>44911</v>
      </c>
      <c r="C1694" s="1" t="n">
        <v>45760</v>
      </c>
      <c r="D1694" t="inlineStr">
        <is>
          <t>VÄSTERBOTTENS LÄN</t>
        </is>
      </c>
      <c r="E1694" t="inlineStr">
        <is>
          <t>SKELLEFTEÅ</t>
        </is>
      </c>
      <c r="F1694" t="inlineStr">
        <is>
          <t>Sveaskog</t>
        </is>
      </c>
      <c r="G1694" t="n">
        <v>27.3</v>
      </c>
      <c r="H1694" t="n">
        <v>0</v>
      </c>
      <c r="I1694" t="n">
        <v>0</v>
      </c>
      <c r="J1694" t="n">
        <v>0</v>
      </c>
      <c r="K1694" t="n">
        <v>0</v>
      </c>
      <c r="L1694" t="n">
        <v>0</v>
      </c>
      <c r="M1694" t="n">
        <v>0</v>
      </c>
      <c r="N1694" t="n">
        <v>0</v>
      </c>
      <c r="O1694" t="n">
        <v>0</v>
      </c>
      <c r="P1694" t="n">
        <v>0</v>
      </c>
      <c r="Q1694" t="n">
        <v>0</v>
      </c>
      <c r="R1694" s="2" t="inlineStr"/>
    </row>
    <row r="1695" ht="15" customHeight="1">
      <c r="A1695" t="inlineStr">
        <is>
          <t>A 60656-2022</t>
        </is>
      </c>
      <c r="B1695" s="1" t="n">
        <v>44911</v>
      </c>
      <c r="C1695" s="1" t="n">
        <v>45760</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60452-2022</t>
        </is>
      </c>
      <c r="B1696" s="1" t="n">
        <v>44911</v>
      </c>
      <c r="C1696" s="1" t="n">
        <v>45760</v>
      </c>
      <c r="D1696" t="inlineStr">
        <is>
          <t>VÄSTERBOTTENS LÄN</t>
        </is>
      </c>
      <c r="E1696" t="inlineStr">
        <is>
          <t>SKELLEFTEÅ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60502-2022</t>
        </is>
      </c>
      <c r="B1697" s="1" t="n">
        <v>44911</v>
      </c>
      <c r="C1697" s="1" t="n">
        <v>45760</v>
      </c>
      <c r="D1697" t="inlineStr">
        <is>
          <t>VÄSTERBOTTENS LÄN</t>
        </is>
      </c>
      <c r="E1697" t="inlineStr">
        <is>
          <t>SKELLEFTEÅ</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60524-2022</t>
        </is>
      </c>
      <c r="B1698" s="1" t="n">
        <v>44911</v>
      </c>
      <c r="C1698" s="1" t="n">
        <v>45760</v>
      </c>
      <c r="D1698" t="inlineStr">
        <is>
          <t>VÄSTERBOTTENS LÄN</t>
        </is>
      </c>
      <c r="E1698" t="inlineStr">
        <is>
          <t>SKELLEFTEÅ</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60581-2022</t>
        </is>
      </c>
      <c r="B1699" s="1" t="n">
        <v>44911</v>
      </c>
      <c r="C1699" s="1" t="n">
        <v>45760</v>
      </c>
      <c r="D1699" t="inlineStr">
        <is>
          <t>VÄSTERBOTTENS LÄN</t>
        </is>
      </c>
      <c r="E1699" t="inlineStr">
        <is>
          <t>SKELLEFTEÅ</t>
        </is>
      </c>
      <c r="F1699" t="inlineStr">
        <is>
          <t>Sveaskog</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60655-2022</t>
        </is>
      </c>
      <c r="B1700" s="1" t="n">
        <v>44911</v>
      </c>
      <c r="C1700" s="1" t="n">
        <v>45760</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60506-2022</t>
        </is>
      </c>
      <c r="B1701" s="1" t="n">
        <v>44911</v>
      </c>
      <c r="C1701" s="1" t="n">
        <v>45760</v>
      </c>
      <c r="D1701" t="inlineStr">
        <is>
          <t>VÄSTERBOTTENS LÄN</t>
        </is>
      </c>
      <c r="E1701" t="inlineStr">
        <is>
          <t>SKELLEFTEÅ</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60484-2022</t>
        </is>
      </c>
      <c r="B1702" s="1" t="n">
        <v>44911</v>
      </c>
      <c r="C1702" s="1" t="n">
        <v>45760</v>
      </c>
      <c r="D1702" t="inlineStr">
        <is>
          <t>VÄSTERBOTTENS LÄN</t>
        </is>
      </c>
      <c r="E1702" t="inlineStr">
        <is>
          <t>SKELLEFTEÅ</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60585-2022</t>
        </is>
      </c>
      <c r="B1703" s="1" t="n">
        <v>44911</v>
      </c>
      <c r="C1703" s="1" t="n">
        <v>45760</v>
      </c>
      <c r="D1703" t="inlineStr">
        <is>
          <t>VÄSTERBOTTENS LÄN</t>
        </is>
      </c>
      <c r="E1703" t="inlineStr">
        <is>
          <t>SKELLEFTEÅ</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60590-2022</t>
        </is>
      </c>
      <c r="B1704" s="1" t="n">
        <v>44911</v>
      </c>
      <c r="C1704" s="1" t="n">
        <v>45760</v>
      </c>
      <c r="D1704" t="inlineStr">
        <is>
          <t>VÄSTERBOTTENS LÄN</t>
        </is>
      </c>
      <c r="E1704" t="inlineStr">
        <is>
          <t>SKELLEFTEÅ</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61697-2022</t>
        </is>
      </c>
      <c r="B1705" s="1" t="n">
        <v>44911</v>
      </c>
      <c r="C1705" s="1" t="n">
        <v>45760</v>
      </c>
      <c r="D1705" t="inlineStr">
        <is>
          <t>VÄSTERBOTTENS LÄN</t>
        </is>
      </c>
      <c r="E1705" t="inlineStr">
        <is>
          <t>SKELLEFTEÅ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61700-2022</t>
        </is>
      </c>
      <c r="B1706" s="1" t="n">
        <v>44911</v>
      </c>
      <c r="C1706" s="1" t="n">
        <v>45760</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60787-2022</t>
        </is>
      </c>
      <c r="B1707" s="1" t="n">
        <v>44914</v>
      </c>
      <c r="C1707" s="1" t="n">
        <v>45760</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60853-2022</t>
        </is>
      </c>
      <c r="B1708" s="1" t="n">
        <v>44914</v>
      </c>
      <c r="C1708" s="1" t="n">
        <v>45760</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60858-2022</t>
        </is>
      </c>
      <c r="B1709" s="1" t="n">
        <v>44914</v>
      </c>
      <c r="C1709" s="1" t="n">
        <v>45760</v>
      </c>
      <c r="D1709" t="inlineStr">
        <is>
          <t>VÄSTERBOTTENS LÄN</t>
        </is>
      </c>
      <c r="E1709" t="inlineStr">
        <is>
          <t>SKELLEFTEÅ</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60789-2022</t>
        </is>
      </c>
      <c r="B1710" s="1" t="n">
        <v>44914</v>
      </c>
      <c r="C1710" s="1" t="n">
        <v>45760</v>
      </c>
      <c r="D1710" t="inlineStr">
        <is>
          <t>VÄSTERBOTTENS LÄN</t>
        </is>
      </c>
      <c r="E1710" t="inlineStr">
        <is>
          <t>SKELLEFTEÅ</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62028-2022</t>
        </is>
      </c>
      <c r="B1711" s="1" t="n">
        <v>44914</v>
      </c>
      <c r="C1711" s="1" t="n">
        <v>45760</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62027-2022</t>
        </is>
      </c>
      <c r="B1712" s="1" t="n">
        <v>44914</v>
      </c>
      <c r="C1712" s="1" t="n">
        <v>45760</v>
      </c>
      <c r="D1712" t="inlineStr">
        <is>
          <t>VÄSTERBOTTENS LÄN</t>
        </is>
      </c>
      <c r="E1712" t="inlineStr">
        <is>
          <t>SKELLEFTEÅ</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62025-2022</t>
        </is>
      </c>
      <c r="B1713" s="1" t="n">
        <v>44914</v>
      </c>
      <c r="C1713" s="1" t="n">
        <v>45760</v>
      </c>
      <c r="D1713" t="inlineStr">
        <is>
          <t>VÄSTERBOTTENS LÄN</t>
        </is>
      </c>
      <c r="E1713" t="inlineStr">
        <is>
          <t>SKELLEFTEÅ</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61105-2022</t>
        </is>
      </c>
      <c r="B1714" s="1" t="n">
        <v>44915</v>
      </c>
      <c r="C1714" s="1" t="n">
        <v>45760</v>
      </c>
      <c r="D1714" t="inlineStr">
        <is>
          <t>VÄSTERBOTTENS LÄN</t>
        </is>
      </c>
      <c r="E1714" t="inlineStr">
        <is>
          <t>SKELLEFTEÅ</t>
        </is>
      </c>
      <c r="F1714" t="inlineStr">
        <is>
          <t>Sveaskog</t>
        </is>
      </c>
      <c r="G1714" t="n">
        <v>19.5</v>
      </c>
      <c r="H1714" t="n">
        <v>0</v>
      </c>
      <c r="I1714" t="n">
        <v>0</v>
      </c>
      <c r="J1714" t="n">
        <v>0</v>
      </c>
      <c r="K1714" t="n">
        <v>0</v>
      </c>
      <c r="L1714" t="n">
        <v>0</v>
      </c>
      <c r="M1714" t="n">
        <v>0</v>
      </c>
      <c r="N1714" t="n">
        <v>0</v>
      </c>
      <c r="O1714" t="n">
        <v>0</v>
      </c>
      <c r="P1714" t="n">
        <v>0</v>
      </c>
      <c r="Q1714" t="n">
        <v>0</v>
      </c>
      <c r="R1714" s="2" t="inlineStr"/>
    </row>
    <row r="1715" ht="15" customHeight="1">
      <c r="A1715" t="inlineStr">
        <is>
          <t>A 61101-2022</t>
        </is>
      </c>
      <c r="B1715" s="1" t="n">
        <v>44915</v>
      </c>
      <c r="C1715" s="1" t="n">
        <v>45760</v>
      </c>
      <c r="D1715" t="inlineStr">
        <is>
          <t>VÄSTERBOTTENS LÄN</t>
        </is>
      </c>
      <c r="E1715" t="inlineStr">
        <is>
          <t>SKELLEFTEÅ</t>
        </is>
      </c>
      <c r="F1715" t="inlineStr">
        <is>
          <t>Sveaskog</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61132-2022</t>
        </is>
      </c>
      <c r="B1716" s="1" t="n">
        <v>44915</v>
      </c>
      <c r="C1716" s="1" t="n">
        <v>45760</v>
      </c>
      <c r="D1716" t="inlineStr">
        <is>
          <t>VÄSTERBOTTENS LÄN</t>
        </is>
      </c>
      <c r="E1716" t="inlineStr">
        <is>
          <t>SKELLEFTEÅ</t>
        </is>
      </c>
      <c r="F1716" t="inlineStr">
        <is>
          <t>Sveaskog</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61348-2022</t>
        </is>
      </c>
      <c r="B1717" s="1" t="n">
        <v>44915</v>
      </c>
      <c r="C1717" s="1" t="n">
        <v>45760</v>
      </c>
      <c r="D1717" t="inlineStr">
        <is>
          <t>VÄSTERBOTTENS LÄN</t>
        </is>
      </c>
      <c r="E1717" t="inlineStr">
        <is>
          <t>SKELLEFTEÅ</t>
        </is>
      </c>
      <c r="F1717" t="inlineStr">
        <is>
          <t>Sveaskog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61467-2022</t>
        </is>
      </c>
      <c r="B1718" s="1" t="n">
        <v>44916</v>
      </c>
      <c r="C1718" s="1" t="n">
        <v>45760</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61635-2022</t>
        </is>
      </c>
      <c r="B1719" s="1" t="n">
        <v>44916</v>
      </c>
      <c r="C1719" s="1" t="n">
        <v>45760</v>
      </c>
      <c r="D1719" t="inlineStr">
        <is>
          <t>VÄSTERBOTTENS LÄN</t>
        </is>
      </c>
      <c r="E1719" t="inlineStr">
        <is>
          <t>SKELLEFTEÅ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61634-2022</t>
        </is>
      </c>
      <c r="B1720" s="1" t="n">
        <v>44916</v>
      </c>
      <c r="C1720" s="1" t="n">
        <v>45760</v>
      </c>
      <c r="D1720" t="inlineStr">
        <is>
          <t>VÄSTERBOTTENS LÄN</t>
        </is>
      </c>
      <c r="E1720" t="inlineStr">
        <is>
          <t>SKELLEFTEÅ</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61569-2022</t>
        </is>
      </c>
      <c r="B1721" s="1" t="n">
        <v>44916</v>
      </c>
      <c r="C1721" s="1" t="n">
        <v>45760</v>
      </c>
      <c r="D1721" t="inlineStr">
        <is>
          <t>VÄSTERBOTTENS LÄN</t>
        </is>
      </c>
      <c r="E1721" t="inlineStr">
        <is>
          <t>SKELLEFTEÅ</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61631-2022</t>
        </is>
      </c>
      <c r="B1722" s="1" t="n">
        <v>44916</v>
      </c>
      <c r="C1722" s="1" t="n">
        <v>45760</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62325-2022</t>
        </is>
      </c>
      <c r="B1723" s="1" t="n">
        <v>44916</v>
      </c>
      <c r="C1723" s="1" t="n">
        <v>45760</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62323-2022</t>
        </is>
      </c>
      <c r="B1724" s="1" t="n">
        <v>44916</v>
      </c>
      <c r="C1724" s="1" t="n">
        <v>45760</v>
      </c>
      <c r="D1724" t="inlineStr">
        <is>
          <t>VÄSTERBOTTENS LÄN</t>
        </is>
      </c>
      <c r="E1724" t="inlineStr">
        <is>
          <t>SKELLEFTEÅ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62536-2022</t>
        </is>
      </c>
      <c r="B1725" s="1" t="n">
        <v>44917</v>
      </c>
      <c r="C1725" s="1" t="n">
        <v>45760</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121-2023</t>
        </is>
      </c>
      <c r="B1726" s="1" t="n">
        <v>44918</v>
      </c>
      <c r="C1726" s="1" t="n">
        <v>45760</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62249-2022</t>
        </is>
      </c>
      <c r="B1727" s="1" t="n">
        <v>44922</v>
      </c>
      <c r="C1727" s="1" t="n">
        <v>45760</v>
      </c>
      <c r="D1727" t="inlineStr">
        <is>
          <t>VÄSTERBOTTENS LÄN</t>
        </is>
      </c>
      <c r="E1727" t="inlineStr">
        <is>
          <t>SKELLEFTEÅ</t>
        </is>
      </c>
      <c r="G1727" t="n">
        <v>18.2</v>
      </c>
      <c r="H1727" t="n">
        <v>0</v>
      </c>
      <c r="I1727" t="n">
        <v>0</v>
      </c>
      <c r="J1727" t="n">
        <v>0</v>
      </c>
      <c r="K1727" t="n">
        <v>0</v>
      </c>
      <c r="L1727" t="n">
        <v>0</v>
      </c>
      <c r="M1727" t="n">
        <v>0</v>
      </c>
      <c r="N1727" t="n">
        <v>0</v>
      </c>
      <c r="O1727" t="n">
        <v>0</v>
      </c>
      <c r="P1727" t="n">
        <v>0</v>
      </c>
      <c r="Q1727" t="n">
        <v>0</v>
      </c>
      <c r="R1727" s="2" t="inlineStr"/>
    </row>
    <row r="1728" ht="15" customHeight="1">
      <c r="A1728" t="inlineStr">
        <is>
          <t>A 62279-2022</t>
        </is>
      </c>
      <c r="B1728" s="1" t="n">
        <v>44923</v>
      </c>
      <c r="C1728" s="1" t="n">
        <v>45760</v>
      </c>
      <c r="D1728" t="inlineStr">
        <is>
          <t>VÄSTERBOTTENS LÄN</t>
        </is>
      </c>
      <c r="E1728" t="inlineStr">
        <is>
          <t>SKELLEFTEÅ</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62284-2022</t>
        </is>
      </c>
      <c r="B1729" s="1" t="n">
        <v>44923</v>
      </c>
      <c r="C1729" s="1" t="n">
        <v>45760</v>
      </c>
      <c r="D1729" t="inlineStr">
        <is>
          <t>VÄSTERBOTTENS LÄN</t>
        </is>
      </c>
      <c r="E1729" t="inlineStr">
        <is>
          <t>SKELLEFTEÅ</t>
        </is>
      </c>
      <c r="F1729" t="inlineStr">
        <is>
          <t>Sveaskog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62308-2022</t>
        </is>
      </c>
      <c r="B1730" s="1" t="n">
        <v>44923</v>
      </c>
      <c r="C1730" s="1" t="n">
        <v>45760</v>
      </c>
      <c r="D1730" t="inlineStr">
        <is>
          <t>VÄSTERBOTTENS LÄN</t>
        </is>
      </c>
      <c r="E1730" t="inlineStr">
        <is>
          <t>SKELLEFTEÅ</t>
        </is>
      </c>
      <c r="F1730" t="inlineStr">
        <is>
          <t>Sveaskog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62319-2022</t>
        </is>
      </c>
      <c r="B1731" s="1" t="n">
        <v>44923</v>
      </c>
      <c r="C1731" s="1" t="n">
        <v>45760</v>
      </c>
      <c r="D1731" t="inlineStr">
        <is>
          <t>VÄSTERBOTTENS LÄN</t>
        </is>
      </c>
      <c r="E1731" t="inlineStr">
        <is>
          <t>SKELLEFTEÅ</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62483-2022</t>
        </is>
      </c>
      <c r="B1732" s="1" t="n">
        <v>44924</v>
      </c>
      <c r="C1732" s="1" t="n">
        <v>45760</v>
      </c>
      <c r="D1732" t="inlineStr">
        <is>
          <t>VÄSTERBOTTENS LÄN</t>
        </is>
      </c>
      <c r="E1732" t="inlineStr">
        <is>
          <t>SKELLEFTEÅ</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62577-2022</t>
        </is>
      </c>
      <c r="B1733" s="1" t="n">
        <v>44924</v>
      </c>
      <c r="C1733" s="1" t="n">
        <v>45760</v>
      </c>
      <c r="D1733" t="inlineStr">
        <is>
          <t>VÄSTERBOTTENS LÄN</t>
        </is>
      </c>
      <c r="E1733" t="inlineStr">
        <is>
          <t>SKELLEFTEÅ</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62642-2022</t>
        </is>
      </c>
      <c r="B1734" s="1" t="n">
        <v>44925</v>
      </c>
      <c r="C1734" s="1" t="n">
        <v>45760</v>
      </c>
      <c r="D1734" t="inlineStr">
        <is>
          <t>VÄSTERBOTTENS LÄN</t>
        </is>
      </c>
      <c r="E1734" t="inlineStr">
        <is>
          <t>SKELLEFTEÅ</t>
        </is>
      </c>
      <c r="F1734" t="inlineStr">
        <is>
          <t>Holmen skog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531-2023</t>
        </is>
      </c>
      <c r="B1735" s="1" t="n">
        <v>44925</v>
      </c>
      <c r="C1735" s="1" t="n">
        <v>45760</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639-2023</t>
        </is>
      </c>
      <c r="B1736" s="1" t="n">
        <v>44928</v>
      </c>
      <c r="C1736" s="1" t="n">
        <v>45760</v>
      </c>
      <c r="D1736" t="inlineStr">
        <is>
          <t>VÄSTERBOTTENS LÄN</t>
        </is>
      </c>
      <c r="E1736" t="inlineStr">
        <is>
          <t>SKELLEFTEÅ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640-2023</t>
        </is>
      </c>
      <c r="B1737" s="1" t="n">
        <v>44928</v>
      </c>
      <c r="C1737" s="1" t="n">
        <v>45760</v>
      </c>
      <c r="D1737" t="inlineStr">
        <is>
          <t>VÄSTERBOTTENS LÄN</t>
        </is>
      </c>
      <c r="E1737" t="inlineStr">
        <is>
          <t>SKELLEFTEÅ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1076-2023</t>
        </is>
      </c>
      <c r="B1738" s="1" t="n">
        <v>44929</v>
      </c>
      <c r="C1738" s="1" t="n">
        <v>45760</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547-2023</t>
        </is>
      </c>
      <c r="B1739" s="1" t="n">
        <v>44930</v>
      </c>
      <c r="C1739" s="1" t="n">
        <v>45760</v>
      </c>
      <c r="D1739" t="inlineStr">
        <is>
          <t>VÄSTERBOTTENS LÄN</t>
        </is>
      </c>
      <c r="E1739" t="inlineStr">
        <is>
          <t>SKELLEFTEÅ</t>
        </is>
      </c>
      <c r="F1739" t="inlineStr">
        <is>
          <t>Holmen skog AB</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589-2023</t>
        </is>
      </c>
      <c r="B1740" s="1" t="n">
        <v>44930</v>
      </c>
      <c r="C1740" s="1" t="n">
        <v>45760</v>
      </c>
      <c r="D1740" t="inlineStr">
        <is>
          <t>VÄSTERBOTTENS LÄN</t>
        </is>
      </c>
      <c r="E1740" t="inlineStr">
        <is>
          <t>SKELLEFTEÅ</t>
        </is>
      </c>
      <c r="F1740" t="inlineStr">
        <is>
          <t>Holmen skog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703-2023</t>
        </is>
      </c>
      <c r="B1741" s="1" t="n">
        <v>44930</v>
      </c>
      <c r="C1741" s="1" t="n">
        <v>45760</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707-2023</t>
        </is>
      </c>
      <c r="B1742" s="1" t="n">
        <v>44930</v>
      </c>
      <c r="C1742" s="1" t="n">
        <v>45760</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702-2023</t>
        </is>
      </c>
      <c r="B1743" s="1" t="n">
        <v>44930</v>
      </c>
      <c r="C1743" s="1" t="n">
        <v>45760</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706-2023</t>
        </is>
      </c>
      <c r="B1744" s="1" t="n">
        <v>44930</v>
      </c>
      <c r="C1744" s="1" t="n">
        <v>45760</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1206-2023</t>
        </is>
      </c>
      <c r="B1745" s="1" t="n">
        <v>44930</v>
      </c>
      <c r="C1745" s="1" t="n">
        <v>45760</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911-2023</t>
        </is>
      </c>
      <c r="B1746" s="1" t="n">
        <v>44931</v>
      </c>
      <c r="C1746" s="1" t="n">
        <v>45760</v>
      </c>
      <c r="D1746" t="inlineStr">
        <is>
          <t>VÄSTERBOTTENS LÄN</t>
        </is>
      </c>
      <c r="E1746" t="inlineStr">
        <is>
          <t>SKELLEFTEÅ</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900-2023</t>
        </is>
      </c>
      <c r="B1747" s="1" t="n">
        <v>44931</v>
      </c>
      <c r="C1747" s="1" t="n">
        <v>45760</v>
      </c>
      <c r="D1747" t="inlineStr">
        <is>
          <t>VÄSTERBOTTENS LÄN</t>
        </is>
      </c>
      <c r="E1747" t="inlineStr">
        <is>
          <t>SKELLEFTEÅ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904-2023</t>
        </is>
      </c>
      <c r="B1748" s="1" t="n">
        <v>44931</v>
      </c>
      <c r="C1748" s="1" t="n">
        <v>45760</v>
      </c>
      <c r="D1748" t="inlineStr">
        <is>
          <t>VÄSTERBOTTENS LÄN</t>
        </is>
      </c>
      <c r="E1748" t="inlineStr">
        <is>
          <t>SKELLEFTEÅ</t>
        </is>
      </c>
      <c r="G1748" t="n">
        <v>22.2</v>
      </c>
      <c r="H1748" t="n">
        <v>0</v>
      </c>
      <c r="I1748" t="n">
        <v>0</v>
      </c>
      <c r="J1748" t="n">
        <v>0</v>
      </c>
      <c r="K1748" t="n">
        <v>0</v>
      </c>
      <c r="L1748" t="n">
        <v>0</v>
      </c>
      <c r="M1748" t="n">
        <v>0</v>
      </c>
      <c r="N1748" t="n">
        <v>0</v>
      </c>
      <c r="O1748" t="n">
        <v>0</v>
      </c>
      <c r="P1748" t="n">
        <v>0</v>
      </c>
      <c r="Q1748" t="n">
        <v>0</v>
      </c>
      <c r="R1748" s="2" t="inlineStr"/>
    </row>
    <row r="1749" ht="15" customHeight="1">
      <c r="A1749" t="inlineStr">
        <is>
          <t>A 913-2023</t>
        </is>
      </c>
      <c r="B1749" s="1" t="n">
        <v>44931</v>
      </c>
      <c r="C1749" s="1" t="n">
        <v>45760</v>
      </c>
      <c r="D1749" t="inlineStr">
        <is>
          <t>VÄSTERBOTTENS LÄN</t>
        </is>
      </c>
      <c r="E1749" t="inlineStr">
        <is>
          <t>SKELLEFTEÅ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909-2023</t>
        </is>
      </c>
      <c r="B1750" s="1" t="n">
        <v>44931</v>
      </c>
      <c r="C1750" s="1" t="n">
        <v>45760</v>
      </c>
      <c r="D1750" t="inlineStr">
        <is>
          <t>VÄSTERBOTTENS LÄN</t>
        </is>
      </c>
      <c r="E1750" t="inlineStr">
        <is>
          <t>SKELLEFTEÅ</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903-2023</t>
        </is>
      </c>
      <c r="B1751" s="1" t="n">
        <v>44931</v>
      </c>
      <c r="C1751" s="1" t="n">
        <v>45760</v>
      </c>
      <c r="D1751" t="inlineStr">
        <is>
          <t>VÄSTERBOTTENS LÄN</t>
        </is>
      </c>
      <c r="E1751" t="inlineStr">
        <is>
          <t>SKELLEFTEÅ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1113-2023</t>
        </is>
      </c>
      <c r="B1752" s="1" t="n">
        <v>44935</v>
      </c>
      <c r="C1752" s="1" t="n">
        <v>45760</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1134-2023</t>
        </is>
      </c>
      <c r="B1753" s="1" t="n">
        <v>44935</v>
      </c>
      <c r="C1753" s="1" t="n">
        <v>45760</v>
      </c>
      <c r="D1753" t="inlineStr">
        <is>
          <t>VÄSTERBOTTENS LÄN</t>
        </is>
      </c>
      <c r="E1753" t="inlineStr">
        <is>
          <t>SKELLEFTEÅ</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1111-2023</t>
        </is>
      </c>
      <c r="B1754" s="1" t="n">
        <v>44935</v>
      </c>
      <c r="C1754" s="1" t="n">
        <v>45760</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1612-2023</t>
        </is>
      </c>
      <c r="B1755" s="1" t="n">
        <v>44935</v>
      </c>
      <c r="C1755" s="1" t="n">
        <v>45760</v>
      </c>
      <c r="D1755" t="inlineStr">
        <is>
          <t>VÄSTERBOTTENS LÄN</t>
        </is>
      </c>
      <c r="E1755" t="inlineStr">
        <is>
          <t>SKELLEFTEÅ</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1528-2023</t>
        </is>
      </c>
      <c r="B1756" s="1" t="n">
        <v>44935</v>
      </c>
      <c r="C1756" s="1" t="n">
        <v>45760</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1419-2023</t>
        </is>
      </c>
      <c r="B1757" s="1" t="n">
        <v>44936</v>
      </c>
      <c r="C1757" s="1" t="n">
        <v>45760</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1639-2023</t>
        </is>
      </c>
      <c r="B1758" s="1" t="n">
        <v>44937</v>
      </c>
      <c r="C1758" s="1" t="n">
        <v>45760</v>
      </c>
      <c r="D1758" t="inlineStr">
        <is>
          <t>VÄSTERBOTTENS LÄN</t>
        </is>
      </c>
      <c r="E1758" t="inlineStr">
        <is>
          <t>SKELLEFTEÅ</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1640-2023</t>
        </is>
      </c>
      <c r="B1759" s="1" t="n">
        <v>44937</v>
      </c>
      <c r="C1759" s="1" t="n">
        <v>45760</v>
      </c>
      <c r="D1759" t="inlineStr">
        <is>
          <t>VÄSTERBOTTENS LÄN</t>
        </is>
      </c>
      <c r="E1759" t="inlineStr">
        <is>
          <t>SKELLEFTEÅ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1978-2023</t>
        </is>
      </c>
      <c r="B1760" s="1" t="n">
        <v>44937</v>
      </c>
      <c r="C1760" s="1" t="n">
        <v>45760</v>
      </c>
      <c r="D1760" t="inlineStr">
        <is>
          <t>VÄSTERBOTTENS LÄN</t>
        </is>
      </c>
      <c r="E1760" t="inlineStr">
        <is>
          <t>SKELLEFTEÅ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1988-2023</t>
        </is>
      </c>
      <c r="B1761" s="1" t="n">
        <v>44937</v>
      </c>
      <c r="C1761" s="1" t="n">
        <v>45760</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1666-2023</t>
        </is>
      </c>
      <c r="B1762" s="1" t="n">
        <v>44938</v>
      </c>
      <c r="C1762" s="1" t="n">
        <v>45760</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1858-2023</t>
        </is>
      </c>
      <c r="B1763" s="1" t="n">
        <v>44938</v>
      </c>
      <c r="C1763" s="1" t="n">
        <v>45760</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1933-2023</t>
        </is>
      </c>
      <c r="B1764" s="1" t="n">
        <v>44938</v>
      </c>
      <c r="C1764" s="1" t="n">
        <v>45760</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1853-2023</t>
        </is>
      </c>
      <c r="B1765" s="1" t="n">
        <v>44938</v>
      </c>
      <c r="C1765" s="1" t="n">
        <v>45760</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1859-2023</t>
        </is>
      </c>
      <c r="B1766" s="1" t="n">
        <v>44938</v>
      </c>
      <c r="C1766" s="1" t="n">
        <v>45760</v>
      </c>
      <c r="D1766" t="inlineStr">
        <is>
          <t>VÄSTERBOTTENS LÄN</t>
        </is>
      </c>
      <c r="E1766" t="inlineStr">
        <is>
          <t>SKELLEFTEÅ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1854-2023</t>
        </is>
      </c>
      <c r="B1767" s="1" t="n">
        <v>44938</v>
      </c>
      <c r="C1767" s="1" t="n">
        <v>45760</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1860-2023</t>
        </is>
      </c>
      <c r="B1768" s="1" t="n">
        <v>44938</v>
      </c>
      <c r="C1768" s="1" t="n">
        <v>45760</v>
      </c>
      <c r="D1768" t="inlineStr">
        <is>
          <t>VÄSTERBOTTENS LÄN</t>
        </is>
      </c>
      <c r="E1768" t="inlineStr">
        <is>
          <t>SKELLEFTEÅ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1942-2023</t>
        </is>
      </c>
      <c r="B1769" s="1" t="n">
        <v>44938</v>
      </c>
      <c r="C1769" s="1" t="n">
        <v>45760</v>
      </c>
      <c r="D1769" t="inlineStr">
        <is>
          <t>VÄSTERBOTTENS LÄN</t>
        </is>
      </c>
      <c r="E1769" t="inlineStr">
        <is>
          <t>SKELLEFTEÅ</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2112-2023</t>
        </is>
      </c>
      <c r="B1770" s="1" t="n">
        <v>44939</v>
      </c>
      <c r="C1770" s="1" t="n">
        <v>45760</v>
      </c>
      <c r="D1770" t="inlineStr">
        <is>
          <t>VÄSTERBOTTENS LÄN</t>
        </is>
      </c>
      <c r="E1770" t="inlineStr">
        <is>
          <t>SKELLEFTEÅ</t>
        </is>
      </c>
      <c r="G1770" t="n">
        <v>14.7</v>
      </c>
      <c r="H1770" t="n">
        <v>0</v>
      </c>
      <c r="I1770" t="n">
        <v>0</v>
      </c>
      <c r="J1770" t="n">
        <v>0</v>
      </c>
      <c r="K1770" t="n">
        <v>0</v>
      </c>
      <c r="L1770" t="n">
        <v>0</v>
      </c>
      <c r="M1770" t="n">
        <v>0</v>
      </c>
      <c r="N1770" t="n">
        <v>0</v>
      </c>
      <c r="O1770" t="n">
        <v>0</v>
      </c>
      <c r="P1770" t="n">
        <v>0</v>
      </c>
      <c r="Q1770" t="n">
        <v>0</v>
      </c>
      <c r="R1770" s="2" t="inlineStr"/>
    </row>
    <row r="1771" ht="15" customHeight="1">
      <c r="A1771" t="inlineStr">
        <is>
          <t>A 2177-2023</t>
        </is>
      </c>
      <c r="B1771" s="1" t="n">
        <v>44942</v>
      </c>
      <c r="C1771" s="1" t="n">
        <v>45760</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2336-2023</t>
        </is>
      </c>
      <c r="B1772" s="1" t="n">
        <v>44942</v>
      </c>
      <c r="C1772" s="1" t="n">
        <v>45760</v>
      </c>
      <c r="D1772" t="inlineStr">
        <is>
          <t>VÄSTERBOTTENS LÄN</t>
        </is>
      </c>
      <c r="E1772" t="inlineStr">
        <is>
          <t>SKELLEFTEÅ</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2395-2023</t>
        </is>
      </c>
      <c r="B1773" s="1" t="n">
        <v>44942</v>
      </c>
      <c r="C1773" s="1" t="n">
        <v>45760</v>
      </c>
      <c r="D1773" t="inlineStr">
        <is>
          <t>VÄSTERBOTTENS LÄN</t>
        </is>
      </c>
      <c r="E1773" t="inlineStr">
        <is>
          <t>SKELLEFTEÅ</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2393-2023</t>
        </is>
      </c>
      <c r="B1774" s="1" t="n">
        <v>44942</v>
      </c>
      <c r="C1774" s="1" t="n">
        <v>45760</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2439-2023</t>
        </is>
      </c>
      <c r="B1775" s="1" t="n">
        <v>44942</v>
      </c>
      <c r="C1775" s="1" t="n">
        <v>45760</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2718-2023</t>
        </is>
      </c>
      <c r="B1776" s="1" t="n">
        <v>44942</v>
      </c>
      <c r="C1776" s="1" t="n">
        <v>45760</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2496-2023</t>
        </is>
      </c>
      <c r="B1777" s="1" t="n">
        <v>44943</v>
      </c>
      <c r="C1777" s="1" t="n">
        <v>45760</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2444-2023</t>
        </is>
      </c>
      <c r="B1778" s="1" t="n">
        <v>44943</v>
      </c>
      <c r="C1778" s="1" t="n">
        <v>45760</v>
      </c>
      <c r="D1778" t="inlineStr">
        <is>
          <t>VÄSTERBOTTENS LÄN</t>
        </is>
      </c>
      <c r="E1778" t="inlineStr">
        <is>
          <t>SKELLEFTEÅ</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2720-2023</t>
        </is>
      </c>
      <c r="B1779" s="1" t="n">
        <v>44944</v>
      </c>
      <c r="C1779" s="1" t="n">
        <v>45760</v>
      </c>
      <c r="D1779" t="inlineStr">
        <is>
          <t>VÄSTERBOTTENS LÄN</t>
        </is>
      </c>
      <c r="E1779" t="inlineStr">
        <is>
          <t>SKELLEFTEÅ</t>
        </is>
      </c>
      <c r="G1779" t="n">
        <v>31.7</v>
      </c>
      <c r="H1779" t="n">
        <v>0</v>
      </c>
      <c r="I1779" t="n">
        <v>0</v>
      </c>
      <c r="J1779" t="n">
        <v>0</v>
      </c>
      <c r="K1779" t="n">
        <v>0</v>
      </c>
      <c r="L1779" t="n">
        <v>0</v>
      </c>
      <c r="M1779" t="n">
        <v>0</v>
      </c>
      <c r="N1779" t="n">
        <v>0</v>
      </c>
      <c r="O1779" t="n">
        <v>0</v>
      </c>
      <c r="P1779" t="n">
        <v>0</v>
      </c>
      <c r="Q1779" t="n">
        <v>0</v>
      </c>
      <c r="R1779" s="2" t="inlineStr"/>
    </row>
    <row r="1780" ht="15" customHeight="1">
      <c r="A1780" t="inlineStr">
        <is>
          <t>A 2895-2023</t>
        </is>
      </c>
      <c r="B1780" s="1" t="n">
        <v>44945</v>
      </c>
      <c r="C1780" s="1" t="n">
        <v>45760</v>
      </c>
      <c r="D1780" t="inlineStr">
        <is>
          <t>VÄSTERBOTTENS LÄN</t>
        </is>
      </c>
      <c r="E1780" t="inlineStr">
        <is>
          <t>SKELLEFTEÅ</t>
        </is>
      </c>
      <c r="F1780" t="inlineStr">
        <is>
          <t>Sveaskog</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3277-2023</t>
        </is>
      </c>
      <c r="B1781" s="1" t="n">
        <v>44945</v>
      </c>
      <c r="C1781" s="1" t="n">
        <v>45760</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3603-2023</t>
        </is>
      </c>
      <c r="B1782" s="1" t="n">
        <v>44946</v>
      </c>
      <c r="C1782" s="1" t="n">
        <v>45760</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3600-2023</t>
        </is>
      </c>
      <c r="B1783" s="1" t="n">
        <v>44946</v>
      </c>
      <c r="C1783" s="1" t="n">
        <v>45760</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3852-2023</t>
        </is>
      </c>
      <c r="B1784" s="1" t="n">
        <v>44950</v>
      </c>
      <c r="C1784" s="1" t="n">
        <v>45760</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3848-2023</t>
        </is>
      </c>
      <c r="B1785" s="1" t="n">
        <v>44950</v>
      </c>
      <c r="C1785" s="1" t="n">
        <v>45760</v>
      </c>
      <c r="D1785" t="inlineStr">
        <is>
          <t>VÄSTERBOTTENS LÄN</t>
        </is>
      </c>
      <c r="E1785" t="inlineStr">
        <is>
          <t>SKELLEFTEÅ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3744-2023</t>
        </is>
      </c>
      <c r="B1786" s="1" t="n">
        <v>44951</v>
      </c>
      <c r="C1786" s="1" t="n">
        <v>45760</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4447-2023</t>
        </is>
      </c>
      <c r="B1787" s="1" t="n">
        <v>44951</v>
      </c>
      <c r="C1787" s="1" t="n">
        <v>45760</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4104-2023</t>
        </is>
      </c>
      <c r="B1788" s="1" t="n">
        <v>44952</v>
      </c>
      <c r="C1788" s="1" t="n">
        <v>45760</v>
      </c>
      <c r="D1788" t="inlineStr">
        <is>
          <t>VÄSTERBOTTENS LÄN</t>
        </is>
      </c>
      <c r="E1788" t="inlineStr">
        <is>
          <t>SKELLEFTEÅ</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4031-2023</t>
        </is>
      </c>
      <c r="B1789" s="1" t="n">
        <v>44952</v>
      </c>
      <c r="C1789" s="1" t="n">
        <v>45760</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4102-2023</t>
        </is>
      </c>
      <c r="B1790" s="1" t="n">
        <v>44952</v>
      </c>
      <c r="C1790" s="1" t="n">
        <v>45760</v>
      </c>
      <c r="D1790" t="inlineStr">
        <is>
          <t>VÄSTERBOTTENS LÄN</t>
        </is>
      </c>
      <c r="E1790" t="inlineStr">
        <is>
          <t>SKELLEFTEÅ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4458-2023</t>
        </is>
      </c>
      <c r="B1791" s="1" t="n">
        <v>44952</v>
      </c>
      <c r="C1791" s="1" t="n">
        <v>45760</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4453-2023</t>
        </is>
      </c>
      <c r="B1792" s="1" t="n">
        <v>44956</v>
      </c>
      <c r="C1792" s="1" t="n">
        <v>45760</v>
      </c>
      <c r="D1792" t="inlineStr">
        <is>
          <t>VÄSTERBOTTENS LÄN</t>
        </is>
      </c>
      <c r="E1792" t="inlineStr">
        <is>
          <t>SKELLEFTEÅ</t>
        </is>
      </c>
      <c r="F1792" t="inlineStr">
        <is>
          <t>Holmen skog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4930-2023</t>
        </is>
      </c>
      <c r="B1793" s="1" t="n">
        <v>44956</v>
      </c>
      <c r="C1793" s="1" t="n">
        <v>45760</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4948-2023</t>
        </is>
      </c>
      <c r="B1794" s="1" t="n">
        <v>44956</v>
      </c>
      <c r="C1794" s="1" t="n">
        <v>45760</v>
      </c>
      <c r="D1794" t="inlineStr">
        <is>
          <t>VÄSTERBOTTENS LÄN</t>
        </is>
      </c>
      <c r="E1794" t="inlineStr">
        <is>
          <t>SKELLEFTEÅ</t>
        </is>
      </c>
      <c r="G1794" t="n">
        <v>21.1</v>
      </c>
      <c r="H1794" t="n">
        <v>0</v>
      </c>
      <c r="I1794" t="n">
        <v>0</v>
      </c>
      <c r="J1794" t="n">
        <v>0</v>
      </c>
      <c r="K1794" t="n">
        <v>0</v>
      </c>
      <c r="L1794" t="n">
        <v>0</v>
      </c>
      <c r="M1794" t="n">
        <v>0</v>
      </c>
      <c r="N1794" t="n">
        <v>0</v>
      </c>
      <c r="O1794" t="n">
        <v>0</v>
      </c>
      <c r="P1794" t="n">
        <v>0</v>
      </c>
      <c r="Q1794" t="n">
        <v>0</v>
      </c>
      <c r="R1794" s="2" t="inlineStr"/>
    </row>
    <row r="1795" ht="15" customHeight="1">
      <c r="A1795" t="inlineStr">
        <is>
          <t>A 4938-2023</t>
        </is>
      </c>
      <c r="B1795" s="1" t="n">
        <v>44956</v>
      </c>
      <c r="C1795" s="1" t="n">
        <v>45760</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4943-2023</t>
        </is>
      </c>
      <c r="B1796" s="1" t="n">
        <v>44956</v>
      </c>
      <c r="C1796" s="1" t="n">
        <v>45760</v>
      </c>
      <c r="D1796" t="inlineStr">
        <is>
          <t>VÄSTERBOTTENS LÄN</t>
        </is>
      </c>
      <c r="E1796" t="inlineStr">
        <is>
          <t>SKELLEFTEÅ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4710-2023</t>
        </is>
      </c>
      <c r="B1797" s="1" t="n">
        <v>44957</v>
      </c>
      <c r="C1797" s="1" t="n">
        <v>45760</v>
      </c>
      <c r="D1797" t="inlineStr">
        <is>
          <t>VÄSTERBOTTENS LÄN</t>
        </is>
      </c>
      <c r="E1797" t="inlineStr">
        <is>
          <t>SKELLEFTEÅ</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5416-2023</t>
        </is>
      </c>
      <c r="B1798" s="1" t="n">
        <v>44957</v>
      </c>
      <c r="C1798" s="1" t="n">
        <v>45760</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5481-2023</t>
        </is>
      </c>
      <c r="B1799" s="1" t="n">
        <v>44957</v>
      </c>
      <c r="C1799" s="1" t="n">
        <v>45760</v>
      </c>
      <c r="D1799" t="inlineStr">
        <is>
          <t>VÄSTERBOTTENS LÄN</t>
        </is>
      </c>
      <c r="E1799" t="inlineStr">
        <is>
          <t>SKELLEFTEÅ</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5495-2023</t>
        </is>
      </c>
      <c r="B1800" s="1" t="n">
        <v>44957</v>
      </c>
      <c r="C1800" s="1" t="n">
        <v>45760</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5515-2023</t>
        </is>
      </c>
      <c r="B1801" s="1" t="n">
        <v>44957</v>
      </c>
      <c r="C1801" s="1" t="n">
        <v>45760</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5490-2023</t>
        </is>
      </c>
      <c r="B1802" s="1" t="n">
        <v>44957</v>
      </c>
      <c r="C1802" s="1" t="n">
        <v>45760</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5373-2023</t>
        </is>
      </c>
      <c r="B1803" s="1" t="n">
        <v>44957</v>
      </c>
      <c r="C1803" s="1" t="n">
        <v>45760</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5973-2023</t>
        </is>
      </c>
      <c r="B1804" s="1" t="n">
        <v>44959</v>
      </c>
      <c r="C1804" s="1" t="n">
        <v>45760</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5996-2023</t>
        </is>
      </c>
      <c r="B1805" s="1" t="n">
        <v>44959</v>
      </c>
      <c r="C1805" s="1" t="n">
        <v>45760</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6016-2023</t>
        </is>
      </c>
      <c r="B1806" s="1" t="n">
        <v>44959</v>
      </c>
      <c r="C1806" s="1" t="n">
        <v>45760</v>
      </c>
      <c r="D1806" t="inlineStr">
        <is>
          <t>VÄSTERBOTTENS LÄN</t>
        </is>
      </c>
      <c r="E1806" t="inlineStr">
        <is>
          <t>SKELLEFTEÅ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5986-2023</t>
        </is>
      </c>
      <c r="B1807" s="1" t="n">
        <v>44959</v>
      </c>
      <c r="C1807" s="1" t="n">
        <v>45760</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5991-2023</t>
        </is>
      </c>
      <c r="B1808" s="1" t="n">
        <v>44959</v>
      </c>
      <c r="C1808" s="1" t="n">
        <v>45760</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6012-2023</t>
        </is>
      </c>
      <c r="B1809" s="1" t="n">
        <v>44959</v>
      </c>
      <c r="C1809" s="1" t="n">
        <v>45760</v>
      </c>
      <c r="D1809" t="inlineStr">
        <is>
          <t>VÄSTERBOTTENS LÄN</t>
        </is>
      </c>
      <c r="E1809" t="inlineStr">
        <is>
          <t>SKELLEFTEÅ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5687-2023</t>
        </is>
      </c>
      <c r="B1810" s="1" t="n">
        <v>44960</v>
      </c>
      <c r="C1810" s="1" t="n">
        <v>45760</v>
      </c>
      <c r="D1810" t="inlineStr">
        <is>
          <t>VÄSTERBOTTENS LÄN</t>
        </is>
      </c>
      <c r="E1810" t="inlineStr">
        <is>
          <t>SKELLEFTEÅ</t>
        </is>
      </c>
      <c r="F1810" t="inlineStr">
        <is>
          <t>Sveaskog</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5470-2023</t>
        </is>
      </c>
      <c r="B1811" s="1" t="n">
        <v>44960</v>
      </c>
      <c r="C1811" s="1" t="n">
        <v>45760</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5541-2023</t>
        </is>
      </c>
      <c r="B1812" s="1" t="n">
        <v>44960</v>
      </c>
      <c r="C1812" s="1" t="n">
        <v>45760</v>
      </c>
      <c r="D1812" t="inlineStr">
        <is>
          <t>VÄSTERBOTTENS LÄN</t>
        </is>
      </c>
      <c r="E1812" t="inlineStr">
        <is>
          <t>SKELLEFTEÅ</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5602-2023</t>
        </is>
      </c>
      <c r="B1813" s="1" t="n">
        <v>44960</v>
      </c>
      <c r="C1813" s="1" t="n">
        <v>45760</v>
      </c>
      <c r="D1813" t="inlineStr">
        <is>
          <t>VÄSTERBOTTENS LÄN</t>
        </is>
      </c>
      <c r="E1813" t="inlineStr">
        <is>
          <t>SKELLEFTEÅ</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5740-2023</t>
        </is>
      </c>
      <c r="B1814" s="1" t="n">
        <v>44962</v>
      </c>
      <c r="C1814" s="1" t="n">
        <v>45760</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5744-2023</t>
        </is>
      </c>
      <c r="B1815" s="1" t="n">
        <v>44962</v>
      </c>
      <c r="C1815" s="1" t="n">
        <v>45760</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5743-2023</t>
        </is>
      </c>
      <c r="B1816" s="1" t="n">
        <v>44962</v>
      </c>
      <c r="C1816" s="1" t="n">
        <v>45760</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5929-2023</t>
        </is>
      </c>
      <c r="B1817" s="1" t="n">
        <v>44963</v>
      </c>
      <c r="C1817" s="1" t="n">
        <v>45760</v>
      </c>
      <c r="D1817" t="inlineStr">
        <is>
          <t>VÄSTERBOTTENS LÄN</t>
        </is>
      </c>
      <c r="E1817" t="inlineStr">
        <is>
          <t>SKELLEFTEÅ</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5959-2023</t>
        </is>
      </c>
      <c r="B1818" s="1" t="n">
        <v>44963</v>
      </c>
      <c r="C1818" s="1" t="n">
        <v>45760</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6596-2023</t>
        </is>
      </c>
      <c r="B1819" s="1" t="n">
        <v>44963</v>
      </c>
      <c r="C1819" s="1" t="n">
        <v>45760</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6656-2023</t>
        </is>
      </c>
      <c r="B1820" s="1" t="n">
        <v>44963</v>
      </c>
      <c r="C1820" s="1" t="n">
        <v>45760</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5965-2023</t>
        </is>
      </c>
      <c r="B1821" s="1" t="n">
        <v>44964</v>
      </c>
      <c r="C1821" s="1" t="n">
        <v>45760</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6441-2023</t>
        </is>
      </c>
      <c r="B1822" s="1" t="n">
        <v>44965</v>
      </c>
      <c r="C1822" s="1" t="n">
        <v>45760</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6443-2023</t>
        </is>
      </c>
      <c r="B1823" s="1" t="n">
        <v>44965</v>
      </c>
      <c r="C1823" s="1" t="n">
        <v>45760</v>
      </c>
      <c r="D1823" t="inlineStr">
        <is>
          <t>VÄSTERBOTTENS LÄN</t>
        </is>
      </c>
      <c r="E1823" t="inlineStr">
        <is>
          <t>SKELLEFTEÅ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6442-2023</t>
        </is>
      </c>
      <c r="B1824" s="1" t="n">
        <v>44965</v>
      </c>
      <c r="C1824" s="1" t="n">
        <v>45760</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6450-2023</t>
        </is>
      </c>
      <c r="B1825" s="1" t="n">
        <v>44965</v>
      </c>
      <c r="C1825" s="1" t="n">
        <v>45760</v>
      </c>
      <c r="D1825" t="inlineStr">
        <is>
          <t>VÄSTERBOTTENS LÄN</t>
        </is>
      </c>
      <c r="E1825" t="inlineStr">
        <is>
          <t>SKELLEFTEÅ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6511-2023</t>
        </is>
      </c>
      <c r="B1826" s="1" t="n">
        <v>44966</v>
      </c>
      <c r="C1826" s="1" t="n">
        <v>45760</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7023-2023</t>
        </is>
      </c>
      <c r="B1827" s="1" t="n">
        <v>44968</v>
      </c>
      <c r="C1827" s="1" t="n">
        <v>45760</v>
      </c>
      <c r="D1827" t="inlineStr">
        <is>
          <t>VÄSTERBOTTENS LÄN</t>
        </is>
      </c>
      <c r="E1827" t="inlineStr">
        <is>
          <t>SKELLEFTEÅ</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7022-2023</t>
        </is>
      </c>
      <c r="B1828" s="1" t="n">
        <v>44968</v>
      </c>
      <c r="C1828" s="1" t="n">
        <v>45760</v>
      </c>
      <c r="D1828" t="inlineStr">
        <is>
          <t>VÄSTERBOTTENS LÄN</t>
        </is>
      </c>
      <c r="E1828" t="inlineStr">
        <is>
          <t>SKELLEFTEÅ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7875-2023</t>
        </is>
      </c>
      <c r="B1829" s="1" t="n">
        <v>44967</v>
      </c>
      <c r="C1829" s="1" t="n">
        <v>45760</v>
      </c>
      <c r="D1829" t="inlineStr">
        <is>
          <t>VÄSTERBOTTENS LÄN</t>
        </is>
      </c>
      <c r="E1829" t="inlineStr">
        <is>
          <t>SKELLEFTEÅ</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7364-2023</t>
        </is>
      </c>
      <c r="B1830" s="1" t="n">
        <v>44971</v>
      </c>
      <c r="C1830" s="1" t="n">
        <v>45760</v>
      </c>
      <c r="D1830" t="inlineStr">
        <is>
          <t>VÄSTERBOTTENS LÄN</t>
        </is>
      </c>
      <c r="E1830" t="inlineStr">
        <is>
          <t>SKELLEFTEÅ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7517-2023</t>
        </is>
      </c>
      <c r="B1831" s="1" t="n">
        <v>44971</v>
      </c>
      <c r="C1831" s="1" t="n">
        <v>45760</v>
      </c>
      <c r="D1831" t="inlineStr">
        <is>
          <t>VÄSTERBOTTENS LÄN</t>
        </is>
      </c>
      <c r="E1831" t="inlineStr">
        <is>
          <t>SKELLEFTEÅ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7516-2023</t>
        </is>
      </c>
      <c r="B1832" s="1" t="n">
        <v>44971</v>
      </c>
      <c r="C1832" s="1" t="n">
        <v>45760</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8206-2023</t>
        </is>
      </c>
      <c r="B1833" s="1" t="n">
        <v>44971</v>
      </c>
      <c r="C1833" s="1" t="n">
        <v>45760</v>
      </c>
      <c r="D1833" t="inlineStr">
        <is>
          <t>VÄSTERBOTTENS LÄN</t>
        </is>
      </c>
      <c r="E1833" t="inlineStr">
        <is>
          <t>SKELLEFTEÅ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8422-2023</t>
        </is>
      </c>
      <c r="B1834" s="1" t="n">
        <v>44972</v>
      </c>
      <c r="C1834" s="1" t="n">
        <v>45760</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8477-2023</t>
        </is>
      </c>
      <c r="B1835" s="1" t="n">
        <v>44972</v>
      </c>
      <c r="C1835" s="1" t="n">
        <v>45760</v>
      </c>
      <c r="D1835" t="inlineStr">
        <is>
          <t>VÄSTERBOTTENS LÄN</t>
        </is>
      </c>
      <c r="E1835" t="inlineStr">
        <is>
          <t>SKELLEFTEÅ</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8479-2023</t>
        </is>
      </c>
      <c r="B1836" s="1" t="n">
        <v>44972</v>
      </c>
      <c r="C1836" s="1" t="n">
        <v>45760</v>
      </c>
      <c r="D1836" t="inlineStr">
        <is>
          <t>VÄSTERBOTTENS LÄN</t>
        </is>
      </c>
      <c r="E1836" t="inlineStr">
        <is>
          <t>SKELLEFTEÅ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8549-2023</t>
        </is>
      </c>
      <c r="B1837" s="1" t="n">
        <v>44972</v>
      </c>
      <c r="C1837" s="1" t="n">
        <v>45760</v>
      </c>
      <c r="D1837" t="inlineStr">
        <is>
          <t>VÄSTERBOTTENS LÄN</t>
        </is>
      </c>
      <c r="E1837" t="inlineStr">
        <is>
          <t>SKELLEFTEÅ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8480-2023</t>
        </is>
      </c>
      <c r="B1838" s="1" t="n">
        <v>44972</v>
      </c>
      <c r="C1838" s="1" t="n">
        <v>45760</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7712-2023</t>
        </is>
      </c>
      <c r="B1839" s="1" t="n">
        <v>44972</v>
      </c>
      <c r="C1839" s="1" t="n">
        <v>45760</v>
      </c>
      <c r="D1839" t="inlineStr">
        <is>
          <t>VÄSTERBOTTENS LÄN</t>
        </is>
      </c>
      <c r="E1839" t="inlineStr">
        <is>
          <t>SKELLEFTEÅ</t>
        </is>
      </c>
      <c r="G1839" t="n">
        <v>11.6</v>
      </c>
      <c r="H1839" t="n">
        <v>0</v>
      </c>
      <c r="I1839" t="n">
        <v>0</v>
      </c>
      <c r="J1839" t="n">
        <v>0</v>
      </c>
      <c r="K1839" t="n">
        <v>0</v>
      </c>
      <c r="L1839" t="n">
        <v>0</v>
      </c>
      <c r="M1839" t="n">
        <v>0</v>
      </c>
      <c r="N1839" t="n">
        <v>0</v>
      </c>
      <c r="O1839" t="n">
        <v>0</v>
      </c>
      <c r="P1839" t="n">
        <v>0</v>
      </c>
      <c r="Q1839" t="n">
        <v>0</v>
      </c>
      <c r="R1839" s="2" t="inlineStr"/>
    </row>
    <row r="1840" ht="15" customHeight="1">
      <c r="A1840" t="inlineStr">
        <is>
          <t>A 8478-2023</t>
        </is>
      </c>
      <c r="B1840" s="1" t="n">
        <v>44972</v>
      </c>
      <c r="C1840" s="1" t="n">
        <v>45760</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8563-2023</t>
        </is>
      </c>
      <c r="B1841" s="1" t="n">
        <v>44972</v>
      </c>
      <c r="C1841" s="1" t="n">
        <v>45760</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8028-2023</t>
        </is>
      </c>
      <c r="B1842" s="1" t="n">
        <v>44973</v>
      </c>
      <c r="C1842" s="1" t="n">
        <v>45760</v>
      </c>
      <c r="D1842" t="inlineStr">
        <is>
          <t>VÄSTERBOTTENS LÄN</t>
        </is>
      </c>
      <c r="E1842" t="inlineStr">
        <is>
          <t>SKELLEFTEÅ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8029-2023</t>
        </is>
      </c>
      <c r="B1843" s="1" t="n">
        <v>44973</v>
      </c>
      <c r="C1843" s="1" t="n">
        <v>45760</v>
      </c>
      <c r="D1843" t="inlineStr">
        <is>
          <t>VÄSTERBOTTENS LÄN</t>
        </is>
      </c>
      <c r="E1843" t="inlineStr">
        <is>
          <t>SKELLEFTEÅ</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8328-2023</t>
        </is>
      </c>
      <c r="B1844" s="1" t="n">
        <v>44974</v>
      </c>
      <c r="C1844" s="1" t="n">
        <v>45760</v>
      </c>
      <c r="D1844" t="inlineStr">
        <is>
          <t>VÄSTERBOTTENS LÄN</t>
        </is>
      </c>
      <c r="E1844" t="inlineStr">
        <is>
          <t>SKELLEFTEÅ</t>
        </is>
      </c>
      <c r="G1844" t="n">
        <v>18.5</v>
      </c>
      <c r="H1844" t="n">
        <v>0</v>
      </c>
      <c r="I1844" t="n">
        <v>0</v>
      </c>
      <c r="J1844" t="n">
        <v>0</v>
      </c>
      <c r="K1844" t="n">
        <v>0</v>
      </c>
      <c r="L1844" t="n">
        <v>0</v>
      </c>
      <c r="M1844" t="n">
        <v>0</v>
      </c>
      <c r="N1844" t="n">
        <v>0</v>
      </c>
      <c r="O1844" t="n">
        <v>0</v>
      </c>
      <c r="P1844" t="n">
        <v>0</v>
      </c>
      <c r="Q1844" t="n">
        <v>0</v>
      </c>
      <c r="R1844" s="2" t="inlineStr"/>
    </row>
    <row r="1845" ht="15" customHeight="1">
      <c r="A1845" t="inlineStr">
        <is>
          <t>A 8930-2023</t>
        </is>
      </c>
      <c r="B1845" s="1" t="n">
        <v>44974</v>
      </c>
      <c r="C1845" s="1" t="n">
        <v>45760</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8952-2023</t>
        </is>
      </c>
      <c r="B1846" s="1" t="n">
        <v>44974</v>
      </c>
      <c r="C1846" s="1" t="n">
        <v>45760</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8648-2023</t>
        </is>
      </c>
      <c r="B1847" s="1" t="n">
        <v>44978</v>
      </c>
      <c r="C1847" s="1" t="n">
        <v>45760</v>
      </c>
      <c r="D1847" t="inlineStr">
        <is>
          <t>VÄSTERBOTTENS LÄN</t>
        </is>
      </c>
      <c r="E1847" t="inlineStr">
        <is>
          <t>SKELLEFTEÅ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9624-2023</t>
        </is>
      </c>
      <c r="B1848" s="1" t="n">
        <v>44978</v>
      </c>
      <c r="C1848" s="1" t="n">
        <v>45760</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8801-2023</t>
        </is>
      </c>
      <c r="B1849" s="1" t="n">
        <v>44978</v>
      </c>
      <c r="C1849" s="1" t="n">
        <v>45760</v>
      </c>
      <c r="D1849" t="inlineStr">
        <is>
          <t>VÄSTERBOTTENS LÄN</t>
        </is>
      </c>
      <c r="E1849" t="inlineStr">
        <is>
          <t>SKELLEFTEÅ</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9619-2023</t>
        </is>
      </c>
      <c r="B1850" s="1" t="n">
        <v>44978</v>
      </c>
      <c r="C1850" s="1" t="n">
        <v>45760</v>
      </c>
      <c r="D1850" t="inlineStr">
        <is>
          <t>VÄSTERBOTTENS LÄN</t>
        </is>
      </c>
      <c r="E1850" t="inlineStr">
        <is>
          <t>SKELLEFTEÅ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9740-2023</t>
        </is>
      </c>
      <c r="B1851" s="1" t="n">
        <v>44978</v>
      </c>
      <c r="C1851" s="1" t="n">
        <v>45760</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9027-2023</t>
        </is>
      </c>
      <c r="B1852" s="1" t="n">
        <v>44979</v>
      </c>
      <c r="C1852" s="1" t="n">
        <v>45760</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9078-2023</t>
        </is>
      </c>
      <c r="B1853" s="1" t="n">
        <v>44979</v>
      </c>
      <c r="C1853" s="1" t="n">
        <v>45760</v>
      </c>
      <c r="D1853" t="inlineStr">
        <is>
          <t>VÄSTERBOTTENS LÄN</t>
        </is>
      </c>
      <c r="E1853" t="inlineStr">
        <is>
          <t>SKELLEFTEÅ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9080-2023</t>
        </is>
      </c>
      <c r="B1854" s="1" t="n">
        <v>44979</v>
      </c>
      <c r="C1854" s="1" t="n">
        <v>45760</v>
      </c>
      <c r="D1854" t="inlineStr">
        <is>
          <t>VÄSTERBOTTENS LÄN</t>
        </is>
      </c>
      <c r="E1854" t="inlineStr">
        <is>
          <t>SKELLEFTEÅ</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9980-2023</t>
        </is>
      </c>
      <c r="B1855" s="1" t="n">
        <v>44979</v>
      </c>
      <c r="C1855" s="1" t="n">
        <v>45760</v>
      </c>
      <c r="D1855" t="inlineStr">
        <is>
          <t>VÄSTERBOTTENS LÄN</t>
        </is>
      </c>
      <c r="E1855" t="inlineStr">
        <is>
          <t>SKELLEFTEÅ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9079-2023</t>
        </is>
      </c>
      <c r="B1856" s="1" t="n">
        <v>44979</v>
      </c>
      <c r="C1856" s="1" t="n">
        <v>45760</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9982-2023</t>
        </is>
      </c>
      <c r="B1857" s="1" t="n">
        <v>44979</v>
      </c>
      <c r="C1857" s="1" t="n">
        <v>45760</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10172-2023</t>
        </is>
      </c>
      <c r="B1858" s="1" t="n">
        <v>44979</v>
      </c>
      <c r="C1858" s="1" t="n">
        <v>45760</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9209-2023</t>
        </is>
      </c>
      <c r="B1859" s="1" t="n">
        <v>44980</v>
      </c>
      <c r="C1859" s="1" t="n">
        <v>45760</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9343-2023</t>
        </is>
      </c>
      <c r="B1860" s="1" t="n">
        <v>44980</v>
      </c>
      <c r="C1860" s="1" t="n">
        <v>45760</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9342-2023</t>
        </is>
      </c>
      <c r="B1861" s="1" t="n">
        <v>44980</v>
      </c>
      <c r="C1861" s="1" t="n">
        <v>45760</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9345-2023</t>
        </is>
      </c>
      <c r="B1862" s="1" t="n">
        <v>44980</v>
      </c>
      <c r="C1862" s="1" t="n">
        <v>45760</v>
      </c>
      <c r="D1862" t="inlineStr">
        <is>
          <t>VÄSTERBOTTENS LÄN</t>
        </is>
      </c>
      <c r="E1862" t="inlineStr">
        <is>
          <t>SKELLEFTEÅ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9402-2023</t>
        </is>
      </c>
      <c r="B1863" s="1" t="n">
        <v>44981</v>
      </c>
      <c r="C1863" s="1" t="n">
        <v>45760</v>
      </c>
      <c r="D1863" t="inlineStr">
        <is>
          <t>VÄSTERBOTTENS LÄN</t>
        </is>
      </c>
      <c r="E1863" t="inlineStr">
        <is>
          <t>SKELLEFTEÅ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9463-2023</t>
        </is>
      </c>
      <c r="B1864" s="1" t="n">
        <v>44981</v>
      </c>
      <c r="C1864" s="1" t="n">
        <v>45760</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10568-2023</t>
        </is>
      </c>
      <c r="B1865" s="1" t="n">
        <v>44981</v>
      </c>
      <c r="C1865" s="1" t="n">
        <v>45760</v>
      </c>
      <c r="D1865" t="inlineStr">
        <is>
          <t>VÄSTERBOTTENS LÄN</t>
        </is>
      </c>
      <c r="E1865" t="inlineStr">
        <is>
          <t>SKELLEFTEÅ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10567-2023</t>
        </is>
      </c>
      <c r="B1866" s="1" t="n">
        <v>44981</v>
      </c>
      <c r="C1866" s="1" t="n">
        <v>45760</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10570-2023</t>
        </is>
      </c>
      <c r="B1867" s="1" t="n">
        <v>44981</v>
      </c>
      <c r="C1867" s="1" t="n">
        <v>45760</v>
      </c>
      <c r="D1867" t="inlineStr">
        <is>
          <t>VÄSTERBOTTENS LÄN</t>
        </is>
      </c>
      <c r="E1867" t="inlineStr">
        <is>
          <t>SKELLEFTEÅ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10696-2023</t>
        </is>
      </c>
      <c r="B1868" s="1" t="n">
        <v>44984</v>
      </c>
      <c r="C1868" s="1" t="n">
        <v>45760</v>
      </c>
      <c r="D1868" t="inlineStr">
        <is>
          <t>VÄSTERBOTTENS LÄN</t>
        </is>
      </c>
      <c r="E1868" t="inlineStr">
        <is>
          <t>SKELLEFTEÅ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10647-2023</t>
        </is>
      </c>
      <c r="B1869" s="1" t="n">
        <v>44984</v>
      </c>
      <c r="C1869" s="1" t="n">
        <v>45760</v>
      </c>
      <c r="D1869" t="inlineStr">
        <is>
          <t>VÄSTERBOTTENS LÄN</t>
        </is>
      </c>
      <c r="E1869" t="inlineStr">
        <is>
          <t>SKELLEFTEÅ</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10072-2023</t>
        </is>
      </c>
      <c r="B1870" s="1" t="n">
        <v>44985</v>
      </c>
      <c r="C1870" s="1" t="n">
        <v>45760</v>
      </c>
      <c r="D1870" t="inlineStr">
        <is>
          <t>VÄSTERBOTTENS LÄN</t>
        </is>
      </c>
      <c r="E1870" t="inlineStr">
        <is>
          <t>SKELLEFTEÅ</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10073-2023</t>
        </is>
      </c>
      <c r="B1871" s="1" t="n">
        <v>44985</v>
      </c>
      <c r="C1871" s="1" t="n">
        <v>45760</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10840-2023</t>
        </is>
      </c>
      <c r="B1872" s="1" t="n">
        <v>44985</v>
      </c>
      <c r="C1872" s="1" t="n">
        <v>45760</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10846-2023</t>
        </is>
      </c>
      <c r="B1873" s="1" t="n">
        <v>44985</v>
      </c>
      <c r="C1873" s="1" t="n">
        <v>45760</v>
      </c>
      <c r="D1873" t="inlineStr">
        <is>
          <t>VÄSTERBOTTENS LÄN</t>
        </is>
      </c>
      <c r="E1873" t="inlineStr">
        <is>
          <t>SKELLEFTEÅ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10852-2023</t>
        </is>
      </c>
      <c r="B1874" s="1" t="n">
        <v>44985</v>
      </c>
      <c r="C1874" s="1" t="n">
        <v>45760</v>
      </c>
      <c r="D1874" t="inlineStr">
        <is>
          <t>VÄSTERBOTTENS LÄN</t>
        </is>
      </c>
      <c r="E1874" t="inlineStr">
        <is>
          <t>SKELLEFTEÅ</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10291-2023</t>
        </is>
      </c>
      <c r="B1875" s="1" t="n">
        <v>44986</v>
      </c>
      <c r="C1875" s="1" t="n">
        <v>45760</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11030-2023</t>
        </is>
      </c>
      <c r="B1876" s="1" t="n">
        <v>44991</v>
      </c>
      <c r="C1876" s="1" t="n">
        <v>45760</v>
      </c>
      <c r="D1876" t="inlineStr">
        <is>
          <t>VÄSTERBOTTENS LÄN</t>
        </is>
      </c>
      <c r="E1876" t="inlineStr">
        <is>
          <t>SKELLEFTEÅ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11028-2023</t>
        </is>
      </c>
      <c r="B1877" s="1" t="n">
        <v>44991</v>
      </c>
      <c r="C1877" s="1" t="n">
        <v>45760</v>
      </c>
      <c r="D1877" t="inlineStr">
        <is>
          <t>VÄSTERBOTTENS LÄN</t>
        </is>
      </c>
      <c r="E1877" t="inlineStr">
        <is>
          <t>SKELLEFTEÅ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11031-2023</t>
        </is>
      </c>
      <c r="B1878" s="1" t="n">
        <v>44991</v>
      </c>
      <c r="C1878" s="1" t="n">
        <v>45760</v>
      </c>
      <c r="D1878" t="inlineStr">
        <is>
          <t>VÄSTERBOTTENS LÄN</t>
        </is>
      </c>
      <c r="E1878" t="inlineStr">
        <is>
          <t>SKELLEFTEÅ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11029-2023</t>
        </is>
      </c>
      <c r="B1879" s="1" t="n">
        <v>44991</v>
      </c>
      <c r="C1879" s="1" t="n">
        <v>45760</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11707-2023</t>
        </is>
      </c>
      <c r="B1880" s="1" t="n">
        <v>44992</v>
      </c>
      <c r="C1880" s="1" t="n">
        <v>45760</v>
      </c>
      <c r="D1880" t="inlineStr">
        <is>
          <t>VÄSTERBOTTENS LÄN</t>
        </is>
      </c>
      <c r="E1880" t="inlineStr">
        <is>
          <t>SKELLEFTEÅ</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11377-2023</t>
        </is>
      </c>
      <c r="B1881" s="1" t="n">
        <v>44993</v>
      </c>
      <c r="C1881" s="1" t="n">
        <v>45760</v>
      </c>
      <c r="D1881" t="inlineStr">
        <is>
          <t>VÄSTERBOTTENS LÄN</t>
        </is>
      </c>
      <c r="E1881" t="inlineStr">
        <is>
          <t>SKELLEFTEÅ</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11339-2023</t>
        </is>
      </c>
      <c r="B1882" s="1" t="n">
        <v>44993</v>
      </c>
      <c r="C1882" s="1" t="n">
        <v>45760</v>
      </c>
      <c r="D1882" t="inlineStr">
        <is>
          <t>VÄSTERBOTTENS LÄN</t>
        </is>
      </c>
      <c r="E1882" t="inlineStr">
        <is>
          <t>SKELLEFTEÅ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11624-2023</t>
        </is>
      </c>
      <c r="B1883" s="1" t="n">
        <v>44994</v>
      </c>
      <c r="C1883" s="1" t="n">
        <v>45760</v>
      </c>
      <c r="D1883" t="inlineStr">
        <is>
          <t>VÄSTERBOTTENS LÄN</t>
        </is>
      </c>
      <c r="E1883" t="inlineStr">
        <is>
          <t>SKELLEFTEÅ</t>
        </is>
      </c>
      <c r="G1883" t="n">
        <v>47.6</v>
      </c>
      <c r="H1883" t="n">
        <v>0</v>
      </c>
      <c r="I1883" t="n">
        <v>0</v>
      </c>
      <c r="J1883" t="n">
        <v>0</v>
      </c>
      <c r="K1883" t="n">
        <v>0</v>
      </c>
      <c r="L1883" t="n">
        <v>0</v>
      </c>
      <c r="M1883" t="n">
        <v>0</v>
      </c>
      <c r="N1883" t="n">
        <v>0</v>
      </c>
      <c r="O1883" t="n">
        <v>0</v>
      </c>
      <c r="P1883" t="n">
        <v>0</v>
      </c>
      <c r="Q1883" t="n">
        <v>0</v>
      </c>
      <c r="R1883" s="2" t="inlineStr"/>
    </row>
    <row r="1884" ht="15" customHeight="1">
      <c r="A1884" t="inlineStr">
        <is>
          <t>A 11629-2023</t>
        </is>
      </c>
      <c r="B1884" s="1" t="n">
        <v>44994</v>
      </c>
      <c r="C1884" s="1" t="n">
        <v>45760</v>
      </c>
      <c r="D1884" t="inlineStr">
        <is>
          <t>VÄSTERBOTTENS LÄN</t>
        </is>
      </c>
      <c r="E1884" t="inlineStr">
        <is>
          <t>SKELLEFTEÅ</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11638-2023</t>
        </is>
      </c>
      <c r="B1885" s="1" t="n">
        <v>44994</v>
      </c>
      <c r="C1885" s="1" t="n">
        <v>45760</v>
      </c>
      <c r="D1885" t="inlineStr">
        <is>
          <t>VÄSTERBOTTENS LÄN</t>
        </is>
      </c>
      <c r="E1885" t="inlineStr">
        <is>
          <t>SKELLEFTEÅ</t>
        </is>
      </c>
      <c r="G1885" t="n">
        <v>19.8</v>
      </c>
      <c r="H1885" t="n">
        <v>0</v>
      </c>
      <c r="I1885" t="n">
        <v>0</v>
      </c>
      <c r="J1885" t="n">
        <v>0</v>
      </c>
      <c r="K1885" t="n">
        <v>0</v>
      </c>
      <c r="L1885" t="n">
        <v>0</v>
      </c>
      <c r="M1885" t="n">
        <v>0</v>
      </c>
      <c r="N1885" t="n">
        <v>0</v>
      </c>
      <c r="O1885" t="n">
        <v>0</v>
      </c>
      <c r="P1885" t="n">
        <v>0</v>
      </c>
      <c r="Q1885" t="n">
        <v>0</v>
      </c>
      <c r="R1885" s="2" t="inlineStr"/>
    </row>
    <row r="1886" ht="15" customHeight="1">
      <c r="A1886" t="inlineStr">
        <is>
          <t>A 11642-2023</t>
        </is>
      </c>
      <c r="B1886" s="1" t="n">
        <v>44994</v>
      </c>
      <c r="C1886" s="1" t="n">
        <v>45760</v>
      </c>
      <c r="D1886" t="inlineStr">
        <is>
          <t>VÄSTERBOTTENS LÄN</t>
        </is>
      </c>
      <c r="E1886" t="inlineStr">
        <is>
          <t>SKELLEFTEÅ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11771-2023</t>
        </is>
      </c>
      <c r="B1887" s="1" t="n">
        <v>44994</v>
      </c>
      <c r="C1887" s="1" t="n">
        <v>45760</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11973-2023</t>
        </is>
      </c>
      <c r="B1888" s="1" t="n">
        <v>44994</v>
      </c>
      <c r="C1888" s="1" t="n">
        <v>45760</v>
      </c>
      <c r="D1888" t="inlineStr">
        <is>
          <t>VÄSTERBOTTENS LÄN</t>
        </is>
      </c>
      <c r="E1888" t="inlineStr">
        <is>
          <t>SKELLEFTEÅ</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11963-2023</t>
        </is>
      </c>
      <c r="B1889" s="1" t="n">
        <v>44994</v>
      </c>
      <c r="C1889" s="1" t="n">
        <v>45760</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11989-2023</t>
        </is>
      </c>
      <c r="B1890" s="1" t="n">
        <v>44994</v>
      </c>
      <c r="C1890" s="1" t="n">
        <v>45760</v>
      </c>
      <c r="D1890" t="inlineStr">
        <is>
          <t>VÄSTERBOTTENS LÄN</t>
        </is>
      </c>
      <c r="E1890" t="inlineStr">
        <is>
          <t>SKELLEFTEÅ</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11995-2023</t>
        </is>
      </c>
      <c r="B1891" s="1" t="n">
        <v>44994</v>
      </c>
      <c r="C1891" s="1" t="n">
        <v>45760</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11942-2023</t>
        </is>
      </c>
      <c r="B1892" s="1" t="n">
        <v>44995</v>
      </c>
      <c r="C1892" s="1" t="n">
        <v>45760</v>
      </c>
      <c r="D1892" t="inlineStr">
        <is>
          <t>VÄSTERBOTTENS LÄN</t>
        </is>
      </c>
      <c r="E1892" t="inlineStr">
        <is>
          <t>SKELLEFTEÅ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12017-2023</t>
        </is>
      </c>
      <c r="B1893" s="1" t="n">
        <v>44995</v>
      </c>
      <c r="C1893" s="1" t="n">
        <v>45760</v>
      </c>
      <c r="D1893" t="inlineStr">
        <is>
          <t>VÄSTERBOTTENS LÄN</t>
        </is>
      </c>
      <c r="E1893" t="inlineStr">
        <is>
          <t>SKELLEFTEÅ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11945-2023</t>
        </is>
      </c>
      <c r="B1894" s="1" t="n">
        <v>44995</v>
      </c>
      <c r="C1894" s="1" t="n">
        <v>45760</v>
      </c>
      <c r="D1894" t="inlineStr">
        <is>
          <t>VÄSTERBOTTENS LÄN</t>
        </is>
      </c>
      <c r="E1894" t="inlineStr">
        <is>
          <t>SKELLEFTEÅ</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12137-2023</t>
        </is>
      </c>
      <c r="B1895" s="1" t="n">
        <v>44995</v>
      </c>
      <c r="C1895" s="1" t="n">
        <v>45760</v>
      </c>
      <c r="D1895" t="inlineStr">
        <is>
          <t>VÄSTERBOTTENS LÄN</t>
        </is>
      </c>
      <c r="E1895" t="inlineStr">
        <is>
          <t>SKELLEFTEÅ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12019-2023</t>
        </is>
      </c>
      <c r="B1896" s="1" t="n">
        <v>44995</v>
      </c>
      <c r="C1896" s="1" t="n">
        <v>45760</v>
      </c>
      <c r="D1896" t="inlineStr">
        <is>
          <t>VÄSTERBOTTENS LÄN</t>
        </is>
      </c>
      <c r="E1896" t="inlineStr">
        <is>
          <t>SKELLEFTEÅ</t>
        </is>
      </c>
      <c r="F1896" t="inlineStr">
        <is>
          <t>Sveaskog</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12033-2023</t>
        </is>
      </c>
      <c r="B1897" s="1" t="n">
        <v>44995</v>
      </c>
      <c r="C1897" s="1" t="n">
        <v>45760</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12032-2023</t>
        </is>
      </c>
      <c r="B1898" s="1" t="n">
        <v>44995</v>
      </c>
      <c r="C1898" s="1" t="n">
        <v>45760</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12366-2023</t>
        </is>
      </c>
      <c r="B1899" s="1" t="n">
        <v>44998</v>
      </c>
      <c r="C1899" s="1" t="n">
        <v>45760</v>
      </c>
      <c r="D1899" t="inlineStr">
        <is>
          <t>VÄSTERBOTTENS LÄN</t>
        </is>
      </c>
      <c r="E1899" t="inlineStr">
        <is>
          <t>SKELLEFTEÅ</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12392-2023</t>
        </is>
      </c>
      <c r="B1900" s="1" t="n">
        <v>44998</v>
      </c>
      <c r="C1900" s="1" t="n">
        <v>45760</v>
      </c>
      <c r="D1900" t="inlineStr">
        <is>
          <t>VÄSTERBOTTENS LÄN</t>
        </is>
      </c>
      <c r="E1900" t="inlineStr">
        <is>
          <t>SKELLEFTEÅ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12728-2023</t>
        </is>
      </c>
      <c r="B1901" s="1" t="n">
        <v>45000</v>
      </c>
      <c r="C1901" s="1" t="n">
        <v>45760</v>
      </c>
      <c r="D1901" t="inlineStr">
        <is>
          <t>VÄSTERBOTTENS LÄN</t>
        </is>
      </c>
      <c r="E1901" t="inlineStr">
        <is>
          <t>SKELLEFTEÅ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12601-2023</t>
        </is>
      </c>
      <c r="B1902" s="1" t="n">
        <v>45000</v>
      </c>
      <c r="C1902" s="1" t="n">
        <v>45760</v>
      </c>
      <c r="D1902" t="inlineStr">
        <is>
          <t>VÄSTERBOTTENS LÄN</t>
        </is>
      </c>
      <c r="E1902" t="inlineStr">
        <is>
          <t>SKELLEFTEÅ</t>
        </is>
      </c>
      <c r="F1902" t="inlineStr">
        <is>
          <t>Holmen skog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12648-2023</t>
        </is>
      </c>
      <c r="B1903" s="1" t="n">
        <v>45000</v>
      </c>
      <c r="C1903" s="1" t="n">
        <v>45760</v>
      </c>
      <c r="D1903" t="inlineStr">
        <is>
          <t>VÄSTERBOTTENS LÄN</t>
        </is>
      </c>
      <c r="E1903" t="inlineStr">
        <is>
          <t>SKELLEFTEÅ</t>
        </is>
      </c>
      <c r="F1903" t="inlineStr">
        <is>
          <t>Holmen skog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12803-2023</t>
        </is>
      </c>
      <c r="B1904" s="1" t="n">
        <v>45000</v>
      </c>
      <c r="C1904" s="1" t="n">
        <v>45760</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13149-2023</t>
        </is>
      </c>
      <c r="B1905" s="1" t="n">
        <v>45002</v>
      </c>
      <c r="C1905" s="1" t="n">
        <v>45760</v>
      </c>
      <c r="D1905" t="inlineStr">
        <is>
          <t>VÄSTERBOTTENS LÄN</t>
        </is>
      </c>
      <c r="E1905" t="inlineStr">
        <is>
          <t>SKELLEFTEÅ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13312-2023</t>
        </is>
      </c>
      <c r="B1906" s="1" t="n">
        <v>45005</v>
      </c>
      <c r="C1906" s="1" t="n">
        <v>45760</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13470-2023</t>
        </is>
      </c>
      <c r="B1907" s="1" t="n">
        <v>45005</v>
      </c>
      <c r="C1907" s="1" t="n">
        <v>45760</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13375-2023</t>
        </is>
      </c>
      <c r="B1908" s="1" t="n">
        <v>45005</v>
      </c>
      <c r="C1908" s="1" t="n">
        <v>45760</v>
      </c>
      <c r="D1908" t="inlineStr">
        <is>
          <t>VÄSTERBOTTENS LÄN</t>
        </is>
      </c>
      <c r="E1908" t="inlineStr">
        <is>
          <t>SKELLEFTEÅ</t>
        </is>
      </c>
      <c r="F1908" t="inlineStr">
        <is>
          <t>Holmen skog AB</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13641-2023</t>
        </is>
      </c>
      <c r="B1909" s="1" t="n">
        <v>45006</v>
      </c>
      <c r="C1909" s="1" t="n">
        <v>45760</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14066-2023</t>
        </is>
      </c>
      <c r="B1910" s="1" t="n">
        <v>45008</v>
      </c>
      <c r="C1910" s="1" t="n">
        <v>45760</v>
      </c>
      <c r="D1910" t="inlineStr">
        <is>
          <t>VÄSTERBOTTENS LÄN</t>
        </is>
      </c>
      <c r="E1910" t="inlineStr">
        <is>
          <t>SKELLEFTEÅ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14197-2023</t>
        </is>
      </c>
      <c r="B1911" s="1" t="n">
        <v>45009</v>
      </c>
      <c r="C1911" s="1" t="n">
        <v>45760</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14089-2023</t>
        </is>
      </c>
      <c r="B1912" s="1" t="n">
        <v>45009</v>
      </c>
      <c r="C1912" s="1" t="n">
        <v>45760</v>
      </c>
      <c r="D1912" t="inlineStr">
        <is>
          <t>VÄSTERBOTTENS LÄN</t>
        </is>
      </c>
      <c r="E1912" t="inlineStr">
        <is>
          <t>SKELLEFTEÅ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14332-2023</t>
        </is>
      </c>
      <c r="B1913" s="1" t="n">
        <v>45009</v>
      </c>
      <c r="C1913" s="1" t="n">
        <v>45760</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14341-2023</t>
        </is>
      </c>
      <c r="B1914" s="1" t="n">
        <v>45009</v>
      </c>
      <c r="C1914" s="1" t="n">
        <v>45760</v>
      </c>
      <c r="D1914" t="inlineStr">
        <is>
          <t>VÄSTERBOTTENS LÄN</t>
        </is>
      </c>
      <c r="E1914" t="inlineStr">
        <is>
          <t>SKELLEFTEÅ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14351-2023</t>
        </is>
      </c>
      <c r="B1915" s="1" t="n">
        <v>45009</v>
      </c>
      <c r="C1915" s="1" t="n">
        <v>45760</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14458-2023</t>
        </is>
      </c>
      <c r="B1916" s="1" t="n">
        <v>45012</v>
      </c>
      <c r="C1916" s="1" t="n">
        <v>45760</v>
      </c>
      <c r="D1916" t="inlineStr">
        <is>
          <t>VÄSTERBOTTENS LÄN</t>
        </is>
      </c>
      <c r="E1916" t="inlineStr">
        <is>
          <t>SKELLEFTEÅ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14697-2023</t>
        </is>
      </c>
      <c r="B1917" s="1" t="n">
        <v>45012</v>
      </c>
      <c r="C1917" s="1" t="n">
        <v>45760</v>
      </c>
      <c r="D1917" t="inlineStr">
        <is>
          <t>VÄSTERBOTTENS LÄN</t>
        </is>
      </c>
      <c r="E1917" t="inlineStr">
        <is>
          <t>SKELLEFTEÅ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14705-2023</t>
        </is>
      </c>
      <c r="B1918" s="1" t="n">
        <v>45012</v>
      </c>
      <c r="C1918" s="1" t="n">
        <v>45760</v>
      </c>
      <c r="D1918" t="inlineStr">
        <is>
          <t>VÄSTERBOTTENS LÄN</t>
        </is>
      </c>
      <c r="E1918" t="inlineStr">
        <is>
          <t>SKELLEFTEÅ</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14902-2023</t>
        </is>
      </c>
      <c r="B1919" s="1" t="n">
        <v>45014</v>
      </c>
      <c r="C1919" s="1" t="n">
        <v>45760</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14992-2023</t>
        </is>
      </c>
      <c r="B1920" s="1" t="n">
        <v>45014</v>
      </c>
      <c r="C1920" s="1" t="n">
        <v>45760</v>
      </c>
      <c r="D1920" t="inlineStr">
        <is>
          <t>VÄSTERBOTTENS LÄN</t>
        </is>
      </c>
      <c r="E1920" t="inlineStr">
        <is>
          <t>SKELLEFTEÅ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14983-2023</t>
        </is>
      </c>
      <c r="B1921" s="1" t="n">
        <v>45014</v>
      </c>
      <c r="C1921" s="1" t="n">
        <v>45760</v>
      </c>
      <c r="D1921" t="inlineStr">
        <is>
          <t>VÄSTERBOTTENS LÄN</t>
        </is>
      </c>
      <c r="E1921" t="inlineStr">
        <is>
          <t>SKELLEFTEÅ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14998-2023</t>
        </is>
      </c>
      <c r="B1922" s="1" t="n">
        <v>45015</v>
      </c>
      <c r="C1922" s="1" t="n">
        <v>45760</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15155-2023</t>
        </is>
      </c>
      <c r="B1923" s="1" t="n">
        <v>45016</v>
      </c>
      <c r="C1923" s="1" t="n">
        <v>45760</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15327-2023</t>
        </is>
      </c>
      <c r="B1924" s="1" t="n">
        <v>45016</v>
      </c>
      <c r="C1924" s="1" t="n">
        <v>45760</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15332-2023</t>
        </is>
      </c>
      <c r="B1925" s="1" t="n">
        <v>45016</v>
      </c>
      <c r="C1925" s="1" t="n">
        <v>45760</v>
      </c>
      <c r="D1925" t="inlineStr">
        <is>
          <t>VÄSTERBOTTENS LÄN</t>
        </is>
      </c>
      <c r="E1925" t="inlineStr">
        <is>
          <t>SKELLEFTEÅ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15405-2023</t>
        </is>
      </c>
      <c r="B1926" s="1" t="n">
        <v>45019</v>
      </c>
      <c r="C1926" s="1" t="n">
        <v>45760</v>
      </c>
      <c r="D1926" t="inlineStr">
        <is>
          <t>VÄSTERBOTTENS LÄN</t>
        </is>
      </c>
      <c r="E1926" t="inlineStr">
        <is>
          <t>SKELLEFTEÅ</t>
        </is>
      </c>
      <c r="F1926" t="inlineStr">
        <is>
          <t>Holmen skog AB</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15593-2023</t>
        </is>
      </c>
      <c r="B1927" s="1" t="n">
        <v>45019</v>
      </c>
      <c r="C1927" s="1" t="n">
        <v>45760</v>
      </c>
      <c r="D1927" t="inlineStr">
        <is>
          <t>VÄSTERBOTTENS LÄN</t>
        </is>
      </c>
      <c r="E1927" t="inlineStr">
        <is>
          <t>SKELLEFTEÅ</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15536-2023</t>
        </is>
      </c>
      <c r="B1928" s="1" t="n">
        <v>45020</v>
      </c>
      <c r="C1928" s="1" t="n">
        <v>45760</v>
      </c>
      <c r="D1928" t="inlineStr">
        <is>
          <t>VÄSTERBOTTENS LÄN</t>
        </is>
      </c>
      <c r="E1928" t="inlineStr">
        <is>
          <t>SKELLEFTEÅ</t>
        </is>
      </c>
      <c r="F1928" t="inlineStr">
        <is>
          <t>Sveaskog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15479-2023</t>
        </is>
      </c>
      <c r="B1929" s="1" t="n">
        <v>45020</v>
      </c>
      <c r="C1929" s="1" t="n">
        <v>45760</v>
      </c>
      <c r="D1929" t="inlineStr">
        <is>
          <t>VÄSTERBOTTENS LÄN</t>
        </is>
      </c>
      <c r="E1929" t="inlineStr">
        <is>
          <t>SKELLEFTEÅ</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15709-2023</t>
        </is>
      </c>
      <c r="B1930" s="1" t="n">
        <v>45020</v>
      </c>
      <c r="C1930" s="1" t="n">
        <v>45760</v>
      </c>
      <c r="D1930" t="inlineStr">
        <is>
          <t>VÄSTERBOTTENS LÄN</t>
        </is>
      </c>
      <c r="E1930" t="inlineStr">
        <is>
          <t>SKELLEFTEÅ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15732-2023</t>
        </is>
      </c>
      <c r="B1931" s="1" t="n">
        <v>45020</v>
      </c>
      <c r="C1931" s="1" t="n">
        <v>45760</v>
      </c>
      <c r="D1931" t="inlineStr">
        <is>
          <t>VÄSTERBOTTENS LÄN</t>
        </is>
      </c>
      <c r="E1931" t="inlineStr">
        <is>
          <t>SKELLEFTEÅ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15570-2023</t>
        </is>
      </c>
      <c r="B1932" s="1" t="n">
        <v>45020</v>
      </c>
      <c r="C1932" s="1" t="n">
        <v>45760</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15717-2023</t>
        </is>
      </c>
      <c r="B1933" s="1" t="n">
        <v>45020</v>
      </c>
      <c r="C1933" s="1" t="n">
        <v>45760</v>
      </c>
      <c r="D1933" t="inlineStr">
        <is>
          <t>VÄSTERBOTTENS LÄN</t>
        </is>
      </c>
      <c r="E1933" t="inlineStr">
        <is>
          <t>SKELLEFTEÅ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15706-2023</t>
        </is>
      </c>
      <c r="B1934" s="1" t="n">
        <v>45020</v>
      </c>
      <c r="C1934" s="1" t="n">
        <v>45760</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15806-2023</t>
        </is>
      </c>
      <c r="B1935" s="1" t="n">
        <v>45021</v>
      </c>
      <c r="C1935" s="1" t="n">
        <v>45760</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15825-2023</t>
        </is>
      </c>
      <c r="B1936" s="1" t="n">
        <v>45022</v>
      </c>
      <c r="C1936" s="1" t="n">
        <v>45760</v>
      </c>
      <c r="D1936" t="inlineStr">
        <is>
          <t>VÄSTERBOTTENS LÄN</t>
        </is>
      </c>
      <c r="E1936" t="inlineStr">
        <is>
          <t>SKELLEFTEÅ</t>
        </is>
      </c>
      <c r="F1936" t="inlineStr">
        <is>
          <t>SCA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15899-2023</t>
        </is>
      </c>
      <c r="B1937" s="1" t="n">
        <v>45021</v>
      </c>
      <c r="C1937" s="1" t="n">
        <v>45760</v>
      </c>
      <c r="D1937" t="inlineStr">
        <is>
          <t>VÄSTERBOTTENS LÄN</t>
        </is>
      </c>
      <c r="E1937" t="inlineStr">
        <is>
          <t>SKELLEFTEÅ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15903-2023</t>
        </is>
      </c>
      <c r="B1938" s="1" t="n">
        <v>45021</v>
      </c>
      <c r="C1938" s="1" t="n">
        <v>45760</v>
      </c>
      <c r="D1938" t="inlineStr">
        <is>
          <t>VÄSTERBOTTENS LÄN</t>
        </is>
      </c>
      <c r="E1938" t="inlineStr">
        <is>
          <t>SKELLEFTEÅ</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15906-2023</t>
        </is>
      </c>
      <c r="B1939" s="1" t="n">
        <v>45021</v>
      </c>
      <c r="C1939" s="1" t="n">
        <v>45760</v>
      </c>
      <c r="D1939" t="inlineStr">
        <is>
          <t>VÄSTERBOTTENS LÄN</t>
        </is>
      </c>
      <c r="E1939" t="inlineStr">
        <is>
          <t>SKELLEFTEÅ</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16027-2023</t>
        </is>
      </c>
      <c r="B1940" s="1" t="n">
        <v>45027</v>
      </c>
      <c r="C1940" s="1" t="n">
        <v>45760</v>
      </c>
      <c r="D1940" t="inlineStr">
        <is>
          <t>VÄSTERBOTTENS LÄN</t>
        </is>
      </c>
      <c r="E1940" t="inlineStr">
        <is>
          <t>SKELLEFTEÅ</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16183-2023</t>
        </is>
      </c>
      <c r="B1941" s="1" t="n">
        <v>45027</v>
      </c>
      <c r="C1941" s="1" t="n">
        <v>45760</v>
      </c>
      <c r="D1941" t="inlineStr">
        <is>
          <t>VÄSTERBOTTENS LÄN</t>
        </is>
      </c>
      <c r="E1941" t="inlineStr">
        <is>
          <t>SKELLEFTEÅ</t>
        </is>
      </c>
      <c r="G1941" t="n">
        <v>24.7</v>
      </c>
      <c r="H1941" t="n">
        <v>0</v>
      </c>
      <c r="I1941" t="n">
        <v>0</v>
      </c>
      <c r="J1941" t="n">
        <v>0</v>
      </c>
      <c r="K1941" t="n">
        <v>0</v>
      </c>
      <c r="L1941" t="n">
        <v>0</v>
      </c>
      <c r="M1941" t="n">
        <v>0</v>
      </c>
      <c r="N1941" t="n">
        <v>0</v>
      </c>
      <c r="O1941" t="n">
        <v>0</v>
      </c>
      <c r="P1941" t="n">
        <v>0</v>
      </c>
      <c r="Q1941" t="n">
        <v>0</v>
      </c>
      <c r="R1941" s="2" t="inlineStr"/>
    </row>
    <row r="1942" ht="15" customHeight="1">
      <c r="A1942" t="inlineStr">
        <is>
          <t>A 16186-2023</t>
        </is>
      </c>
      <c r="B1942" s="1" t="n">
        <v>45028</v>
      </c>
      <c r="C1942" s="1" t="n">
        <v>45760</v>
      </c>
      <c r="D1942" t="inlineStr">
        <is>
          <t>VÄSTERBOTTENS LÄN</t>
        </is>
      </c>
      <c r="E1942" t="inlineStr">
        <is>
          <t>SKELLEFTEÅ</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16239-2023</t>
        </is>
      </c>
      <c r="B1943" s="1" t="n">
        <v>45028</v>
      </c>
      <c r="C1943" s="1" t="n">
        <v>45760</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16237-2023</t>
        </is>
      </c>
      <c r="B1944" s="1" t="n">
        <v>45028</v>
      </c>
      <c r="C1944" s="1" t="n">
        <v>45760</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16494-2023</t>
        </is>
      </c>
      <c r="B1945" s="1" t="n">
        <v>45029</v>
      </c>
      <c r="C1945" s="1" t="n">
        <v>45760</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16753-2023</t>
        </is>
      </c>
      <c r="B1946" s="1" t="n">
        <v>45031</v>
      </c>
      <c r="C1946" s="1" t="n">
        <v>45760</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17026-2023</t>
        </is>
      </c>
      <c r="B1947" s="1" t="n">
        <v>45030</v>
      </c>
      <c r="C1947" s="1" t="n">
        <v>45760</v>
      </c>
      <c r="D1947" t="inlineStr">
        <is>
          <t>VÄSTERBOTTENS LÄN</t>
        </is>
      </c>
      <c r="E1947" t="inlineStr">
        <is>
          <t>SKELLEFTEÅ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17086-2023</t>
        </is>
      </c>
      <c r="B1948" s="1" t="n">
        <v>45030</v>
      </c>
      <c r="C1948" s="1" t="n">
        <v>45760</v>
      </c>
      <c r="D1948" t="inlineStr">
        <is>
          <t>VÄSTERBOTTENS LÄN</t>
        </is>
      </c>
      <c r="E1948" t="inlineStr">
        <is>
          <t>SKELLEFTEÅ</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17071-2023</t>
        </is>
      </c>
      <c r="B1949" s="1" t="n">
        <v>45030</v>
      </c>
      <c r="C1949" s="1" t="n">
        <v>45760</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16858-2023</t>
        </is>
      </c>
      <c r="B1950" s="1" t="n">
        <v>45033</v>
      </c>
      <c r="C1950" s="1" t="n">
        <v>45760</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16998-2023</t>
        </is>
      </c>
      <c r="B1951" s="1" t="n">
        <v>45033</v>
      </c>
      <c r="C1951" s="1" t="n">
        <v>45760</v>
      </c>
      <c r="D1951" t="inlineStr">
        <is>
          <t>VÄSTERBOTTENS LÄN</t>
        </is>
      </c>
      <c r="E1951" t="inlineStr">
        <is>
          <t>SKELLEFTEÅ</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17208-2023</t>
        </is>
      </c>
      <c r="B1952" s="1" t="n">
        <v>45035</v>
      </c>
      <c r="C1952" s="1" t="n">
        <v>45760</v>
      </c>
      <c r="D1952" t="inlineStr">
        <is>
          <t>VÄSTERBOTTENS LÄN</t>
        </is>
      </c>
      <c r="E1952" t="inlineStr">
        <is>
          <t>SKELLEFTEÅ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17205-2023</t>
        </is>
      </c>
      <c r="B1953" s="1" t="n">
        <v>45035</v>
      </c>
      <c r="C1953" s="1" t="n">
        <v>45760</v>
      </c>
      <c r="D1953" t="inlineStr">
        <is>
          <t>VÄSTERBOTTENS LÄN</t>
        </is>
      </c>
      <c r="E1953" t="inlineStr">
        <is>
          <t>SKELLEFTEÅ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17365-2023</t>
        </is>
      </c>
      <c r="B1954" s="1" t="n">
        <v>45034</v>
      </c>
      <c r="C1954" s="1" t="n">
        <v>45760</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17482-2023</t>
        </is>
      </c>
      <c r="B1955" s="1" t="n">
        <v>45034</v>
      </c>
      <c r="C1955" s="1" t="n">
        <v>45760</v>
      </c>
      <c r="D1955" t="inlineStr">
        <is>
          <t>VÄSTERBOTTENS LÄN</t>
        </is>
      </c>
      <c r="E1955" t="inlineStr">
        <is>
          <t>SKELLEFTEÅ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17478-2023</t>
        </is>
      </c>
      <c r="B1956" s="1" t="n">
        <v>45034</v>
      </c>
      <c r="C1956" s="1" t="n">
        <v>45760</v>
      </c>
      <c r="D1956" t="inlineStr">
        <is>
          <t>VÄSTERBOTTENS LÄN</t>
        </is>
      </c>
      <c r="E1956" t="inlineStr">
        <is>
          <t>SKELLEFTEÅ</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17487-2023</t>
        </is>
      </c>
      <c r="B1957" s="1" t="n">
        <v>45034</v>
      </c>
      <c r="C1957" s="1" t="n">
        <v>45760</v>
      </c>
      <c r="D1957" t="inlineStr">
        <is>
          <t>VÄSTERBOTTENS LÄN</t>
        </is>
      </c>
      <c r="E1957" t="inlineStr">
        <is>
          <t>SKELLEFTEÅ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17483-2023</t>
        </is>
      </c>
      <c r="B1958" s="1" t="n">
        <v>45034</v>
      </c>
      <c r="C1958" s="1" t="n">
        <v>45760</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17485-2023</t>
        </is>
      </c>
      <c r="B1959" s="1" t="n">
        <v>45034</v>
      </c>
      <c r="C1959" s="1" t="n">
        <v>45760</v>
      </c>
      <c r="D1959" t="inlineStr">
        <is>
          <t>VÄSTERBOTTENS LÄN</t>
        </is>
      </c>
      <c r="E1959" t="inlineStr">
        <is>
          <t>SKELLEFTEÅ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17444-2023</t>
        </is>
      </c>
      <c r="B1960" s="1" t="n">
        <v>45036</v>
      </c>
      <c r="C1960" s="1" t="n">
        <v>45760</v>
      </c>
      <c r="D1960" t="inlineStr">
        <is>
          <t>VÄSTERBOTTENS LÄN</t>
        </is>
      </c>
      <c r="E1960" t="inlineStr">
        <is>
          <t>SKELLEFTEÅ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17446-2023</t>
        </is>
      </c>
      <c r="B1961" s="1" t="n">
        <v>45036</v>
      </c>
      <c r="C1961" s="1" t="n">
        <v>45760</v>
      </c>
      <c r="D1961" t="inlineStr">
        <is>
          <t>VÄSTERBOTTENS LÄN</t>
        </is>
      </c>
      <c r="E1961" t="inlineStr">
        <is>
          <t>SKELLEFTEÅ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17659-2023</t>
        </is>
      </c>
      <c r="B1962" s="1" t="n">
        <v>45037</v>
      </c>
      <c r="C1962" s="1" t="n">
        <v>45760</v>
      </c>
      <c r="D1962" t="inlineStr">
        <is>
          <t>VÄSTERBOTTENS LÄN</t>
        </is>
      </c>
      <c r="E1962" t="inlineStr">
        <is>
          <t>SKELLEFTEÅ</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17755-2023</t>
        </is>
      </c>
      <c r="B1963" s="1" t="n">
        <v>45036</v>
      </c>
      <c r="C1963" s="1" t="n">
        <v>45760</v>
      </c>
      <c r="D1963" t="inlineStr">
        <is>
          <t>VÄSTERBOTTENS LÄN</t>
        </is>
      </c>
      <c r="E1963" t="inlineStr">
        <is>
          <t>SKELLEFTEÅ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17842-2023</t>
        </is>
      </c>
      <c r="B1964" s="1" t="n">
        <v>45037</v>
      </c>
      <c r="C1964" s="1" t="n">
        <v>45760</v>
      </c>
      <c r="D1964" t="inlineStr">
        <is>
          <t>VÄSTERBOTTENS LÄN</t>
        </is>
      </c>
      <c r="E1964" t="inlineStr">
        <is>
          <t>SKELLEFTEÅ</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18035-2023</t>
        </is>
      </c>
      <c r="B1965" s="1" t="n">
        <v>45037</v>
      </c>
      <c r="C1965" s="1" t="n">
        <v>45760</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18016-2023</t>
        </is>
      </c>
      <c r="B1966" s="1" t="n">
        <v>45040</v>
      </c>
      <c r="C1966" s="1" t="n">
        <v>45760</v>
      </c>
      <c r="D1966" t="inlineStr">
        <is>
          <t>VÄSTERBOTTENS LÄN</t>
        </is>
      </c>
      <c r="E1966" t="inlineStr">
        <is>
          <t>SKELLEFTEÅ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18357-2023</t>
        </is>
      </c>
      <c r="B1967" s="1" t="n">
        <v>45041</v>
      </c>
      <c r="C1967" s="1" t="n">
        <v>45760</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18455-2023</t>
        </is>
      </c>
      <c r="B1968" s="1" t="n">
        <v>45041</v>
      </c>
      <c r="C1968" s="1" t="n">
        <v>45760</v>
      </c>
      <c r="D1968" t="inlineStr">
        <is>
          <t>VÄSTERBOTTENS LÄN</t>
        </is>
      </c>
      <c r="E1968" t="inlineStr">
        <is>
          <t>SKELLEFTEÅ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18607-2023</t>
        </is>
      </c>
      <c r="B1969" s="1" t="n">
        <v>45041</v>
      </c>
      <c r="C1969" s="1" t="n">
        <v>45760</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18479-2023</t>
        </is>
      </c>
      <c r="B1970" s="1" t="n">
        <v>45042</v>
      </c>
      <c r="C1970" s="1" t="n">
        <v>45760</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18501-2023</t>
        </is>
      </c>
      <c r="B1971" s="1" t="n">
        <v>45042</v>
      </c>
      <c r="C1971" s="1" t="n">
        <v>45760</v>
      </c>
      <c r="D1971" t="inlineStr">
        <is>
          <t>VÄSTERBOTTENS LÄN</t>
        </is>
      </c>
      <c r="E1971" t="inlineStr">
        <is>
          <t>SKELLEFTEÅ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18478-2023</t>
        </is>
      </c>
      <c r="B1972" s="1" t="n">
        <v>45042</v>
      </c>
      <c r="C1972" s="1" t="n">
        <v>45760</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18701-2023</t>
        </is>
      </c>
      <c r="B1973" s="1" t="n">
        <v>45042</v>
      </c>
      <c r="C1973" s="1" t="n">
        <v>45760</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18709-2023</t>
        </is>
      </c>
      <c r="B1974" s="1" t="n">
        <v>45043</v>
      </c>
      <c r="C1974" s="1" t="n">
        <v>45760</v>
      </c>
      <c r="D1974" t="inlineStr">
        <is>
          <t>VÄSTERBOTTENS LÄN</t>
        </is>
      </c>
      <c r="E1974" t="inlineStr">
        <is>
          <t>SKELLEFTEÅ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19066-2023</t>
        </is>
      </c>
      <c r="B1975" s="1" t="n">
        <v>45043</v>
      </c>
      <c r="C1975" s="1" t="n">
        <v>45760</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18975-2023</t>
        </is>
      </c>
      <c r="B1976" s="1" t="n">
        <v>45044</v>
      </c>
      <c r="C1976" s="1" t="n">
        <v>45760</v>
      </c>
      <c r="D1976" t="inlineStr">
        <is>
          <t>VÄSTERBOTTENS LÄN</t>
        </is>
      </c>
      <c r="E1976" t="inlineStr">
        <is>
          <t>SKELLEFTEÅ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18819-2023</t>
        </is>
      </c>
      <c r="B1977" s="1" t="n">
        <v>45044</v>
      </c>
      <c r="C1977" s="1" t="n">
        <v>45760</v>
      </c>
      <c r="D1977" t="inlineStr">
        <is>
          <t>VÄSTERBOTTENS LÄN</t>
        </is>
      </c>
      <c r="E1977" t="inlineStr">
        <is>
          <t>SKELLEFTEÅ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19073-2023</t>
        </is>
      </c>
      <c r="B1978" s="1" t="n">
        <v>45048</v>
      </c>
      <c r="C1978" s="1" t="n">
        <v>45760</v>
      </c>
      <c r="D1978" t="inlineStr">
        <is>
          <t>VÄSTERBOTTENS LÄN</t>
        </is>
      </c>
      <c r="E1978" t="inlineStr">
        <is>
          <t>SKELLEFTEÅ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19349-2023</t>
        </is>
      </c>
      <c r="B1979" s="1" t="n">
        <v>45049</v>
      </c>
      <c r="C1979" s="1" t="n">
        <v>45760</v>
      </c>
      <c r="D1979" t="inlineStr">
        <is>
          <t>VÄSTERBOTTENS LÄN</t>
        </is>
      </c>
      <c r="E1979" t="inlineStr">
        <is>
          <t>SKELLEFTEÅ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19424-2023</t>
        </is>
      </c>
      <c r="B1980" s="1" t="n">
        <v>45050</v>
      </c>
      <c r="C1980" s="1" t="n">
        <v>45760</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19422-2023</t>
        </is>
      </c>
      <c r="B1981" s="1" t="n">
        <v>45049</v>
      </c>
      <c r="C1981" s="1" t="n">
        <v>45760</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19428-2023</t>
        </is>
      </c>
      <c r="B1982" s="1" t="n">
        <v>45050</v>
      </c>
      <c r="C1982" s="1" t="n">
        <v>45760</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19491-2023</t>
        </is>
      </c>
      <c r="B1983" s="1" t="n">
        <v>45049</v>
      </c>
      <c r="C1983" s="1" t="n">
        <v>45760</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19498-2023</t>
        </is>
      </c>
      <c r="B1984" s="1" t="n">
        <v>45049</v>
      </c>
      <c r="C1984" s="1" t="n">
        <v>45760</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20080-2023</t>
        </is>
      </c>
      <c r="B1985" s="1" t="n">
        <v>45055</v>
      </c>
      <c r="C1985" s="1" t="n">
        <v>45760</v>
      </c>
      <c r="D1985" t="inlineStr">
        <is>
          <t>VÄSTERBOTTENS LÄN</t>
        </is>
      </c>
      <c r="E1985" t="inlineStr">
        <is>
          <t>SKELLEFTEÅ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20301-2023</t>
        </is>
      </c>
      <c r="B1986" s="1" t="n">
        <v>45056</v>
      </c>
      <c r="C1986" s="1" t="n">
        <v>45760</v>
      </c>
      <c r="D1986" t="inlineStr">
        <is>
          <t>VÄSTERBOTTENS LÄN</t>
        </is>
      </c>
      <c r="E1986" t="inlineStr">
        <is>
          <t>SKELLEFTEÅ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20290-2023</t>
        </is>
      </c>
      <c r="B1987" s="1" t="n">
        <v>45056</v>
      </c>
      <c r="C1987" s="1" t="n">
        <v>45760</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20499-2023</t>
        </is>
      </c>
      <c r="B1988" s="1" t="n">
        <v>45057</v>
      </c>
      <c r="C1988" s="1" t="n">
        <v>45760</v>
      </c>
      <c r="D1988" t="inlineStr">
        <is>
          <t>VÄSTERBOTTENS LÄN</t>
        </is>
      </c>
      <c r="E1988" t="inlineStr">
        <is>
          <t>SKELLEFTEÅ</t>
        </is>
      </c>
      <c r="F1988" t="inlineStr">
        <is>
          <t>Sveaskog</t>
        </is>
      </c>
      <c r="G1988" t="n">
        <v>12.9</v>
      </c>
      <c r="H1988" t="n">
        <v>0</v>
      </c>
      <c r="I1988" t="n">
        <v>0</v>
      </c>
      <c r="J1988" t="n">
        <v>0</v>
      </c>
      <c r="K1988" t="n">
        <v>0</v>
      </c>
      <c r="L1988" t="n">
        <v>0</v>
      </c>
      <c r="M1988" t="n">
        <v>0</v>
      </c>
      <c r="N1988" t="n">
        <v>0</v>
      </c>
      <c r="O1988" t="n">
        <v>0</v>
      </c>
      <c r="P1988" t="n">
        <v>0</v>
      </c>
      <c r="Q1988" t="n">
        <v>0</v>
      </c>
      <c r="R1988" s="2" t="inlineStr"/>
    </row>
    <row r="1989" ht="15" customHeight="1">
      <c r="A1989" t="inlineStr">
        <is>
          <t>A 21238-2023</t>
        </is>
      </c>
      <c r="B1989" s="1" t="n">
        <v>45058</v>
      </c>
      <c r="C1989" s="1" t="n">
        <v>45760</v>
      </c>
      <c r="D1989" t="inlineStr">
        <is>
          <t>VÄSTERBOTTENS LÄN</t>
        </is>
      </c>
      <c r="E1989" t="inlineStr">
        <is>
          <t>SKELLEFTEÅ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21336-2023</t>
        </is>
      </c>
      <c r="B1990" s="1" t="n">
        <v>45062</v>
      </c>
      <c r="C1990" s="1" t="n">
        <v>45760</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21565-2023</t>
        </is>
      </c>
      <c r="B1991" s="1" t="n">
        <v>45062</v>
      </c>
      <c r="C1991" s="1" t="n">
        <v>45760</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21463-2023</t>
        </is>
      </c>
      <c r="B1992" s="1" t="n">
        <v>45063</v>
      </c>
      <c r="C1992" s="1" t="n">
        <v>45760</v>
      </c>
      <c r="D1992" t="inlineStr">
        <is>
          <t>VÄSTERBOTTENS LÄN</t>
        </is>
      </c>
      <c r="E1992" t="inlineStr">
        <is>
          <t>SKELLEFTEÅ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22341-2023</t>
        </is>
      </c>
      <c r="B1993" s="1" t="n">
        <v>45068</v>
      </c>
      <c r="C1993" s="1" t="n">
        <v>45760</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22351-2023</t>
        </is>
      </c>
      <c r="B1994" s="1" t="n">
        <v>45068</v>
      </c>
      <c r="C1994" s="1" t="n">
        <v>45760</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22334-2023</t>
        </is>
      </c>
      <c r="B1995" s="1" t="n">
        <v>45068</v>
      </c>
      <c r="C1995" s="1" t="n">
        <v>45760</v>
      </c>
      <c r="D1995" t="inlineStr">
        <is>
          <t>VÄSTERBOTTENS LÄN</t>
        </is>
      </c>
      <c r="E1995" t="inlineStr">
        <is>
          <t>SKELLEFTEÅ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22062-2023</t>
        </is>
      </c>
      <c r="B1996" s="1" t="n">
        <v>45069</v>
      </c>
      <c r="C1996" s="1" t="n">
        <v>45760</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22121-2023</t>
        </is>
      </c>
      <c r="B1997" s="1" t="n">
        <v>45069</v>
      </c>
      <c r="C1997" s="1" t="n">
        <v>45760</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22060-2023</t>
        </is>
      </c>
      <c r="B1998" s="1" t="n">
        <v>45069</v>
      </c>
      <c r="C1998" s="1" t="n">
        <v>45760</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22064-2023</t>
        </is>
      </c>
      <c r="B1999" s="1" t="n">
        <v>45069</v>
      </c>
      <c r="C1999" s="1" t="n">
        <v>45760</v>
      </c>
      <c r="D1999" t="inlineStr">
        <is>
          <t>VÄSTERBOTTENS LÄN</t>
        </is>
      </c>
      <c r="E1999" t="inlineStr">
        <is>
          <t>SKELLEFTEÅ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22025-2023</t>
        </is>
      </c>
      <c r="B2000" s="1" t="n">
        <v>45069</v>
      </c>
      <c r="C2000" s="1" t="n">
        <v>45760</v>
      </c>
      <c r="D2000" t="inlineStr">
        <is>
          <t>VÄSTERBOTTENS LÄN</t>
        </is>
      </c>
      <c r="E2000" t="inlineStr">
        <is>
          <t>SKELLEFTEÅ</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22045-2023</t>
        </is>
      </c>
      <c r="B2001" s="1" t="n">
        <v>45069</v>
      </c>
      <c r="C2001" s="1" t="n">
        <v>45760</v>
      </c>
      <c r="D2001" t="inlineStr">
        <is>
          <t>VÄSTERBOTTENS LÄN</t>
        </is>
      </c>
      <c r="E2001" t="inlineStr">
        <is>
          <t>SKELLEFTEÅ</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22516-2023</t>
        </is>
      </c>
      <c r="B2002" s="1" t="n">
        <v>45069</v>
      </c>
      <c r="C2002" s="1" t="n">
        <v>45760</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22548-2023</t>
        </is>
      </c>
      <c r="B2003" s="1" t="n">
        <v>45069</v>
      </c>
      <c r="C2003" s="1" t="n">
        <v>45760</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22020-2023</t>
        </is>
      </c>
      <c r="B2004" s="1" t="n">
        <v>45069</v>
      </c>
      <c r="C2004" s="1" t="n">
        <v>45760</v>
      </c>
      <c r="D2004" t="inlineStr">
        <is>
          <t>VÄSTERBOTTENS LÄN</t>
        </is>
      </c>
      <c r="E2004" t="inlineStr">
        <is>
          <t>SKELLEFTEÅ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22344-2023</t>
        </is>
      </c>
      <c r="B2005" s="1" t="n">
        <v>45070</v>
      </c>
      <c r="C2005" s="1" t="n">
        <v>45760</v>
      </c>
      <c r="D2005" t="inlineStr">
        <is>
          <t>VÄSTERBOTTENS LÄN</t>
        </is>
      </c>
      <c r="E2005" t="inlineStr">
        <is>
          <t>SKELLEFTEÅ</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22461-2023</t>
        </is>
      </c>
      <c r="B2006" s="1" t="n">
        <v>45071</v>
      </c>
      <c r="C2006" s="1" t="n">
        <v>45760</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22579-2023</t>
        </is>
      </c>
      <c r="B2007" s="1" t="n">
        <v>45071</v>
      </c>
      <c r="C2007" s="1" t="n">
        <v>45760</v>
      </c>
      <c r="D2007" t="inlineStr">
        <is>
          <t>VÄSTERBOTTENS LÄN</t>
        </is>
      </c>
      <c r="E2007" t="inlineStr">
        <is>
          <t>SKELLEFTEÅ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22735-2023</t>
        </is>
      </c>
      <c r="B2008" s="1" t="n">
        <v>45071</v>
      </c>
      <c r="C2008" s="1" t="n">
        <v>45760</v>
      </c>
      <c r="D2008" t="inlineStr">
        <is>
          <t>VÄSTERBOTTENS LÄN</t>
        </is>
      </c>
      <c r="E2008" t="inlineStr">
        <is>
          <t>SKELLEFTEÅ</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23704-2023</t>
        </is>
      </c>
      <c r="B2009" s="1" t="n">
        <v>45075</v>
      </c>
      <c r="C2009" s="1" t="n">
        <v>45760</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23710-2023</t>
        </is>
      </c>
      <c r="B2010" s="1" t="n">
        <v>45075</v>
      </c>
      <c r="C2010" s="1" t="n">
        <v>45760</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23709-2023</t>
        </is>
      </c>
      <c r="B2011" s="1" t="n">
        <v>45075</v>
      </c>
      <c r="C2011" s="1" t="n">
        <v>45760</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23458-2023</t>
        </is>
      </c>
      <c r="B2012" s="1" t="n">
        <v>45076</v>
      </c>
      <c r="C2012" s="1" t="n">
        <v>45760</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23420-2023</t>
        </is>
      </c>
      <c r="B2013" s="1" t="n">
        <v>45076</v>
      </c>
      <c r="C2013" s="1" t="n">
        <v>45760</v>
      </c>
      <c r="D2013" t="inlineStr">
        <is>
          <t>VÄSTERBOTTENS LÄN</t>
        </is>
      </c>
      <c r="E2013" t="inlineStr">
        <is>
          <t>SKELLEFTEÅ</t>
        </is>
      </c>
      <c r="F2013" t="inlineStr">
        <is>
          <t>Holmen skog AB</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23430-2023</t>
        </is>
      </c>
      <c r="B2014" s="1" t="n">
        <v>45076</v>
      </c>
      <c r="C2014" s="1" t="n">
        <v>45760</v>
      </c>
      <c r="D2014" t="inlineStr">
        <is>
          <t>VÄSTERBOTTENS LÄN</t>
        </is>
      </c>
      <c r="E2014" t="inlineStr">
        <is>
          <t>SKELLEFTEÅ</t>
        </is>
      </c>
      <c r="F2014" t="inlineStr">
        <is>
          <t>Holmen skog AB</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24430-2023</t>
        </is>
      </c>
      <c r="B2015" s="1" t="n">
        <v>45076</v>
      </c>
      <c r="C2015" s="1" t="n">
        <v>45760</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23714-2023</t>
        </is>
      </c>
      <c r="B2016" s="1" t="n">
        <v>45077</v>
      </c>
      <c r="C2016" s="1" t="n">
        <v>45760</v>
      </c>
      <c r="D2016" t="inlineStr">
        <is>
          <t>VÄSTERBOTTENS LÄN</t>
        </is>
      </c>
      <c r="E2016" t="inlineStr">
        <is>
          <t>SKELLEFTEÅ</t>
        </is>
      </c>
      <c r="F2016" t="inlineStr">
        <is>
          <t>Holmen skog AB</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23757-2023</t>
        </is>
      </c>
      <c r="B2017" s="1" t="n">
        <v>45077</v>
      </c>
      <c r="C2017" s="1" t="n">
        <v>45760</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23761-2023</t>
        </is>
      </c>
      <c r="B2018" s="1" t="n">
        <v>45077</v>
      </c>
      <c r="C2018" s="1" t="n">
        <v>45760</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23760-2023</t>
        </is>
      </c>
      <c r="B2019" s="1" t="n">
        <v>45077</v>
      </c>
      <c r="C2019" s="1" t="n">
        <v>45760</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23750-2023</t>
        </is>
      </c>
      <c r="B2020" s="1" t="n">
        <v>45077</v>
      </c>
      <c r="C2020" s="1" t="n">
        <v>45760</v>
      </c>
      <c r="D2020" t="inlineStr">
        <is>
          <t>VÄSTERBOTTENS LÄN</t>
        </is>
      </c>
      <c r="E2020" t="inlineStr">
        <is>
          <t>SKELLEFTEÅ</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23759-2023</t>
        </is>
      </c>
      <c r="B2021" s="1" t="n">
        <v>45077</v>
      </c>
      <c r="C2021" s="1" t="n">
        <v>45760</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25256-2023</t>
        </is>
      </c>
      <c r="B2022" s="1" t="n">
        <v>45079</v>
      </c>
      <c r="C2022" s="1" t="n">
        <v>45760</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25237-2023</t>
        </is>
      </c>
      <c r="B2023" s="1" t="n">
        <v>45079</v>
      </c>
      <c r="C2023" s="1" t="n">
        <v>45760</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24327-2023</t>
        </is>
      </c>
      <c r="B2024" s="1" t="n">
        <v>45080</v>
      </c>
      <c r="C2024" s="1" t="n">
        <v>45760</v>
      </c>
      <c r="D2024" t="inlineStr">
        <is>
          <t>VÄSTERBOTTENS LÄN</t>
        </is>
      </c>
      <c r="E2024" t="inlineStr">
        <is>
          <t>SKELLEFTEÅ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24320-2023</t>
        </is>
      </c>
      <c r="B2025" s="1" t="n">
        <v>45080</v>
      </c>
      <c r="C2025" s="1" t="n">
        <v>45760</v>
      </c>
      <c r="D2025" t="inlineStr">
        <is>
          <t>VÄSTERBOTTENS LÄN</t>
        </is>
      </c>
      <c r="E2025" t="inlineStr">
        <is>
          <t>SKELLEFTEÅ</t>
        </is>
      </c>
      <c r="F2025" t="inlineStr">
        <is>
          <t>Sveaskog</t>
        </is>
      </c>
      <c r="G2025" t="n">
        <v>27.5</v>
      </c>
      <c r="H2025" t="n">
        <v>0</v>
      </c>
      <c r="I2025" t="n">
        <v>0</v>
      </c>
      <c r="J2025" t="n">
        <v>0</v>
      </c>
      <c r="K2025" t="n">
        <v>0</v>
      </c>
      <c r="L2025" t="n">
        <v>0</v>
      </c>
      <c r="M2025" t="n">
        <v>0</v>
      </c>
      <c r="N2025" t="n">
        <v>0</v>
      </c>
      <c r="O2025" t="n">
        <v>0</v>
      </c>
      <c r="P2025" t="n">
        <v>0</v>
      </c>
      <c r="Q2025" t="n">
        <v>0</v>
      </c>
      <c r="R2025" s="2" t="inlineStr"/>
    </row>
    <row r="2026" ht="15" customHeight="1">
      <c r="A2026" t="inlineStr">
        <is>
          <t>A 24805-2023</t>
        </is>
      </c>
      <c r="B2026" s="1" t="n">
        <v>45084</v>
      </c>
      <c r="C2026" s="1" t="n">
        <v>45760</v>
      </c>
      <c r="D2026" t="inlineStr">
        <is>
          <t>VÄSTERBOTTENS LÄN</t>
        </is>
      </c>
      <c r="E2026" t="inlineStr">
        <is>
          <t>SKELLEFTEÅ</t>
        </is>
      </c>
      <c r="F2026" t="inlineStr">
        <is>
          <t>Sveaskog</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25632-2023</t>
        </is>
      </c>
      <c r="B2027" s="1" t="n">
        <v>45084</v>
      </c>
      <c r="C2027" s="1" t="n">
        <v>45760</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25634-2023</t>
        </is>
      </c>
      <c r="B2028" s="1" t="n">
        <v>45084</v>
      </c>
      <c r="C2028" s="1" t="n">
        <v>45760</v>
      </c>
      <c r="D2028" t="inlineStr">
        <is>
          <t>VÄSTERBOTTENS LÄN</t>
        </is>
      </c>
      <c r="E2028" t="inlineStr">
        <is>
          <t>SKELLEFTEÅ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25626-2023</t>
        </is>
      </c>
      <c r="B2029" s="1" t="n">
        <v>45084</v>
      </c>
      <c r="C2029" s="1" t="n">
        <v>45760</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25638-2023</t>
        </is>
      </c>
      <c r="B2030" s="1" t="n">
        <v>45084</v>
      </c>
      <c r="C2030" s="1" t="n">
        <v>45760</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24963-2023</t>
        </is>
      </c>
      <c r="B2031" s="1" t="n">
        <v>45085</v>
      </c>
      <c r="C2031" s="1" t="n">
        <v>45760</v>
      </c>
      <c r="D2031" t="inlineStr">
        <is>
          <t>VÄSTERBOTTENS LÄN</t>
        </is>
      </c>
      <c r="E2031" t="inlineStr">
        <is>
          <t>SKELLEFTEÅ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25019-2023</t>
        </is>
      </c>
      <c r="B2032" s="1" t="n">
        <v>45085</v>
      </c>
      <c r="C2032" s="1" t="n">
        <v>45760</v>
      </c>
      <c r="D2032" t="inlineStr">
        <is>
          <t>VÄSTERBOTTENS LÄN</t>
        </is>
      </c>
      <c r="E2032" t="inlineStr">
        <is>
          <t>SKELLEFTEÅ</t>
        </is>
      </c>
      <c r="F2032" t="inlineStr">
        <is>
          <t>Sveaskog</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25401-2023</t>
        </is>
      </c>
      <c r="B2033" s="1" t="n">
        <v>45089</v>
      </c>
      <c r="C2033" s="1" t="n">
        <v>45760</v>
      </c>
      <c r="D2033" t="inlineStr">
        <is>
          <t>VÄSTERBOTTENS LÄN</t>
        </is>
      </c>
      <c r="E2033" t="inlineStr">
        <is>
          <t>SKELLEFTEÅ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25787-2023</t>
        </is>
      </c>
      <c r="B2034" s="1" t="n">
        <v>45090</v>
      </c>
      <c r="C2034" s="1" t="n">
        <v>45760</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26783-2023</t>
        </is>
      </c>
      <c r="B2035" s="1" t="n">
        <v>45090</v>
      </c>
      <c r="C2035" s="1" t="n">
        <v>45760</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26767-2023</t>
        </is>
      </c>
      <c r="B2036" s="1" t="n">
        <v>45090</v>
      </c>
      <c r="C2036" s="1" t="n">
        <v>45760</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26160-2023</t>
        </is>
      </c>
      <c r="B2037" s="1" t="n">
        <v>45091</v>
      </c>
      <c r="C2037" s="1" t="n">
        <v>45760</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26217-2023</t>
        </is>
      </c>
      <c r="B2038" s="1" t="n">
        <v>45091</v>
      </c>
      <c r="C2038" s="1" t="n">
        <v>45760</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26334-2023</t>
        </is>
      </c>
      <c r="B2039" s="1" t="n">
        <v>45091</v>
      </c>
      <c r="C2039" s="1" t="n">
        <v>45760</v>
      </c>
      <c r="D2039" t="inlineStr">
        <is>
          <t>VÄSTERBOTTENS LÄN</t>
        </is>
      </c>
      <c r="E2039" t="inlineStr">
        <is>
          <t>SKELLEFTEÅ</t>
        </is>
      </c>
      <c r="F2039" t="inlineStr">
        <is>
          <t>Sveaskog</t>
        </is>
      </c>
      <c r="G2039" t="n">
        <v>20.4</v>
      </c>
      <c r="H2039" t="n">
        <v>0</v>
      </c>
      <c r="I2039" t="n">
        <v>0</v>
      </c>
      <c r="J2039" t="n">
        <v>0</v>
      </c>
      <c r="K2039" t="n">
        <v>0</v>
      </c>
      <c r="L2039" t="n">
        <v>0</v>
      </c>
      <c r="M2039" t="n">
        <v>0</v>
      </c>
      <c r="N2039" t="n">
        <v>0</v>
      </c>
      <c r="O2039" t="n">
        <v>0</v>
      </c>
      <c r="P2039" t="n">
        <v>0</v>
      </c>
      <c r="Q2039" t="n">
        <v>0</v>
      </c>
      <c r="R2039" s="2" t="inlineStr"/>
    </row>
    <row r="2040" ht="15" customHeight="1">
      <c r="A2040" t="inlineStr">
        <is>
          <t>A 26019-2023</t>
        </is>
      </c>
      <c r="B2040" s="1" t="n">
        <v>45091</v>
      </c>
      <c r="C2040" s="1" t="n">
        <v>45760</v>
      </c>
      <c r="D2040" t="inlineStr">
        <is>
          <t>VÄSTERBOTTENS LÄN</t>
        </is>
      </c>
      <c r="E2040" t="inlineStr">
        <is>
          <t>SKELLEFTEÅ</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26062-2023</t>
        </is>
      </c>
      <c r="B2041" s="1" t="n">
        <v>45091</v>
      </c>
      <c r="C2041" s="1" t="n">
        <v>45760</v>
      </c>
      <c r="D2041" t="inlineStr">
        <is>
          <t>VÄSTERBOTTENS LÄN</t>
        </is>
      </c>
      <c r="E2041" t="inlineStr">
        <is>
          <t>SKELLEFTEÅ</t>
        </is>
      </c>
      <c r="F2041" t="inlineStr">
        <is>
          <t>Holmen skog AB</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26095-2023</t>
        </is>
      </c>
      <c r="B2042" s="1" t="n">
        <v>45091</v>
      </c>
      <c r="C2042" s="1" t="n">
        <v>45760</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26154-2023</t>
        </is>
      </c>
      <c r="B2043" s="1" t="n">
        <v>45091</v>
      </c>
      <c r="C2043" s="1" t="n">
        <v>45760</v>
      </c>
      <c r="D2043" t="inlineStr">
        <is>
          <t>VÄSTERBOTTENS LÄN</t>
        </is>
      </c>
      <c r="E2043" t="inlineStr">
        <is>
          <t>SKELLEFTEÅ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45760</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26978-2023</t>
        </is>
      </c>
      <c r="B2045" s="1" t="n">
        <v>45091</v>
      </c>
      <c r="C2045" s="1" t="n">
        <v>45760</v>
      </c>
      <c r="D2045" t="inlineStr">
        <is>
          <t>VÄSTERBOTTENS LÄN</t>
        </is>
      </c>
      <c r="E2045" t="inlineStr">
        <is>
          <t>SKELLEFTEÅ</t>
        </is>
      </c>
      <c r="G2045" t="n">
        <v>9.199999999999999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26462-2023</t>
        </is>
      </c>
      <c r="B2046" s="1" t="n">
        <v>45092</v>
      </c>
      <c r="C2046" s="1" t="n">
        <v>45760</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26632-2023</t>
        </is>
      </c>
      <c r="B2047" s="1" t="n">
        <v>45092</v>
      </c>
      <c r="C2047" s="1" t="n">
        <v>45760</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26648-2023</t>
        </is>
      </c>
      <c r="B2048" s="1" t="n">
        <v>45093</v>
      </c>
      <c r="C2048" s="1" t="n">
        <v>45760</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26649-2023</t>
        </is>
      </c>
      <c r="B2049" s="1" t="n">
        <v>45093</v>
      </c>
      <c r="C2049" s="1" t="n">
        <v>45760</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26645-2023</t>
        </is>
      </c>
      <c r="B2050" s="1" t="n">
        <v>45093</v>
      </c>
      <c r="C2050" s="1" t="n">
        <v>45760</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26631-2023</t>
        </is>
      </c>
      <c r="B2051" s="1" t="n">
        <v>45092</v>
      </c>
      <c r="C2051" s="1" t="n">
        <v>45760</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26686-2023</t>
        </is>
      </c>
      <c r="B2052" s="1" t="n">
        <v>45093</v>
      </c>
      <c r="C2052" s="1" t="n">
        <v>45760</v>
      </c>
      <c r="D2052" t="inlineStr">
        <is>
          <t>VÄSTERBOTTENS LÄN</t>
        </is>
      </c>
      <c r="E2052" t="inlineStr">
        <is>
          <t>SKELLEFTEÅ</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26690-2023</t>
        </is>
      </c>
      <c r="B2053" s="1" t="n">
        <v>45093</v>
      </c>
      <c r="C2053" s="1" t="n">
        <v>45760</v>
      </c>
      <c r="D2053" t="inlineStr">
        <is>
          <t>VÄSTERBOTTENS LÄN</t>
        </is>
      </c>
      <c r="E2053" t="inlineStr">
        <is>
          <t>SKELLEFTEÅ</t>
        </is>
      </c>
      <c r="F2053" t="inlineStr">
        <is>
          <t>Kyrkan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26869-2023</t>
        </is>
      </c>
      <c r="B2054" s="1" t="n">
        <v>45093</v>
      </c>
      <c r="C2054" s="1" t="n">
        <v>45760</v>
      </c>
      <c r="D2054" t="inlineStr">
        <is>
          <t>VÄSTERBOTTENS LÄN</t>
        </is>
      </c>
      <c r="E2054" t="inlineStr">
        <is>
          <t>SKELLEFTEÅ</t>
        </is>
      </c>
      <c r="F2054" t="inlineStr">
        <is>
          <t>Holmen skog AB</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26720-2023</t>
        </is>
      </c>
      <c r="B2055" s="1" t="n">
        <v>45093</v>
      </c>
      <c r="C2055" s="1" t="n">
        <v>45760</v>
      </c>
      <c r="D2055" t="inlineStr">
        <is>
          <t>VÄSTERBOTTENS LÄN</t>
        </is>
      </c>
      <c r="E2055" t="inlineStr">
        <is>
          <t>SKELLEFTEÅ</t>
        </is>
      </c>
      <c r="F2055" t="inlineStr">
        <is>
          <t>Kyrkan</t>
        </is>
      </c>
      <c r="G2055" t="n">
        <v>25.4</v>
      </c>
      <c r="H2055" t="n">
        <v>0</v>
      </c>
      <c r="I2055" t="n">
        <v>0</v>
      </c>
      <c r="J2055" t="n">
        <v>0</v>
      </c>
      <c r="K2055" t="n">
        <v>0</v>
      </c>
      <c r="L2055" t="n">
        <v>0</v>
      </c>
      <c r="M2055" t="n">
        <v>0</v>
      </c>
      <c r="N2055" t="n">
        <v>0</v>
      </c>
      <c r="O2055" t="n">
        <v>0</v>
      </c>
      <c r="P2055" t="n">
        <v>0</v>
      </c>
      <c r="Q2055" t="n">
        <v>0</v>
      </c>
      <c r="R2055" s="2" t="inlineStr"/>
    </row>
    <row r="2056" ht="15" customHeight="1">
      <c r="A2056" t="inlineStr">
        <is>
          <t>A 26900-2023</t>
        </is>
      </c>
      <c r="B2056" s="1" t="n">
        <v>45093</v>
      </c>
      <c r="C2056" s="1" t="n">
        <v>45760</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26784-2023</t>
        </is>
      </c>
      <c r="B2057" s="1" t="n">
        <v>45093</v>
      </c>
      <c r="C2057" s="1" t="n">
        <v>45760</v>
      </c>
      <c r="D2057" t="inlineStr">
        <is>
          <t>VÄSTERBOTTENS LÄN</t>
        </is>
      </c>
      <c r="E2057" t="inlineStr">
        <is>
          <t>SKELLEFTEÅ</t>
        </is>
      </c>
      <c r="G2057" t="n">
        <v>19.5</v>
      </c>
      <c r="H2057" t="n">
        <v>0</v>
      </c>
      <c r="I2057" t="n">
        <v>0</v>
      </c>
      <c r="J2057" t="n">
        <v>0</v>
      </c>
      <c r="K2057" t="n">
        <v>0</v>
      </c>
      <c r="L2057" t="n">
        <v>0</v>
      </c>
      <c r="M2057" t="n">
        <v>0</v>
      </c>
      <c r="N2057" t="n">
        <v>0</v>
      </c>
      <c r="O2057" t="n">
        <v>0</v>
      </c>
      <c r="P2057" t="n">
        <v>0</v>
      </c>
      <c r="Q2057" t="n">
        <v>0</v>
      </c>
      <c r="R2057" s="2" t="inlineStr"/>
    </row>
    <row r="2058" ht="15" customHeight="1">
      <c r="A2058" t="inlineStr">
        <is>
          <t>A 27785-2023</t>
        </is>
      </c>
      <c r="B2058" s="1" t="n">
        <v>45093</v>
      </c>
      <c r="C2058" s="1" t="n">
        <v>45760</v>
      </c>
      <c r="D2058" t="inlineStr">
        <is>
          <t>VÄSTERBOTTENS LÄN</t>
        </is>
      </c>
      <c r="E2058" t="inlineStr">
        <is>
          <t>SKELLEFTEÅ</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27097-2023</t>
        </is>
      </c>
      <c r="B2059" s="1" t="n">
        <v>45096</v>
      </c>
      <c r="C2059" s="1" t="n">
        <v>45760</v>
      </c>
      <c r="D2059" t="inlineStr">
        <is>
          <t>VÄSTERBOTTENS LÄN</t>
        </is>
      </c>
      <c r="E2059" t="inlineStr">
        <is>
          <t>SKELLEFTEÅ</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27134-2023</t>
        </is>
      </c>
      <c r="B2060" s="1" t="n">
        <v>45096</v>
      </c>
      <c r="C2060" s="1" t="n">
        <v>45760</v>
      </c>
      <c r="D2060" t="inlineStr">
        <is>
          <t>VÄSTERBOTTENS LÄN</t>
        </is>
      </c>
      <c r="E2060" t="inlineStr">
        <is>
          <t>SKELLEFTEÅ</t>
        </is>
      </c>
      <c r="F2060" t="inlineStr">
        <is>
          <t>Holmen skog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27210-2023</t>
        </is>
      </c>
      <c r="B2061" s="1" t="n">
        <v>45096</v>
      </c>
      <c r="C2061" s="1" t="n">
        <v>45760</v>
      </c>
      <c r="D2061" t="inlineStr">
        <is>
          <t>VÄSTERBOTTENS LÄN</t>
        </is>
      </c>
      <c r="E2061" t="inlineStr">
        <is>
          <t>SKELLEFTEÅ</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27200-2023</t>
        </is>
      </c>
      <c r="B2062" s="1" t="n">
        <v>45096</v>
      </c>
      <c r="C2062" s="1" t="n">
        <v>45760</v>
      </c>
      <c r="D2062" t="inlineStr">
        <is>
          <t>VÄSTERBOTTENS LÄN</t>
        </is>
      </c>
      <c r="E2062" t="inlineStr">
        <is>
          <t>SKELLEFTEÅ</t>
        </is>
      </c>
      <c r="F2062" t="inlineStr">
        <is>
          <t>Holmen skog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27333-2023</t>
        </is>
      </c>
      <c r="B2063" s="1" t="n">
        <v>45096</v>
      </c>
      <c r="C2063" s="1" t="n">
        <v>45760</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27323-2023</t>
        </is>
      </c>
      <c r="B2064" s="1" t="n">
        <v>45096</v>
      </c>
      <c r="C2064" s="1" t="n">
        <v>45760</v>
      </c>
      <c r="D2064" t="inlineStr">
        <is>
          <t>VÄSTERBOTTENS LÄN</t>
        </is>
      </c>
      <c r="E2064" t="inlineStr">
        <is>
          <t>SKELLEFTEÅ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28153-2023</t>
        </is>
      </c>
      <c r="B2065" s="1" t="n">
        <v>45096</v>
      </c>
      <c r="C2065" s="1" t="n">
        <v>45760</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28166-2023</t>
        </is>
      </c>
      <c r="B2066" s="1" t="n">
        <v>45096</v>
      </c>
      <c r="C2066" s="1" t="n">
        <v>45760</v>
      </c>
      <c r="D2066" t="inlineStr">
        <is>
          <t>VÄSTERBOTTENS LÄN</t>
        </is>
      </c>
      <c r="E2066" t="inlineStr">
        <is>
          <t>SKELLEFTEÅ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28113-2023</t>
        </is>
      </c>
      <c r="B2067" s="1" t="n">
        <v>45096</v>
      </c>
      <c r="C2067" s="1" t="n">
        <v>45760</v>
      </c>
      <c r="D2067" t="inlineStr">
        <is>
          <t>VÄSTERBOTTENS LÄN</t>
        </is>
      </c>
      <c r="E2067" t="inlineStr">
        <is>
          <t>SKELLEFTEÅ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28158-2023</t>
        </is>
      </c>
      <c r="B2068" s="1" t="n">
        <v>45096</v>
      </c>
      <c r="C2068" s="1" t="n">
        <v>45760</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28171-2023</t>
        </is>
      </c>
      <c r="B2069" s="1" t="n">
        <v>45096</v>
      </c>
      <c r="C2069" s="1" t="n">
        <v>45760</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28203-2023</t>
        </is>
      </c>
      <c r="B2070" s="1" t="n">
        <v>45096</v>
      </c>
      <c r="C2070" s="1" t="n">
        <v>45760</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27322-2023</t>
        </is>
      </c>
      <c r="B2071" s="1" t="n">
        <v>45096</v>
      </c>
      <c r="C2071" s="1" t="n">
        <v>45760</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28191-2023</t>
        </is>
      </c>
      <c r="B2072" s="1" t="n">
        <v>45096</v>
      </c>
      <c r="C2072" s="1" t="n">
        <v>45760</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28192-2023</t>
        </is>
      </c>
      <c r="B2073" s="1" t="n">
        <v>45096</v>
      </c>
      <c r="C2073" s="1" t="n">
        <v>45760</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28175-2023</t>
        </is>
      </c>
      <c r="B2074" s="1" t="n">
        <v>45096</v>
      </c>
      <c r="C2074" s="1" t="n">
        <v>45760</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27433-2023</t>
        </is>
      </c>
      <c r="B2075" s="1" t="n">
        <v>45097</v>
      </c>
      <c r="C2075" s="1" t="n">
        <v>45760</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27504-2023</t>
        </is>
      </c>
      <c r="B2076" s="1" t="n">
        <v>45097</v>
      </c>
      <c r="C2076" s="1" t="n">
        <v>45760</v>
      </c>
      <c r="D2076" t="inlineStr">
        <is>
          <t>VÄSTERBOTTENS LÄN</t>
        </is>
      </c>
      <c r="E2076" t="inlineStr">
        <is>
          <t>SKELLEFTEÅ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27508-2023</t>
        </is>
      </c>
      <c r="B2077" s="1" t="n">
        <v>45097</v>
      </c>
      <c r="C2077" s="1" t="n">
        <v>45760</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27614-2023</t>
        </is>
      </c>
      <c r="B2078" s="1" t="n">
        <v>45097</v>
      </c>
      <c r="C2078" s="1" t="n">
        <v>45760</v>
      </c>
      <c r="D2078" t="inlineStr">
        <is>
          <t>VÄSTERBOTTENS LÄN</t>
        </is>
      </c>
      <c r="E2078" t="inlineStr">
        <is>
          <t>SKELLEFTEÅ</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27670-2023</t>
        </is>
      </c>
      <c r="B2079" s="1" t="n">
        <v>45097</v>
      </c>
      <c r="C2079" s="1" t="n">
        <v>45760</v>
      </c>
      <c r="D2079" t="inlineStr">
        <is>
          <t>VÄSTERBOTTENS LÄN</t>
        </is>
      </c>
      <c r="E2079" t="inlineStr">
        <is>
          <t>SKELLEFTEÅ</t>
        </is>
      </c>
      <c r="F2079" t="inlineStr">
        <is>
          <t>Sveaskog</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27766-2023</t>
        </is>
      </c>
      <c r="B2080" s="1" t="n">
        <v>45098</v>
      </c>
      <c r="C2080" s="1" t="n">
        <v>45760</v>
      </c>
      <c r="D2080" t="inlineStr">
        <is>
          <t>VÄSTERBOTTENS LÄN</t>
        </is>
      </c>
      <c r="E2080" t="inlineStr">
        <is>
          <t>SKELLEFTEÅ</t>
        </is>
      </c>
      <c r="F2080" t="inlineStr">
        <is>
          <t>Holmen skog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27829-2023</t>
        </is>
      </c>
      <c r="B2081" s="1" t="n">
        <v>45098</v>
      </c>
      <c r="C2081" s="1" t="n">
        <v>45760</v>
      </c>
      <c r="D2081" t="inlineStr">
        <is>
          <t>VÄSTERBOTTENS LÄN</t>
        </is>
      </c>
      <c r="E2081" t="inlineStr">
        <is>
          <t>SKELLEFTEÅ</t>
        </is>
      </c>
      <c r="F2081" t="inlineStr">
        <is>
          <t>Holmen skog AB</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27807-2023</t>
        </is>
      </c>
      <c r="B2082" s="1" t="n">
        <v>45098</v>
      </c>
      <c r="C2082" s="1" t="n">
        <v>45760</v>
      </c>
      <c r="D2082" t="inlineStr">
        <is>
          <t>VÄSTERBOTTENS LÄN</t>
        </is>
      </c>
      <c r="E2082" t="inlineStr">
        <is>
          <t>SKELLEFTEÅ</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27900-2023</t>
        </is>
      </c>
      <c r="B2083" s="1" t="n">
        <v>45098</v>
      </c>
      <c r="C2083" s="1" t="n">
        <v>45760</v>
      </c>
      <c r="D2083" t="inlineStr">
        <is>
          <t>VÄSTERBOTTENS LÄN</t>
        </is>
      </c>
      <c r="E2083" t="inlineStr">
        <is>
          <t>SKELLEFTEÅ</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27925-2023</t>
        </is>
      </c>
      <c r="B2084" s="1" t="n">
        <v>45098</v>
      </c>
      <c r="C2084" s="1" t="n">
        <v>45760</v>
      </c>
      <c r="D2084" t="inlineStr">
        <is>
          <t>VÄSTERBOTTENS LÄN</t>
        </is>
      </c>
      <c r="E2084" t="inlineStr">
        <is>
          <t>SKELLEFTEÅ</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27794-2023</t>
        </is>
      </c>
      <c r="B2085" s="1" t="n">
        <v>45098</v>
      </c>
      <c r="C2085" s="1" t="n">
        <v>45760</v>
      </c>
      <c r="D2085" t="inlineStr">
        <is>
          <t>VÄSTERBOTTENS LÄN</t>
        </is>
      </c>
      <c r="E2085" t="inlineStr">
        <is>
          <t>SKELLEFTEÅ</t>
        </is>
      </c>
      <c r="F2085" t="inlineStr">
        <is>
          <t>Holmen skog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29601-2023</t>
        </is>
      </c>
      <c r="B2086" s="1" t="n">
        <v>45098</v>
      </c>
      <c r="C2086" s="1" t="n">
        <v>45760</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28148-2023</t>
        </is>
      </c>
      <c r="B2087" s="1" t="n">
        <v>45099</v>
      </c>
      <c r="C2087" s="1" t="n">
        <v>45760</v>
      </c>
      <c r="D2087" t="inlineStr">
        <is>
          <t>VÄSTERBOTTENS LÄN</t>
        </is>
      </c>
      <c r="E2087" t="inlineStr">
        <is>
          <t>SKELLEFTEÅ</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28142-2023</t>
        </is>
      </c>
      <c r="B2088" s="1" t="n">
        <v>45099</v>
      </c>
      <c r="C2088" s="1" t="n">
        <v>45760</v>
      </c>
      <c r="D2088" t="inlineStr">
        <is>
          <t>VÄSTERBOTTENS LÄN</t>
        </is>
      </c>
      <c r="E2088" t="inlineStr">
        <is>
          <t>SKELLEFTEÅ</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28185-2023</t>
        </is>
      </c>
      <c r="B2089" s="1" t="n">
        <v>45099</v>
      </c>
      <c r="C2089" s="1" t="n">
        <v>45760</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28242-2023</t>
        </is>
      </c>
      <c r="B2090" s="1" t="n">
        <v>45099</v>
      </c>
      <c r="C2090" s="1" t="n">
        <v>45760</v>
      </c>
      <c r="D2090" t="inlineStr">
        <is>
          <t>VÄSTERBOTTENS LÄN</t>
        </is>
      </c>
      <c r="E2090" t="inlineStr">
        <is>
          <t>SKELLEFTEÅ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28160-2023</t>
        </is>
      </c>
      <c r="B2091" s="1" t="n">
        <v>45099</v>
      </c>
      <c r="C2091" s="1" t="n">
        <v>45760</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28199-2023</t>
        </is>
      </c>
      <c r="B2092" s="1" t="n">
        <v>45099</v>
      </c>
      <c r="C2092" s="1" t="n">
        <v>45760</v>
      </c>
      <c r="D2092" t="inlineStr">
        <is>
          <t>VÄSTERBOTTENS LÄN</t>
        </is>
      </c>
      <c r="E2092" t="inlineStr">
        <is>
          <t>SKELLEFTEÅ</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28360-2023</t>
        </is>
      </c>
      <c r="B2093" s="1" t="n">
        <v>45100</v>
      </c>
      <c r="C2093" s="1" t="n">
        <v>45760</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28358-2023</t>
        </is>
      </c>
      <c r="B2094" s="1" t="n">
        <v>45100</v>
      </c>
      <c r="C2094" s="1" t="n">
        <v>45760</v>
      </c>
      <c r="D2094" t="inlineStr">
        <is>
          <t>VÄSTERBOTTENS LÄN</t>
        </is>
      </c>
      <c r="E2094" t="inlineStr">
        <is>
          <t>SKELLEFTEÅ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29921-2023</t>
        </is>
      </c>
      <c r="B2095" s="1" t="n">
        <v>45099</v>
      </c>
      <c r="C2095" s="1" t="n">
        <v>45760</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30097-2023</t>
        </is>
      </c>
      <c r="B2096" s="1" t="n">
        <v>45099</v>
      </c>
      <c r="C2096" s="1" t="n">
        <v>45760</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30103-2023</t>
        </is>
      </c>
      <c r="B2097" s="1" t="n">
        <v>45099</v>
      </c>
      <c r="C2097" s="1" t="n">
        <v>45760</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30437-2023</t>
        </is>
      </c>
      <c r="B2098" s="1" t="n">
        <v>45099</v>
      </c>
      <c r="C2098" s="1" t="n">
        <v>45760</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30378-2023</t>
        </is>
      </c>
      <c r="B2099" s="1" t="n">
        <v>45099</v>
      </c>
      <c r="C2099" s="1" t="n">
        <v>45760</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28431-2023</t>
        </is>
      </c>
      <c r="B2100" s="1" t="n">
        <v>45102</v>
      </c>
      <c r="C2100" s="1" t="n">
        <v>45760</v>
      </c>
      <c r="D2100" t="inlineStr">
        <is>
          <t>VÄSTERBOTTENS LÄN</t>
        </is>
      </c>
      <c r="E2100" t="inlineStr">
        <is>
          <t>SKELLEFTEÅ</t>
        </is>
      </c>
      <c r="G2100" t="n">
        <v>8.9</v>
      </c>
      <c r="H2100" t="n">
        <v>0</v>
      </c>
      <c r="I2100" t="n">
        <v>0</v>
      </c>
      <c r="J2100" t="n">
        <v>0</v>
      </c>
      <c r="K2100" t="n">
        <v>0</v>
      </c>
      <c r="L2100" t="n">
        <v>0</v>
      </c>
      <c r="M2100" t="n">
        <v>0</v>
      </c>
      <c r="N2100" t="n">
        <v>0</v>
      </c>
      <c r="O2100" t="n">
        <v>0</v>
      </c>
      <c r="P2100" t="n">
        <v>0</v>
      </c>
      <c r="Q2100" t="n">
        <v>0</v>
      </c>
      <c r="R2100" s="2" t="inlineStr"/>
      <c r="U2100">
        <f>HYPERLINK("https://klasma.github.io/Logging_2482/knärot/A 28431-2023 karta knärot.png", "A 28431-2023")</f>
        <v/>
      </c>
      <c r="V2100">
        <f>HYPERLINK("https://klasma.github.io/Logging_2482/klagomål/A 28431-2023 FSC-klagomål.docx", "A 28431-2023")</f>
        <v/>
      </c>
      <c r="W2100">
        <f>HYPERLINK("https://klasma.github.io/Logging_2482/klagomålsmail/A 28431-2023 FSC-klagomål mail.docx", "A 28431-2023")</f>
        <v/>
      </c>
      <c r="X2100">
        <f>HYPERLINK("https://klasma.github.io/Logging_2482/tillsyn/A 28431-2023 tillsynsbegäran.docx", "A 28431-2023")</f>
        <v/>
      </c>
      <c r="Y2100">
        <f>HYPERLINK("https://klasma.github.io/Logging_2482/tillsynsmail/A 28431-2023 tillsynsbegäran mail.docx", "A 28431-2023")</f>
        <v/>
      </c>
    </row>
    <row r="2101" ht="15" customHeight="1">
      <c r="A2101" t="inlineStr">
        <is>
          <t>A 28433-2023</t>
        </is>
      </c>
      <c r="B2101" s="1" t="n">
        <v>45102</v>
      </c>
      <c r="C2101" s="1" t="n">
        <v>45760</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28509-2023</t>
        </is>
      </c>
      <c r="B2102" s="1" t="n">
        <v>45103</v>
      </c>
      <c r="C2102" s="1" t="n">
        <v>45760</v>
      </c>
      <c r="D2102" t="inlineStr">
        <is>
          <t>VÄSTERBOTTENS LÄN</t>
        </is>
      </c>
      <c r="E2102" t="inlineStr">
        <is>
          <t>SKELLEFTEÅ</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28641-2023</t>
        </is>
      </c>
      <c r="B2103" s="1" t="n">
        <v>45103</v>
      </c>
      <c r="C2103" s="1" t="n">
        <v>45760</v>
      </c>
      <c r="D2103" t="inlineStr">
        <is>
          <t>VÄSTERBOTTENS LÄN</t>
        </is>
      </c>
      <c r="E2103" t="inlineStr">
        <is>
          <t>SKELLEFTEÅ</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28710-2023</t>
        </is>
      </c>
      <c r="B2104" s="1" t="n">
        <v>45103</v>
      </c>
      <c r="C2104" s="1" t="n">
        <v>45760</v>
      </c>
      <c r="D2104" t="inlineStr">
        <is>
          <t>VÄSTERBOTTENS LÄN</t>
        </is>
      </c>
      <c r="E2104" t="inlineStr">
        <is>
          <t>SKELLEFTEÅ</t>
        </is>
      </c>
      <c r="F2104" t="inlineStr">
        <is>
          <t>Sveaskog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31006-2023</t>
        </is>
      </c>
      <c r="B2105" s="1" t="n">
        <v>45103</v>
      </c>
      <c r="C2105" s="1" t="n">
        <v>45760</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31555-2023</t>
        </is>
      </c>
      <c r="B2106" s="1" t="n">
        <v>45104</v>
      </c>
      <c r="C2106" s="1" t="n">
        <v>45760</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31558-2023</t>
        </is>
      </c>
      <c r="B2107" s="1" t="n">
        <v>45104</v>
      </c>
      <c r="C2107" s="1" t="n">
        <v>45760</v>
      </c>
      <c r="D2107" t="inlineStr">
        <is>
          <t>VÄSTERBOTTENS LÄN</t>
        </is>
      </c>
      <c r="E2107" t="inlineStr">
        <is>
          <t>SKELLEFTEÅ</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29152-2023</t>
        </is>
      </c>
      <c r="B2108" s="1" t="n">
        <v>45105</v>
      </c>
      <c r="C2108" s="1" t="n">
        <v>45760</v>
      </c>
      <c r="D2108" t="inlineStr">
        <is>
          <t>VÄSTERBOTTENS LÄN</t>
        </is>
      </c>
      <c r="E2108" t="inlineStr">
        <is>
          <t>SKELLEFTEÅ</t>
        </is>
      </c>
      <c r="F2108" t="inlineStr">
        <is>
          <t>Holmen skog AB</t>
        </is>
      </c>
      <c r="G2108" t="n">
        <v>18.5</v>
      </c>
      <c r="H2108" t="n">
        <v>0</v>
      </c>
      <c r="I2108" t="n">
        <v>0</v>
      </c>
      <c r="J2108" t="n">
        <v>0</v>
      </c>
      <c r="K2108" t="n">
        <v>0</v>
      </c>
      <c r="L2108" t="n">
        <v>0</v>
      </c>
      <c r="M2108" t="n">
        <v>0</v>
      </c>
      <c r="N2108" t="n">
        <v>0</v>
      </c>
      <c r="O2108" t="n">
        <v>0</v>
      </c>
      <c r="P2108" t="n">
        <v>0</v>
      </c>
      <c r="Q2108" t="n">
        <v>0</v>
      </c>
      <c r="R2108" s="2" t="inlineStr"/>
    </row>
    <row r="2109" ht="15" customHeight="1">
      <c r="A2109" t="inlineStr">
        <is>
          <t>A 29313-2023</t>
        </is>
      </c>
      <c r="B2109" s="1" t="n">
        <v>45106</v>
      </c>
      <c r="C2109" s="1" t="n">
        <v>45760</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29355-2023</t>
        </is>
      </c>
      <c r="B2110" s="1" t="n">
        <v>45106</v>
      </c>
      <c r="C2110" s="1" t="n">
        <v>45760</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29520-2023</t>
        </is>
      </c>
      <c r="B2111" s="1" t="n">
        <v>45106</v>
      </c>
      <c r="C2111" s="1" t="n">
        <v>45760</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29596-2023</t>
        </is>
      </c>
      <c r="B2112" s="1" t="n">
        <v>45107</v>
      </c>
      <c r="C2112" s="1" t="n">
        <v>45760</v>
      </c>
      <c r="D2112" t="inlineStr">
        <is>
          <t>VÄSTERBOTTENS LÄN</t>
        </is>
      </c>
      <c r="E2112" t="inlineStr">
        <is>
          <t>SKELLEFTEÅ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29595-2023</t>
        </is>
      </c>
      <c r="B2113" s="1" t="n">
        <v>45107</v>
      </c>
      <c r="C2113" s="1" t="n">
        <v>45760</v>
      </c>
      <c r="D2113" t="inlineStr">
        <is>
          <t>VÄSTERBOTTENS LÄN</t>
        </is>
      </c>
      <c r="E2113" t="inlineStr">
        <is>
          <t>SKELLEFTEÅ</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31760-2023</t>
        </is>
      </c>
      <c r="B2114" s="1" t="n">
        <v>45106</v>
      </c>
      <c r="C2114" s="1" t="n">
        <v>45760</v>
      </c>
      <c r="D2114" t="inlineStr">
        <is>
          <t>VÄSTERBOTTENS LÄN</t>
        </is>
      </c>
      <c r="E2114" t="inlineStr">
        <is>
          <t>SKELLEFTEÅ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29887-2023</t>
        </is>
      </c>
      <c r="B2115" s="1" t="n">
        <v>45107</v>
      </c>
      <c r="C2115" s="1" t="n">
        <v>45760</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29891-2023</t>
        </is>
      </c>
      <c r="B2116" s="1" t="n">
        <v>45107</v>
      </c>
      <c r="C2116" s="1" t="n">
        <v>45760</v>
      </c>
      <c r="D2116" t="inlineStr">
        <is>
          <t>VÄSTERBOTTENS LÄN</t>
        </is>
      </c>
      <c r="E2116" t="inlineStr">
        <is>
          <t>SKELLEFTEÅ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29890-2023</t>
        </is>
      </c>
      <c r="B2117" s="1" t="n">
        <v>45107</v>
      </c>
      <c r="C2117" s="1" t="n">
        <v>45760</v>
      </c>
      <c r="D2117" t="inlineStr">
        <is>
          <t>VÄSTERBOTTENS LÄN</t>
        </is>
      </c>
      <c r="E2117" t="inlineStr">
        <is>
          <t>SKELLEFTEÅ</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29932-2023</t>
        </is>
      </c>
      <c r="B2118" s="1" t="n">
        <v>45107</v>
      </c>
      <c r="C2118" s="1" t="n">
        <v>45760</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29967-2023</t>
        </is>
      </c>
      <c r="B2119" s="1" t="n">
        <v>45108</v>
      </c>
      <c r="C2119" s="1" t="n">
        <v>45760</v>
      </c>
      <c r="D2119" t="inlineStr">
        <is>
          <t>VÄSTERBOTTENS LÄN</t>
        </is>
      </c>
      <c r="E2119" t="inlineStr">
        <is>
          <t>SKELLEFTEÅ</t>
        </is>
      </c>
      <c r="F2119" t="inlineStr">
        <is>
          <t>Holmen skog AB</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29968-2023</t>
        </is>
      </c>
      <c r="B2120" s="1" t="n">
        <v>45108</v>
      </c>
      <c r="C2120" s="1" t="n">
        <v>45760</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29976-2023</t>
        </is>
      </c>
      <c r="B2121" s="1" t="n">
        <v>45108</v>
      </c>
      <c r="C2121" s="1" t="n">
        <v>45760</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29970-2023</t>
        </is>
      </c>
      <c r="B2122" s="1" t="n">
        <v>45108</v>
      </c>
      <c r="C2122" s="1" t="n">
        <v>45760</v>
      </c>
      <c r="D2122" t="inlineStr">
        <is>
          <t>VÄSTERBOTTENS LÄN</t>
        </is>
      </c>
      <c r="E2122" t="inlineStr">
        <is>
          <t>SKELLEFTEÅ</t>
        </is>
      </c>
      <c r="F2122" t="inlineStr">
        <is>
          <t>Holmen skog AB</t>
        </is>
      </c>
      <c r="G2122" t="n">
        <v>20.6</v>
      </c>
      <c r="H2122" t="n">
        <v>0</v>
      </c>
      <c r="I2122" t="n">
        <v>0</v>
      </c>
      <c r="J2122" t="n">
        <v>0</v>
      </c>
      <c r="K2122" t="n">
        <v>0</v>
      </c>
      <c r="L2122" t="n">
        <v>0</v>
      </c>
      <c r="M2122" t="n">
        <v>0</v>
      </c>
      <c r="N2122" t="n">
        <v>0</v>
      </c>
      <c r="O2122" t="n">
        <v>0</v>
      </c>
      <c r="P2122" t="n">
        <v>0</v>
      </c>
      <c r="Q2122" t="n">
        <v>0</v>
      </c>
      <c r="R2122" s="2" t="inlineStr"/>
    </row>
    <row r="2123" ht="15" customHeight="1">
      <c r="A2123" t="inlineStr">
        <is>
          <t>A 29974-2023</t>
        </is>
      </c>
      <c r="B2123" s="1" t="n">
        <v>45108</v>
      </c>
      <c r="C2123" s="1" t="n">
        <v>45760</v>
      </c>
      <c r="D2123" t="inlineStr">
        <is>
          <t>VÄSTERBOTTENS LÄN</t>
        </is>
      </c>
      <c r="E2123" t="inlineStr">
        <is>
          <t>SKELLEFTEÅ</t>
        </is>
      </c>
      <c r="F2123" t="inlineStr">
        <is>
          <t>Holmen skog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30010-2023</t>
        </is>
      </c>
      <c r="B2124" s="1" t="n">
        <v>45109</v>
      </c>
      <c r="C2124" s="1" t="n">
        <v>45760</v>
      </c>
      <c r="D2124" t="inlineStr">
        <is>
          <t>VÄSTERBOTTENS LÄN</t>
        </is>
      </c>
      <c r="E2124" t="inlineStr">
        <is>
          <t>SKELLEFTEÅ</t>
        </is>
      </c>
      <c r="F2124" t="inlineStr">
        <is>
          <t>Sveaskog</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30212-2023</t>
        </is>
      </c>
      <c r="B2125" s="1" t="n">
        <v>45110</v>
      </c>
      <c r="C2125" s="1" t="n">
        <v>45760</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30485-2023</t>
        </is>
      </c>
      <c r="B2126" s="1" t="n">
        <v>45111</v>
      </c>
      <c r="C2126" s="1" t="n">
        <v>45760</v>
      </c>
      <c r="D2126" t="inlineStr">
        <is>
          <t>VÄSTERBOTTENS LÄN</t>
        </is>
      </c>
      <c r="E2126" t="inlineStr">
        <is>
          <t>SKELLEFTEÅ</t>
        </is>
      </c>
      <c r="F2126" t="inlineStr">
        <is>
          <t>Sveaskog</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30329-2023</t>
        </is>
      </c>
      <c r="B2127" s="1" t="n">
        <v>45111</v>
      </c>
      <c r="C2127" s="1" t="n">
        <v>45760</v>
      </c>
      <c r="D2127" t="inlineStr">
        <is>
          <t>VÄSTERBOTTENS LÄN</t>
        </is>
      </c>
      <c r="E2127" t="inlineStr">
        <is>
          <t>SKELLEFTEÅ</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30540-2023</t>
        </is>
      </c>
      <c r="B2128" s="1" t="n">
        <v>45111</v>
      </c>
      <c r="C2128" s="1" t="n">
        <v>45760</v>
      </c>
      <c r="D2128" t="inlineStr">
        <is>
          <t>VÄSTERBOTTENS LÄN</t>
        </is>
      </c>
      <c r="E2128" t="inlineStr">
        <is>
          <t>SKELLEFTEÅ</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30369-2023</t>
        </is>
      </c>
      <c r="B2129" s="1" t="n">
        <v>45111</v>
      </c>
      <c r="C2129" s="1" t="n">
        <v>45760</v>
      </c>
      <c r="D2129" t="inlineStr">
        <is>
          <t>VÄSTERBOTTENS LÄN</t>
        </is>
      </c>
      <c r="E2129" t="inlineStr">
        <is>
          <t>SKELLEFTEÅ</t>
        </is>
      </c>
      <c r="F2129" t="inlineStr">
        <is>
          <t>Holmen skog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30686-2023</t>
        </is>
      </c>
      <c r="B2130" s="1" t="n">
        <v>45112</v>
      </c>
      <c r="C2130" s="1" t="n">
        <v>45760</v>
      </c>
      <c r="D2130" t="inlineStr">
        <is>
          <t>VÄSTERBOTTENS LÄN</t>
        </is>
      </c>
      <c r="E2130" t="inlineStr">
        <is>
          <t>SKELLEFTEÅ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30698-2023</t>
        </is>
      </c>
      <c r="B2131" s="1" t="n">
        <v>45112</v>
      </c>
      <c r="C2131" s="1" t="n">
        <v>45760</v>
      </c>
      <c r="D2131" t="inlineStr">
        <is>
          <t>VÄSTERBOTTENS LÄN</t>
        </is>
      </c>
      <c r="E2131" t="inlineStr">
        <is>
          <t>SKELLEFTEÅ</t>
        </is>
      </c>
      <c r="F2131" t="inlineStr">
        <is>
          <t>Sveaskog</t>
        </is>
      </c>
      <c r="G2131" t="n">
        <v>20.9</v>
      </c>
      <c r="H2131" t="n">
        <v>0</v>
      </c>
      <c r="I2131" t="n">
        <v>0</v>
      </c>
      <c r="J2131" t="n">
        <v>0</v>
      </c>
      <c r="K2131" t="n">
        <v>0</v>
      </c>
      <c r="L2131" t="n">
        <v>0</v>
      </c>
      <c r="M2131" t="n">
        <v>0</v>
      </c>
      <c r="N2131" t="n">
        <v>0</v>
      </c>
      <c r="O2131" t="n">
        <v>0</v>
      </c>
      <c r="P2131" t="n">
        <v>0</v>
      </c>
      <c r="Q2131" t="n">
        <v>0</v>
      </c>
      <c r="R2131" s="2" t="inlineStr"/>
    </row>
    <row r="2132" ht="15" customHeight="1">
      <c r="A2132" t="inlineStr">
        <is>
          <t>A 30743-2023</t>
        </is>
      </c>
      <c r="B2132" s="1" t="n">
        <v>45112</v>
      </c>
      <c r="C2132" s="1" t="n">
        <v>45760</v>
      </c>
      <c r="D2132" t="inlineStr">
        <is>
          <t>VÄSTERBOTTENS LÄN</t>
        </is>
      </c>
      <c r="E2132" t="inlineStr">
        <is>
          <t>SKELLEFTEÅ</t>
        </is>
      </c>
      <c r="F2132" t="inlineStr">
        <is>
          <t>Sveaskog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30786-2023</t>
        </is>
      </c>
      <c r="B2133" s="1" t="n">
        <v>45112</v>
      </c>
      <c r="C2133" s="1" t="n">
        <v>45760</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32817-2023</t>
        </is>
      </c>
      <c r="B2134" s="1" t="n">
        <v>45112</v>
      </c>
      <c r="C2134" s="1" t="n">
        <v>45760</v>
      </c>
      <c r="D2134" t="inlineStr">
        <is>
          <t>VÄSTERBOTTENS LÄN</t>
        </is>
      </c>
      <c r="E2134" t="inlineStr">
        <is>
          <t>SKELLEFTEÅ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32820-2023</t>
        </is>
      </c>
      <c r="B2135" s="1" t="n">
        <v>45112</v>
      </c>
      <c r="C2135" s="1" t="n">
        <v>45760</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30953-2023</t>
        </is>
      </c>
      <c r="B2136" s="1" t="n">
        <v>45113</v>
      </c>
      <c r="C2136" s="1" t="n">
        <v>45760</v>
      </c>
      <c r="D2136" t="inlineStr">
        <is>
          <t>VÄSTERBOTTENS LÄN</t>
        </is>
      </c>
      <c r="E2136" t="inlineStr">
        <is>
          <t>SKELLEFTEÅ</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31027-2023</t>
        </is>
      </c>
      <c r="B2137" s="1" t="n">
        <v>45113</v>
      </c>
      <c r="C2137" s="1" t="n">
        <v>45760</v>
      </c>
      <c r="D2137" t="inlineStr">
        <is>
          <t>VÄSTERBOTTENS LÄN</t>
        </is>
      </c>
      <c r="E2137" t="inlineStr">
        <is>
          <t>SKELLEFTEÅ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31035-2023</t>
        </is>
      </c>
      <c r="B2138" s="1" t="n">
        <v>45113</v>
      </c>
      <c r="C2138" s="1" t="n">
        <v>45760</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31033-2023</t>
        </is>
      </c>
      <c r="B2139" s="1" t="n">
        <v>45113</v>
      </c>
      <c r="C2139" s="1" t="n">
        <v>45760</v>
      </c>
      <c r="D2139" t="inlineStr">
        <is>
          <t>VÄSTERBOTTENS LÄN</t>
        </is>
      </c>
      <c r="E2139" t="inlineStr">
        <is>
          <t>SKELLEFTEÅ</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31028-2023</t>
        </is>
      </c>
      <c r="B2140" s="1" t="n">
        <v>45113</v>
      </c>
      <c r="C2140" s="1" t="n">
        <v>45760</v>
      </c>
      <c r="D2140" t="inlineStr">
        <is>
          <t>VÄSTERBOTTENS LÄN</t>
        </is>
      </c>
      <c r="E2140" t="inlineStr">
        <is>
          <t>SKELLEFTEÅ</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31155-2023</t>
        </is>
      </c>
      <c r="B2141" s="1" t="n">
        <v>45113</v>
      </c>
      <c r="C2141" s="1" t="n">
        <v>45760</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32969-2023</t>
        </is>
      </c>
      <c r="B2142" s="1" t="n">
        <v>45113</v>
      </c>
      <c r="C2142" s="1" t="n">
        <v>45760</v>
      </c>
      <c r="D2142" t="inlineStr">
        <is>
          <t>VÄSTERBOTTENS LÄN</t>
        </is>
      </c>
      <c r="E2142" t="inlineStr">
        <is>
          <t>SKELLEFTEÅ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31257-2023</t>
        </is>
      </c>
      <c r="B2143" s="1" t="n">
        <v>45114</v>
      </c>
      <c r="C2143" s="1" t="n">
        <v>45760</v>
      </c>
      <c r="D2143" t="inlineStr">
        <is>
          <t>VÄSTERBOTTENS LÄN</t>
        </is>
      </c>
      <c r="E2143" t="inlineStr">
        <is>
          <t>SKELLEFTEÅ</t>
        </is>
      </c>
      <c r="F2143" t="inlineStr">
        <is>
          <t>Holmen skog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33184-2023</t>
        </is>
      </c>
      <c r="B2144" s="1" t="n">
        <v>45114</v>
      </c>
      <c r="C2144" s="1" t="n">
        <v>45760</v>
      </c>
      <c r="D2144" t="inlineStr">
        <is>
          <t>VÄSTERBOTTENS LÄN</t>
        </is>
      </c>
      <c r="E2144" t="inlineStr">
        <is>
          <t>SKELLEFTEÅ</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33289-2023</t>
        </is>
      </c>
      <c r="B2145" s="1" t="n">
        <v>45116</v>
      </c>
      <c r="C2145" s="1" t="n">
        <v>45760</v>
      </c>
      <c r="D2145" t="inlineStr">
        <is>
          <t>VÄSTERBOTTENS LÄN</t>
        </is>
      </c>
      <c r="E2145" t="inlineStr">
        <is>
          <t>SKELLEFTEÅ</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31672-2023</t>
        </is>
      </c>
      <c r="B2146" s="1" t="n">
        <v>45117</v>
      </c>
      <c r="C2146" s="1" t="n">
        <v>45760</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32206-2023</t>
        </is>
      </c>
      <c r="B2147" s="1" t="n">
        <v>45119</v>
      </c>
      <c r="C2147" s="1" t="n">
        <v>45760</v>
      </c>
      <c r="D2147" t="inlineStr">
        <is>
          <t>VÄSTERBOTTENS LÄN</t>
        </is>
      </c>
      <c r="E2147" t="inlineStr">
        <is>
          <t>SKELLEFTEÅ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32205-2023</t>
        </is>
      </c>
      <c r="B2148" s="1" t="n">
        <v>45119</v>
      </c>
      <c r="C2148" s="1" t="n">
        <v>45760</v>
      </c>
      <c r="D2148" t="inlineStr">
        <is>
          <t>VÄSTERBOTTENS LÄN</t>
        </is>
      </c>
      <c r="E2148" t="inlineStr">
        <is>
          <t>SKELLEFTEÅ</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33778-2023</t>
        </is>
      </c>
      <c r="B2149" s="1" t="n">
        <v>45120</v>
      </c>
      <c r="C2149" s="1" t="n">
        <v>45760</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32535-2023</t>
        </is>
      </c>
      <c r="B2150" s="1" t="n">
        <v>45121</v>
      </c>
      <c r="C2150" s="1" t="n">
        <v>45760</v>
      </c>
      <c r="D2150" t="inlineStr">
        <is>
          <t>VÄSTERBOTTENS LÄN</t>
        </is>
      </c>
      <c r="E2150" t="inlineStr">
        <is>
          <t>SKELLEFTEÅ</t>
        </is>
      </c>
      <c r="F2150" t="inlineStr">
        <is>
          <t>Holmen skog AB</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32556-2023</t>
        </is>
      </c>
      <c r="B2151" s="1" t="n">
        <v>45121</v>
      </c>
      <c r="C2151" s="1" t="n">
        <v>45760</v>
      </c>
      <c r="D2151" t="inlineStr">
        <is>
          <t>VÄSTERBOTTENS LÄN</t>
        </is>
      </c>
      <c r="E2151" t="inlineStr">
        <is>
          <t>SKELLEFTEÅ</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32589-2023</t>
        </is>
      </c>
      <c r="B2152" s="1" t="n">
        <v>45121</v>
      </c>
      <c r="C2152" s="1" t="n">
        <v>45760</v>
      </c>
      <c r="D2152" t="inlineStr">
        <is>
          <t>VÄSTERBOTTENS LÄN</t>
        </is>
      </c>
      <c r="E2152" t="inlineStr">
        <is>
          <t>SKELLEFTEÅ</t>
        </is>
      </c>
      <c r="F2152" t="inlineStr">
        <is>
          <t>Holmen skog AB</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32575-2023</t>
        </is>
      </c>
      <c r="B2153" s="1" t="n">
        <v>45121</v>
      </c>
      <c r="C2153" s="1" t="n">
        <v>45760</v>
      </c>
      <c r="D2153" t="inlineStr">
        <is>
          <t>VÄSTERBOTTENS LÄN</t>
        </is>
      </c>
      <c r="E2153" t="inlineStr">
        <is>
          <t>SKELLEFTEÅ</t>
        </is>
      </c>
      <c r="F2153" t="inlineStr">
        <is>
          <t>Holmen skog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32590-2023</t>
        </is>
      </c>
      <c r="B2154" s="1" t="n">
        <v>45121</v>
      </c>
      <c r="C2154" s="1" t="n">
        <v>45760</v>
      </c>
      <c r="D2154" t="inlineStr">
        <is>
          <t>VÄSTERBOTTENS LÄN</t>
        </is>
      </c>
      <c r="E2154" t="inlineStr">
        <is>
          <t>SKELLEFTEÅ</t>
        </is>
      </c>
      <c r="F2154" t="inlineStr">
        <is>
          <t>Holmen skog AB</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32746-2023</t>
        </is>
      </c>
      <c r="B2155" s="1" t="n">
        <v>45122</v>
      </c>
      <c r="C2155" s="1" t="n">
        <v>45760</v>
      </c>
      <c r="D2155" t="inlineStr">
        <is>
          <t>VÄSTERBOTTENS LÄN</t>
        </is>
      </c>
      <c r="E2155" t="inlineStr">
        <is>
          <t>SKELLEFTEÅ</t>
        </is>
      </c>
      <c r="F2155" t="inlineStr">
        <is>
          <t>Holmen skog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32743-2023</t>
        </is>
      </c>
      <c r="B2156" s="1" t="n">
        <v>45122</v>
      </c>
      <c r="C2156" s="1" t="n">
        <v>45760</v>
      </c>
      <c r="D2156" t="inlineStr">
        <is>
          <t>VÄSTERBOTTENS LÄN</t>
        </is>
      </c>
      <c r="E2156" t="inlineStr">
        <is>
          <t>SKELLEFTEÅ</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32747-2023</t>
        </is>
      </c>
      <c r="B2157" s="1" t="n">
        <v>45122</v>
      </c>
      <c r="C2157" s="1" t="n">
        <v>45760</v>
      </c>
      <c r="D2157" t="inlineStr">
        <is>
          <t>VÄSTERBOTTENS LÄN</t>
        </is>
      </c>
      <c r="E2157" t="inlineStr">
        <is>
          <t>SKELLEFTEÅ</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32745-2023</t>
        </is>
      </c>
      <c r="B2158" s="1" t="n">
        <v>45122</v>
      </c>
      <c r="C2158" s="1" t="n">
        <v>45760</v>
      </c>
      <c r="D2158" t="inlineStr">
        <is>
          <t>VÄSTERBOTTENS LÄN</t>
        </is>
      </c>
      <c r="E2158" t="inlineStr">
        <is>
          <t>SKELLEFTEÅ</t>
        </is>
      </c>
      <c r="F2158" t="inlineStr">
        <is>
          <t>Holmen skog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33911-2023</t>
        </is>
      </c>
      <c r="B2159" s="1" t="n">
        <v>45123</v>
      </c>
      <c r="C2159" s="1" t="n">
        <v>45760</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33027-2023</t>
        </is>
      </c>
      <c r="B2160" s="1" t="n">
        <v>45126</v>
      </c>
      <c r="C2160" s="1" t="n">
        <v>45760</v>
      </c>
      <c r="D2160" t="inlineStr">
        <is>
          <t>VÄSTERBOTTENS LÄN</t>
        </is>
      </c>
      <c r="E2160" t="inlineStr">
        <is>
          <t>SKELLEFTEÅ</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33078-2023</t>
        </is>
      </c>
      <c r="B2161" s="1" t="n">
        <v>45126</v>
      </c>
      <c r="C2161" s="1" t="n">
        <v>45760</v>
      </c>
      <c r="D2161" t="inlineStr">
        <is>
          <t>VÄSTERBOTTENS LÄN</t>
        </is>
      </c>
      <c r="E2161" t="inlineStr">
        <is>
          <t>SKELLEFTEÅ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33129-2023</t>
        </is>
      </c>
      <c r="B2162" s="1" t="n">
        <v>45126</v>
      </c>
      <c r="C2162" s="1" t="n">
        <v>45760</v>
      </c>
      <c r="D2162" t="inlineStr">
        <is>
          <t>VÄSTERBOTTENS LÄN</t>
        </is>
      </c>
      <c r="E2162" t="inlineStr">
        <is>
          <t>SKELLEFTEÅ</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33274-2023</t>
        </is>
      </c>
      <c r="B2163" s="1" t="n">
        <v>45127</v>
      </c>
      <c r="C2163" s="1" t="n">
        <v>45760</v>
      </c>
      <c r="D2163" t="inlineStr">
        <is>
          <t>VÄSTERBOTTENS LÄN</t>
        </is>
      </c>
      <c r="E2163" t="inlineStr">
        <is>
          <t>SKELLEFTEÅ</t>
        </is>
      </c>
      <c r="F2163" t="inlineStr">
        <is>
          <t>Holmen skog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33710-2023</t>
        </is>
      </c>
      <c r="B2164" s="1" t="n">
        <v>45133</v>
      </c>
      <c r="C2164" s="1" t="n">
        <v>45760</v>
      </c>
      <c r="D2164" t="inlineStr">
        <is>
          <t>VÄSTERBOTTENS LÄN</t>
        </is>
      </c>
      <c r="E2164" t="inlineStr">
        <is>
          <t>SKELLEFTEÅ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33708-2023</t>
        </is>
      </c>
      <c r="B2165" s="1" t="n">
        <v>45133</v>
      </c>
      <c r="C2165" s="1" t="n">
        <v>45760</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33791-2023</t>
        </is>
      </c>
      <c r="B2166" s="1" t="n">
        <v>45133</v>
      </c>
      <c r="C2166" s="1" t="n">
        <v>45760</v>
      </c>
      <c r="D2166" t="inlineStr">
        <is>
          <t>VÄSTERBOTTENS LÄN</t>
        </is>
      </c>
      <c r="E2166" t="inlineStr">
        <is>
          <t>SKELLEFTEÅ</t>
        </is>
      </c>
      <c r="F2166" t="inlineStr">
        <is>
          <t>Holmen skog AB</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33739-2023</t>
        </is>
      </c>
      <c r="B2167" s="1" t="n">
        <v>45133</v>
      </c>
      <c r="C2167" s="1" t="n">
        <v>45760</v>
      </c>
      <c r="D2167" t="inlineStr">
        <is>
          <t>VÄSTERBOTTENS LÄN</t>
        </is>
      </c>
      <c r="E2167" t="inlineStr">
        <is>
          <t>SKELLEFTEÅ</t>
        </is>
      </c>
      <c r="F2167" t="inlineStr">
        <is>
          <t>Holmen skog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33768-2023</t>
        </is>
      </c>
      <c r="B2168" s="1" t="n">
        <v>45133</v>
      </c>
      <c r="C2168" s="1" t="n">
        <v>45760</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33838-2023</t>
        </is>
      </c>
      <c r="B2169" s="1" t="n">
        <v>45133</v>
      </c>
      <c r="C2169" s="1" t="n">
        <v>45760</v>
      </c>
      <c r="D2169" t="inlineStr">
        <is>
          <t>VÄSTERBOTTENS LÄN</t>
        </is>
      </c>
      <c r="E2169" t="inlineStr">
        <is>
          <t>SKELLEFTEÅ</t>
        </is>
      </c>
      <c r="F2169" t="inlineStr">
        <is>
          <t>Holmen skog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33843-2023</t>
        </is>
      </c>
      <c r="B2170" s="1" t="n">
        <v>45133</v>
      </c>
      <c r="C2170" s="1" t="n">
        <v>45760</v>
      </c>
      <c r="D2170" t="inlineStr">
        <is>
          <t>VÄSTERBOTTENS LÄN</t>
        </is>
      </c>
      <c r="E2170" t="inlineStr">
        <is>
          <t>SKELLEFTEÅ</t>
        </is>
      </c>
      <c r="F2170" t="inlineStr">
        <is>
          <t>Holmen skog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33728-2023</t>
        </is>
      </c>
      <c r="B2171" s="1" t="n">
        <v>45133</v>
      </c>
      <c r="C2171" s="1" t="n">
        <v>45760</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34508-2023</t>
        </is>
      </c>
      <c r="B2172" s="1" t="n">
        <v>45133</v>
      </c>
      <c r="C2172" s="1" t="n">
        <v>45760</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33771-2023</t>
        </is>
      </c>
      <c r="B2173" s="1" t="n">
        <v>45133</v>
      </c>
      <c r="C2173" s="1" t="n">
        <v>45760</v>
      </c>
      <c r="D2173" t="inlineStr">
        <is>
          <t>VÄSTERBOTTENS LÄN</t>
        </is>
      </c>
      <c r="E2173" t="inlineStr">
        <is>
          <t>SKELLEFTEÅ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33820-2023</t>
        </is>
      </c>
      <c r="B2174" s="1" t="n">
        <v>45133</v>
      </c>
      <c r="C2174" s="1" t="n">
        <v>45760</v>
      </c>
      <c r="D2174" t="inlineStr">
        <is>
          <t>VÄSTERBOTTENS LÄN</t>
        </is>
      </c>
      <c r="E2174" t="inlineStr">
        <is>
          <t>SKELLEFTEÅ</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34507-2023</t>
        </is>
      </c>
      <c r="B2175" s="1" t="n">
        <v>45133</v>
      </c>
      <c r="C2175" s="1" t="n">
        <v>45760</v>
      </c>
      <c r="D2175" t="inlineStr">
        <is>
          <t>VÄSTERBOTTENS LÄN</t>
        </is>
      </c>
      <c r="E2175" t="inlineStr">
        <is>
          <t>SKELLEFTEÅ</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33956-2023</t>
        </is>
      </c>
      <c r="B2176" s="1" t="n">
        <v>45134</v>
      </c>
      <c r="C2176" s="1" t="n">
        <v>45760</v>
      </c>
      <c r="D2176" t="inlineStr">
        <is>
          <t>VÄSTERBOTTENS LÄN</t>
        </is>
      </c>
      <c r="E2176" t="inlineStr">
        <is>
          <t>SKELLEFTEÅ</t>
        </is>
      </c>
      <c r="F2176" t="inlineStr">
        <is>
          <t>Holmen skog AB</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34036-2023</t>
        </is>
      </c>
      <c r="B2177" s="1" t="n">
        <v>45135</v>
      </c>
      <c r="C2177" s="1" t="n">
        <v>45760</v>
      </c>
      <c r="D2177" t="inlineStr">
        <is>
          <t>VÄSTERBOTTENS LÄN</t>
        </is>
      </c>
      <c r="E2177" t="inlineStr">
        <is>
          <t>SKELLEFTEÅ</t>
        </is>
      </c>
      <c r="F2177" t="inlineStr">
        <is>
          <t>Holmen skog AB</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34051-2023</t>
        </is>
      </c>
      <c r="B2178" s="1" t="n">
        <v>45135</v>
      </c>
      <c r="C2178" s="1" t="n">
        <v>45760</v>
      </c>
      <c r="D2178" t="inlineStr">
        <is>
          <t>VÄSTERBOTTENS LÄN</t>
        </is>
      </c>
      <c r="E2178" t="inlineStr">
        <is>
          <t>SKELLEFTEÅ</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34025-2023</t>
        </is>
      </c>
      <c r="B2179" s="1" t="n">
        <v>45135</v>
      </c>
      <c r="C2179" s="1" t="n">
        <v>45760</v>
      </c>
      <c r="D2179" t="inlineStr">
        <is>
          <t>VÄSTERBOTTENS LÄN</t>
        </is>
      </c>
      <c r="E2179" t="inlineStr">
        <is>
          <t>SKELLEFTEÅ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34063-2023</t>
        </is>
      </c>
      <c r="B2180" s="1" t="n">
        <v>45135</v>
      </c>
      <c r="C2180" s="1" t="n">
        <v>45760</v>
      </c>
      <c r="D2180" t="inlineStr">
        <is>
          <t>VÄSTERBOTTENS LÄN</t>
        </is>
      </c>
      <c r="E2180" t="inlineStr">
        <is>
          <t>SKELLEFTEÅ</t>
        </is>
      </c>
      <c r="F2180" t="inlineStr">
        <is>
          <t>Holmen skog AB</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34035-2023</t>
        </is>
      </c>
      <c r="B2181" s="1" t="n">
        <v>45135</v>
      </c>
      <c r="C2181" s="1" t="n">
        <v>45760</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34572-2023</t>
        </is>
      </c>
      <c r="B2182" s="1" t="n">
        <v>45135</v>
      </c>
      <c r="C2182" s="1" t="n">
        <v>45760</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34195-2023</t>
        </is>
      </c>
      <c r="B2183" s="1" t="n">
        <v>45135</v>
      </c>
      <c r="C2183" s="1" t="n">
        <v>45760</v>
      </c>
      <c r="D2183" t="inlineStr">
        <is>
          <t>VÄSTERBOTTENS LÄN</t>
        </is>
      </c>
      <c r="E2183" t="inlineStr">
        <is>
          <t>SKELLEFTEÅ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34455-2023</t>
        </is>
      </c>
      <c r="B2184" s="1" t="n">
        <v>45139</v>
      </c>
      <c r="C2184" s="1" t="n">
        <v>45760</v>
      </c>
      <c r="D2184" t="inlineStr">
        <is>
          <t>VÄSTERBOTTENS LÄN</t>
        </is>
      </c>
      <c r="E2184" t="inlineStr">
        <is>
          <t>SKELLEFTEÅ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34583-2023</t>
        </is>
      </c>
      <c r="B2185" s="1" t="n">
        <v>45140</v>
      </c>
      <c r="C2185" s="1" t="n">
        <v>45760</v>
      </c>
      <c r="D2185" t="inlineStr">
        <is>
          <t>VÄSTERBOTTENS LÄN</t>
        </is>
      </c>
      <c r="E2185" t="inlineStr">
        <is>
          <t>SKELLEFTEÅ</t>
        </is>
      </c>
      <c r="F2185" t="inlineStr">
        <is>
          <t>Holmen skog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34597-2023</t>
        </is>
      </c>
      <c r="B2186" s="1" t="n">
        <v>45140</v>
      </c>
      <c r="C2186" s="1" t="n">
        <v>45760</v>
      </c>
      <c r="D2186" t="inlineStr">
        <is>
          <t>VÄSTERBOTTENS LÄN</t>
        </is>
      </c>
      <c r="E2186" t="inlineStr">
        <is>
          <t>SKELLEFTEÅ</t>
        </is>
      </c>
      <c r="F2186" t="inlineStr">
        <is>
          <t>Holmen skog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34616-2023</t>
        </is>
      </c>
      <c r="B2187" s="1" t="n">
        <v>45140</v>
      </c>
      <c r="C2187" s="1" t="n">
        <v>45760</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34669-2023</t>
        </is>
      </c>
      <c r="B2188" s="1" t="n">
        <v>45140</v>
      </c>
      <c r="C2188" s="1" t="n">
        <v>45760</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34670-2023</t>
        </is>
      </c>
      <c r="B2189" s="1" t="n">
        <v>45140</v>
      </c>
      <c r="C2189" s="1" t="n">
        <v>45760</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34638-2023</t>
        </is>
      </c>
      <c r="B2190" s="1" t="n">
        <v>45140</v>
      </c>
      <c r="C2190" s="1" t="n">
        <v>45760</v>
      </c>
      <c r="D2190" t="inlineStr">
        <is>
          <t>VÄSTERBOTTENS LÄN</t>
        </is>
      </c>
      <c r="E2190" t="inlineStr">
        <is>
          <t>SKELLEFTEÅ</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34672-2023</t>
        </is>
      </c>
      <c r="B2191" s="1" t="n">
        <v>45140</v>
      </c>
      <c r="C2191" s="1" t="n">
        <v>45760</v>
      </c>
      <c r="D2191" t="inlineStr">
        <is>
          <t>VÄSTERBOTTENS LÄN</t>
        </is>
      </c>
      <c r="E2191" t="inlineStr">
        <is>
          <t>SKELLEFTEÅ</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34986-2023</t>
        </is>
      </c>
      <c r="B2192" s="1" t="n">
        <v>45142</v>
      </c>
      <c r="C2192" s="1" t="n">
        <v>45760</v>
      </c>
      <c r="D2192" t="inlineStr">
        <is>
          <t>VÄSTERBOTTENS LÄN</t>
        </is>
      </c>
      <c r="E2192" t="inlineStr">
        <is>
          <t>SKELLEFTEÅ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35068-2023</t>
        </is>
      </c>
      <c r="B2193" s="1" t="n">
        <v>45142</v>
      </c>
      <c r="C2193" s="1" t="n">
        <v>45760</v>
      </c>
      <c r="D2193" t="inlineStr">
        <is>
          <t>VÄSTERBOTTENS LÄN</t>
        </is>
      </c>
      <c r="E2193" t="inlineStr">
        <is>
          <t>SKELLEFTEÅ</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35070-2023</t>
        </is>
      </c>
      <c r="B2194" s="1" t="n">
        <v>45142</v>
      </c>
      <c r="C2194" s="1" t="n">
        <v>45760</v>
      </c>
      <c r="D2194" t="inlineStr">
        <is>
          <t>VÄSTERBOTTENS LÄN</t>
        </is>
      </c>
      <c r="E2194" t="inlineStr">
        <is>
          <t>SKELLEFTEÅ</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35031-2023</t>
        </is>
      </c>
      <c r="B2195" s="1" t="n">
        <v>45145</v>
      </c>
      <c r="C2195" s="1" t="n">
        <v>45760</v>
      </c>
      <c r="D2195" t="inlineStr">
        <is>
          <t>VÄSTERBOTTENS LÄN</t>
        </is>
      </c>
      <c r="E2195" t="inlineStr">
        <is>
          <t>SKELLEFTEÅ</t>
        </is>
      </c>
      <c r="F2195" t="inlineStr">
        <is>
          <t>Holmen skog AB</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35102-2023</t>
        </is>
      </c>
      <c r="B2196" s="1" t="n">
        <v>45145</v>
      </c>
      <c r="C2196" s="1" t="n">
        <v>45760</v>
      </c>
      <c r="D2196" t="inlineStr">
        <is>
          <t>VÄSTERBOTTENS LÄN</t>
        </is>
      </c>
      <c r="E2196" t="inlineStr">
        <is>
          <t>SKELLEFTEÅ</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35032-2023</t>
        </is>
      </c>
      <c r="B2197" s="1" t="n">
        <v>45145</v>
      </c>
      <c r="C2197" s="1" t="n">
        <v>45760</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35331-2023</t>
        </is>
      </c>
      <c r="B2198" s="1" t="n">
        <v>45145</v>
      </c>
      <c r="C2198" s="1" t="n">
        <v>45760</v>
      </c>
      <c r="D2198" t="inlineStr">
        <is>
          <t>VÄSTERBOTTENS LÄN</t>
        </is>
      </c>
      <c r="E2198" t="inlineStr">
        <is>
          <t>SKELLEFTEÅ</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35206-2023</t>
        </is>
      </c>
      <c r="B2199" s="1" t="n">
        <v>45145</v>
      </c>
      <c r="C2199" s="1" t="n">
        <v>45760</v>
      </c>
      <c r="D2199" t="inlineStr">
        <is>
          <t>VÄSTERBOTTENS LÄN</t>
        </is>
      </c>
      <c r="E2199" t="inlineStr">
        <is>
          <t>SKELLEFTEÅ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35338-2023</t>
        </is>
      </c>
      <c r="B2200" s="1" t="n">
        <v>45145</v>
      </c>
      <c r="C2200" s="1" t="n">
        <v>45760</v>
      </c>
      <c r="D2200" t="inlineStr">
        <is>
          <t>VÄSTERBOTTENS LÄN</t>
        </is>
      </c>
      <c r="E2200" t="inlineStr">
        <is>
          <t>SKELLEFTEÅ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35439-2023</t>
        </is>
      </c>
      <c r="B2201" s="1" t="n">
        <v>45146</v>
      </c>
      <c r="C2201" s="1" t="n">
        <v>45760</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35301-2023</t>
        </is>
      </c>
      <c r="B2202" s="1" t="n">
        <v>45146</v>
      </c>
      <c r="C2202" s="1" t="n">
        <v>45760</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35401-2023</t>
        </is>
      </c>
      <c r="B2203" s="1" t="n">
        <v>45146</v>
      </c>
      <c r="C2203" s="1" t="n">
        <v>45760</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35437-2023</t>
        </is>
      </c>
      <c r="B2204" s="1" t="n">
        <v>45146</v>
      </c>
      <c r="C2204" s="1" t="n">
        <v>45760</v>
      </c>
      <c r="D2204" t="inlineStr">
        <is>
          <t>VÄSTERBOTTENS LÄN</t>
        </is>
      </c>
      <c r="E2204" t="inlineStr">
        <is>
          <t>SKELLEFTEÅ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35430-2023</t>
        </is>
      </c>
      <c r="B2205" s="1" t="n">
        <v>45146</v>
      </c>
      <c r="C2205" s="1" t="n">
        <v>45760</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35731-2023</t>
        </is>
      </c>
      <c r="B2206" s="1" t="n">
        <v>45147</v>
      </c>
      <c r="C2206" s="1" t="n">
        <v>45760</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35732-2023</t>
        </is>
      </c>
      <c r="B2207" s="1" t="n">
        <v>45147</v>
      </c>
      <c r="C2207" s="1" t="n">
        <v>45760</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35736-2023</t>
        </is>
      </c>
      <c r="B2208" s="1" t="n">
        <v>45147</v>
      </c>
      <c r="C2208" s="1" t="n">
        <v>45760</v>
      </c>
      <c r="D2208" t="inlineStr">
        <is>
          <t>VÄSTERBOTTENS LÄN</t>
        </is>
      </c>
      <c r="E2208" t="inlineStr">
        <is>
          <t>SKELLEFTEÅ</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35952-2023</t>
        </is>
      </c>
      <c r="B2209" s="1" t="n">
        <v>45148</v>
      </c>
      <c r="C2209" s="1" t="n">
        <v>45760</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36078-2023</t>
        </is>
      </c>
      <c r="B2210" s="1" t="n">
        <v>45149</v>
      </c>
      <c r="C2210" s="1" t="n">
        <v>45760</v>
      </c>
      <c r="D2210" t="inlineStr">
        <is>
          <t>VÄSTERBOTTENS LÄN</t>
        </is>
      </c>
      <c r="E2210" t="inlineStr">
        <is>
          <t>SKELLEFTEÅ</t>
        </is>
      </c>
      <c r="F2210" t="inlineStr">
        <is>
          <t>Holmen skog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36113-2023</t>
        </is>
      </c>
      <c r="B2211" s="1" t="n">
        <v>45149</v>
      </c>
      <c r="C2211" s="1" t="n">
        <v>45760</v>
      </c>
      <c r="D2211" t="inlineStr">
        <is>
          <t>VÄSTERBOTTENS LÄN</t>
        </is>
      </c>
      <c r="E2211" t="inlineStr">
        <is>
          <t>SKELLEFTEÅ</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36091-2023</t>
        </is>
      </c>
      <c r="B2212" s="1" t="n">
        <v>45149</v>
      </c>
      <c r="C2212" s="1" t="n">
        <v>45760</v>
      </c>
      <c r="D2212" t="inlineStr">
        <is>
          <t>VÄSTERBOTTENS LÄN</t>
        </is>
      </c>
      <c r="E2212" t="inlineStr">
        <is>
          <t>SKELLEFTEÅ</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36099-2023</t>
        </is>
      </c>
      <c r="B2213" s="1" t="n">
        <v>45149</v>
      </c>
      <c r="C2213" s="1" t="n">
        <v>45760</v>
      </c>
      <c r="D2213" t="inlineStr">
        <is>
          <t>VÄSTERBOTTENS LÄN</t>
        </is>
      </c>
      <c r="E2213" t="inlineStr">
        <is>
          <t>SKELLEFTEÅ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36286-2023</t>
        </is>
      </c>
      <c r="B2214" s="1" t="n">
        <v>45152</v>
      </c>
      <c r="C2214" s="1" t="n">
        <v>45760</v>
      </c>
      <c r="D2214" t="inlineStr">
        <is>
          <t>VÄSTERBOTTENS LÄN</t>
        </is>
      </c>
      <c r="E2214" t="inlineStr">
        <is>
          <t>SKELLEFTEÅ</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36327-2023</t>
        </is>
      </c>
      <c r="B2215" s="1" t="n">
        <v>45152</v>
      </c>
      <c r="C2215" s="1" t="n">
        <v>45760</v>
      </c>
      <c r="D2215" t="inlineStr">
        <is>
          <t>VÄSTERBOTTENS LÄN</t>
        </is>
      </c>
      <c r="E2215" t="inlineStr">
        <is>
          <t>SKELLEFTEÅ</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36275-2023</t>
        </is>
      </c>
      <c r="B2216" s="1" t="n">
        <v>45152</v>
      </c>
      <c r="C2216" s="1" t="n">
        <v>45760</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36495-2023</t>
        </is>
      </c>
      <c r="B2217" s="1" t="n">
        <v>45153</v>
      </c>
      <c r="C2217" s="1" t="n">
        <v>45760</v>
      </c>
      <c r="D2217" t="inlineStr">
        <is>
          <t>VÄSTERBOTTENS LÄN</t>
        </is>
      </c>
      <c r="E2217" t="inlineStr">
        <is>
          <t>SKELLEFTEÅ</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36404-2023</t>
        </is>
      </c>
      <c r="B2218" s="1" t="n">
        <v>45152</v>
      </c>
      <c r="C2218" s="1" t="n">
        <v>45760</v>
      </c>
      <c r="D2218" t="inlineStr">
        <is>
          <t>VÄSTERBOTTENS LÄN</t>
        </is>
      </c>
      <c r="E2218" t="inlineStr">
        <is>
          <t>SKELLEFTEÅ</t>
        </is>
      </c>
      <c r="F2218" t="inlineStr">
        <is>
          <t>Holmen skog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36493-2023</t>
        </is>
      </c>
      <c r="B2219" s="1" t="n">
        <v>45153</v>
      </c>
      <c r="C2219" s="1" t="n">
        <v>45760</v>
      </c>
      <c r="D2219" t="inlineStr">
        <is>
          <t>VÄSTERBOTTENS LÄN</t>
        </is>
      </c>
      <c r="E2219" t="inlineStr">
        <is>
          <t>SKELLEFTEÅ</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36556-2023</t>
        </is>
      </c>
      <c r="B2220" s="1" t="n">
        <v>45153</v>
      </c>
      <c r="C2220" s="1" t="n">
        <v>45760</v>
      </c>
      <c r="D2220" t="inlineStr">
        <is>
          <t>VÄSTERBOTTENS LÄN</t>
        </is>
      </c>
      <c r="E2220" t="inlineStr">
        <is>
          <t>SKELLEFTEÅ</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36804-2023</t>
        </is>
      </c>
      <c r="B2221" s="1" t="n">
        <v>45154</v>
      </c>
      <c r="C2221" s="1" t="n">
        <v>45760</v>
      </c>
      <c r="D2221" t="inlineStr">
        <is>
          <t>VÄSTERBOTTENS LÄN</t>
        </is>
      </c>
      <c r="E2221" t="inlineStr">
        <is>
          <t>SKELLEFTEÅ</t>
        </is>
      </c>
      <c r="F2221" t="inlineStr">
        <is>
          <t>Holmen skog AB</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37134-2023</t>
        </is>
      </c>
      <c r="B2222" s="1" t="n">
        <v>45155</v>
      </c>
      <c r="C2222" s="1" t="n">
        <v>45760</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37229-2023</t>
        </is>
      </c>
      <c r="B2223" s="1" t="n">
        <v>45155</v>
      </c>
      <c r="C2223" s="1" t="n">
        <v>45760</v>
      </c>
      <c r="D2223" t="inlineStr">
        <is>
          <t>VÄSTERBOTTENS LÄN</t>
        </is>
      </c>
      <c r="E2223" t="inlineStr">
        <is>
          <t>SKELLEFTEÅ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37774-2023</t>
        </is>
      </c>
      <c r="B2224" s="1" t="n">
        <v>45156</v>
      </c>
      <c r="C2224" s="1" t="n">
        <v>45760</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37474-2023</t>
        </is>
      </c>
      <c r="B2225" s="1" t="n">
        <v>45157</v>
      </c>
      <c r="C2225" s="1" t="n">
        <v>45760</v>
      </c>
      <c r="D2225" t="inlineStr">
        <is>
          <t>VÄSTERBOTTENS LÄN</t>
        </is>
      </c>
      <c r="E2225" t="inlineStr">
        <is>
          <t>SKELLEFTEÅ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37796-2023</t>
        </is>
      </c>
      <c r="B2226" s="1" t="n">
        <v>45160</v>
      </c>
      <c r="C2226" s="1" t="n">
        <v>45760</v>
      </c>
      <c r="D2226" t="inlineStr">
        <is>
          <t>VÄSTERBOTTENS LÄN</t>
        </is>
      </c>
      <c r="E2226" t="inlineStr">
        <is>
          <t>SKELLEFTEÅ</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38140-2023</t>
        </is>
      </c>
      <c r="B2227" s="1" t="n">
        <v>45159</v>
      </c>
      <c r="C2227" s="1" t="n">
        <v>45760</v>
      </c>
      <c r="D2227" t="inlineStr">
        <is>
          <t>VÄSTERBOTTENS LÄN</t>
        </is>
      </c>
      <c r="E2227" t="inlineStr">
        <is>
          <t>SKELLEFTEÅ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38134-2023</t>
        </is>
      </c>
      <c r="B2228" s="1" t="n">
        <v>45159</v>
      </c>
      <c r="C2228" s="1" t="n">
        <v>45760</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37883-2023</t>
        </is>
      </c>
      <c r="B2229" s="1" t="n">
        <v>45160</v>
      </c>
      <c r="C2229" s="1" t="n">
        <v>45760</v>
      </c>
      <c r="D2229" t="inlineStr">
        <is>
          <t>VÄSTERBOTTENS LÄN</t>
        </is>
      </c>
      <c r="E2229" t="inlineStr">
        <is>
          <t>SKELLEFTEÅ</t>
        </is>
      </c>
      <c r="F2229" t="inlineStr">
        <is>
          <t>Holmen skog AB</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37838-2023</t>
        </is>
      </c>
      <c r="B2230" s="1" t="n">
        <v>45160</v>
      </c>
      <c r="C2230" s="1" t="n">
        <v>45760</v>
      </c>
      <c r="D2230" t="inlineStr">
        <is>
          <t>VÄSTERBOTTENS LÄN</t>
        </is>
      </c>
      <c r="E2230" t="inlineStr">
        <is>
          <t>SKELLEFTEÅ</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37914-2023</t>
        </is>
      </c>
      <c r="B2231" s="1" t="n">
        <v>45160</v>
      </c>
      <c r="C2231" s="1" t="n">
        <v>45760</v>
      </c>
      <c r="D2231" t="inlineStr">
        <is>
          <t>VÄSTERBOTTENS LÄN</t>
        </is>
      </c>
      <c r="E2231" t="inlineStr">
        <is>
          <t>SKELLEFTEÅ</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37855-2023</t>
        </is>
      </c>
      <c r="B2232" s="1" t="n">
        <v>45160</v>
      </c>
      <c r="C2232" s="1" t="n">
        <v>45760</v>
      </c>
      <c r="D2232" t="inlineStr">
        <is>
          <t>VÄSTERBOTTENS LÄN</t>
        </is>
      </c>
      <c r="E2232" t="inlineStr">
        <is>
          <t>SKELLEFTEÅ</t>
        </is>
      </c>
      <c r="F2232" t="inlineStr">
        <is>
          <t>Holmen skog AB</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38009-2023</t>
        </is>
      </c>
      <c r="B2233" s="1" t="n">
        <v>45160</v>
      </c>
      <c r="C2233" s="1" t="n">
        <v>45760</v>
      </c>
      <c r="D2233" t="inlineStr">
        <is>
          <t>VÄSTERBOTTENS LÄN</t>
        </is>
      </c>
      <c r="E2233" t="inlineStr">
        <is>
          <t>SKELLEFTEÅ</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38013-2023</t>
        </is>
      </c>
      <c r="B2234" s="1" t="n">
        <v>45160</v>
      </c>
      <c r="C2234" s="1" t="n">
        <v>45760</v>
      </c>
      <c r="D2234" t="inlineStr">
        <is>
          <t>VÄSTERBOTTENS LÄN</t>
        </is>
      </c>
      <c r="E2234" t="inlineStr">
        <is>
          <t>SKELLEFTEÅ</t>
        </is>
      </c>
      <c r="F2234" t="inlineStr">
        <is>
          <t>Holmen skog AB</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38301-2023</t>
        </is>
      </c>
      <c r="B2235" s="1" t="n">
        <v>45160</v>
      </c>
      <c r="C2235" s="1" t="n">
        <v>45760</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38314-2023</t>
        </is>
      </c>
      <c r="B2236" s="1" t="n">
        <v>45160</v>
      </c>
      <c r="C2236" s="1" t="n">
        <v>45760</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38309-2023</t>
        </is>
      </c>
      <c r="B2237" s="1" t="n">
        <v>45160</v>
      </c>
      <c r="C2237" s="1" t="n">
        <v>45760</v>
      </c>
      <c r="D2237" t="inlineStr">
        <is>
          <t>VÄSTERBOTTENS LÄN</t>
        </is>
      </c>
      <c r="E2237" t="inlineStr">
        <is>
          <t>SKELLEFTEÅ</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38031-2023</t>
        </is>
      </c>
      <c r="B2238" s="1" t="n">
        <v>45160</v>
      </c>
      <c r="C2238" s="1" t="n">
        <v>45760</v>
      </c>
      <c r="D2238" t="inlineStr">
        <is>
          <t>VÄSTERBOTTENS LÄN</t>
        </is>
      </c>
      <c r="E2238" t="inlineStr">
        <is>
          <t>SKELLEFTEÅ</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38258-2023</t>
        </is>
      </c>
      <c r="B2239" s="1" t="n">
        <v>45160</v>
      </c>
      <c r="C2239" s="1" t="n">
        <v>45760</v>
      </c>
      <c r="D2239" t="inlineStr">
        <is>
          <t>VÄSTERBOTTENS LÄN</t>
        </is>
      </c>
      <c r="E2239" t="inlineStr">
        <is>
          <t>SKELLEFTEÅ</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38311-2023</t>
        </is>
      </c>
      <c r="B2240" s="1" t="n">
        <v>45160</v>
      </c>
      <c r="C2240" s="1" t="n">
        <v>45760</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38253-2023</t>
        </is>
      </c>
      <c r="B2241" s="1" t="n">
        <v>45160</v>
      </c>
      <c r="C2241" s="1" t="n">
        <v>45760</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38305-2023</t>
        </is>
      </c>
      <c r="B2242" s="1" t="n">
        <v>45160</v>
      </c>
      <c r="C2242" s="1" t="n">
        <v>45760</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38717-2023</t>
        </is>
      </c>
      <c r="B2243" s="1" t="n">
        <v>45160</v>
      </c>
      <c r="C2243" s="1" t="n">
        <v>45760</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38826-2023</t>
        </is>
      </c>
      <c r="B2244" s="1" t="n">
        <v>45161</v>
      </c>
      <c r="C2244" s="1" t="n">
        <v>45760</v>
      </c>
      <c r="D2244" t="inlineStr">
        <is>
          <t>VÄSTERBOTTENS LÄN</t>
        </is>
      </c>
      <c r="E2244" t="inlineStr">
        <is>
          <t>SKELLEFTEÅ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38304-2023</t>
        </is>
      </c>
      <c r="B2245" s="1" t="n">
        <v>45161</v>
      </c>
      <c r="C2245" s="1" t="n">
        <v>45760</v>
      </c>
      <c r="D2245" t="inlineStr">
        <is>
          <t>VÄSTERBOTTENS LÄN</t>
        </is>
      </c>
      <c r="E2245" t="inlineStr">
        <is>
          <t>SKELLEFTEÅ</t>
        </is>
      </c>
      <c r="F2245" t="inlineStr">
        <is>
          <t>Holmen skog AB</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38356-2023</t>
        </is>
      </c>
      <c r="B2246" s="1" t="n">
        <v>45161</v>
      </c>
      <c r="C2246" s="1" t="n">
        <v>45760</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38574-2023</t>
        </is>
      </c>
      <c r="B2247" s="1" t="n">
        <v>45161</v>
      </c>
      <c r="C2247" s="1" t="n">
        <v>45760</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38811-2023</t>
        </is>
      </c>
      <c r="B2248" s="1" t="n">
        <v>45161</v>
      </c>
      <c r="C2248" s="1" t="n">
        <v>45760</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38577-2023</t>
        </is>
      </c>
      <c r="B2249" s="1" t="n">
        <v>45161</v>
      </c>
      <c r="C2249" s="1" t="n">
        <v>45760</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38809-2023</t>
        </is>
      </c>
      <c r="B2250" s="1" t="n">
        <v>45161</v>
      </c>
      <c r="C2250" s="1" t="n">
        <v>45760</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38805-2023</t>
        </is>
      </c>
      <c r="B2251" s="1" t="n">
        <v>45161</v>
      </c>
      <c r="C2251" s="1" t="n">
        <v>45760</v>
      </c>
      <c r="D2251" t="inlineStr">
        <is>
          <t>VÄSTERBOTTENS LÄN</t>
        </is>
      </c>
      <c r="E2251" t="inlineStr">
        <is>
          <t>SKELLEFTEÅ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38818-2023</t>
        </is>
      </c>
      <c r="B2252" s="1" t="n">
        <v>45161</v>
      </c>
      <c r="C2252" s="1" t="n">
        <v>45760</v>
      </c>
      <c r="D2252" t="inlineStr">
        <is>
          <t>VÄSTERBOTTENS LÄN</t>
        </is>
      </c>
      <c r="E2252" t="inlineStr">
        <is>
          <t>SKELLEFTEÅ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38396-2023</t>
        </is>
      </c>
      <c r="B2253" s="1" t="n">
        <v>45162</v>
      </c>
      <c r="C2253" s="1" t="n">
        <v>45760</v>
      </c>
      <c r="D2253" t="inlineStr">
        <is>
          <t>VÄSTERBOTTENS LÄN</t>
        </is>
      </c>
      <c r="E2253" t="inlineStr">
        <is>
          <t>SKELLEFTEÅ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38421-2023</t>
        </is>
      </c>
      <c r="B2254" s="1" t="n">
        <v>45162</v>
      </c>
      <c r="C2254" s="1" t="n">
        <v>45760</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38395-2023</t>
        </is>
      </c>
      <c r="B2255" s="1" t="n">
        <v>45162</v>
      </c>
      <c r="C2255" s="1" t="n">
        <v>45760</v>
      </c>
      <c r="D2255" t="inlineStr">
        <is>
          <t>VÄSTERBOTTENS LÄN</t>
        </is>
      </c>
      <c r="E2255" t="inlineStr">
        <is>
          <t>SKELLEFTEÅ</t>
        </is>
      </c>
      <c r="F2255" t="inlineStr">
        <is>
          <t>Sveaskog</t>
        </is>
      </c>
      <c r="G2255" t="n">
        <v>18.9</v>
      </c>
      <c r="H2255" t="n">
        <v>0</v>
      </c>
      <c r="I2255" t="n">
        <v>0</v>
      </c>
      <c r="J2255" t="n">
        <v>0</v>
      </c>
      <c r="K2255" t="n">
        <v>0</v>
      </c>
      <c r="L2255" t="n">
        <v>0</v>
      </c>
      <c r="M2255" t="n">
        <v>0</v>
      </c>
      <c r="N2255" t="n">
        <v>0</v>
      </c>
      <c r="O2255" t="n">
        <v>0</v>
      </c>
      <c r="P2255" t="n">
        <v>0</v>
      </c>
      <c r="Q2255" t="n">
        <v>0</v>
      </c>
      <c r="R2255" s="2" t="inlineStr"/>
    </row>
    <row r="2256" ht="15" customHeight="1">
      <c r="A2256" t="inlineStr">
        <is>
          <t>A 38450-2023</t>
        </is>
      </c>
      <c r="B2256" s="1" t="n">
        <v>45162</v>
      </c>
      <c r="C2256" s="1" t="n">
        <v>45760</v>
      </c>
      <c r="D2256" t="inlineStr">
        <is>
          <t>VÄSTERBOTTENS LÄN</t>
        </is>
      </c>
      <c r="E2256" t="inlineStr">
        <is>
          <t>SKELLEFTEÅ</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38393-2023</t>
        </is>
      </c>
      <c r="B2257" s="1" t="n">
        <v>45162</v>
      </c>
      <c r="C2257" s="1" t="n">
        <v>45760</v>
      </c>
      <c r="D2257" t="inlineStr">
        <is>
          <t>VÄSTERBOTTENS LÄN</t>
        </is>
      </c>
      <c r="E2257" t="inlineStr">
        <is>
          <t>SKELLEFTEÅ</t>
        </is>
      </c>
      <c r="F2257" t="inlineStr">
        <is>
          <t>Holmen skog AB</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38397-2023</t>
        </is>
      </c>
      <c r="B2258" s="1" t="n">
        <v>45162</v>
      </c>
      <c r="C2258" s="1" t="n">
        <v>45760</v>
      </c>
      <c r="D2258" t="inlineStr">
        <is>
          <t>VÄSTERBOTTENS LÄN</t>
        </is>
      </c>
      <c r="E2258" t="inlineStr">
        <is>
          <t>SKELLEFTEÅ</t>
        </is>
      </c>
      <c r="F2258" t="inlineStr">
        <is>
          <t>Sveaskog</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38445-2023</t>
        </is>
      </c>
      <c r="B2259" s="1" t="n">
        <v>45162</v>
      </c>
      <c r="C2259" s="1" t="n">
        <v>45760</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38473-2023</t>
        </is>
      </c>
      <c r="B2260" s="1" t="n">
        <v>45162</v>
      </c>
      <c r="C2260" s="1" t="n">
        <v>45760</v>
      </c>
      <c r="D2260" t="inlineStr">
        <is>
          <t>VÄSTERBOTTENS LÄN</t>
        </is>
      </c>
      <c r="E2260" t="inlineStr">
        <is>
          <t>SKELLEFTEÅ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38952-2023</t>
        </is>
      </c>
      <c r="B2261" s="1" t="n">
        <v>45163</v>
      </c>
      <c r="C2261" s="1" t="n">
        <v>45760</v>
      </c>
      <c r="D2261" t="inlineStr">
        <is>
          <t>VÄSTERBOTTENS LÄN</t>
        </is>
      </c>
      <c r="E2261" t="inlineStr">
        <is>
          <t>SKELLEFTEÅ</t>
        </is>
      </c>
      <c r="F2261" t="inlineStr">
        <is>
          <t>Sveaskog</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38830-2023</t>
        </is>
      </c>
      <c r="B2262" s="1" t="n">
        <v>45163</v>
      </c>
      <c r="C2262" s="1" t="n">
        <v>45760</v>
      </c>
      <c r="D2262" t="inlineStr">
        <is>
          <t>VÄSTERBOTTENS LÄN</t>
        </is>
      </c>
      <c r="E2262" t="inlineStr">
        <is>
          <t>SKELLEFTEÅ</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38833-2023</t>
        </is>
      </c>
      <c r="B2263" s="1" t="n">
        <v>45163</v>
      </c>
      <c r="C2263" s="1" t="n">
        <v>45760</v>
      </c>
      <c r="D2263" t="inlineStr">
        <is>
          <t>VÄSTERBOTTENS LÄN</t>
        </is>
      </c>
      <c r="E2263" t="inlineStr">
        <is>
          <t>SKELLEFTEÅ</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38837-2023</t>
        </is>
      </c>
      <c r="B2264" s="1" t="n">
        <v>45163</v>
      </c>
      <c r="C2264" s="1" t="n">
        <v>45760</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38949-2023</t>
        </is>
      </c>
      <c r="B2265" s="1" t="n">
        <v>45163</v>
      </c>
      <c r="C2265" s="1" t="n">
        <v>45760</v>
      </c>
      <c r="D2265" t="inlineStr">
        <is>
          <t>VÄSTERBOTTENS LÄN</t>
        </is>
      </c>
      <c r="E2265" t="inlineStr">
        <is>
          <t>SKELLEFTEÅ</t>
        </is>
      </c>
      <c r="F2265" t="inlineStr">
        <is>
          <t>Sveaskog</t>
        </is>
      </c>
      <c r="G2265" t="n">
        <v>19.1</v>
      </c>
      <c r="H2265" t="n">
        <v>0</v>
      </c>
      <c r="I2265" t="n">
        <v>0</v>
      </c>
      <c r="J2265" t="n">
        <v>0</v>
      </c>
      <c r="K2265" t="n">
        <v>0</v>
      </c>
      <c r="L2265" t="n">
        <v>0</v>
      </c>
      <c r="M2265" t="n">
        <v>0</v>
      </c>
      <c r="N2265" t="n">
        <v>0</v>
      </c>
      <c r="O2265" t="n">
        <v>0</v>
      </c>
      <c r="P2265" t="n">
        <v>0</v>
      </c>
      <c r="Q2265" t="n">
        <v>0</v>
      </c>
      <c r="R2265" s="2" t="inlineStr"/>
    </row>
    <row r="2266" ht="15" customHeight="1">
      <c r="A2266" t="inlineStr">
        <is>
          <t>A 39018-2023</t>
        </is>
      </c>
      <c r="B2266" s="1" t="n">
        <v>45163</v>
      </c>
      <c r="C2266" s="1" t="n">
        <v>45760</v>
      </c>
      <c r="D2266" t="inlineStr">
        <is>
          <t>VÄSTERBOTTENS LÄN</t>
        </is>
      </c>
      <c r="E2266" t="inlineStr">
        <is>
          <t>SKELLEFTEÅ</t>
        </is>
      </c>
      <c r="F2266" t="inlineStr">
        <is>
          <t>Sveaskog</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39026-2023</t>
        </is>
      </c>
      <c r="B2267" s="1" t="n">
        <v>45163</v>
      </c>
      <c r="C2267" s="1" t="n">
        <v>45760</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39034-2023</t>
        </is>
      </c>
      <c r="B2268" s="1" t="n">
        <v>45163</v>
      </c>
      <c r="C2268" s="1" t="n">
        <v>45760</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39412-2023</t>
        </is>
      </c>
      <c r="B2269" s="1" t="n">
        <v>45163</v>
      </c>
      <c r="C2269" s="1" t="n">
        <v>45760</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39420-2023</t>
        </is>
      </c>
      <c r="B2270" s="1" t="n">
        <v>45163</v>
      </c>
      <c r="C2270" s="1" t="n">
        <v>45760</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38790-2023</t>
        </is>
      </c>
      <c r="B2271" s="1" t="n">
        <v>45163</v>
      </c>
      <c r="C2271" s="1" t="n">
        <v>45760</v>
      </c>
      <c r="D2271" t="inlineStr">
        <is>
          <t>VÄSTERBOTTENS LÄN</t>
        </is>
      </c>
      <c r="E2271" t="inlineStr">
        <is>
          <t>SKELLEFTEÅ</t>
        </is>
      </c>
      <c r="F2271" t="inlineStr">
        <is>
          <t>Holmen skog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39132-2023</t>
        </is>
      </c>
      <c r="B2272" s="1" t="n">
        <v>45165</v>
      </c>
      <c r="C2272" s="1" t="n">
        <v>45760</v>
      </c>
      <c r="D2272" t="inlineStr">
        <is>
          <t>VÄSTERBOTTENS LÄN</t>
        </is>
      </c>
      <c r="E2272" t="inlineStr">
        <is>
          <t>SKELLEFTEÅ</t>
        </is>
      </c>
      <c r="F2272" t="inlineStr">
        <is>
          <t>Holmen skog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39135-2023</t>
        </is>
      </c>
      <c r="B2273" s="1" t="n">
        <v>45165</v>
      </c>
      <c r="C2273" s="1" t="n">
        <v>45760</v>
      </c>
      <c r="D2273" t="inlineStr">
        <is>
          <t>VÄSTERBOTTENS LÄN</t>
        </is>
      </c>
      <c r="E2273" t="inlineStr">
        <is>
          <t>SKELLEFTEÅ</t>
        </is>
      </c>
      <c r="F2273" t="inlineStr">
        <is>
          <t>Holmen skog AB</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39147-2023</t>
        </is>
      </c>
      <c r="B2274" s="1" t="n">
        <v>45166</v>
      </c>
      <c r="C2274" s="1" t="n">
        <v>45760</v>
      </c>
      <c r="D2274" t="inlineStr">
        <is>
          <t>VÄSTERBOTTENS LÄN</t>
        </is>
      </c>
      <c r="E2274" t="inlineStr">
        <is>
          <t>SKELLEFTEÅ</t>
        </is>
      </c>
      <c r="F2274" t="inlineStr">
        <is>
          <t>Holmen skog AB</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39156-2023</t>
        </is>
      </c>
      <c r="B2275" s="1" t="n">
        <v>45166</v>
      </c>
      <c r="C2275" s="1" t="n">
        <v>45760</v>
      </c>
      <c r="D2275" t="inlineStr">
        <is>
          <t>VÄSTERBOTTENS LÄN</t>
        </is>
      </c>
      <c r="E2275" t="inlineStr">
        <is>
          <t>SKELLEFTEÅ</t>
        </is>
      </c>
      <c r="F2275" t="inlineStr">
        <is>
          <t>Sveaskog</t>
        </is>
      </c>
      <c r="G2275" t="n">
        <v>43.7</v>
      </c>
      <c r="H2275" t="n">
        <v>0</v>
      </c>
      <c r="I2275" t="n">
        <v>0</v>
      </c>
      <c r="J2275" t="n">
        <v>0</v>
      </c>
      <c r="K2275" t="n">
        <v>0</v>
      </c>
      <c r="L2275" t="n">
        <v>0</v>
      </c>
      <c r="M2275" t="n">
        <v>0</v>
      </c>
      <c r="N2275" t="n">
        <v>0</v>
      </c>
      <c r="O2275" t="n">
        <v>0</v>
      </c>
      <c r="P2275" t="n">
        <v>0</v>
      </c>
      <c r="Q2275" t="n">
        <v>0</v>
      </c>
      <c r="R2275" s="2" t="inlineStr"/>
    </row>
    <row r="2276" ht="15" customHeight="1">
      <c r="A2276" t="inlineStr">
        <is>
          <t>A 39695-2023</t>
        </is>
      </c>
      <c r="B2276" s="1" t="n">
        <v>45166</v>
      </c>
      <c r="C2276" s="1" t="n">
        <v>45760</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39513-2023</t>
        </is>
      </c>
      <c r="B2277" s="1" t="n">
        <v>45167</v>
      </c>
      <c r="C2277" s="1" t="n">
        <v>45760</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39553-2023</t>
        </is>
      </c>
      <c r="B2278" s="1" t="n">
        <v>45167</v>
      </c>
      <c r="C2278" s="1" t="n">
        <v>45760</v>
      </c>
      <c r="D2278" t="inlineStr">
        <is>
          <t>VÄSTERBOTTENS LÄN</t>
        </is>
      </c>
      <c r="E2278" t="inlineStr">
        <is>
          <t>SKELLEFTEÅ</t>
        </is>
      </c>
      <c r="F2278" t="inlineStr">
        <is>
          <t>Holmen skog AB</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39589-2023</t>
        </is>
      </c>
      <c r="B2279" s="1" t="n">
        <v>45167</v>
      </c>
      <c r="C2279" s="1" t="n">
        <v>45760</v>
      </c>
      <c r="D2279" t="inlineStr">
        <is>
          <t>VÄSTERBOTTENS LÄN</t>
        </is>
      </c>
      <c r="E2279" t="inlineStr">
        <is>
          <t>SKELLEFTEÅ</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39544-2023</t>
        </is>
      </c>
      <c r="B2280" s="1" t="n">
        <v>45167</v>
      </c>
      <c r="C2280" s="1" t="n">
        <v>45760</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39846-2023</t>
        </is>
      </c>
      <c r="B2281" s="1" t="n">
        <v>45168</v>
      </c>
      <c r="C2281" s="1" t="n">
        <v>45760</v>
      </c>
      <c r="D2281" t="inlineStr">
        <is>
          <t>VÄSTERBOTTENS LÄN</t>
        </is>
      </c>
      <c r="E2281" t="inlineStr">
        <is>
          <t>SKELLEFTEÅ</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40189-2023</t>
        </is>
      </c>
      <c r="B2282" s="1" t="n">
        <v>45169</v>
      </c>
      <c r="C2282" s="1" t="n">
        <v>45760</v>
      </c>
      <c r="D2282" t="inlineStr">
        <is>
          <t>VÄSTERBOTTENS LÄN</t>
        </is>
      </c>
      <c r="E2282" t="inlineStr">
        <is>
          <t>SKELLEFTEÅ</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40373-2023</t>
        </is>
      </c>
      <c r="B2283" s="1" t="n">
        <v>45169</v>
      </c>
      <c r="C2283" s="1" t="n">
        <v>45760</v>
      </c>
      <c r="D2283" t="inlineStr">
        <is>
          <t>VÄSTERBOTTENS LÄN</t>
        </is>
      </c>
      <c r="E2283" t="inlineStr">
        <is>
          <t>SKELLEFTEÅ</t>
        </is>
      </c>
      <c r="F2283" t="inlineStr">
        <is>
          <t>Sveaskog</t>
        </is>
      </c>
      <c r="G2283" t="n">
        <v>16.6</v>
      </c>
      <c r="H2283" t="n">
        <v>0</v>
      </c>
      <c r="I2283" t="n">
        <v>0</v>
      </c>
      <c r="J2283" t="n">
        <v>0</v>
      </c>
      <c r="K2283" t="n">
        <v>0</v>
      </c>
      <c r="L2283" t="n">
        <v>0</v>
      </c>
      <c r="M2283" t="n">
        <v>0</v>
      </c>
      <c r="N2283" t="n">
        <v>0</v>
      </c>
      <c r="O2283" t="n">
        <v>0</v>
      </c>
      <c r="P2283" t="n">
        <v>0</v>
      </c>
      <c r="Q2283" t="n">
        <v>0</v>
      </c>
      <c r="R2283" s="2" t="inlineStr"/>
    </row>
    <row r="2284" ht="15" customHeight="1">
      <c r="A2284" t="inlineStr">
        <is>
          <t>A 40132-2023</t>
        </is>
      </c>
      <c r="B2284" s="1" t="n">
        <v>45169</v>
      </c>
      <c r="C2284" s="1" t="n">
        <v>45760</v>
      </c>
      <c r="D2284" t="inlineStr">
        <is>
          <t>VÄSTERBOTTENS LÄN</t>
        </is>
      </c>
      <c r="E2284" t="inlineStr">
        <is>
          <t>SKELLEFTEÅ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40274-2023</t>
        </is>
      </c>
      <c r="B2285" s="1" t="n">
        <v>45169</v>
      </c>
      <c r="C2285" s="1" t="n">
        <v>45760</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40393-2023</t>
        </is>
      </c>
      <c r="B2286" s="1" t="n">
        <v>45169</v>
      </c>
      <c r="C2286" s="1" t="n">
        <v>45760</v>
      </c>
      <c r="D2286" t="inlineStr">
        <is>
          <t>VÄSTERBOTTENS LÄN</t>
        </is>
      </c>
      <c r="E2286" t="inlineStr">
        <is>
          <t>SKELLEFTEÅ</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40442-2023</t>
        </is>
      </c>
      <c r="B2287" s="1" t="n">
        <v>45170</v>
      </c>
      <c r="C2287" s="1" t="n">
        <v>45760</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41109-2023</t>
        </is>
      </c>
      <c r="B2288" s="1" t="n">
        <v>45170</v>
      </c>
      <c r="C2288" s="1" t="n">
        <v>45760</v>
      </c>
      <c r="D2288" t="inlineStr">
        <is>
          <t>VÄSTERBOTTENS LÄN</t>
        </is>
      </c>
      <c r="E2288" t="inlineStr">
        <is>
          <t>SKELLEFTEÅ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41006-2023</t>
        </is>
      </c>
      <c r="B2289" s="1" t="n">
        <v>45173</v>
      </c>
      <c r="C2289" s="1" t="n">
        <v>45760</v>
      </c>
      <c r="D2289" t="inlineStr">
        <is>
          <t>VÄSTERBOTTENS LÄN</t>
        </is>
      </c>
      <c r="E2289" t="inlineStr">
        <is>
          <t>SKELLEFTEÅ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41092-2023</t>
        </is>
      </c>
      <c r="B2290" s="1" t="n">
        <v>45173</v>
      </c>
      <c r="C2290" s="1" t="n">
        <v>45760</v>
      </c>
      <c r="D2290" t="inlineStr">
        <is>
          <t>VÄSTERBOTTENS LÄN</t>
        </is>
      </c>
      <c r="E2290" t="inlineStr">
        <is>
          <t>SKELLEFTEÅ</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41397-2023</t>
        </is>
      </c>
      <c r="B2291" s="1" t="n">
        <v>45174</v>
      </c>
      <c r="C2291" s="1" t="n">
        <v>45760</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41645-2023</t>
        </is>
      </c>
      <c r="B2292" s="1" t="n">
        <v>45175</v>
      </c>
      <c r="C2292" s="1" t="n">
        <v>45760</v>
      </c>
      <c r="D2292" t="inlineStr">
        <is>
          <t>VÄSTERBOTTENS LÄN</t>
        </is>
      </c>
      <c r="E2292" t="inlineStr">
        <is>
          <t>SKELLEFTEÅ</t>
        </is>
      </c>
      <c r="G2292" t="n">
        <v>26.4</v>
      </c>
      <c r="H2292" t="n">
        <v>0</v>
      </c>
      <c r="I2292" t="n">
        <v>0</v>
      </c>
      <c r="J2292" t="n">
        <v>0</v>
      </c>
      <c r="K2292" t="n">
        <v>0</v>
      </c>
      <c r="L2292" t="n">
        <v>0</v>
      </c>
      <c r="M2292" t="n">
        <v>0</v>
      </c>
      <c r="N2292" t="n">
        <v>0</v>
      </c>
      <c r="O2292" t="n">
        <v>0</v>
      </c>
      <c r="P2292" t="n">
        <v>0</v>
      </c>
      <c r="Q2292" t="n">
        <v>0</v>
      </c>
      <c r="R2292" s="2" t="inlineStr"/>
    </row>
    <row r="2293" ht="15" customHeight="1">
      <c r="A2293" t="inlineStr">
        <is>
          <t>A 41617-2023</t>
        </is>
      </c>
      <c r="B2293" s="1" t="n">
        <v>45175</v>
      </c>
      <c r="C2293" s="1" t="n">
        <v>45760</v>
      </c>
      <c r="D2293" t="inlineStr">
        <is>
          <t>VÄSTERBOTTENS LÄN</t>
        </is>
      </c>
      <c r="E2293" t="inlineStr">
        <is>
          <t>SKELLEFTEÅ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42329-2023</t>
        </is>
      </c>
      <c r="B2294" s="1" t="n">
        <v>45175</v>
      </c>
      <c r="C2294" s="1" t="n">
        <v>45760</v>
      </c>
      <c r="D2294" t="inlineStr">
        <is>
          <t>VÄSTERBOTTENS LÄN</t>
        </is>
      </c>
      <c r="E2294" t="inlineStr">
        <is>
          <t>SKELLEFTEÅ</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42433-2023</t>
        </is>
      </c>
      <c r="B2295" s="1" t="n">
        <v>45175</v>
      </c>
      <c r="C2295" s="1" t="n">
        <v>45760</v>
      </c>
      <c r="D2295" t="inlineStr">
        <is>
          <t>VÄSTERBOTTENS LÄN</t>
        </is>
      </c>
      <c r="E2295" t="inlineStr">
        <is>
          <t>SKELLEFTEÅ</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41904-2023</t>
        </is>
      </c>
      <c r="B2296" s="1" t="n">
        <v>45177</v>
      </c>
      <c r="C2296" s="1" t="n">
        <v>45760</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42587-2023</t>
        </is>
      </c>
      <c r="B2297" s="1" t="n">
        <v>45176</v>
      </c>
      <c r="C2297" s="1" t="n">
        <v>45760</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42595-2023</t>
        </is>
      </c>
      <c r="B2298" s="1" t="n">
        <v>45176</v>
      </c>
      <c r="C2298" s="1" t="n">
        <v>45760</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42138-2023</t>
        </is>
      </c>
      <c r="B2299" s="1" t="n">
        <v>45177</v>
      </c>
      <c r="C2299" s="1" t="n">
        <v>45760</v>
      </c>
      <c r="D2299" t="inlineStr">
        <is>
          <t>VÄSTERBOTTENS LÄN</t>
        </is>
      </c>
      <c r="E2299" t="inlineStr">
        <is>
          <t>SKELLEFTEÅ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42822-2023</t>
        </is>
      </c>
      <c r="B2300" s="1" t="n">
        <v>45177</v>
      </c>
      <c r="C2300" s="1" t="n">
        <v>45760</v>
      </c>
      <c r="D2300" t="inlineStr">
        <is>
          <t>VÄSTERBOTTENS LÄN</t>
        </is>
      </c>
      <c r="E2300" t="inlineStr">
        <is>
          <t>SKELLEFTEÅ</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42136-2023</t>
        </is>
      </c>
      <c r="B2301" s="1" t="n">
        <v>45177</v>
      </c>
      <c r="C2301" s="1" t="n">
        <v>45760</v>
      </c>
      <c r="D2301" t="inlineStr">
        <is>
          <t>VÄSTERBOTTENS LÄN</t>
        </is>
      </c>
      <c r="E2301" t="inlineStr">
        <is>
          <t>SKELLEFTEÅ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42144-2023</t>
        </is>
      </c>
      <c r="B2302" s="1" t="n">
        <v>45177</v>
      </c>
      <c r="C2302" s="1" t="n">
        <v>45760</v>
      </c>
      <c r="D2302" t="inlineStr">
        <is>
          <t>VÄSTERBOTTENS LÄN</t>
        </is>
      </c>
      <c r="E2302" t="inlineStr">
        <is>
          <t>SKELLEFTEÅ</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42137-2023</t>
        </is>
      </c>
      <c r="B2303" s="1" t="n">
        <v>45177</v>
      </c>
      <c r="C2303" s="1" t="n">
        <v>45760</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42842-2023</t>
        </is>
      </c>
      <c r="B2304" s="1" t="n">
        <v>45177</v>
      </c>
      <c r="C2304" s="1" t="n">
        <v>45760</v>
      </c>
      <c r="D2304" t="inlineStr">
        <is>
          <t>VÄSTERBOTTENS LÄN</t>
        </is>
      </c>
      <c r="E2304" t="inlineStr">
        <is>
          <t>SKELLEFTEÅ</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42421-2023</t>
        </is>
      </c>
      <c r="B2305" s="1" t="n">
        <v>45180</v>
      </c>
      <c r="C2305" s="1" t="n">
        <v>45760</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42982-2023</t>
        </is>
      </c>
      <c r="B2306" s="1" t="n">
        <v>45180</v>
      </c>
      <c r="C2306" s="1" t="n">
        <v>45760</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43060-2023</t>
        </is>
      </c>
      <c r="B2307" s="1" t="n">
        <v>45180</v>
      </c>
      <c r="C2307" s="1" t="n">
        <v>45760</v>
      </c>
      <c r="D2307" t="inlineStr">
        <is>
          <t>VÄSTERBOTTENS LÄN</t>
        </is>
      </c>
      <c r="E2307" t="inlineStr">
        <is>
          <t>SKELLEFTEÅ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43568-2023</t>
        </is>
      </c>
      <c r="B2308" s="1" t="n">
        <v>45181</v>
      </c>
      <c r="C2308" s="1" t="n">
        <v>45760</v>
      </c>
      <c r="D2308" t="inlineStr">
        <is>
          <t>VÄSTERBOTTENS LÄN</t>
        </is>
      </c>
      <c r="E2308" t="inlineStr">
        <is>
          <t>SKELLEFTEÅ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43563-2023</t>
        </is>
      </c>
      <c r="B2309" s="1" t="n">
        <v>45181</v>
      </c>
      <c r="C2309" s="1" t="n">
        <v>45760</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43598-2023</t>
        </is>
      </c>
      <c r="B2310" s="1" t="n">
        <v>45181</v>
      </c>
      <c r="C2310" s="1" t="n">
        <v>45760</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43603-2023</t>
        </is>
      </c>
      <c r="B2311" s="1" t="n">
        <v>45181</v>
      </c>
      <c r="C2311" s="1" t="n">
        <v>45760</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42640-2023</t>
        </is>
      </c>
      <c r="B2312" s="1" t="n">
        <v>45181</v>
      </c>
      <c r="C2312" s="1" t="n">
        <v>45760</v>
      </c>
      <c r="D2312" t="inlineStr">
        <is>
          <t>VÄSTERBOTTENS LÄN</t>
        </is>
      </c>
      <c r="E2312" t="inlineStr">
        <is>
          <t>SKELLEFTEÅ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42650-2023</t>
        </is>
      </c>
      <c r="B2313" s="1" t="n">
        <v>45181</v>
      </c>
      <c r="C2313" s="1" t="n">
        <v>45760</v>
      </c>
      <c r="D2313" t="inlineStr">
        <is>
          <t>VÄSTERBOTTENS LÄN</t>
        </is>
      </c>
      <c r="E2313" t="inlineStr">
        <is>
          <t>SKELLEFTEÅ</t>
        </is>
      </c>
      <c r="F2313" t="inlineStr">
        <is>
          <t>Holmen skog AB</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42787-2023</t>
        </is>
      </c>
      <c r="B2314" s="1" t="n">
        <v>45181</v>
      </c>
      <c r="C2314" s="1" t="n">
        <v>45760</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42789-2023</t>
        </is>
      </c>
      <c r="B2315" s="1" t="n">
        <v>45181</v>
      </c>
      <c r="C2315" s="1" t="n">
        <v>45760</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43057-2023</t>
        </is>
      </c>
      <c r="B2316" s="1" t="n">
        <v>45182</v>
      </c>
      <c r="C2316" s="1" t="n">
        <v>45760</v>
      </c>
      <c r="D2316" t="inlineStr">
        <is>
          <t>VÄSTERBOTTENS LÄN</t>
        </is>
      </c>
      <c r="E2316" t="inlineStr">
        <is>
          <t>SKELLEFTEÅ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43059-2023</t>
        </is>
      </c>
      <c r="B2317" s="1" t="n">
        <v>45182</v>
      </c>
      <c r="C2317" s="1" t="n">
        <v>45760</v>
      </c>
      <c r="D2317" t="inlineStr">
        <is>
          <t>VÄSTERBOTTENS LÄN</t>
        </is>
      </c>
      <c r="E2317" t="inlineStr">
        <is>
          <t>SKELLEFTEÅ</t>
        </is>
      </c>
      <c r="F2317" t="inlineStr">
        <is>
          <t>Sveaskog</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44025-2023</t>
        </is>
      </c>
      <c r="B2318" s="1" t="n">
        <v>45182</v>
      </c>
      <c r="C2318" s="1" t="n">
        <v>45760</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43435-2023</t>
        </is>
      </c>
      <c r="B2319" s="1" t="n">
        <v>45184</v>
      </c>
      <c r="C2319" s="1" t="n">
        <v>45760</v>
      </c>
      <c r="D2319" t="inlineStr">
        <is>
          <t>VÄSTERBOTTENS LÄN</t>
        </is>
      </c>
      <c r="E2319" t="inlineStr">
        <is>
          <t>SKELLEFTEÅ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43439-2023</t>
        </is>
      </c>
      <c r="B2320" s="1" t="n">
        <v>45184</v>
      </c>
      <c r="C2320" s="1" t="n">
        <v>45760</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43438-2023</t>
        </is>
      </c>
      <c r="B2321" s="1" t="n">
        <v>45184</v>
      </c>
      <c r="C2321" s="1" t="n">
        <v>45760</v>
      </c>
      <c r="D2321" t="inlineStr">
        <is>
          <t>VÄSTERBOTTENS LÄN</t>
        </is>
      </c>
      <c r="E2321" t="inlineStr">
        <is>
          <t>SKELLEFTEÅ</t>
        </is>
      </c>
      <c r="F2321" t="inlineStr">
        <is>
          <t>Holmen skog AB</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43474-2023</t>
        </is>
      </c>
      <c r="B2322" s="1" t="n">
        <v>45184</v>
      </c>
      <c r="C2322" s="1" t="n">
        <v>45760</v>
      </c>
      <c r="D2322" t="inlineStr">
        <is>
          <t>VÄSTERBOTTENS LÄN</t>
        </is>
      </c>
      <c r="E2322" t="inlineStr">
        <is>
          <t>SKELLEFTEÅ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43578-2023</t>
        </is>
      </c>
      <c r="B2323" s="1" t="n">
        <v>45184</v>
      </c>
      <c r="C2323" s="1" t="n">
        <v>45760</v>
      </c>
      <c r="D2323" t="inlineStr">
        <is>
          <t>VÄSTERBOTTENS LÄN</t>
        </is>
      </c>
      <c r="E2323" t="inlineStr">
        <is>
          <t>SKELLEFTEÅ</t>
        </is>
      </c>
      <c r="F2323" t="inlineStr">
        <is>
          <t>Holmen skog AB</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43631-2023</t>
        </is>
      </c>
      <c r="B2324" s="1" t="n">
        <v>45185</v>
      </c>
      <c r="C2324" s="1" t="n">
        <v>45760</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43751-2023</t>
        </is>
      </c>
      <c r="B2325" s="1" t="n">
        <v>45187</v>
      </c>
      <c r="C2325" s="1" t="n">
        <v>45760</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43686-2023</t>
        </is>
      </c>
      <c r="B2326" s="1" t="n">
        <v>45187</v>
      </c>
      <c r="C2326" s="1" t="n">
        <v>45760</v>
      </c>
      <c r="D2326" t="inlineStr">
        <is>
          <t>VÄSTERBOTTENS LÄN</t>
        </is>
      </c>
      <c r="E2326" t="inlineStr">
        <is>
          <t>SKELLEFTEÅ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45079-2023</t>
        </is>
      </c>
      <c r="B2327" s="1" t="n">
        <v>45187</v>
      </c>
      <c r="C2327" s="1" t="n">
        <v>45760</v>
      </c>
      <c r="D2327" t="inlineStr">
        <is>
          <t>VÄSTERBOTTENS LÄN</t>
        </is>
      </c>
      <c r="E2327" t="inlineStr">
        <is>
          <t>SKELLEFTEÅ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44145-2023</t>
        </is>
      </c>
      <c r="B2328" s="1" t="n">
        <v>45188</v>
      </c>
      <c r="C2328" s="1" t="n">
        <v>45760</v>
      </c>
      <c r="D2328" t="inlineStr">
        <is>
          <t>VÄSTERBOTTENS LÄN</t>
        </is>
      </c>
      <c r="E2328" t="inlineStr">
        <is>
          <t>SKELLEFTEÅ</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44225-2023</t>
        </is>
      </c>
      <c r="B2329" s="1" t="n">
        <v>45188</v>
      </c>
      <c r="C2329" s="1" t="n">
        <v>45760</v>
      </c>
      <c r="D2329" t="inlineStr">
        <is>
          <t>VÄSTERBOTTENS LÄN</t>
        </is>
      </c>
      <c r="E2329" t="inlineStr">
        <is>
          <t>SKELLEFTEÅ</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44078-2023</t>
        </is>
      </c>
      <c r="B2330" s="1" t="n">
        <v>45188</v>
      </c>
      <c r="C2330" s="1" t="n">
        <v>45760</v>
      </c>
      <c r="D2330" t="inlineStr">
        <is>
          <t>VÄSTERBOTTENS LÄN</t>
        </is>
      </c>
      <c r="E2330" t="inlineStr">
        <is>
          <t>SKELLEFTEÅ</t>
        </is>
      </c>
      <c r="F2330" t="inlineStr">
        <is>
          <t>Holmen skog AB</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44250-2023</t>
        </is>
      </c>
      <c r="B2331" s="1" t="n">
        <v>45188</v>
      </c>
      <c r="C2331" s="1" t="n">
        <v>45760</v>
      </c>
      <c r="D2331" t="inlineStr">
        <is>
          <t>VÄSTERBOTTENS LÄN</t>
        </is>
      </c>
      <c r="E2331" t="inlineStr">
        <is>
          <t>SKELLEFTEÅ</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44263-2023</t>
        </is>
      </c>
      <c r="B2332" s="1" t="n">
        <v>45188</v>
      </c>
      <c r="C2332" s="1" t="n">
        <v>45760</v>
      </c>
      <c r="D2332" t="inlineStr">
        <is>
          <t>VÄSTERBOTTENS LÄN</t>
        </is>
      </c>
      <c r="E2332" t="inlineStr">
        <is>
          <t>SKELLEFTEÅ</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44296-2023</t>
        </is>
      </c>
      <c r="B2333" s="1" t="n">
        <v>45188</v>
      </c>
      <c r="C2333" s="1" t="n">
        <v>45760</v>
      </c>
      <c r="D2333" t="inlineStr">
        <is>
          <t>VÄSTERBOTTENS LÄN</t>
        </is>
      </c>
      <c r="E2333" t="inlineStr">
        <is>
          <t>SKELLEFTEÅ</t>
        </is>
      </c>
      <c r="F2333" t="inlineStr">
        <is>
          <t>Holmen skog AB</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44301-2023</t>
        </is>
      </c>
      <c r="B2334" s="1" t="n">
        <v>45188</v>
      </c>
      <c r="C2334" s="1" t="n">
        <v>45760</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44335-2023</t>
        </is>
      </c>
      <c r="B2335" s="1" t="n">
        <v>45188</v>
      </c>
      <c r="C2335" s="1" t="n">
        <v>45760</v>
      </c>
      <c r="D2335" t="inlineStr">
        <is>
          <t>VÄSTERBOTTENS LÄN</t>
        </is>
      </c>
      <c r="E2335" t="inlineStr">
        <is>
          <t>SKELLEFTEÅ</t>
        </is>
      </c>
      <c r="F2335" t="inlineStr">
        <is>
          <t>Holmen skog AB</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45581-2023</t>
        </is>
      </c>
      <c r="B2336" s="1" t="n">
        <v>45188</v>
      </c>
      <c r="C2336" s="1" t="n">
        <v>45760</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45576-2023</t>
        </is>
      </c>
      <c r="B2337" s="1" t="n">
        <v>45188</v>
      </c>
      <c r="C2337" s="1" t="n">
        <v>45760</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44483-2023</t>
        </is>
      </c>
      <c r="B2338" s="1" t="n">
        <v>45189</v>
      </c>
      <c r="C2338" s="1" t="n">
        <v>45760</v>
      </c>
      <c r="D2338" t="inlineStr">
        <is>
          <t>VÄSTERBOTTENS LÄN</t>
        </is>
      </c>
      <c r="E2338" t="inlineStr">
        <is>
          <t>SKELLEFTEÅ</t>
        </is>
      </c>
      <c r="F2338" t="inlineStr">
        <is>
          <t>Holmen skog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44545-2023</t>
        </is>
      </c>
      <c r="B2339" s="1" t="n">
        <v>45189</v>
      </c>
      <c r="C2339" s="1" t="n">
        <v>45760</v>
      </c>
      <c r="D2339" t="inlineStr">
        <is>
          <t>VÄSTERBOTTENS LÄN</t>
        </is>
      </c>
      <c r="E2339" t="inlineStr">
        <is>
          <t>SKELLEFTEÅ</t>
        </is>
      </c>
      <c r="F2339" t="inlineStr">
        <is>
          <t>Holmen skog AB</t>
        </is>
      </c>
      <c r="G2339" t="n">
        <v>16.9</v>
      </c>
      <c r="H2339" t="n">
        <v>0</v>
      </c>
      <c r="I2339" t="n">
        <v>0</v>
      </c>
      <c r="J2339" t="n">
        <v>0</v>
      </c>
      <c r="K2339" t="n">
        <v>0</v>
      </c>
      <c r="L2339" t="n">
        <v>0</v>
      </c>
      <c r="M2339" t="n">
        <v>0</v>
      </c>
      <c r="N2339" t="n">
        <v>0</v>
      </c>
      <c r="O2339" t="n">
        <v>0</v>
      </c>
      <c r="P2339" t="n">
        <v>0</v>
      </c>
      <c r="Q2339" t="n">
        <v>0</v>
      </c>
      <c r="R2339" s="2" t="inlineStr"/>
    </row>
    <row r="2340" ht="15" customHeight="1">
      <c r="A2340" t="inlineStr">
        <is>
          <t>A 44561-2023</t>
        </is>
      </c>
      <c r="B2340" s="1" t="n">
        <v>45189</v>
      </c>
      <c r="C2340" s="1" t="n">
        <v>45760</v>
      </c>
      <c r="D2340" t="inlineStr">
        <is>
          <t>VÄSTERBOTTENS LÄN</t>
        </is>
      </c>
      <c r="E2340" t="inlineStr">
        <is>
          <t>SKELLEFTEÅ</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45727-2023</t>
        </is>
      </c>
      <c r="B2341" s="1" t="n">
        <v>45189</v>
      </c>
      <c r="C2341" s="1" t="n">
        <v>45760</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44567-2023</t>
        </is>
      </c>
      <c r="B2342" s="1" t="n">
        <v>45189</v>
      </c>
      <c r="C2342" s="1" t="n">
        <v>45760</v>
      </c>
      <c r="D2342" t="inlineStr">
        <is>
          <t>VÄSTERBOTTENS LÄN</t>
        </is>
      </c>
      <c r="E2342" t="inlineStr">
        <is>
          <t>SKELLEFTEÅ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44745-2023</t>
        </is>
      </c>
      <c r="B2343" s="1" t="n">
        <v>45190</v>
      </c>
      <c r="C2343" s="1" t="n">
        <v>45760</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44912-2023</t>
        </is>
      </c>
      <c r="B2344" s="1" t="n">
        <v>45190</v>
      </c>
      <c r="C2344" s="1" t="n">
        <v>45760</v>
      </c>
      <c r="D2344" t="inlineStr">
        <is>
          <t>VÄSTERBOTTENS LÄN</t>
        </is>
      </c>
      <c r="E2344" t="inlineStr">
        <is>
          <t>SKELLEFTEÅ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44959-2023</t>
        </is>
      </c>
      <c r="B2345" s="1" t="n">
        <v>45190</v>
      </c>
      <c r="C2345" s="1" t="n">
        <v>45760</v>
      </c>
      <c r="D2345" t="inlineStr">
        <is>
          <t>VÄSTERBOTTENS LÄN</t>
        </is>
      </c>
      <c r="E2345" t="inlineStr">
        <is>
          <t>SKELLEFTEÅ</t>
        </is>
      </c>
      <c r="F2345" t="inlineStr">
        <is>
          <t>Sveaskog</t>
        </is>
      </c>
      <c r="G2345" t="n">
        <v>15.3</v>
      </c>
      <c r="H2345" t="n">
        <v>0</v>
      </c>
      <c r="I2345" t="n">
        <v>0</v>
      </c>
      <c r="J2345" t="n">
        <v>0</v>
      </c>
      <c r="K2345" t="n">
        <v>0</v>
      </c>
      <c r="L2345" t="n">
        <v>0</v>
      </c>
      <c r="M2345" t="n">
        <v>0</v>
      </c>
      <c r="N2345" t="n">
        <v>0</v>
      </c>
      <c r="O2345" t="n">
        <v>0</v>
      </c>
      <c r="P2345" t="n">
        <v>0</v>
      </c>
      <c r="Q2345" t="n">
        <v>0</v>
      </c>
      <c r="R2345" s="2" t="inlineStr"/>
    </row>
    <row r="2346" ht="15" customHeight="1">
      <c r="A2346" t="inlineStr">
        <is>
          <t>A 44856-2023</t>
        </is>
      </c>
      <c r="B2346" s="1" t="n">
        <v>45190</v>
      </c>
      <c r="C2346" s="1" t="n">
        <v>45760</v>
      </c>
      <c r="D2346" t="inlineStr">
        <is>
          <t>VÄSTERBOTTENS LÄN</t>
        </is>
      </c>
      <c r="E2346" t="inlineStr">
        <is>
          <t>SKELLEFTEÅ</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44872-2023</t>
        </is>
      </c>
      <c r="B2347" s="1" t="n">
        <v>45190</v>
      </c>
      <c r="C2347" s="1" t="n">
        <v>45760</v>
      </c>
      <c r="D2347" t="inlineStr">
        <is>
          <t>VÄSTERBOTTENS LÄN</t>
        </is>
      </c>
      <c r="E2347" t="inlineStr">
        <is>
          <t>SKELLEFTEÅ</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44877-2023</t>
        </is>
      </c>
      <c r="B2348" s="1" t="n">
        <v>45190</v>
      </c>
      <c r="C2348" s="1" t="n">
        <v>45760</v>
      </c>
      <c r="D2348" t="inlineStr">
        <is>
          <t>VÄSTERBOTTENS LÄN</t>
        </is>
      </c>
      <c r="E2348" t="inlineStr">
        <is>
          <t>SKELLEFTEÅ</t>
        </is>
      </c>
      <c r="F2348" t="inlineStr">
        <is>
          <t>Holmen skog AB</t>
        </is>
      </c>
      <c r="G2348" t="n">
        <v>11.8</v>
      </c>
      <c r="H2348" t="n">
        <v>0</v>
      </c>
      <c r="I2348" t="n">
        <v>0</v>
      </c>
      <c r="J2348" t="n">
        <v>0</v>
      </c>
      <c r="K2348" t="n">
        <v>0</v>
      </c>
      <c r="L2348" t="n">
        <v>0</v>
      </c>
      <c r="M2348" t="n">
        <v>0</v>
      </c>
      <c r="N2348" t="n">
        <v>0</v>
      </c>
      <c r="O2348" t="n">
        <v>0</v>
      </c>
      <c r="P2348" t="n">
        <v>0</v>
      </c>
      <c r="Q2348" t="n">
        <v>0</v>
      </c>
      <c r="R2348" s="2" t="inlineStr"/>
    </row>
    <row r="2349" ht="15" customHeight="1">
      <c r="A2349" t="inlineStr">
        <is>
          <t>A 44775-2023</t>
        </is>
      </c>
      <c r="B2349" s="1" t="n">
        <v>45190</v>
      </c>
      <c r="C2349" s="1" t="n">
        <v>45760</v>
      </c>
      <c r="D2349" t="inlineStr">
        <is>
          <t>VÄSTERBOTTENS LÄN</t>
        </is>
      </c>
      <c r="E2349" t="inlineStr">
        <is>
          <t>SKELLEFTEÅ</t>
        </is>
      </c>
      <c r="F2349" t="inlineStr">
        <is>
          <t>Sveaskog</t>
        </is>
      </c>
      <c r="G2349" t="n">
        <v>20.4</v>
      </c>
      <c r="H2349" t="n">
        <v>0</v>
      </c>
      <c r="I2349" t="n">
        <v>0</v>
      </c>
      <c r="J2349" t="n">
        <v>0</v>
      </c>
      <c r="K2349" t="n">
        <v>0</v>
      </c>
      <c r="L2349" t="n">
        <v>0</v>
      </c>
      <c r="M2349" t="n">
        <v>0</v>
      </c>
      <c r="N2349" t="n">
        <v>0</v>
      </c>
      <c r="O2349" t="n">
        <v>0</v>
      </c>
      <c r="P2349" t="n">
        <v>0</v>
      </c>
      <c r="Q2349" t="n">
        <v>0</v>
      </c>
      <c r="R2349" s="2" t="inlineStr"/>
    </row>
    <row r="2350" ht="15" customHeight="1">
      <c r="A2350" t="inlineStr">
        <is>
          <t>A 44825-2023</t>
        </is>
      </c>
      <c r="B2350" s="1" t="n">
        <v>45190</v>
      </c>
      <c r="C2350" s="1" t="n">
        <v>45760</v>
      </c>
      <c r="D2350" t="inlineStr">
        <is>
          <t>VÄSTERBOTTENS LÄN</t>
        </is>
      </c>
      <c r="E2350" t="inlineStr">
        <is>
          <t>SKELLEFTEÅ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46191-2023</t>
        </is>
      </c>
      <c r="B2351" s="1" t="n">
        <v>45190</v>
      </c>
      <c r="C2351" s="1" t="n">
        <v>45760</v>
      </c>
      <c r="D2351" t="inlineStr">
        <is>
          <t>VÄSTERBOTTENS LÄN</t>
        </is>
      </c>
      <c r="E2351" t="inlineStr">
        <is>
          <t>SKELLEFTEÅ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46084-2023</t>
        </is>
      </c>
      <c r="B2352" s="1" t="n">
        <v>45190</v>
      </c>
      <c r="C2352" s="1" t="n">
        <v>45760</v>
      </c>
      <c r="D2352" t="inlineStr">
        <is>
          <t>VÄSTERBOTTENS LÄN</t>
        </is>
      </c>
      <c r="E2352" t="inlineStr">
        <is>
          <t>SKELLEFTEÅ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46107-2023</t>
        </is>
      </c>
      <c r="B2353" s="1" t="n">
        <v>45190</v>
      </c>
      <c r="C2353" s="1" t="n">
        <v>45760</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45039-2023</t>
        </is>
      </c>
      <c r="B2354" s="1" t="n">
        <v>45191</v>
      </c>
      <c r="C2354" s="1" t="n">
        <v>45760</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46302-2023</t>
        </is>
      </c>
      <c r="B2355" s="1" t="n">
        <v>45191</v>
      </c>
      <c r="C2355" s="1" t="n">
        <v>45760</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45552-2023</t>
        </is>
      </c>
      <c r="B2356" s="1" t="n">
        <v>45194</v>
      </c>
      <c r="C2356" s="1" t="n">
        <v>45760</v>
      </c>
      <c r="D2356" t="inlineStr">
        <is>
          <t>VÄSTERBOTTENS LÄN</t>
        </is>
      </c>
      <c r="E2356" t="inlineStr">
        <is>
          <t>SKELLEFTEÅ</t>
        </is>
      </c>
      <c r="G2356" t="n">
        <v>18.3</v>
      </c>
      <c r="H2356" t="n">
        <v>0</v>
      </c>
      <c r="I2356" t="n">
        <v>0</v>
      </c>
      <c r="J2356" t="n">
        <v>0</v>
      </c>
      <c r="K2356" t="n">
        <v>0</v>
      </c>
      <c r="L2356" t="n">
        <v>0</v>
      </c>
      <c r="M2356" t="n">
        <v>0</v>
      </c>
      <c r="N2356" t="n">
        <v>0</v>
      </c>
      <c r="O2356" t="n">
        <v>0</v>
      </c>
      <c r="P2356" t="n">
        <v>0</v>
      </c>
      <c r="Q2356" t="n">
        <v>0</v>
      </c>
      <c r="R2356" s="2" t="inlineStr"/>
    </row>
    <row r="2357" ht="15" customHeight="1">
      <c r="A2357" t="inlineStr">
        <is>
          <t>A 46504-2023</t>
        </is>
      </c>
      <c r="B2357" s="1" t="n">
        <v>45194</v>
      </c>
      <c r="C2357" s="1" t="n">
        <v>45760</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45498-2023</t>
        </is>
      </c>
      <c r="B2358" s="1" t="n">
        <v>45194</v>
      </c>
      <c r="C2358" s="1" t="n">
        <v>45760</v>
      </c>
      <c r="D2358" t="inlineStr">
        <is>
          <t>VÄSTERBOTTENS LÄN</t>
        </is>
      </c>
      <c r="E2358" t="inlineStr">
        <is>
          <t>SKELLEFTEÅ</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46492-2023</t>
        </is>
      </c>
      <c r="B2359" s="1" t="n">
        <v>45194</v>
      </c>
      <c r="C2359" s="1" t="n">
        <v>45760</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46440-2023</t>
        </is>
      </c>
      <c r="B2360" s="1" t="n">
        <v>45197</v>
      </c>
      <c r="C2360" s="1" t="n">
        <v>45760</v>
      </c>
      <c r="D2360" t="inlineStr">
        <is>
          <t>VÄSTERBOTTENS LÄN</t>
        </is>
      </c>
      <c r="E2360" t="inlineStr">
        <is>
          <t>SKELLEFTEÅ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46540-2023</t>
        </is>
      </c>
      <c r="B2361" s="1" t="n">
        <v>45198</v>
      </c>
      <c r="C2361" s="1" t="n">
        <v>45760</v>
      </c>
      <c r="D2361" t="inlineStr">
        <is>
          <t>VÄSTERBOTTENS LÄN</t>
        </is>
      </c>
      <c r="E2361" t="inlineStr">
        <is>
          <t>SKELLEFTEÅ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46539-2023</t>
        </is>
      </c>
      <c r="B2362" s="1" t="n">
        <v>45198</v>
      </c>
      <c r="C2362" s="1" t="n">
        <v>45760</v>
      </c>
      <c r="D2362" t="inlineStr">
        <is>
          <t>VÄSTERBOTTENS LÄN</t>
        </is>
      </c>
      <c r="E2362" t="inlineStr">
        <is>
          <t>SKELLEFTEÅ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46541-2023</t>
        </is>
      </c>
      <c r="B2363" s="1" t="n">
        <v>45198</v>
      </c>
      <c r="C2363" s="1" t="n">
        <v>45760</v>
      </c>
      <c r="D2363" t="inlineStr">
        <is>
          <t>VÄSTERBOTTENS LÄN</t>
        </is>
      </c>
      <c r="E2363" t="inlineStr">
        <is>
          <t>SKELLEFTEÅ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46448-2023</t>
        </is>
      </c>
      <c r="B2364" s="1" t="n">
        <v>45197</v>
      </c>
      <c r="C2364" s="1" t="n">
        <v>45760</v>
      </c>
      <c r="D2364" t="inlineStr">
        <is>
          <t>VÄSTERBOTTENS LÄN</t>
        </is>
      </c>
      <c r="E2364" t="inlineStr">
        <is>
          <t>SKELLEFTEÅ</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46538-2023</t>
        </is>
      </c>
      <c r="B2365" s="1" t="n">
        <v>45198</v>
      </c>
      <c r="C2365" s="1" t="n">
        <v>45760</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47447-2023</t>
        </is>
      </c>
      <c r="B2366" s="1" t="n">
        <v>45197</v>
      </c>
      <c r="C2366" s="1" t="n">
        <v>45760</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46584-2023</t>
        </is>
      </c>
      <c r="B2367" s="1" t="n">
        <v>45198</v>
      </c>
      <c r="C2367" s="1" t="n">
        <v>45760</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46590-2023</t>
        </is>
      </c>
      <c r="B2368" s="1" t="n">
        <v>45198</v>
      </c>
      <c r="C2368" s="1" t="n">
        <v>45760</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47924-2023</t>
        </is>
      </c>
      <c r="B2369" s="1" t="n">
        <v>45198</v>
      </c>
      <c r="C2369" s="1" t="n">
        <v>45760</v>
      </c>
      <c r="D2369" t="inlineStr">
        <is>
          <t>VÄSTERBOTTENS LÄN</t>
        </is>
      </c>
      <c r="E2369" t="inlineStr">
        <is>
          <t>SKELLEFTEÅ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47923-2023</t>
        </is>
      </c>
      <c r="B2370" s="1" t="n">
        <v>45198</v>
      </c>
      <c r="C2370" s="1" t="n">
        <v>45760</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47925-2023</t>
        </is>
      </c>
      <c r="B2371" s="1" t="n">
        <v>45198</v>
      </c>
      <c r="C2371" s="1" t="n">
        <v>45760</v>
      </c>
      <c r="D2371" t="inlineStr">
        <is>
          <t>VÄSTERBOTTENS LÄN</t>
        </is>
      </c>
      <c r="E2371" t="inlineStr">
        <is>
          <t>SKELLEFTEÅ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47155-2023</t>
        </is>
      </c>
      <c r="B2372" s="1" t="n">
        <v>45202</v>
      </c>
      <c r="C2372" s="1" t="n">
        <v>45760</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47154-2023</t>
        </is>
      </c>
      <c r="B2373" s="1" t="n">
        <v>45202</v>
      </c>
      <c r="C2373" s="1" t="n">
        <v>45760</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47139-2023</t>
        </is>
      </c>
      <c r="B2374" s="1" t="n">
        <v>45201</v>
      </c>
      <c r="C2374" s="1" t="n">
        <v>45760</v>
      </c>
      <c r="D2374" t="inlineStr">
        <is>
          <t>VÄSTERBOTTENS LÄN</t>
        </is>
      </c>
      <c r="E2374" t="inlineStr">
        <is>
          <t>SKELLEFTEÅ</t>
        </is>
      </c>
      <c r="F2374" t="inlineStr">
        <is>
          <t>Sveaskog</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46965-2023</t>
        </is>
      </c>
      <c r="B2375" s="1" t="n">
        <v>45201</v>
      </c>
      <c r="C2375" s="1" t="n">
        <v>45760</v>
      </c>
      <c r="D2375" t="inlineStr">
        <is>
          <t>VÄSTERBOTTENS LÄN</t>
        </is>
      </c>
      <c r="E2375" t="inlineStr">
        <is>
          <t>SKELLEFTEÅ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48392-2023</t>
        </is>
      </c>
      <c r="B2376" s="1" t="n">
        <v>45201</v>
      </c>
      <c r="C2376" s="1" t="n">
        <v>45760</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48394-2023</t>
        </is>
      </c>
      <c r="B2377" s="1" t="n">
        <v>45201</v>
      </c>
      <c r="C2377" s="1" t="n">
        <v>45760</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47312-2023</t>
        </is>
      </c>
      <c r="B2378" s="1" t="n">
        <v>45202</v>
      </c>
      <c r="C2378" s="1" t="n">
        <v>45760</v>
      </c>
      <c r="D2378" t="inlineStr">
        <is>
          <t>VÄSTERBOTTENS LÄN</t>
        </is>
      </c>
      <c r="E2378" t="inlineStr">
        <is>
          <t>SKELLEFTEÅ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47406-2023</t>
        </is>
      </c>
      <c r="B2379" s="1" t="n">
        <v>45202</v>
      </c>
      <c r="C2379" s="1" t="n">
        <v>45760</v>
      </c>
      <c r="D2379" t="inlineStr">
        <is>
          <t>VÄSTERBOTTENS LÄN</t>
        </is>
      </c>
      <c r="E2379" t="inlineStr">
        <is>
          <t>SKELLEFTEÅ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47468-2023</t>
        </is>
      </c>
      <c r="B2380" s="1" t="n">
        <v>45202</v>
      </c>
      <c r="C2380" s="1" t="n">
        <v>45760</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47716-2023</t>
        </is>
      </c>
      <c r="B2381" s="1" t="n">
        <v>45203</v>
      </c>
      <c r="C2381" s="1" t="n">
        <v>45760</v>
      </c>
      <c r="D2381" t="inlineStr">
        <is>
          <t>VÄSTERBOTTENS LÄN</t>
        </is>
      </c>
      <c r="E2381" t="inlineStr">
        <is>
          <t>SKELLEFTEÅ</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47531-2023</t>
        </is>
      </c>
      <c r="B2382" s="1" t="n">
        <v>45203</v>
      </c>
      <c r="C2382" s="1" t="n">
        <v>45760</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47534-2023</t>
        </is>
      </c>
      <c r="B2383" s="1" t="n">
        <v>45203</v>
      </c>
      <c r="C2383" s="1" t="n">
        <v>45760</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47910-2023</t>
        </is>
      </c>
      <c r="B2384" s="1" t="n">
        <v>45204</v>
      </c>
      <c r="C2384" s="1" t="n">
        <v>45760</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48062-2023</t>
        </is>
      </c>
      <c r="B2385" s="1" t="n">
        <v>45205</v>
      </c>
      <c r="C2385" s="1" t="n">
        <v>45760</v>
      </c>
      <c r="D2385" t="inlineStr">
        <is>
          <t>VÄSTERBOTTENS LÄN</t>
        </is>
      </c>
      <c r="E2385" t="inlineStr">
        <is>
          <t>SKELLEFTEÅ</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48160-2023</t>
        </is>
      </c>
      <c r="B2386" s="1" t="n">
        <v>45205</v>
      </c>
      <c r="C2386" s="1" t="n">
        <v>45760</v>
      </c>
      <c r="D2386" t="inlineStr">
        <is>
          <t>VÄSTERBOTTENS LÄN</t>
        </is>
      </c>
      <c r="E2386" t="inlineStr">
        <is>
          <t>SKELLEFTEÅ</t>
        </is>
      </c>
      <c r="G2386" t="n">
        <v>18.8</v>
      </c>
      <c r="H2386" t="n">
        <v>0</v>
      </c>
      <c r="I2386" t="n">
        <v>0</v>
      </c>
      <c r="J2386" t="n">
        <v>0</v>
      </c>
      <c r="K2386" t="n">
        <v>0</v>
      </c>
      <c r="L2386" t="n">
        <v>0</v>
      </c>
      <c r="M2386" t="n">
        <v>0</v>
      </c>
      <c r="N2386" t="n">
        <v>0</v>
      </c>
      <c r="O2386" t="n">
        <v>0</v>
      </c>
      <c r="P2386" t="n">
        <v>0</v>
      </c>
      <c r="Q2386" t="n">
        <v>0</v>
      </c>
      <c r="R2386" s="2" t="inlineStr"/>
    </row>
    <row r="2387" ht="15" customHeight="1">
      <c r="A2387" t="inlineStr">
        <is>
          <t>A 48316-2023</t>
        </is>
      </c>
      <c r="B2387" s="1" t="n">
        <v>45205</v>
      </c>
      <c r="C2387" s="1" t="n">
        <v>45760</v>
      </c>
      <c r="D2387" t="inlineStr">
        <is>
          <t>VÄSTERBOTTENS LÄN</t>
        </is>
      </c>
      <c r="E2387" t="inlineStr">
        <is>
          <t>SKELLEFTEÅ</t>
        </is>
      </c>
      <c r="F2387" t="inlineStr">
        <is>
          <t>Holmen skog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48264-2023</t>
        </is>
      </c>
      <c r="B2388" s="1" t="n">
        <v>45205</v>
      </c>
      <c r="C2388" s="1" t="n">
        <v>45760</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48361-2023</t>
        </is>
      </c>
      <c r="B2389" s="1" t="n">
        <v>45205</v>
      </c>
      <c r="C2389" s="1" t="n">
        <v>45760</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49573-2023</t>
        </is>
      </c>
      <c r="B2390" s="1" t="n">
        <v>45205</v>
      </c>
      <c r="C2390" s="1" t="n">
        <v>45760</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49587-2023</t>
        </is>
      </c>
      <c r="B2391" s="1" t="n">
        <v>45206</v>
      </c>
      <c r="C2391" s="1" t="n">
        <v>45760</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49594-2023</t>
        </is>
      </c>
      <c r="B2392" s="1" t="n">
        <v>45206</v>
      </c>
      <c r="C2392" s="1" t="n">
        <v>45760</v>
      </c>
      <c r="D2392" t="inlineStr">
        <is>
          <t>VÄSTERBOTTENS LÄN</t>
        </is>
      </c>
      <c r="E2392" t="inlineStr">
        <is>
          <t>SKELLEFTEÅ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48454-2023</t>
        </is>
      </c>
      <c r="B2393" s="1" t="n">
        <v>45206</v>
      </c>
      <c r="C2393" s="1" t="n">
        <v>45760</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48501-2023</t>
        </is>
      </c>
      <c r="B2394" s="1" t="n">
        <v>45207</v>
      </c>
      <c r="C2394" s="1" t="n">
        <v>45760</v>
      </c>
      <c r="D2394" t="inlineStr">
        <is>
          <t>VÄSTERBOTTENS LÄN</t>
        </is>
      </c>
      <c r="E2394" t="inlineStr">
        <is>
          <t>SKELLEFTEÅ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48517-2023</t>
        </is>
      </c>
      <c r="B2395" s="1" t="n">
        <v>45208</v>
      </c>
      <c r="C2395" s="1" t="n">
        <v>45760</v>
      </c>
      <c r="D2395" t="inlineStr">
        <is>
          <t>VÄSTERBOTTENS LÄN</t>
        </is>
      </c>
      <c r="E2395" t="inlineStr">
        <is>
          <t>SKELLEFTEÅ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48518-2023</t>
        </is>
      </c>
      <c r="B2396" s="1" t="n">
        <v>45208</v>
      </c>
      <c r="C2396" s="1" t="n">
        <v>45760</v>
      </c>
      <c r="D2396" t="inlineStr">
        <is>
          <t>VÄSTERBOTTENS LÄN</t>
        </is>
      </c>
      <c r="E2396" t="inlineStr">
        <is>
          <t>SKELLEFTEÅ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48573-2023</t>
        </is>
      </c>
      <c r="B2397" s="1" t="n">
        <v>45208</v>
      </c>
      <c r="C2397" s="1" t="n">
        <v>45760</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48516-2023</t>
        </is>
      </c>
      <c r="B2398" s="1" t="n">
        <v>45208</v>
      </c>
      <c r="C2398" s="1" t="n">
        <v>45760</v>
      </c>
      <c r="D2398" t="inlineStr">
        <is>
          <t>VÄSTERBOTTENS LÄN</t>
        </is>
      </c>
      <c r="E2398" t="inlineStr">
        <is>
          <t>SKELLEFTEÅ</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48802-2023</t>
        </is>
      </c>
      <c r="B2399" s="1" t="n">
        <v>45209</v>
      </c>
      <c r="C2399" s="1" t="n">
        <v>45760</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50185-2023</t>
        </is>
      </c>
      <c r="B2400" s="1" t="n">
        <v>45209</v>
      </c>
      <c r="C2400" s="1" t="n">
        <v>45760</v>
      </c>
      <c r="D2400" t="inlineStr">
        <is>
          <t>VÄSTERBOTTENS LÄN</t>
        </is>
      </c>
      <c r="E2400" t="inlineStr">
        <is>
          <t>SKELLEFTEÅ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49161-2023</t>
        </is>
      </c>
      <c r="B2401" s="1" t="n">
        <v>45210</v>
      </c>
      <c r="C2401" s="1" t="n">
        <v>45760</v>
      </c>
      <c r="D2401" t="inlineStr">
        <is>
          <t>VÄSTERBOTTENS LÄN</t>
        </is>
      </c>
      <c r="E2401" t="inlineStr">
        <is>
          <t>SKELLEFTEÅ</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49130-2023</t>
        </is>
      </c>
      <c r="B2402" s="1" t="n">
        <v>45210</v>
      </c>
      <c r="C2402" s="1" t="n">
        <v>45760</v>
      </c>
      <c r="D2402" t="inlineStr">
        <is>
          <t>VÄSTERBOTTENS LÄN</t>
        </is>
      </c>
      <c r="E2402" t="inlineStr">
        <is>
          <t>SKELLEFTEÅ</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49055-2023</t>
        </is>
      </c>
      <c r="B2403" s="1" t="n">
        <v>45210</v>
      </c>
      <c r="C2403" s="1" t="n">
        <v>45760</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49241-2023</t>
        </is>
      </c>
      <c r="B2404" s="1" t="n">
        <v>45210</v>
      </c>
      <c r="C2404" s="1" t="n">
        <v>45760</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49243-2023</t>
        </is>
      </c>
      <c r="B2405" s="1" t="n">
        <v>45210</v>
      </c>
      <c r="C2405" s="1" t="n">
        <v>45760</v>
      </c>
      <c r="D2405" t="inlineStr">
        <is>
          <t>VÄSTERBOTTENS LÄN</t>
        </is>
      </c>
      <c r="E2405" t="inlineStr">
        <is>
          <t>SKELLEFTEÅ</t>
        </is>
      </c>
      <c r="F2405" t="inlineStr">
        <is>
          <t>Holmen skog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50378-2023</t>
        </is>
      </c>
      <c r="B2406" s="1" t="n">
        <v>45210</v>
      </c>
      <c r="C2406" s="1" t="n">
        <v>45760</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49283-2023</t>
        </is>
      </c>
      <c r="B2407" s="1" t="n">
        <v>45210</v>
      </c>
      <c r="C2407" s="1" t="n">
        <v>45760</v>
      </c>
      <c r="D2407" t="inlineStr">
        <is>
          <t>VÄSTERBOTTENS LÄN</t>
        </is>
      </c>
      <c r="E2407" t="inlineStr">
        <is>
          <t>SKELLEFTEÅ</t>
        </is>
      </c>
      <c r="F2407" t="inlineStr">
        <is>
          <t>Holmen skog AB</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49688-2023</t>
        </is>
      </c>
      <c r="B2408" s="1" t="n">
        <v>45212</v>
      </c>
      <c r="C2408" s="1" t="n">
        <v>45760</v>
      </c>
      <c r="D2408" t="inlineStr">
        <is>
          <t>VÄSTERBOTTENS LÄN</t>
        </is>
      </c>
      <c r="E2408" t="inlineStr">
        <is>
          <t>SKELLEFTEÅ</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49730-2023</t>
        </is>
      </c>
      <c r="B2409" s="1" t="n">
        <v>45212</v>
      </c>
      <c r="C2409" s="1" t="n">
        <v>45760</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49728-2023</t>
        </is>
      </c>
      <c r="B2410" s="1" t="n">
        <v>45212</v>
      </c>
      <c r="C2410" s="1" t="n">
        <v>45760</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51342-2023</t>
        </is>
      </c>
      <c r="B2411" s="1" t="n">
        <v>45212</v>
      </c>
      <c r="C2411" s="1" t="n">
        <v>45760</v>
      </c>
      <c r="D2411" t="inlineStr">
        <is>
          <t>VÄSTERBOTTENS LÄN</t>
        </is>
      </c>
      <c r="E2411" t="inlineStr">
        <is>
          <t>SKELLEFTEÅ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49901-2023</t>
        </is>
      </c>
      <c r="B2412" s="1" t="n">
        <v>45213</v>
      </c>
      <c r="C2412" s="1" t="n">
        <v>45760</v>
      </c>
      <c r="D2412" t="inlineStr">
        <is>
          <t>VÄSTERBOTTENS LÄN</t>
        </is>
      </c>
      <c r="E2412" t="inlineStr">
        <is>
          <t>SKELLEFTEÅ</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49900-2023</t>
        </is>
      </c>
      <c r="B2413" s="1" t="n">
        <v>45213</v>
      </c>
      <c r="C2413" s="1" t="n">
        <v>45760</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49949-2023</t>
        </is>
      </c>
      <c r="B2414" s="1" t="n">
        <v>45215</v>
      </c>
      <c r="C2414" s="1" t="n">
        <v>45760</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50081-2023</t>
        </is>
      </c>
      <c r="B2415" s="1" t="n">
        <v>45215</v>
      </c>
      <c r="C2415" s="1" t="n">
        <v>45760</v>
      </c>
      <c r="D2415" t="inlineStr">
        <is>
          <t>VÄSTERBOTTENS LÄN</t>
        </is>
      </c>
      <c r="E2415" t="inlineStr">
        <is>
          <t>SKELLEFTEÅ</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50108-2023</t>
        </is>
      </c>
      <c r="B2416" s="1" t="n">
        <v>45215</v>
      </c>
      <c r="C2416" s="1" t="n">
        <v>45760</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51590-2023</t>
        </is>
      </c>
      <c r="B2417" s="1" t="n">
        <v>45215</v>
      </c>
      <c r="C2417" s="1" t="n">
        <v>45760</v>
      </c>
      <c r="D2417" t="inlineStr">
        <is>
          <t>VÄSTERBOTTENS LÄN</t>
        </is>
      </c>
      <c r="E2417" t="inlineStr">
        <is>
          <t>SKELLEFTEÅ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51611-2023</t>
        </is>
      </c>
      <c r="B2418" s="1" t="n">
        <v>45215</v>
      </c>
      <c r="C2418" s="1" t="n">
        <v>45760</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51683-2023</t>
        </is>
      </c>
      <c r="B2419" s="1" t="n">
        <v>45215</v>
      </c>
      <c r="C2419" s="1" t="n">
        <v>45760</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51664-2023</t>
        </is>
      </c>
      <c r="B2420" s="1" t="n">
        <v>45215</v>
      </c>
      <c r="C2420" s="1" t="n">
        <v>45760</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50474-2023</t>
        </is>
      </c>
      <c r="B2421" s="1" t="n">
        <v>45217</v>
      </c>
      <c r="C2421" s="1" t="n">
        <v>45760</v>
      </c>
      <c r="D2421" t="inlineStr">
        <is>
          <t>VÄSTERBOTTENS LÄN</t>
        </is>
      </c>
      <c r="E2421" t="inlineStr">
        <is>
          <t>SKELLEFTEÅ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50462-2023</t>
        </is>
      </c>
      <c r="B2422" s="1" t="n">
        <v>45216</v>
      </c>
      <c r="C2422" s="1" t="n">
        <v>45760</v>
      </c>
      <c r="D2422" t="inlineStr">
        <is>
          <t>VÄSTERBOTTENS LÄN</t>
        </is>
      </c>
      <c r="E2422" t="inlineStr">
        <is>
          <t>SKELLEFTEÅ</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50477-2023</t>
        </is>
      </c>
      <c r="B2423" s="1" t="n">
        <v>45217</v>
      </c>
      <c r="C2423" s="1" t="n">
        <v>45760</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50338-2023</t>
        </is>
      </c>
      <c r="B2424" s="1" t="n">
        <v>45216</v>
      </c>
      <c r="C2424" s="1" t="n">
        <v>45760</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52062-2023</t>
        </is>
      </c>
      <c r="B2425" s="1" t="n">
        <v>45216</v>
      </c>
      <c r="C2425" s="1" t="n">
        <v>45760</v>
      </c>
      <c r="D2425" t="inlineStr">
        <is>
          <t>VÄSTERBOTTENS LÄN</t>
        </is>
      </c>
      <c r="E2425" t="inlineStr">
        <is>
          <t>SKELLEFTEÅ</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52037-2023</t>
        </is>
      </c>
      <c r="B2426" s="1" t="n">
        <v>45216</v>
      </c>
      <c r="C2426" s="1" t="n">
        <v>45760</v>
      </c>
      <c r="D2426" t="inlineStr">
        <is>
          <t>VÄSTERBOTTENS LÄN</t>
        </is>
      </c>
      <c r="E2426" t="inlineStr">
        <is>
          <t>SKELLEFTEÅ</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51926-2023</t>
        </is>
      </c>
      <c r="B2427" s="1" t="n">
        <v>45216</v>
      </c>
      <c r="C2427" s="1" t="n">
        <v>45760</v>
      </c>
      <c r="D2427" t="inlineStr">
        <is>
          <t>VÄSTERBOTTENS LÄN</t>
        </is>
      </c>
      <c r="E2427" t="inlineStr">
        <is>
          <t>SKELLEFTEÅ</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50475-2023</t>
        </is>
      </c>
      <c r="B2428" s="1" t="n">
        <v>45217</v>
      </c>
      <c r="C2428" s="1" t="n">
        <v>45760</v>
      </c>
      <c r="D2428" t="inlineStr">
        <is>
          <t>VÄSTERBOTTENS LÄN</t>
        </is>
      </c>
      <c r="E2428" t="inlineStr">
        <is>
          <t>SKELLEFTEÅ</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51970-2023</t>
        </is>
      </c>
      <c r="B2429" s="1" t="n">
        <v>45216</v>
      </c>
      <c r="C2429" s="1" t="n">
        <v>45760</v>
      </c>
      <c r="D2429" t="inlineStr">
        <is>
          <t>VÄSTERBOTTENS LÄN</t>
        </is>
      </c>
      <c r="E2429" t="inlineStr">
        <is>
          <t>SKELLEFTEÅ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51928-2023</t>
        </is>
      </c>
      <c r="B2430" s="1" t="n">
        <v>45216</v>
      </c>
      <c r="C2430" s="1" t="n">
        <v>45760</v>
      </c>
      <c r="D2430" t="inlineStr">
        <is>
          <t>VÄSTERBOTTENS LÄN</t>
        </is>
      </c>
      <c r="E2430" t="inlineStr">
        <is>
          <t>SKELLEFTEÅ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51960-2023</t>
        </is>
      </c>
      <c r="B2431" s="1" t="n">
        <v>45216</v>
      </c>
      <c r="C2431" s="1" t="n">
        <v>45760</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51963-2023</t>
        </is>
      </c>
      <c r="B2432" s="1" t="n">
        <v>45216</v>
      </c>
      <c r="C2432" s="1" t="n">
        <v>45760</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50488-2023</t>
        </is>
      </c>
      <c r="B2433" s="1" t="n">
        <v>45217</v>
      </c>
      <c r="C2433" s="1" t="n">
        <v>45760</v>
      </c>
      <c r="D2433" t="inlineStr">
        <is>
          <t>VÄSTERBOTTENS LÄN</t>
        </is>
      </c>
      <c r="E2433" t="inlineStr">
        <is>
          <t>SKELLEFTEÅ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50476-2023</t>
        </is>
      </c>
      <c r="B2434" s="1" t="n">
        <v>45217</v>
      </c>
      <c r="C2434" s="1" t="n">
        <v>45760</v>
      </c>
      <c r="D2434" t="inlineStr">
        <is>
          <t>VÄSTERBOTTENS LÄN</t>
        </is>
      </c>
      <c r="E2434" t="inlineStr">
        <is>
          <t>SKELLEFTEÅ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50464-2023</t>
        </is>
      </c>
      <c r="B2435" s="1" t="n">
        <v>45216</v>
      </c>
      <c r="C2435" s="1" t="n">
        <v>45760</v>
      </c>
      <c r="D2435" t="inlineStr">
        <is>
          <t>VÄSTERBOTTENS LÄN</t>
        </is>
      </c>
      <c r="E2435" t="inlineStr">
        <is>
          <t>SKELLEFTEÅ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50549-2023</t>
        </is>
      </c>
      <c r="B2436" s="1" t="n">
        <v>45217</v>
      </c>
      <c r="C2436" s="1" t="n">
        <v>45760</v>
      </c>
      <c r="D2436" t="inlineStr">
        <is>
          <t>VÄSTERBOTTENS LÄN</t>
        </is>
      </c>
      <c r="E2436" t="inlineStr">
        <is>
          <t>SKELLEFTEÅ</t>
        </is>
      </c>
      <c r="F2436" t="inlineStr">
        <is>
          <t>Holmen skog AB</t>
        </is>
      </c>
      <c r="G2436" t="n">
        <v>28.5</v>
      </c>
      <c r="H2436" t="n">
        <v>0</v>
      </c>
      <c r="I2436" t="n">
        <v>0</v>
      </c>
      <c r="J2436" t="n">
        <v>0</v>
      </c>
      <c r="K2436" t="n">
        <v>0</v>
      </c>
      <c r="L2436" t="n">
        <v>0</v>
      </c>
      <c r="M2436" t="n">
        <v>0</v>
      </c>
      <c r="N2436" t="n">
        <v>0</v>
      </c>
      <c r="O2436" t="n">
        <v>0</v>
      </c>
      <c r="P2436" t="n">
        <v>0</v>
      </c>
      <c r="Q2436" t="n">
        <v>0</v>
      </c>
      <c r="R2436" s="2" t="inlineStr"/>
    </row>
    <row r="2437" ht="15" customHeight="1">
      <c r="A2437" t="inlineStr">
        <is>
          <t>A 50821-2023</t>
        </is>
      </c>
      <c r="B2437" s="1" t="n">
        <v>45218</v>
      </c>
      <c r="C2437" s="1" t="n">
        <v>45760</v>
      </c>
      <c r="D2437" t="inlineStr">
        <is>
          <t>VÄSTERBOTTENS LÄN</t>
        </is>
      </c>
      <c r="E2437" t="inlineStr">
        <is>
          <t>SKELLEFTEÅ</t>
        </is>
      </c>
      <c r="G2437" t="n">
        <v>19.3</v>
      </c>
      <c r="H2437" t="n">
        <v>0</v>
      </c>
      <c r="I2437" t="n">
        <v>0</v>
      </c>
      <c r="J2437" t="n">
        <v>0</v>
      </c>
      <c r="K2437" t="n">
        <v>0</v>
      </c>
      <c r="L2437" t="n">
        <v>0</v>
      </c>
      <c r="M2437" t="n">
        <v>0</v>
      </c>
      <c r="N2437" t="n">
        <v>0</v>
      </c>
      <c r="O2437" t="n">
        <v>0</v>
      </c>
      <c r="P2437" t="n">
        <v>0</v>
      </c>
      <c r="Q2437" t="n">
        <v>0</v>
      </c>
      <c r="R2437" s="2" t="inlineStr"/>
    </row>
    <row r="2438" ht="15" customHeight="1">
      <c r="A2438" t="inlineStr">
        <is>
          <t>A 52228-2023</t>
        </is>
      </c>
      <c r="B2438" s="1" t="n">
        <v>45217</v>
      </c>
      <c r="C2438" s="1" t="n">
        <v>45760</v>
      </c>
      <c r="D2438" t="inlineStr">
        <is>
          <t>VÄSTERBOTTENS LÄN</t>
        </is>
      </c>
      <c r="E2438" t="inlineStr">
        <is>
          <t>SKELLEFTEÅ</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52305-2023</t>
        </is>
      </c>
      <c r="B2439" s="1" t="n">
        <v>45217</v>
      </c>
      <c r="C2439" s="1" t="n">
        <v>45760</v>
      </c>
      <c r="D2439" t="inlineStr">
        <is>
          <t>VÄSTERBOTTENS LÄN</t>
        </is>
      </c>
      <c r="E2439" t="inlineStr">
        <is>
          <t>SKELLEFTEÅ</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52300-2023</t>
        </is>
      </c>
      <c r="B2440" s="1" t="n">
        <v>45217</v>
      </c>
      <c r="C2440" s="1" t="n">
        <v>45760</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52287-2023</t>
        </is>
      </c>
      <c r="B2441" s="1" t="n">
        <v>45217</v>
      </c>
      <c r="C2441" s="1" t="n">
        <v>45760</v>
      </c>
      <c r="D2441" t="inlineStr">
        <is>
          <t>VÄSTERBOTTENS LÄN</t>
        </is>
      </c>
      <c r="E2441" t="inlineStr">
        <is>
          <t>SKELLEFTEÅ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52239-2023</t>
        </is>
      </c>
      <c r="B2442" s="1" t="n">
        <v>45217</v>
      </c>
      <c r="C2442" s="1" t="n">
        <v>45760</v>
      </c>
      <c r="D2442" t="inlineStr">
        <is>
          <t>VÄSTERBOTTENS LÄN</t>
        </is>
      </c>
      <c r="E2442" t="inlineStr">
        <is>
          <t>SKELLEFTEÅ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52792-2023</t>
        </is>
      </c>
      <c r="B2443" s="1" t="n">
        <v>45219</v>
      </c>
      <c r="C2443" s="1" t="n">
        <v>45760</v>
      </c>
      <c r="D2443" t="inlineStr">
        <is>
          <t>VÄSTERBOTTENS LÄN</t>
        </is>
      </c>
      <c r="E2443" t="inlineStr">
        <is>
          <t>SKELLEFTEÅ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52809-2023</t>
        </is>
      </c>
      <c r="B2444" s="1" t="n">
        <v>45219</v>
      </c>
      <c r="C2444" s="1" t="n">
        <v>45760</v>
      </c>
      <c r="D2444" t="inlineStr">
        <is>
          <t>VÄSTERBOTTENS LÄN</t>
        </is>
      </c>
      <c r="E2444" t="inlineStr">
        <is>
          <t>SKELLEFTEÅ</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51339-2023</t>
        </is>
      </c>
      <c r="B2445" s="1" t="n">
        <v>45219</v>
      </c>
      <c r="C2445" s="1" t="n">
        <v>45760</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51396-2023</t>
        </is>
      </c>
      <c r="B2446" s="1" t="n">
        <v>45219</v>
      </c>
      <c r="C2446" s="1" t="n">
        <v>45760</v>
      </c>
      <c r="D2446" t="inlineStr">
        <is>
          <t>VÄSTERBOTTENS LÄN</t>
        </is>
      </c>
      <c r="E2446" t="inlineStr">
        <is>
          <t>SKELLEFTEÅ</t>
        </is>
      </c>
      <c r="F2446" t="inlineStr">
        <is>
          <t>Holmen skog AB</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51418-2023</t>
        </is>
      </c>
      <c r="B2447" s="1" t="n">
        <v>45219</v>
      </c>
      <c r="C2447" s="1" t="n">
        <v>45760</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51455-2023</t>
        </is>
      </c>
      <c r="B2448" s="1" t="n">
        <v>45221</v>
      </c>
      <c r="C2448" s="1" t="n">
        <v>45760</v>
      </c>
      <c r="D2448" t="inlineStr">
        <is>
          <t>VÄSTERBOTTENS LÄN</t>
        </is>
      </c>
      <c r="E2448" t="inlineStr">
        <is>
          <t>SKELLEFTEÅ</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51470-2023</t>
        </is>
      </c>
      <c r="B2449" s="1" t="n">
        <v>45221</v>
      </c>
      <c r="C2449" s="1" t="n">
        <v>45760</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51478-2023</t>
        </is>
      </c>
      <c r="B2450" s="1" t="n">
        <v>45221</v>
      </c>
      <c r="C2450" s="1" t="n">
        <v>45760</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51526-2023</t>
        </is>
      </c>
      <c r="B2451" s="1" t="n">
        <v>45222</v>
      </c>
      <c r="C2451" s="1" t="n">
        <v>45760</v>
      </c>
      <c r="D2451" t="inlineStr">
        <is>
          <t>VÄSTERBOTTENS LÄN</t>
        </is>
      </c>
      <c r="E2451" t="inlineStr">
        <is>
          <t>SKELLEFTEÅ</t>
        </is>
      </c>
      <c r="F2451" t="inlineStr">
        <is>
          <t>Holmen skog AB</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51644-2023</t>
        </is>
      </c>
      <c r="B2452" s="1" t="n">
        <v>45222</v>
      </c>
      <c r="C2452" s="1" t="n">
        <v>45760</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51703-2023</t>
        </is>
      </c>
      <c r="B2453" s="1" t="n">
        <v>45222</v>
      </c>
      <c r="C2453" s="1" t="n">
        <v>45760</v>
      </c>
      <c r="D2453" t="inlineStr">
        <is>
          <t>VÄSTERBOTTENS LÄN</t>
        </is>
      </c>
      <c r="E2453" t="inlineStr">
        <is>
          <t>SKELLEFTEÅ</t>
        </is>
      </c>
      <c r="F2453" t="inlineStr">
        <is>
          <t>Kommuner</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51667-2023</t>
        </is>
      </c>
      <c r="B2454" s="1" t="n">
        <v>45222</v>
      </c>
      <c r="C2454" s="1" t="n">
        <v>45760</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53215-2023</t>
        </is>
      </c>
      <c r="B2455" s="1" t="n">
        <v>45222</v>
      </c>
      <c r="C2455" s="1" t="n">
        <v>45760</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51502-2023</t>
        </is>
      </c>
      <c r="B2456" s="1" t="n">
        <v>45222</v>
      </c>
      <c r="C2456" s="1" t="n">
        <v>45760</v>
      </c>
      <c r="D2456" t="inlineStr">
        <is>
          <t>VÄSTERBOTTENS LÄN</t>
        </is>
      </c>
      <c r="E2456" t="inlineStr">
        <is>
          <t>SKELLEFTEÅ</t>
        </is>
      </c>
      <c r="F2456" t="inlineStr">
        <is>
          <t>Kommuner</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51507-2023</t>
        </is>
      </c>
      <c r="B2457" s="1" t="n">
        <v>45222</v>
      </c>
      <c r="C2457" s="1" t="n">
        <v>45760</v>
      </c>
      <c r="D2457" t="inlineStr">
        <is>
          <t>VÄSTERBOTTENS LÄN</t>
        </is>
      </c>
      <c r="E2457" t="inlineStr">
        <is>
          <t>SKELLEFTEÅ</t>
        </is>
      </c>
      <c r="F2457" t="inlineStr">
        <is>
          <t>Kommuner</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52107-2023</t>
        </is>
      </c>
      <c r="B2458" s="1" t="n">
        <v>45224</v>
      </c>
      <c r="C2458" s="1" t="n">
        <v>45760</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52007-2023</t>
        </is>
      </c>
      <c r="B2459" s="1" t="n">
        <v>45223</v>
      </c>
      <c r="C2459" s="1" t="n">
        <v>45760</v>
      </c>
      <c r="D2459" t="inlineStr">
        <is>
          <t>VÄSTERBOTTENS LÄN</t>
        </is>
      </c>
      <c r="E2459" t="inlineStr">
        <is>
          <t>SKELLEFTEÅ</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52082-2023</t>
        </is>
      </c>
      <c r="B2460" s="1" t="n">
        <v>45223</v>
      </c>
      <c r="C2460" s="1" t="n">
        <v>45760</v>
      </c>
      <c r="D2460" t="inlineStr">
        <is>
          <t>VÄSTERBOTTENS LÄN</t>
        </is>
      </c>
      <c r="E2460" t="inlineStr">
        <is>
          <t>SKELLEFTEÅ</t>
        </is>
      </c>
      <c r="F2460" t="inlineStr">
        <is>
          <t>Sveaskog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52106-2023</t>
        </is>
      </c>
      <c r="B2461" s="1" t="n">
        <v>45224</v>
      </c>
      <c r="C2461" s="1" t="n">
        <v>45760</v>
      </c>
      <c r="D2461" t="inlineStr">
        <is>
          <t>VÄSTERBOTTENS LÄN</t>
        </is>
      </c>
      <c r="E2461" t="inlineStr">
        <is>
          <t>SKELLEFTEÅ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51958-2023</t>
        </is>
      </c>
      <c r="B2462" s="1" t="n">
        <v>45223</v>
      </c>
      <c r="C2462" s="1" t="n">
        <v>45760</v>
      </c>
      <c r="D2462" t="inlineStr">
        <is>
          <t>VÄSTERBOTTENS LÄN</t>
        </is>
      </c>
      <c r="E2462" t="inlineStr">
        <is>
          <t>SKELLEFTEÅ</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51969-2023</t>
        </is>
      </c>
      <c r="B2463" s="1" t="n">
        <v>45223</v>
      </c>
      <c r="C2463" s="1" t="n">
        <v>45760</v>
      </c>
      <c r="D2463" t="inlineStr">
        <is>
          <t>VÄSTERBOTTENS LÄN</t>
        </is>
      </c>
      <c r="E2463" t="inlineStr">
        <is>
          <t>SKELLEFTEÅ</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52105-2023</t>
        </is>
      </c>
      <c r="B2464" s="1" t="n">
        <v>45224</v>
      </c>
      <c r="C2464" s="1" t="n">
        <v>45760</v>
      </c>
      <c r="D2464" t="inlineStr">
        <is>
          <t>VÄSTERBOTTENS LÄN</t>
        </is>
      </c>
      <c r="E2464" t="inlineStr">
        <is>
          <t>SKELLEFTEÅ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53500-2023</t>
        </is>
      </c>
      <c r="B2465" s="1" t="n">
        <v>45223</v>
      </c>
      <c r="C2465" s="1" t="n">
        <v>45760</v>
      </c>
      <c r="D2465" t="inlineStr">
        <is>
          <t>VÄSTERBOTTENS LÄN</t>
        </is>
      </c>
      <c r="E2465" t="inlineStr">
        <is>
          <t>SKELLEFTEÅ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52364-2023</t>
        </is>
      </c>
      <c r="B2466" s="1" t="n">
        <v>45224</v>
      </c>
      <c r="C2466" s="1" t="n">
        <v>45760</v>
      </c>
      <c r="D2466" t="inlineStr">
        <is>
          <t>VÄSTERBOTTENS LÄN</t>
        </is>
      </c>
      <c r="E2466" t="inlineStr">
        <is>
          <t>SKELLEFTEÅ</t>
        </is>
      </c>
      <c r="F2466" t="inlineStr">
        <is>
          <t>Sveaskog</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52185-2023</t>
        </is>
      </c>
      <c r="B2467" s="1" t="n">
        <v>45224</v>
      </c>
      <c r="C2467" s="1" t="n">
        <v>45760</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52203-2023</t>
        </is>
      </c>
      <c r="B2468" s="1" t="n">
        <v>45224</v>
      </c>
      <c r="C2468" s="1" t="n">
        <v>45760</v>
      </c>
      <c r="D2468" t="inlineStr">
        <is>
          <t>VÄSTERBOTTENS LÄN</t>
        </is>
      </c>
      <c r="E2468" t="inlineStr">
        <is>
          <t>SKELLEFTEÅ</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53656-2023</t>
        </is>
      </c>
      <c r="B2469" s="1" t="n">
        <v>45224</v>
      </c>
      <c r="C2469" s="1" t="n">
        <v>45760</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53680-2023</t>
        </is>
      </c>
      <c r="B2470" s="1" t="n">
        <v>45224</v>
      </c>
      <c r="C2470" s="1" t="n">
        <v>45760</v>
      </c>
      <c r="D2470" t="inlineStr">
        <is>
          <t>VÄSTERBOTTENS LÄN</t>
        </is>
      </c>
      <c r="E2470" t="inlineStr">
        <is>
          <t>SKELLEFTEÅ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52384-2023</t>
        </is>
      </c>
      <c r="B2471" s="1" t="n">
        <v>45224</v>
      </c>
      <c r="C2471" s="1" t="n">
        <v>45760</v>
      </c>
      <c r="D2471" t="inlineStr">
        <is>
          <t>VÄSTERBOTTENS LÄN</t>
        </is>
      </c>
      <c r="E2471" t="inlineStr">
        <is>
          <t>SKELLEFTEÅ</t>
        </is>
      </c>
      <c r="F2471" t="inlineStr">
        <is>
          <t>Sveaskog</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52419-2023</t>
        </is>
      </c>
      <c r="B2472" s="1" t="n">
        <v>45225</v>
      </c>
      <c r="C2472" s="1" t="n">
        <v>45760</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52425-2023</t>
        </is>
      </c>
      <c r="B2473" s="1" t="n">
        <v>45225</v>
      </c>
      <c r="C2473" s="1" t="n">
        <v>45760</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52444-2023</t>
        </is>
      </c>
      <c r="B2474" s="1" t="n">
        <v>45225</v>
      </c>
      <c r="C2474" s="1" t="n">
        <v>45760</v>
      </c>
      <c r="D2474" t="inlineStr">
        <is>
          <t>VÄSTERBOTTENS LÄN</t>
        </is>
      </c>
      <c r="E2474" t="inlineStr">
        <is>
          <t>SKELLEFTEÅ</t>
        </is>
      </c>
      <c r="F2474" t="inlineStr">
        <is>
          <t>Sveaskog</t>
        </is>
      </c>
      <c r="G2474" t="n">
        <v>28.5</v>
      </c>
      <c r="H2474" t="n">
        <v>0</v>
      </c>
      <c r="I2474" t="n">
        <v>0</v>
      </c>
      <c r="J2474" t="n">
        <v>0</v>
      </c>
      <c r="K2474" t="n">
        <v>0</v>
      </c>
      <c r="L2474" t="n">
        <v>0</v>
      </c>
      <c r="M2474" t="n">
        <v>0</v>
      </c>
      <c r="N2474" t="n">
        <v>0</v>
      </c>
      <c r="O2474" t="n">
        <v>0</v>
      </c>
      <c r="P2474" t="n">
        <v>0</v>
      </c>
      <c r="Q2474" t="n">
        <v>0</v>
      </c>
      <c r="R2474" s="2" t="inlineStr"/>
    </row>
    <row r="2475" ht="15" customHeight="1">
      <c r="A2475" t="inlineStr">
        <is>
          <t>A 52441-2023</t>
        </is>
      </c>
      <c r="B2475" s="1" t="n">
        <v>45225</v>
      </c>
      <c r="C2475" s="1" t="n">
        <v>45760</v>
      </c>
      <c r="D2475" t="inlineStr">
        <is>
          <t>VÄSTERBOTTENS LÄN</t>
        </is>
      </c>
      <c r="E2475" t="inlineStr">
        <is>
          <t>SKELLEFTEÅ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52489-2023</t>
        </is>
      </c>
      <c r="B2476" s="1" t="n">
        <v>45225</v>
      </c>
      <c r="C2476" s="1" t="n">
        <v>45760</v>
      </c>
      <c r="D2476" t="inlineStr">
        <is>
          <t>VÄSTERBOTTENS LÄN</t>
        </is>
      </c>
      <c r="E2476" t="inlineStr">
        <is>
          <t>SKELLEFTEÅ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52493-2023</t>
        </is>
      </c>
      <c r="B2477" s="1" t="n">
        <v>45225</v>
      </c>
      <c r="C2477" s="1" t="n">
        <v>45760</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52442-2023</t>
        </is>
      </c>
      <c r="B2478" s="1" t="n">
        <v>45225</v>
      </c>
      <c r="C2478" s="1" t="n">
        <v>45760</v>
      </c>
      <c r="D2478" t="inlineStr">
        <is>
          <t>VÄSTERBOTTENS LÄN</t>
        </is>
      </c>
      <c r="E2478" t="inlineStr">
        <is>
          <t>SKELLEFTEÅ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52447-2023</t>
        </is>
      </c>
      <c r="B2479" s="1" t="n">
        <v>45225</v>
      </c>
      <c r="C2479" s="1" t="n">
        <v>45760</v>
      </c>
      <c r="D2479" t="inlineStr">
        <is>
          <t>VÄSTERBOTTENS LÄN</t>
        </is>
      </c>
      <c r="E2479" t="inlineStr">
        <is>
          <t>SKELLEFTEÅ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52686-2023</t>
        </is>
      </c>
      <c r="B2480" s="1" t="n">
        <v>45225</v>
      </c>
      <c r="C2480" s="1" t="n">
        <v>45760</v>
      </c>
      <c r="D2480" t="inlineStr">
        <is>
          <t>VÄSTERBOTTENS LÄN</t>
        </is>
      </c>
      <c r="E2480" t="inlineStr">
        <is>
          <t>SKELLEFTEÅ</t>
        </is>
      </c>
      <c r="F2480" t="inlineStr">
        <is>
          <t>Sveaskog</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54399-2023</t>
        </is>
      </c>
      <c r="B2481" s="1" t="n">
        <v>45226</v>
      </c>
      <c r="C2481" s="1" t="n">
        <v>45760</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54394-2023</t>
        </is>
      </c>
      <c r="B2482" s="1" t="n">
        <v>45226</v>
      </c>
      <c r="C2482" s="1" t="n">
        <v>45760</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54411-2023</t>
        </is>
      </c>
      <c r="B2483" s="1" t="n">
        <v>45226</v>
      </c>
      <c r="C2483" s="1" t="n">
        <v>45760</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54449-2023</t>
        </is>
      </c>
      <c r="B2484" s="1" t="n">
        <v>45226</v>
      </c>
      <c r="C2484" s="1" t="n">
        <v>45760</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54469-2023</t>
        </is>
      </c>
      <c r="B2485" s="1" t="n">
        <v>45226</v>
      </c>
      <c r="C2485" s="1" t="n">
        <v>45760</v>
      </c>
      <c r="D2485" t="inlineStr">
        <is>
          <t>VÄSTERBOTTENS LÄN</t>
        </is>
      </c>
      <c r="E2485" t="inlineStr">
        <is>
          <t>SKELLEFTEÅ</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54497-2023</t>
        </is>
      </c>
      <c r="B2486" s="1" t="n">
        <v>45226</v>
      </c>
      <c r="C2486" s="1" t="n">
        <v>45760</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54499-2023</t>
        </is>
      </c>
      <c r="B2487" s="1" t="n">
        <v>45226</v>
      </c>
      <c r="C2487" s="1" t="n">
        <v>45760</v>
      </c>
      <c r="D2487" t="inlineStr">
        <is>
          <t>VÄSTERBOTTENS LÄN</t>
        </is>
      </c>
      <c r="E2487" t="inlineStr">
        <is>
          <t>SKELLEFTEÅ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54401-2023</t>
        </is>
      </c>
      <c r="B2488" s="1" t="n">
        <v>45226</v>
      </c>
      <c r="C2488" s="1" t="n">
        <v>45760</v>
      </c>
      <c r="D2488" t="inlineStr">
        <is>
          <t>VÄSTERBOTTENS LÄN</t>
        </is>
      </c>
      <c r="E2488" t="inlineStr">
        <is>
          <t>SKELLEFTEÅ</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52993-2023</t>
        </is>
      </c>
      <c r="B2489" s="1" t="n">
        <v>45226</v>
      </c>
      <c r="C2489" s="1" t="n">
        <v>45760</v>
      </c>
      <c r="D2489" t="inlineStr">
        <is>
          <t>VÄSTERBOTTENS LÄN</t>
        </is>
      </c>
      <c r="E2489" t="inlineStr">
        <is>
          <t>SKELLEFTEÅ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52829-2023</t>
        </is>
      </c>
      <c r="B2490" s="1" t="n">
        <v>45226</v>
      </c>
      <c r="C2490" s="1" t="n">
        <v>45760</v>
      </c>
      <c r="D2490" t="inlineStr">
        <is>
          <t>VÄSTERBOTTENS LÄN</t>
        </is>
      </c>
      <c r="E2490" t="inlineStr">
        <is>
          <t>SKELLEFTEÅ</t>
        </is>
      </c>
      <c r="F2490" t="inlineStr">
        <is>
          <t>Sveaskog</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53028-2023</t>
        </is>
      </c>
      <c r="B2491" s="1" t="n">
        <v>45226</v>
      </c>
      <c r="C2491" s="1" t="n">
        <v>45760</v>
      </c>
      <c r="D2491" t="inlineStr">
        <is>
          <t>VÄSTERBOTTENS LÄN</t>
        </is>
      </c>
      <c r="E2491" t="inlineStr">
        <is>
          <t>SKELLEFTEÅ</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53020-2023</t>
        </is>
      </c>
      <c r="B2492" s="1" t="n">
        <v>45226</v>
      </c>
      <c r="C2492" s="1" t="n">
        <v>45760</v>
      </c>
      <c r="D2492" t="inlineStr">
        <is>
          <t>VÄSTERBOTTENS LÄN</t>
        </is>
      </c>
      <c r="E2492" t="inlineStr">
        <is>
          <t>SKELLEFTEÅ</t>
        </is>
      </c>
      <c r="F2492" t="inlineStr">
        <is>
          <t>Sveaskog</t>
        </is>
      </c>
      <c r="G2492" t="n">
        <v>18.9</v>
      </c>
      <c r="H2492" t="n">
        <v>0</v>
      </c>
      <c r="I2492" t="n">
        <v>0</v>
      </c>
      <c r="J2492" t="n">
        <v>0</v>
      </c>
      <c r="K2492" t="n">
        <v>0</v>
      </c>
      <c r="L2492" t="n">
        <v>0</v>
      </c>
      <c r="M2492" t="n">
        <v>0</v>
      </c>
      <c r="N2492" t="n">
        <v>0</v>
      </c>
      <c r="O2492" t="n">
        <v>0</v>
      </c>
      <c r="P2492" t="n">
        <v>0</v>
      </c>
      <c r="Q2492" t="n">
        <v>0</v>
      </c>
      <c r="R2492" s="2" t="inlineStr"/>
    </row>
    <row r="2493" ht="15" customHeight="1">
      <c r="A2493" t="inlineStr">
        <is>
          <t>A 53183-2023</t>
        </is>
      </c>
      <c r="B2493" s="1" t="n">
        <v>45229</v>
      </c>
      <c r="C2493" s="1" t="n">
        <v>45760</v>
      </c>
      <c r="D2493" t="inlineStr">
        <is>
          <t>VÄSTERBOTTENS LÄN</t>
        </is>
      </c>
      <c r="E2493" t="inlineStr">
        <is>
          <t>SKELLEFTEÅ</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53311-2023</t>
        </is>
      </c>
      <c r="B2494" s="1" t="n">
        <v>45229</v>
      </c>
      <c r="C2494" s="1" t="n">
        <v>45760</v>
      </c>
      <c r="D2494" t="inlineStr">
        <is>
          <t>VÄSTERBOTTENS LÄN</t>
        </is>
      </c>
      <c r="E2494" t="inlineStr">
        <is>
          <t>SKELLEFTEÅ</t>
        </is>
      </c>
      <c r="F2494" t="inlineStr">
        <is>
          <t>Holmen skog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53255-2023</t>
        </is>
      </c>
      <c r="B2495" s="1" t="n">
        <v>45229</v>
      </c>
      <c r="C2495" s="1" t="n">
        <v>45760</v>
      </c>
      <c r="D2495" t="inlineStr">
        <is>
          <t>VÄSTERBOTTENS LÄN</t>
        </is>
      </c>
      <c r="E2495" t="inlineStr">
        <is>
          <t>SKELLEFTEÅ</t>
        </is>
      </c>
      <c r="F2495" t="inlineStr">
        <is>
          <t>Sveaskog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53426-2023</t>
        </is>
      </c>
      <c r="B2496" s="1" t="n">
        <v>45229</v>
      </c>
      <c r="C2496" s="1" t="n">
        <v>45760</v>
      </c>
      <c r="D2496" t="inlineStr">
        <is>
          <t>VÄSTERBOTTENS LÄN</t>
        </is>
      </c>
      <c r="E2496" t="inlineStr">
        <is>
          <t>SKELLEFTEÅ</t>
        </is>
      </c>
      <c r="F2496" t="inlineStr">
        <is>
          <t>Holmen skog AB</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55077-2023</t>
        </is>
      </c>
      <c r="B2497" s="1" t="n">
        <v>45230</v>
      </c>
      <c r="C2497" s="1" t="n">
        <v>45760</v>
      </c>
      <c r="D2497" t="inlineStr">
        <is>
          <t>VÄSTERBOTTENS LÄN</t>
        </is>
      </c>
      <c r="E2497" t="inlineStr">
        <is>
          <t>SKELLEFTEÅ</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55081-2023</t>
        </is>
      </c>
      <c r="B2498" s="1" t="n">
        <v>45230</v>
      </c>
      <c r="C2498" s="1" t="n">
        <v>45760</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55409-2023</t>
        </is>
      </c>
      <c r="B2499" s="1" t="n">
        <v>45231</v>
      </c>
      <c r="C2499" s="1" t="n">
        <v>45760</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55414-2023</t>
        </is>
      </c>
      <c r="B2500" s="1" t="n">
        <v>45231</v>
      </c>
      <c r="C2500" s="1" t="n">
        <v>45760</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55420-2023</t>
        </is>
      </c>
      <c r="B2501" s="1" t="n">
        <v>45231</v>
      </c>
      <c r="C2501" s="1" t="n">
        <v>45760</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54024-2023</t>
        </is>
      </c>
      <c r="B2502" s="1" t="n">
        <v>45231</v>
      </c>
      <c r="C2502" s="1" t="n">
        <v>45760</v>
      </c>
      <c r="D2502" t="inlineStr">
        <is>
          <t>VÄSTERBOTTENS LÄN</t>
        </is>
      </c>
      <c r="E2502" t="inlineStr">
        <is>
          <t>SKELLEFTEÅ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55413-2023</t>
        </is>
      </c>
      <c r="B2503" s="1" t="n">
        <v>45231</v>
      </c>
      <c r="C2503" s="1" t="n">
        <v>45760</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54087-2023</t>
        </is>
      </c>
      <c r="B2504" s="1" t="n">
        <v>45232</v>
      </c>
      <c r="C2504" s="1" t="n">
        <v>45760</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54111-2023</t>
        </is>
      </c>
      <c r="B2505" s="1" t="n">
        <v>45232</v>
      </c>
      <c r="C2505" s="1" t="n">
        <v>45760</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54113-2023</t>
        </is>
      </c>
      <c r="B2506" s="1" t="n">
        <v>45232</v>
      </c>
      <c r="C2506" s="1" t="n">
        <v>45760</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55783-2023</t>
        </is>
      </c>
      <c r="B2507" s="1" t="n">
        <v>45232</v>
      </c>
      <c r="C2507" s="1" t="n">
        <v>45760</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54596-2023</t>
        </is>
      </c>
      <c r="B2508" s="1" t="n">
        <v>45233</v>
      </c>
      <c r="C2508" s="1" t="n">
        <v>45760</v>
      </c>
      <c r="D2508" t="inlineStr">
        <is>
          <t>VÄSTERBOTTENS LÄN</t>
        </is>
      </c>
      <c r="E2508" t="inlineStr">
        <is>
          <t>SKELLEFTEÅ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54476-2023</t>
        </is>
      </c>
      <c r="B2509" s="1" t="n">
        <v>45233</v>
      </c>
      <c r="C2509" s="1" t="n">
        <v>45760</v>
      </c>
      <c r="D2509" t="inlineStr">
        <is>
          <t>VÄSTERBOTTENS LÄN</t>
        </is>
      </c>
      <c r="E2509" t="inlineStr">
        <is>
          <t>SKELLEFTEÅ</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54361-2023</t>
        </is>
      </c>
      <c r="B2510" s="1" t="n">
        <v>45233</v>
      </c>
      <c r="C2510" s="1" t="n">
        <v>45760</v>
      </c>
      <c r="D2510" t="inlineStr">
        <is>
          <t>VÄSTERBOTTENS LÄN</t>
        </is>
      </c>
      <c r="E2510" t="inlineStr">
        <is>
          <t>SKELLEFTEÅ</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56114-2023</t>
        </is>
      </c>
      <c r="B2511" s="1" t="n">
        <v>45235</v>
      </c>
      <c r="C2511" s="1" t="n">
        <v>45760</v>
      </c>
      <c r="D2511" t="inlineStr">
        <is>
          <t>VÄSTERBOTTENS LÄN</t>
        </is>
      </c>
      <c r="E2511" t="inlineStr">
        <is>
          <t>SKELLEFTEÅ</t>
        </is>
      </c>
      <c r="G2511" t="n">
        <v>18.1</v>
      </c>
      <c r="H2511" t="n">
        <v>0</v>
      </c>
      <c r="I2511" t="n">
        <v>0</v>
      </c>
      <c r="J2511" t="n">
        <v>0</v>
      </c>
      <c r="K2511" t="n">
        <v>0</v>
      </c>
      <c r="L2511" t="n">
        <v>0</v>
      </c>
      <c r="M2511" t="n">
        <v>0</v>
      </c>
      <c r="N2511" t="n">
        <v>0</v>
      </c>
      <c r="O2511" t="n">
        <v>0</v>
      </c>
      <c r="P2511" t="n">
        <v>0</v>
      </c>
      <c r="Q2511" t="n">
        <v>0</v>
      </c>
      <c r="R2511" s="2" t="inlineStr"/>
    </row>
    <row r="2512" ht="15" customHeight="1">
      <c r="A2512" t="inlineStr">
        <is>
          <t>A 56111-2023</t>
        </is>
      </c>
      <c r="B2512" s="1" t="n">
        <v>45235</v>
      </c>
      <c r="C2512" s="1" t="n">
        <v>45760</v>
      </c>
      <c r="D2512" t="inlineStr">
        <is>
          <t>VÄSTERBOTTENS LÄN</t>
        </is>
      </c>
      <c r="E2512" t="inlineStr">
        <is>
          <t>SKELLEFTEÅ</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56108-2023</t>
        </is>
      </c>
      <c r="B2513" s="1" t="n">
        <v>45235</v>
      </c>
      <c r="C2513" s="1" t="n">
        <v>45760</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56104-2023</t>
        </is>
      </c>
      <c r="B2514" s="1" t="n">
        <v>45235</v>
      </c>
      <c r="C2514" s="1" t="n">
        <v>45760</v>
      </c>
      <c r="D2514" t="inlineStr">
        <is>
          <t>VÄSTERBOTTENS LÄN</t>
        </is>
      </c>
      <c r="E2514" t="inlineStr">
        <is>
          <t>SKELLEFTEÅ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54813-2023</t>
        </is>
      </c>
      <c r="B2515" s="1" t="n">
        <v>45236</v>
      </c>
      <c r="C2515" s="1" t="n">
        <v>45760</v>
      </c>
      <c r="D2515" t="inlineStr">
        <is>
          <t>VÄSTERBOTTENS LÄN</t>
        </is>
      </c>
      <c r="E2515" t="inlineStr">
        <is>
          <t>SKELLEFTEÅ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54821-2023</t>
        </is>
      </c>
      <c r="B2516" s="1" t="n">
        <v>45236</v>
      </c>
      <c r="C2516" s="1" t="n">
        <v>45760</v>
      </c>
      <c r="D2516" t="inlineStr">
        <is>
          <t>VÄSTERBOTTENS LÄN</t>
        </is>
      </c>
      <c r="E2516" t="inlineStr">
        <is>
          <t>SKELLEFTEÅ</t>
        </is>
      </c>
      <c r="F2516" t="inlineStr">
        <is>
          <t>Kommuner</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56185-2023</t>
        </is>
      </c>
      <c r="B2517" s="1" t="n">
        <v>45236</v>
      </c>
      <c r="C2517" s="1" t="n">
        <v>45760</v>
      </c>
      <c r="D2517" t="inlineStr">
        <is>
          <t>VÄSTERBOTTENS LÄN</t>
        </is>
      </c>
      <c r="E2517" t="inlineStr">
        <is>
          <t>SKELLEFTEÅ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54700-2023</t>
        </is>
      </c>
      <c r="B2518" s="1" t="n">
        <v>45236</v>
      </c>
      <c r="C2518" s="1" t="n">
        <v>45760</v>
      </c>
      <c r="D2518" t="inlineStr">
        <is>
          <t>VÄSTERBOTTENS LÄN</t>
        </is>
      </c>
      <c r="E2518" t="inlineStr">
        <is>
          <t>SKELLEFTEÅ</t>
        </is>
      </c>
      <c r="F2518" t="inlineStr">
        <is>
          <t>Holmen skog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56323-2023</t>
        </is>
      </c>
      <c r="B2519" s="1" t="n">
        <v>45236</v>
      </c>
      <c r="C2519" s="1" t="n">
        <v>45760</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54811-2023</t>
        </is>
      </c>
      <c r="B2520" s="1" t="n">
        <v>45236</v>
      </c>
      <c r="C2520" s="1" t="n">
        <v>45760</v>
      </c>
      <c r="D2520" t="inlineStr">
        <is>
          <t>VÄSTERBOTTENS LÄN</t>
        </is>
      </c>
      <c r="E2520" t="inlineStr">
        <is>
          <t>SKELLEFTEÅ</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55095-2023</t>
        </is>
      </c>
      <c r="B2521" s="1" t="n">
        <v>45237</v>
      </c>
      <c r="C2521" s="1" t="n">
        <v>45760</v>
      </c>
      <c r="D2521" t="inlineStr">
        <is>
          <t>VÄSTERBOTTENS LÄN</t>
        </is>
      </c>
      <c r="E2521" t="inlineStr">
        <is>
          <t>SKELLEFTEÅ</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56404-2023</t>
        </is>
      </c>
      <c r="B2522" s="1" t="n">
        <v>45237</v>
      </c>
      <c r="C2522" s="1" t="n">
        <v>45760</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55528-2023</t>
        </is>
      </c>
      <c r="B2523" s="1" t="n">
        <v>45238</v>
      </c>
      <c r="C2523" s="1" t="n">
        <v>45760</v>
      </c>
      <c r="D2523" t="inlineStr">
        <is>
          <t>VÄSTERBOTTENS LÄN</t>
        </is>
      </c>
      <c r="E2523" t="inlineStr">
        <is>
          <t>SKELLEFTEÅ</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55613-2023</t>
        </is>
      </c>
      <c r="B2524" s="1" t="n">
        <v>45238</v>
      </c>
      <c r="C2524" s="1" t="n">
        <v>45760</v>
      </c>
      <c r="D2524" t="inlineStr">
        <is>
          <t>VÄSTERBOTTENS LÄN</t>
        </is>
      </c>
      <c r="E2524" t="inlineStr">
        <is>
          <t>SKELLEFTEÅ</t>
        </is>
      </c>
      <c r="F2524" t="inlineStr">
        <is>
          <t>Sveaskog</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55532-2023</t>
        </is>
      </c>
      <c r="B2525" s="1" t="n">
        <v>45238</v>
      </c>
      <c r="C2525" s="1" t="n">
        <v>45760</v>
      </c>
      <c r="D2525" t="inlineStr">
        <is>
          <t>VÄSTERBOTTENS LÄN</t>
        </is>
      </c>
      <c r="E2525" t="inlineStr">
        <is>
          <t>SKELLEFTEÅ</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56509-2023</t>
        </is>
      </c>
      <c r="B2526" s="1" t="n">
        <v>45238</v>
      </c>
      <c r="C2526" s="1" t="n">
        <v>45760</v>
      </c>
      <c r="D2526" t="inlineStr">
        <is>
          <t>VÄSTERBOTTENS LÄN</t>
        </is>
      </c>
      <c r="E2526" t="inlineStr">
        <is>
          <t>SKELLEFTEÅ</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56528-2023</t>
        </is>
      </c>
      <c r="B2527" s="1" t="n">
        <v>45238</v>
      </c>
      <c r="C2527" s="1" t="n">
        <v>45760</v>
      </c>
      <c r="D2527" t="inlineStr">
        <is>
          <t>VÄSTERBOTTENS LÄN</t>
        </is>
      </c>
      <c r="E2527" t="inlineStr">
        <is>
          <t>SKELLEFTEÅ</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55739-2023</t>
        </is>
      </c>
      <c r="B2528" s="1" t="n">
        <v>45239</v>
      </c>
      <c r="C2528" s="1" t="n">
        <v>45760</v>
      </c>
      <c r="D2528" t="inlineStr">
        <is>
          <t>VÄSTERBOTTENS LÄN</t>
        </is>
      </c>
      <c r="E2528" t="inlineStr">
        <is>
          <t>SKELLEFTEÅ</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55718-2023</t>
        </is>
      </c>
      <c r="B2529" s="1" t="n">
        <v>45239</v>
      </c>
      <c r="C2529" s="1" t="n">
        <v>45760</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55730-2023</t>
        </is>
      </c>
      <c r="B2530" s="1" t="n">
        <v>45239</v>
      </c>
      <c r="C2530" s="1" t="n">
        <v>45760</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55744-2023</t>
        </is>
      </c>
      <c r="B2531" s="1" t="n">
        <v>45239</v>
      </c>
      <c r="C2531" s="1" t="n">
        <v>45760</v>
      </c>
      <c r="D2531" t="inlineStr">
        <is>
          <t>VÄSTERBOTTENS LÄN</t>
        </is>
      </c>
      <c r="E2531" t="inlineStr">
        <is>
          <t>SKELLEFTEÅ</t>
        </is>
      </c>
      <c r="G2531" t="n">
        <v>12.4</v>
      </c>
      <c r="H2531" t="n">
        <v>0</v>
      </c>
      <c r="I2531" t="n">
        <v>0</v>
      </c>
      <c r="J2531" t="n">
        <v>0</v>
      </c>
      <c r="K2531" t="n">
        <v>0</v>
      </c>
      <c r="L2531" t="n">
        <v>0</v>
      </c>
      <c r="M2531" t="n">
        <v>0</v>
      </c>
      <c r="N2531" t="n">
        <v>0</v>
      </c>
      <c r="O2531" t="n">
        <v>0</v>
      </c>
      <c r="P2531" t="n">
        <v>0</v>
      </c>
      <c r="Q2531" t="n">
        <v>0</v>
      </c>
      <c r="R2531" s="2" t="inlineStr"/>
    </row>
    <row r="2532" ht="15" customHeight="1">
      <c r="A2532" t="inlineStr">
        <is>
          <t>A 55873-2023</t>
        </is>
      </c>
      <c r="B2532" s="1" t="n">
        <v>45239</v>
      </c>
      <c r="C2532" s="1" t="n">
        <v>45760</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55750-2023</t>
        </is>
      </c>
      <c r="B2533" s="1" t="n">
        <v>45239</v>
      </c>
      <c r="C2533" s="1" t="n">
        <v>45760</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55895-2023</t>
        </is>
      </c>
      <c r="B2534" s="1" t="n">
        <v>45239</v>
      </c>
      <c r="C2534" s="1" t="n">
        <v>45760</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55907-2023</t>
        </is>
      </c>
      <c r="B2535" s="1" t="n">
        <v>45239</v>
      </c>
      <c r="C2535" s="1" t="n">
        <v>45760</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57440-2023</t>
        </is>
      </c>
      <c r="B2536" s="1" t="n">
        <v>45240</v>
      </c>
      <c r="C2536" s="1" t="n">
        <v>45760</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56265-2023</t>
        </is>
      </c>
      <c r="B2537" s="1" t="n">
        <v>45240</v>
      </c>
      <c r="C2537" s="1" t="n">
        <v>45760</v>
      </c>
      <c r="D2537" t="inlineStr">
        <is>
          <t>VÄSTERBOTTENS LÄN</t>
        </is>
      </c>
      <c r="E2537" t="inlineStr">
        <is>
          <t>SKELLEFTEÅ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56153-2023</t>
        </is>
      </c>
      <c r="B2538" s="1" t="n">
        <v>45240</v>
      </c>
      <c r="C2538" s="1" t="n">
        <v>45760</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56264-2023</t>
        </is>
      </c>
      <c r="B2539" s="1" t="n">
        <v>45240</v>
      </c>
      <c r="C2539" s="1" t="n">
        <v>45760</v>
      </c>
      <c r="D2539" t="inlineStr">
        <is>
          <t>VÄSTERBOTTENS LÄN</t>
        </is>
      </c>
      <c r="E2539" t="inlineStr">
        <is>
          <t>SKELLEFTEÅ</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56163-2023</t>
        </is>
      </c>
      <c r="B2540" s="1" t="n">
        <v>45240</v>
      </c>
      <c r="C2540" s="1" t="n">
        <v>45760</v>
      </c>
      <c r="D2540" t="inlineStr">
        <is>
          <t>VÄSTERBOTTENS LÄN</t>
        </is>
      </c>
      <c r="E2540" t="inlineStr">
        <is>
          <t>SKELLEFTEÅ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57437-2023</t>
        </is>
      </c>
      <c r="B2541" s="1" t="n">
        <v>45240</v>
      </c>
      <c r="C2541" s="1" t="n">
        <v>45760</v>
      </c>
      <c r="D2541" t="inlineStr">
        <is>
          <t>VÄSTERBOTTENS LÄN</t>
        </is>
      </c>
      <c r="E2541" t="inlineStr">
        <is>
          <t>SKELLEFTEÅ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56263-2023</t>
        </is>
      </c>
      <c r="B2542" s="1" t="n">
        <v>45240</v>
      </c>
      <c r="C2542" s="1" t="n">
        <v>45760</v>
      </c>
      <c r="D2542" t="inlineStr">
        <is>
          <t>VÄSTERBOTTENS LÄN</t>
        </is>
      </c>
      <c r="E2542" t="inlineStr">
        <is>
          <t>SKELLEFTEÅ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56203-2023</t>
        </is>
      </c>
      <c r="B2543" s="1" t="n">
        <v>45240</v>
      </c>
      <c r="C2543" s="1" t="n">
        <v>45760</v>
      </c>
      <c r="D2543" t="inlineStr">
        <is>
          <t>VÄSTERBOTTENS LÄN</t>
        </is>
      </c>
      <c r="E2543" t="inlineStr">
        <is>
          <t>SKELLEFTEÅ</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55986-2023</t>
        </is>
      </c>
      <c r="B2544" s="1" t="n">
        <v>45240</v>
      </c>
      <c r="C2544" s="1" t="n">
        <v>45760</v>
      </c>
      <c r="D2544" t="inlineStr">
        <is>
          <t>VÄSTERBOTTENS LÄN</t>
        </is>
      </c>
      <c r="E2544" t="inlineStr">
        <is>
          <t>SKELLEFTEÅ</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56143-2023</t>
        </is>
      </c>
      <c r="B2545" s="1" t="n">
        <v>45240</v>
      </c>
      <c r="C2545" s="1" t="n">
        <v>45760</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56291-2023</t>
        </is>
      </c>
      <c r="B2546" s="1" t="n">
        <v>45242</v>
      </c>
      <c r="C2546" s="1" t="n">
        <v>45760</v>
      </c>
      <c r="D2546" t="inlineStr">
        <is>
          <t>VÄSTERBOTTENS LÄN</t>
        </is>
      </c>
      <c r="E2546" t="inlineStr">
        <is>
          <t>SKELLEFTEÅ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56463-2023</t>
        </is>
      </c>
      <c r="B2547" s="1" t="n">
        <v>45243</v>
      </c>
      <c r="C2547" s="1" t="n">
        <v>45760</v>
      </c>
      <c r="D2547" t="inlineStr">
        <is>
          <t>VÄSTERBOTTENS LÄN</t>
        </is>
      </c>
      <c r="E2547" t="inlineStr">
        <is>
          <t>SKELLEFTEÅ</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56450-2023</t>
        </is>
      </c>
      <c r="B2548" s="1" t="n">
        <v>45243</v>
      </c>
      <c r="C2548" s="1" t="n">
        <v>45760</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56548-2023</t>
        </is>
      </c>
      <c r="B2549" s="1" t="n">
        <v>45243</v>
      </c>
      <c r="C2549" s="1" t="n">
        <v>45760</v>
      </c>
      <c r="D2549" t="inlineStr">
        <is>
          <t>VÄSTERBOTTENS LÄN</t>
        </is>
      </c>
      <c r="E2549" t="inlineStr">
        <is>
          <t>SKELLEFTEÅ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56653-2023</t>
        </is>
      </c>
      <c r="B2550" s="1" t="n">
        <v>45243</v>
      </c>
      <c r="C2550" s="1" t="n">
        <v>45760</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57558-2023</t>
        </is>
      </c>
      <c r="B2551" s="1" t="n">
        <v>45243</v>
      </c>
      <c r="C2551" s="1" t="n">
        <v>45760</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56375-2023</t>
        </is>
      </c>
      <c r="B2552" s="1" t="n">
        <v>45243</v>
      </c>
      <c r="C2552" s="1" t="n">
        <v>45760</v>
      </c>
      <c r="D2552" t="inlineStr">
        <is>
          <t>VÄSTERBOTTENS LÄN</t>
        </is>
      </c>
      <c r="E2552" t="inlineStr">
        <is>
          <t>SKELLEFTEÅ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56471-2023</t>
        </is>
      </c>
      <c r="B2553" s="1" t="n">
        <v>45243</v>
      </c>
      <c r="C2553" s="1" t="n">
        <v>45760</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56839-2023</t>
        </is>
      </c>
      <c r="B2554" s="1" t="n">
        <v>45244</v>
      </c>
      <c r="C2554" s="1" t="n">
        <v>45760</v>
      </c>
      <c r="D2554" t="inlineStr">
        <is>
          <t>VÄSTERBOTTENS LÄN</t>
        </is>
      </c>
      <c r="E2554" t="inlineStr">
        <is>
          <t>SKELLEFTEÅ</t>
        </is>
      </c>
      <c r="F2554" t="inlineStr">
        <is>
          <t>Holmen skog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57985-2023</t>
        </is>
      </c>
      <c r="B2555" s="1" t="n">
        <v>45244</v>
      </c>
      <c r="C2555" s="1" t="n">
        <v>45760</v>
      </c>
      <c r="D2555" t="inlineStr">
        <is>
          <t>VÄSTERBOTTENS LÄN</t>
        </is>
      </c>
      <c r="E2555" t="inlineStr">
        <is>
          <t>SKELLEFTEÅ</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58012-2023</t>
        </is>
      </c>
      <c r="B2556" s="1" t="n">
        <v>45244</v>
      </c>
      <c r="C2556" s="1" t="n">
        <v>45760</v>
      </c>
      <c r="D2556" t="inlineStr">
        <is>
          <t>VÄSTERBOTTENS LÄN</t>
        </is>
      </c>
      <c r="E2556" t="inlineStr">
        <is>
          <t>SKELLEFTEÅ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57085-2023</t>
        </is>
      </c>
      <c r="B2557" s="1" t="n">
        <v>45245</v>
      </c>
      <c r="C2557" s="1" t="n">
        <v>45760</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57191-2023</t>
        </is>
      </c>
      <c r="B2558" s="1" t="n">
        <v>45245</v>
      </c>
      <c r="C2558" s="1" t="n">
        <v>45760</v>
      </c>
      <c r="D2558" t="inlineStr">
        <is>
          <t>VÄSTERBOTTENS LÄN</t>
        </is>
      </c>
      <c r="E2558" t="inlineStr">
        <is>
          <t>SKELLEFTEÅ</t>
        </is>
      </c>
      <c r="F2558" t="inlineStr">
        <is>
          <t>Sveaskog</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57453-2023</t>
        </is>
      </c>
      <c r="B2559" s="1" t="n">
        <v>45246</v>
      </c>
      <c r="C2559" s="1" t="n">
        <v>45760</v>
      </c>
      <c r="D2559" t="inlineStr">
        <is>
          <t>VÄSTERBOTTENS LÄN</t>
        </is>
      </c>
      <c r="E2559" t="inlineStr">
        <is>
          <t>SKELLEFTEÅ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58581-2023</t>
        </is>
      </c>
      <c r="B2560" s="1" t="n">
        <v>45246</v>
      </c>
      <c r="C2560" s="1" t="n">
        <v>45760</v>
      </c>
      <c r="D2560" t="inlineStr">
        <is>
          <t>VÄSTERBOTTENS LÄN</t>
        </is>
      </c>
      <c r="E2560" t="inlineStr">
        <is>
          <t>SKELLEFTEÅ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57838-2023</t>
        </is>
      </c>
      <c r="B2561" s="1" t="n">
        <v>45247</v>
      </c>
      <c r="C2561" s="1" t="n">
        <v>45760</v>
      </c>
      <c r="D2561" t="inlineStr">
        <is>
          <t>VÄSTERBOTTENS LÄN</t>
        </is>
      </c>
      <c r="E2561" t="inlineStr">
        <is>
          <t>SKELLEFTEÅ</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58043-2023</t>
        </is>
      </c>
      <c r="B2562" s="1" t="n">
        <v>45247</v>
      </c>
      <c r="C2562" s="1" t="n">
        <v>45760</v>
      </c>
      <c r="D2562" t="inlineStr">
        <is>
          <t>VÄSTERBOTTENS LÄN</t>
        </is>
      </c>
      <c r="E2562" t="inlineStr">
        <is>
          <t>SKELLEFTEÅ</t>
        </is>
      </c>
      <c r="F2562" t="inlineStr">
        <is>
          <t>Sveaskog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58058-2023</t>
        </is>
      </c>
      <c r="B2563" s="1" t="n">
        <v>45247</v>
      </c>
      <c r="C2563" s="1" t="n">
        <v>45760</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58069-2023</t>
        </is>
      </c>
      <c r="B2564" s="1" t="n">
        <v>45247</v>
      </c>
      <c r="C2564" s="1" t="n">
        <v>45760</v>
      </c>
      <c r="D2564" t="inlineStr">
        <is>
          <t>VÄSTERBOTTENS LÄN</t>
        </is>
      </c>
      <c r="E2564" t="inlineStr">
        <is>
          <t>SKELLEFTEÅ</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58059-2023</t>
        </is>
      </c>
      <c r="B2565" s="1" t="n">
        <v>45247</v>
      </c>
      <c r="C2565" s="1" t="n">
        <v>45760</v>
      </c>
      <c r="D2565" t="inlineStr">
        <is>
          <t>VÄSTERBOTTENS LÄN</t>
        </is>
      </c>
      <c r="E2565" t="inlineStr">
        <is>
          <t>SKELLEFTEÅ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58072-2023</t>
        </is>
      </c>
      <c r="B2566" s="1" t="n">
        <v>45247</v>
      </c>
      <c r="C2566" s="1" t="n">
        <v>45760</v>
      </c>
      <c r="D2566" t="inlineStr">
        <is>
          <t>VÄSTERBOTTENS LÄN</t>
        </is>
      </c>
      <c r="E2566" t="inlineStr">
        <is>
          <t>SKELLEFTEÅ</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58680-2023</t>
        </is>
      </c>
      <c r="B2567" s="1" t="n">
        <v>45247</v>
      </c>
      <c r="C2567" s="1" t="n">
        <v>45760</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58701-2023</t>
        </is>
      </c>
      <c r="B2568" s="1" t="n">
        <v>45247</v>
      </c>
      <c r="C2568" s="1" t="n">
        <v>45760</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58821-2023</t>
        </is>
      </c>
      <c r="B2569" s="1" t="n">
        <v>45247</v>
      </c>
      <c r="C2569" s="1" t="n">
        <v>45760</v>
      </c>
      <c r="D2569" t="inlineStr">
        <is>
          <t>VÄSTERBOTTENS LÄN</t>
        </is>
      </c>
      <c r="E2569" t="inlineStr">
        <is>
          <t>SKELLEFTEÅ</t>
        </is>
      </c>
      <c r="G2569" t="n">
        <v>15.6</v>
      </c>
      <c r="H2569" t="n">
        <v>0</v>
      </c>
      <c r="I2569" t="n">
        <v>0</v>
      </c>
      <c r="J2569" t="n">
        <v>0</v>
      </c>
      <c r="K2569" t="n">
        <v>0</v>
      </c>
      <c r="L2569" t="n">
        <v>0</v>
      </c>
      <c r="M2569" t="n">
        <v>0</v>
      </c>
      <c r="N2569" t="n">
        <v>0</v>
      </c>
      <c r="O2569" t="n">
        <v>0</v>
      </c>
      <c r="P2569" t="n">
        <v>0</v>
      </c>
      <c r="Q2569" t="n">
        <v>0</v>
      </c>
      <c r="R2569" s="2" t="inlineStr"/>
    </row>
    <row r="2570" ht="15" customHeight="1">
      <c r="A2570" t="inlineStr">
        <is>
          <t>A 58060-2023</t>
        </is>
      </c>
      <c r="B2570" s="1" t="n">
        <v>45247</v>
      </c>
      <c r="C2570" s="1" t="n">
        <v>45760</v>
      </c>
      <c r="D2570" t="inlineStr">
        <is>
          <t>VÄSTERBOTTENS LÄN</t>
        </is>
      </c>
      <c r="E2570" t="inlineStr">
        <is>
          <t>SKELLEFTEÅ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58008-2023</t>
        </is>
      </c>
      <c r="B2571" s="1" t="n">
        <v>45247</v>
      </c>
      <c r="C2571" s="1" t="n">
        <v>45760</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57958-2023</t>
        </is>
      </c>
      <c r="B2572" s="1" t="n">
        <v>45247</v>
      </c>
      <c r="C2572" s="1" t="n">
        <v>45760</v>
      </c>
      <c r="D2572" t="inlineStr">
        <is>
          <t>VÄSTERBOTTENS LÄN</t>
        </is>
      </c>
      <c r="E2572" t="inlineStr">
        <is>
          <t>SKELLEFTEÅ</t>
        </is>
      </c>
      <c r="F2572" t="inlineStr">
        <is>
          <t>Holmen skog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57926-2023</t>
        </is>
      </c>
      <c r="B2573" s="1" t="n">
        <v>45247</v>
      </c>
      <c r="C2573" s="1" t="n">
        <v>45760</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58117-2023</t>
        </is>
      </c>
      <c r="B2574" s="1" t="n">
        <v>45249</v>
      </c>
      <c r="C2574" s="1" t="n">
        <v>45760</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58194-2023</t>
        </is>
      </c>
      <c r="B2575" s="1" t="n">
        <v>45250</v>
      </c>
      <c r="C2575" s="1" t="n">
        <v>45760</v>
      </c>
      <c r="D2575" t="inlineStr">
        <is>
          <t>VÄSTERBOTTENS LÄN</t>
        </is>
      </c>
      <c r="E2575" t="inlineStr">
        <is>
          <t>SKELLEFTEÅ</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58940-2023</t>
        </is>
      </c>
      <c r="B2576" s="1" t="n">
        <v>45250</v>
      </c>
      <c r="C2576" s="1" t="n">
        <v>45760</v>
      </c>
      <c r="D2576" t="inlineStr">
        <is>
          <t>VÄSTERBOTTENS LÄN</t>
        </is>
      </c>
      <c r="E2576" t="inlineStr">
        <is>
          <t>SKELLEFTEÅ</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58503-2023</t>
        </is>
      </c>
      <c r="B2577" s="1" t="n">
        <v>45251</v>
      </c>
      <c r="C2577" s="1" t="n">
        <v>45760</v>
      </c>
      <c r="D2577" t="inlineStr">
        <is>
          <t>VÄSTERBOTTENS LÄN</t>
        </is>
      </c>
      <c r="E2577" t="inlineStr">
        <is>
          <t>SKELLEFTEÅ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58517-2023</t>
        </is>
      </c>
      <c r="B2578" s="1" t="n">
        <v>45251</v>
      </c>
      <c r="C2578" s="1" t="n">
        <v>45760</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58525-2023</t>
        </is>
      </c>
      <c r="B2579" s="1" t="n">
        <v>45251</v>
      </c>
      <c r="C2579" s="1" t="n">
        <v>45760</v>
      </c>
      <c r="D2579" t="inlineStr">
        <is>
          <t>VÄSTERBOTTENS LÄN</t>
        </is>
      </c>
      <c r="E2579" t="inlineStr">
        <is>
          <t>SKELLEFTEÅ</t>
        </is>
      </c>
      <c r="F2579" t="inlineStr">
        <is>
          <t>Holmen skog AB</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58546-2023</t>
        </is>
      </c>
      <c r="B2580" s="1" t="n">
        <v>45251</v>
      </c>
      <c r="C2580" s="1" t="n">
        <v>45760</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58560-2023</t>
        </is>
      </c>
      <c r="B2581" s="1" t="n">
        <v>45251</v>
      </c>
      <c r="C2581" s="1" t="n">
        <v>45760</v>
      </c>
      <c r="D2581" t="inlineStr">
        <is>
          <t>VÄSTERBOTTENS LÄN</t>
        </is>
      </c>
      <c r="E2581" t="inlineStr">
        <is>
          <t>SKELLEFTEÅ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58566-2023</t>
        </is>
      </c>
      <c r="B2582" s="1" t="n">
        <v>45251</v>
      </c>
      <c r="C2582" s="1" t="n">
        <v>45760</v>
      </c>
      <c r="D2582" t="inlineStr">
        <is>
          <t>VÄSTERBOTTENS LÄN</t>
        </is>
      </c>
      <c r="E2582" t="inlineStr">
        <is>
          <t>SKELLEFTEÅ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58555-2023</t>
        </is>
      </c>
      <c r="B2583" s="1" t="n">
        <v>45251</v>
      </c>
      <c r="C2583" s="1" t="n">
        <v>45760</v>
      </c>
      <c r="D2583" t="inlineStr">
        <is>
          <t>VÄSTERBOTTENS LÄN</t>
        </is>
      </c>
      <c r="E2583" t="inlineStr">
        <is>
          <t>SKELLEFTEÅ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58575-2023</t>
        </is>
      </c>
      <c r="B2584" s="1" t="n">
        <v>45251</v>
      </c>
      <c r="C2584" s="1" t="n">
        <v>45760</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58750-2023</t>
        </is>
      </c>
      <c r="B2585" s="1" t="n">
        <v>45251</v>
      </c>
      <c r="C2585" s="1" t="n">
        <v>45760</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58754-2023</t>
        </is>
      </c>
      <c r="B2586" s="1" t="n">
        <v>45251</v>
      </c>
      <c r="C2586" s="1" t="n">
        <v>45760</v>
      </c>
      <c r="D2586" t="inlineStr">
        <is>
          <t>VÄSTERBOTTENS LÄN</t>
        </is>
      </c>
      <c r="E2586" t="inlineStr">
        <is>
          <t>SKELLEFTEÅ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58752-2023</t>
        </is>
      </c>
      <c r="B2587" s="1" t="n">
        <v>45251</v>
      </c>
      <c r="C2587" s="1" t="n">
        <v>45760</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58672-2023</t>
        </is>
      </c>
      <c r="B2588" s="1" t="n">
        <v>45251</v>
      </c>
      <c r="C2588" s="1" t="n">
        <v>45760</v>
      </c>
      <c r="D2588" t="inlineStr">
        <is>
          <t>VÄSTERBOTTENS LÄN</t>
        </is>
      </c>
      <c r="E2588" t="inlineStr">
        <is>
          <t>SKELLEFTEÅ</t>
        </is>
      </c>
      <c r="F2588" t="inlineStr">
        <is>
          <t>Holmen skog AB</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58751-2023</t>
        </is>
      </c>
      <c r="B2589" s="1" t="n">
        <v>45251</v>
      </c>
      <c r="C2589" s="1" t="n">
        <v>45760</v>
      </c>
      <c r="D2589" t="inlineStr">
        <is>
          <t>VÄSTERBOTTENS LÄN</t>
        </is>
      </c>
      <c r="E2589" t="inlineStr">
        <is>
          <t>SKELLEFTEÅ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58755-2023</t>
        </is>
      </c>
      <c r="B2590" s="1" t="n">
        <v>45251</v>
      </c>
      <c r="C2590" s="1" t="n">
        <v>45760</v>
      </c>
      <c r="D2590" t="inlineStr">
        <is>
          <t>VÄSTERBOTTENS LÄN</t>
        </is>
      </c>
      <c r="E2590" t="inlineStr">
        <is>
          <t>SKELLEFTEÅ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59127-2023</t>
        </is>
      </c>
      <c r="B2591" s="1" t="n">
        <v>45251</v>
      </c>
      <c r="C2591" s="1" t="n">
        <v>45760</v>
      </c>
      <c r="D2591" t="inlineStr">
        <is>
          <t>VÄSTERBOTTENS LÄN</t>
        </is>
      </c>
      <c r="E2591" t="inlineStr">
        <is>
          <t>SKELLEFTEÅ</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59165-2023</t>
        </is>
      </c>
      <c r="B2592" s="1" t="n">
        <v>45251</v>
      </c>
      <c r="C2592" s="1" t="n">
        <v>45760</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58838-2023</t>
        </is>
      </c>
      <c r="B2593" s="1" t="n">
        <v>45252</v>
      </c>
      <c r="C2593" s="1" t="n">
        <v>45760</v>
      </c>
      <c r="D2593" t="inlineStr">
        <is>
          <t>VÄSTERBOTTENS LÄN</t>
        </is>
      </c>
      <c r="E2593" t="inlineStr">
        <is>
          <t>SKELLEFTEÅ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59242-2023</t>
        </is>
      </c>
      <c r="B2594" s="1" t="n">
        <v>45252</v>
      </c>
      <c r="C2594" s="1" t="n">
        <v>45760</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59245-2023</t>
        </is>
      </c>
      <c r="B2595" s="1" t="n">
        <v>45252</v>
      </c>
      <c r="C2595" s="1" t="n">
        <v>45760</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59404-2023</t>
        </is>
      </c>
      <c r="B2596" s="1" t="n">
        <v>45253</v>
      </c>
      <c r="C2596" s="1" t="n">
        <v>45760</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59648-2023</t>
        </is>
      </c>
      <c r="B2597" s="1" t="n">
        <v>45253</v>
      </c>
      <c r="C2597" s="1" t="n">
        <v>45760</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59406-2023</t>
        </is>
      </c>
      <c r="B2598" s="1" t="n">
        <v>45253</v>
      </c>
      <c r="C2598" s="1" t="n">
        <v>45760</v>
      </c>
      <c r="D2598" t="inlineStr">
        <is>
          <t>VÄSTERBOTTENS LÄN</t>
        </is>
      </c>
      <c r="E2598" t="inlineStr">
        <is>
          <t>SKELLEFTEÅ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59405-2023</t>
        </is>
      </c>
      <c r="B2599" s="1" t="n">
        <v>45253</v>
      </c>
      <c r="C2599" s="1" t="n">
        <v>45760</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59647-2023</t>
        </is>
      </c>
      <c r="B2600" s="1" t="n">
        <v>45253</v>
      </c>
      <c r="C2600" s="1" t="n">
        <v>45760</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59653-2023</t>
        </is>
      </c>
      <c r="B2601" s="1" t="n">
        <v>45254</v>
      </c>
      <c r="C2601" s="1" t="n">
        <v>45760</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45760</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59793-2023</t>
        </is>
      </c>
      <c r="B2603" s="1" t="n">
        <v>45257</v>
      </c>
      <c r="C2603" s="1" t="n">
        <v>45760</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59791-2023</t>
        </is>
      </c>
      <c r="B2604" s="1" t="n">
        <v>45257</v>
      </c>
      <c r="C2604" s="1" t="n">
        <v>45760</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59919-2023</t>
        </is>
      </c>
      <c r="B2605" s="1" t="n">
        <v>45257</v>
      </c>
      <c r="C2605" s="1" t="n">
        <v>45760</v>
      </c>
      <c r="D2605" t="inlineStr">
        <is>
          <t>VÄSTERBOTTENS LÄN</t>
        </is>
      </c>
      <c r="E2605" t="inlineStr">
        <is>
          <t>SKELLEFTEÅ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59907-2023</t>
        </is>
      </c>
      <c r="B2606" s="1" t="n">
        <v>45257</v>
      </c>
      <c r="C2606" s="1" t="n">
        <v>45760</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59788-2023</t>
        </is>
      </c>
      <c r="B2607" s="1" t="n">
        <v>45257</v>
      </c>
      <c r="C2607" s="1" t="n">
        <v>45760</v>
      </c>
      <c r="D2607" t="inlineStr">
        <is>
          <t>VÄSTERBOTTENS LÄN</t>
        </is>
      </c>
      <c r="E2607" t="inlineStr">
        <is>
          <t>SKELLEFTEÅ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60109-2023</t>
        </is>
      </c>
      <c r="B2608" s="1" t="n">
        <v>45257</v>
      </c>
      <c r="C2608" s="1" t="n">
        <v>45760</v>
      </c>
      <c r="D2608" t="inlineStr">
        <is>
          <t>VÄSTERBOTTENS LÄN</t>
        </is>
      </c>
      <c r="E2608" t="inlineStr">
        <is>
          <t>SKELLEFTEÅ</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59798-2023</t>
        </is>
      </c>
      <c r="B2609" s="1" t="n">
        <v>45257</v>
      </c>
      <c r="C2609" s="1" t="n">
        <v>45760</v>
      </c>
      <c r="D2609" t="inlineStr">
        <is>
          <t>VÄSTERBOTTENS LÄN</t>
        </is>
      </c>
      <c r="E2609" t="inlineStr">
        <is>
          <t>SKELLEFTEÅ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60130-2023</t>
        </is>
      </c>
      <c r="B2610" s="1" t="n">
        <v>45257</v>
      </c>
      <c r="C2610" s="1" t="n">
        <v>45760</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60305-2023</t>
        </is>
      </c>
      <c r="B2611" s="1" t="n">
        <v>45258</v>
      </c>
      <c r="C2611" s="1" t="n">
        <v>45760</v>
      </c>
      <c r="D2611" t="inlineStr">
        <is>
          <t>VÄSTERBOTTENS LÄN</t>
        </is>
      </c>
      <c r="E2611" t="inlineStr">
        <is>
          <t>SKELLEFTEÅ</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60451-2023</t>
        </is>
      </c>
      <c r="B2612" s="1" t="n">
        <v>45258</v>
      </c>
      <c r="C2612" s="1" t="n">
        <v>45760</v>
      </c>
      <c r="D2612" t="inlineStr">
        <is>
          <t>VÄSTERBOTTENS LÄN</t>
        </is>
      </c>
      <c r="E2612" t="inlineStr">
        <is>
          <t>SKELLEFTEÅ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60479-2023</t>
        </is>
      </c>
      <c r="B2613" s="1" t="n">
        <v>45258</v>
      </c>
      <c r="C2613" s="1" t="n">
        <v>45760</v>
      </c>
      <c r="D2613" t="inlineStr">
        <is>
          <t>VÄSTERBOTTENS LÄN</t>
        </is>
      </c>
      <c r="E2613" t="inlineStr">
        <is>
          <t>SKELLEFTEÅ</t>
        </is>
      </c>
      <c r="G2613" t="n">
        <v>21.5</v>
      </c>
      <c r="H2613" t="n">
        <v>0</v>
      </c>
      <c r="I2613" t="n">
        <v>0</v>
      </c>
      <c r="J2613" t="n">
        <v>0</v>
      </c>
      <c r="K2613" t="n">
        <v>0</v>
      </c>
      <c r="L2613" t="n">
        <v>0</v>
      </c>
      <c r="M2613" t="n">
        <v>0</v>
      </c>
      <c r="N2613" t="n">
        <v>0</v>
      </c>
      <c r="O2613" t="n">
        <v>0</v>
      </c>
      <c r="P2613" t="n">
        <v>0</v>
      </c>
      <c r="Q2613" t="n">
        <v>0</v>
      </c>
      <c r="R2613" s="2" t="inlineStr"/>
    </row>
    <row r="2614" ht="15" customHeight="1">
      <c r="A2614" t="inlineStr">
        <is>
          <t>A 60412-2023</t>
        </is>
      </c>
      <c r="B2614" s="1" t="n">
        <v>45258</v>
      </c>
      <c r="C2614" s="1" t="n">
        <v>45760</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60339-2023</t>
        </is>
      </c>
      <c r="B2615" s="1" t="n">
        <v>45259</v>
      </c>
      <c r="C2615" s="1" t="n">
        <v>45760</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60569-2023</t>
        </is>
      </c>
      <c r="B2616" s="1" t="n">
        <v>45259</v>
      </c>
      <c r="C2616" s="1" t="n">
        <v>45760</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61064-2023</t>
        </is>
      </c>
      <c r="B2617" s="1" t="n">
        <v>45259</v>
      </c>
      <c r="C2617" s="1" t="n">
        <v>45760</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61069-2023</t>
        </is>
      </c>
      <c r="B2618" s="1" t="n">
        <v>45259</v>
      </c>
      <c r="C2618" s="1" t="n">
        <v>45760</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61049-2023</t>
        </is>
      </c>
      <c r="B2619" s="1" t="n">
        <v>45259</v>
      </c>
      <c r="C2619" s="1" t="n">
        <v>45760</v>
      </c>
      <c r="D2619" t="inlineStr">
        <is>
          <t>VÄSTERBOTTENS LÄN</t>
        </is>
      </c>
      <c r="E2619" t="inlineStr">
        <is>
          <t>SKELLEFTEÅ</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60614-2023</t>
        </is>
      </c>
      <c r="B2620" s="1" t="n">
        <v>45260</v>
      </c>
      <c r="C2620" s="1" t="n">
        <v>45760</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60612-2023</t>
        </is>
      </c>
      <c r="B2621" s="1" t="n">
        <v>45260</v>
      </c>
      <c r="C2621" s="1" t="n">
        <v>45760</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60785-2023</t>
        </is>
      </c>
      <c r="B2622" s="1" t="n">
        <v>45260</v>
      </c>
      <c r="C2622" s="1" t="n">
        <v>45760</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60601-2023</t>
        </is>
      </c>
      <c r="B2623" s="1" t="n">
        <v>45260</v>
      </c>
      <c r="C2623" s="1" t="n">
        <v>45760</v>
      </c>
      <c r="D2623" t="inlineStr">
        <is>
          <t>VÄSTERBOTTENS LÄN</t>
        </is>
      </c>
      <c r="E2623" t="inlineStr">
        <is>
          <t>SKELLEFTEÅ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61089-2023</t>
        </is>
      </c>
      <c r="B2624" s="1" t="n">
        <v>45260</v>
      </c>
      <c r="C2624" s="1" t="n">
        <v>45760</v>
      </c>
      <c r="D2624" t="inlineStr">
        <is>
          <t>VÄSTERBOTTENS LÄN</t>
        </is>
      </c>
      <c r="E2624" t="inlineStr">
        <is>
          <t>SKELLEFTEÅ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61239-2023</t>
        </is>
      </c>
      <c r="B2625" s="1" t="n">
        <v>45260</v>
      </c>
      <c r="C2625" s="1" t="n">
        <v>45760</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61087-2023</t>
        </is>
      </c>
      <c r="B2626" s="1" t="n">
        <v>45260</v>
      </c>
      <c r="C2626" s="1" t="n">
        <v>45760</v>
      </c>
      <c r="D2626" t="inlineStr">
        <is>
          <t>VÄSTERBOTTENS LÄN</t>
        </is>
      </c>
      <c r="E2626" t="inlineStr">
        <is>
          <t>SKELLEFTEÅ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60896-2023</t>
        </is>
      </c>
      <c r="B2627" s="1" t="n">
        <v>45261</v>
      </c>
      <c r="C2627" s="1" t="n">
        <v>45760</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61033-2023</t>
        </is>
      </c>
      <c r="B2628" s="1" t="n">
        <v>45261</v>
      </c>
      <c r="C2628" s="1" t="n">
        <v>45760</v>
      </c>
      <c r="D2628" t="inlineStr">
        <is>
          <t>VÄSTERBOTTENS LÄN</t>
        </is>
      </c>
      <c r="E2628" t="inlineStr">
        <is>
          <t>SKELLEFTEÅ</t>
        </is>
      </c>
      <c r="F2628" t="inlineStr">
        <is>
          <t>Sveaskog</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60898-2023</t>
        </is>
      </c>
      <c r="B2629" s="1" t="n">
        <v>45261</v>
      </c>
      <c r="C2629" s="1" t="n">
        <v>45760</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61130-2023</t>
        </is>
      </c>
      <c r="B2630" s="1" t="n">
        <v>45261</v>
      </c>
      <c r="C2630" s="1" t="n">
        <v>45760</v>
      </c>
      <c r="D2630" t="inlineStr">
        <is>
          <t>VÄSTERBOTTENS LÄN</t>
        </is>
      </c>
      <c r="E2630" t="inlineStr">
        <is>
          <t>SKELLEFTEÅ</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61147-2023</t>
        </is>
      </c>
      <c r="B2631" s="1" t="n">
        <v>45262</v>
      </c>
      <c r="C2631" s="1" t="n">
        <v>45760</v>
      </c>
      <c r="D2631" t="inlineStr">
        <is>
          <t>VÄSTERBOTTENS LÄN</t>
        </is>
      </c>
      <c r="E2631" t="inlineStr">
        <is>
          <t>SKELLEFTEÅ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61145-2023</t>
        </is>
      </c>
      <c r="B2632" s="1" t="n">
        <v>45262</v>
      </c>
      <c r="C2632" s="1" t="n">
        <v>45760</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61146-2023</t>
        </is>
      </c>
      <c r="B2633" s="1" t="n">
        <v>45262</v>
      </c>
      <c r="C2633" s="1" t="n">
        <v>45760</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61292-2023</t>
        </is>
      </c>
      <c r="B2634" s="1" t="n">
        <v>45264</v>
      </c>
      <c r="C2634" s="1" t="n">
        <v>45760</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61186-2023</t>
        </is>
      </c>
      <c r="B2635" s="1" t="n">
        <v>45264</v>
      </c>
      <c r="C2635" s="1" t="n">
        <v>45760</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61242-2023</t>
        </is>
      </c>
      <c r="B2636" s="1" t="n">
        <v>45264</v>
      </c>
      <c r="C2636" s="1" t="n">
        <v>45760</v>
      </c>
      <c r="D2636" t="inlineStr">
        <is>
          <t>VÄSTERBOTTENS LÄN</t>
        </is>
      </c>
      <c r="E2636" t="inlineStr">
        <is>
          <t>SKELLEFTEÅ</t>
        </is>
      </c>
      <c r="F2636" t="inlineStr">
        <is>
          <t>Holmen skog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61188-2023</t>
        </is>
      </c>
      <c r="B2637" s="1" t="n">
        <v>45264</v>
      </c>
      <c r="C2637" s="1" t="n">
        <v>45760</v>
      </c>
      <c r="D2637" t="inlineStr">
        <is>
          <t>VÄSTERBOTTENS LÄN</t>
        </is>
      </c>
      <c r="E2637" t="inlineStr">
        <is>
          <t>SKELLEFTEÅ</t>
        </is>
      </c>
      <c r="F2637" t="inlineStr">
        <is>
          <t>Sveaskog</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61457-2023</t>
        </is>
      </c>
      <c r="B2638" s="1" t="n">
        <v>45264</v>
      </c>
      <c r="C2638" s="1" t="n">
        <v>45760</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61733-2023</t>
        </is>
      </c>
      <c r="B2639" s="1" t="n">
        <v>45264</v>
      </c>
      <c r="C2639" s="1" t="n">
        <v>45760</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61730-2023</t>
        </is>
      </c>
      <c r="B2640" s="1" t="n">
        <v>45264</v>
      </c>
      <c r="C2640" s="1" t="n">
        <v>45760</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61723-2023</t>
        </is>
      </c>
      <c r="B2641" s="1" t="n">
        <v>45264</v>
      </c>
      <c r="C2641" s="1" t="n">
        <v>45760</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61808-2023</t>
        </is>
      </c>
      <c r="B2642" s="1" t="n">
        <v>45264</v>
      </c>
      <c r="C2642" s="1" t="n">
        <v>45760</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61928-2023</t>
        </is>
      </c>
      <c r="B2643" s="1" t="n">
        <v>45265</v>
      </c>
      <c r="C2643" s="1" t="n">
        <v>45760</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61927-2023</t>
        </is>
      </c>
      <c r="B2644" s="1" t="n">
        <v>45265</v>
      </c>
      <c r="C2644" s="1" t="n">
        <v>45760</v>
      </c>
      <c r="D2644" t="inlineStr">
        <is>
          <t>VÄSTERBOTTENS LÄN</t>
        </is>
      </c>
      <c r="E2644" t="inlineStr">
        <is>
          <t>SKELLEFTEÅ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62300-2023</t>
        </is>
      </c>
      <c r="B2645" s="1" t="n">
        <v>45266</v>
      </c>
      <c r="C2645" s="1" t="n">
        <v>45760</v>
      </c>
      <c r="D2645" t="inlineStr">
        <is>
          <t>VÄSTERBOTTENS LÄN</t>
        </is>
      </c>
      <c r="E2645" t="inlineStr">
        <is>
          <t>SKELLEFTEÅ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62141-2023</t>
        </is>
      </c>
      <c r="B2646" s="1" t="n">
        <v>45267</v>
      </c>
      <c r="C2646" s="1" t="n">
        <v>45760</v>
      </c>
      <c r="D2646" t="inlineStr">
        <is>
          <t>VÄSTERBOTTENS LÄN</t>
        </is>
      </c>
      <c r="E2646" t="inlineStr">
        <is>
          <t>SKELLEFTEÅ</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62345-2023</t>
        </is>
      </c>
      <c r="B2647" s="1" t="n">
        <v>45267</v>
      </c>
      <c r="C2647" s="1" t="n">
        <v>45760</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62336-2023</t>
        </is>
      </c>
      <c r="B2648" s="1" t="n">
        <v>45267</v>
      </c>
      <c r="C2648" s="1" t="n">
        <v>45760</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62344-2023</t>
        </is>
      </c>
      <c r="B2649" s="1" t="n">
        <v>45267</v>
      </c>
      <c r="C2649" s="1" t="n">
        <v>45760</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62347-2023</t>
        </is>
      </c>
      <c r="B2650" s="1" t="n">
        <v>45267</v>
      </c>
      <c r="C2650" s="1" t="n">
        <v>45760</v>
      </c>
      <c r="D2650" t="inlineStr">
        <is>
          <t>VÄSTERBOTTENS LÄN</t>
        </is>
      </c>
      <c r="E2650" t="inlineStr">
        <is>
          <t>SKELLEFTEÅ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62599-2023</t>
        </is>
      </c>
      <c r="B2651" s="1" t="n">
        <v>45267</v>
      </c>
      <c r="C2651" s="1" t="n">
        <v>45760</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62601-2023</t>
        </is>
      </c>
      <c r="B2652" s="1" t="n">
        <v>45267</v>
      </c>
      <c r="C2652" s="1" t="n">
        <v>45760</v>
      </c>
      <c r="D2652" t="inlineStr">
        <is>
          <t>VÄSTERBOTTENS LÄN</t>
        </is>
      </c>
      <c r="E2652" t="inlineStr">
        <is>
          <t>SKELLEFTEÅ</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62547-2023</t>
        </is>
      </c>
      <c r="B2653" s="1" t="n">
        <v>45268</v>
      </c>
      <c r="C2653" s="1" t="n">
        <v>45760</v>
      </c>
      <c r="D2653" t="inlineStr">
        <is>
          <t>VÄSTERBOTTENS LÄN</t>
        </is>
      </c>
      <c r="E2653" t="inlineStr">
        <is>
          <t>SKELLEFTEÅ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62504-2023</t>
        </is>
      </c>
      <c r="B2654" s="1" t="n">
        <v>45268</v>
      </c>
      <c r="C2654" s="1" t="n">
        <v>45760</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62708-2023</t>
        </is>
      </c>
      <c r="B2655" s="1" t="n">
        <v>45271</v>
      </c>
      <c r="C2655" s="1" t="n">
        <v>45760</v>
      </c>
      <c r="D2655" t="inlineStr">
        <is>
          <t>VÄSTERBOTTENS LÄN</t>
        </is>
      </c>
      <c r="E2655" t="inlineStr">
        <is>
          <t>SKELLEFTEÅ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62885-2023</t>
        </is>
      </c>
      <c r="B2656" s="1" t="n">
        <v>45271</v>
      </c>
      <c r="C2656" s="1" t="n">
        <v>45760</v>
      </c>
      <c r="D2656" t="inlineStr">
        <is>
          <t>VÄSTERBOTTENS LÄN</t>
        </is>
      </c>
      <c r="E2656" t="inlineStr">
        <is>
          <t>SKELLEFTEÅ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63010-2023</t>
        </is>
      </c>
      <c r="B2657" s="1" t="n">
        <v>45272</v>
      </c>
      <c r="C2657" s="1" t="n">
        <v>45760</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62961-2023</t>
        </is>
      </c>
      <c r="B2658" s="1" t="n">
        <v>45272</v>
      </c>
      <c r="C2658" s="1" t="n">
        <v>45760</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63525-2023</t>
        </is>
      </c>
      <c r="B2659" s="1" t="n">
        <v>45274</v>
      </c>
      <c r="C2659" s="1" t="n">
        <v>45760</v>
      </c>
      <c r="D2659" t="inlineStr">
        <is>
          <t>VÄSTERBOTTENS LÄN</t>
        </is>
      </c>
      <c r="E2659" t="inlineStr">
        <is>
          <t>SKELLEFTEÅ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63704-2023</t>
        </is>
      </c>
      <c r="B2660" s="1" t="n">
        <v>45275</v>
      </c>
      <c r="C2660" s="1" t="n">
        <v>45760</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63757-2023</t>
        </is>
      </c>
      <c r="B2661" s="1" t="n">
        <v>45278</v>
      </c>
      <c r="C2661" s="1" t="n">
        <v>45760</v>
      </c>
      <c r="D2661" t="inlineStr">
        <is>
          <t>VÄSTERBOTTENS LÄN</t>
        </is>
      </c>
      <c r="E2661" t="inlineStr">
        <is>
          <t>SKELLEFTEÅ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63759-2023</t>
        </is>
      </c>
      <c r="B2662" s="1" t="n">
        <v>45278</v>
      </c>
      <c r="C2662" s="1" t="n">
        <v>45760</v>
      </c>
      <c r="D2662" t="inlineStr">
        <is>
          <t>VÄSTERBOTTENS LÄN</t>
        </is>
      </c>
      <c r="E2662" t="inlineStr">
        <is>
          <t>SKELLEFTEÅ</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63935-2023</t>
        </is>
      </c>
      <c r="B2663" s="1" t="n">
        <v>45278</v>
      </c>
      <c r="C2663" s="1" t="n">
        <v>45760</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64009-2023</t>
        </is>
      </c>
      <c r="B2664" s="1" t="n">
        <v>45278</v>
      </c>
      <c r="C2664" s="1" t="n">
        <v>45760</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64006-2023</t>
        </is>
      </c>
      <c r="B2665" s="1" t="n">
        <v>45278</v>
      </c>
      <c r="C2665" s="1" t="n">
        <v>45760</v>
      </c>
      <c r="D2665" t="inlineStr">
        <is>
          <t>VÄSTERBOTTENS LÄN</t>
        </is>
      </c>
      <c r="E2665" t="inlineStr">
        <is>
          <t>SKELLEFTEÅ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64008-2023</t>
        </is>
      </c>
      <c r="B2666" s="1" t="n">
        <v>45278</v>
      </c>
      <c r="C2666" s="1" t="n">
        <v>45760</v>
      </c>
      <c r="D2666" t="inlineStr">
        <is>
          <t>VÄSTERBOTTENS LÄN</t>
        </is>
      </c>
      <c r="E2666" t="inlineStr">
        <is>
          <t>SKELLEFTEÅ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64258-2023</t>
        </is>
      </c>
      <c r="B2667" s="1" t="n">
        <v>45279</v>
      </c>
      <c r="C2667" s="1" t="n">
        <v>45760</v>
      </c>
      <c r="D2667" t="inlineStr">
        <is>
          <t>VÄSTERBOTTENS LÄN</t>
        </is>
      </c>
      <c r="E2667" t="inlineStr">
        <is>
          <t>SKELLEFTEÅ</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64257-2023</t>
        </is>
      </c>
      <c r="B2668" s="1" t="n">
        <v>45279</v>
      </c>
      <c r="C2668" s="1" t="n">
        <v>45760</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64183-2023</t>
        </is>
      </c>
      <c r="B2669" s="1" t="n">
        <v>45279</v>
      </c>
      <c r="C2669" s="1" t="n">
        <v>45760</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1815-2024</t>
        </is>
      </c>
      <c r="B2670" s="1" t="n">
        <v>45279</v>
      </c>
      <c r="C2670" s="1" t="n">
        <v>45760</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64323-2023</t>
        </is>
      </c>
      <c r="B2671" s="1" t="n">
        <v>45280</v>
      </c>
      <c r="C2671" s="1" t="n">
        <v>45760</v>
      </c>
      <c r="D2671" t="inlineStr">
        <is>
          <t>VÄSTERBOTTENS LÄN</t>
        </is>
      </c>
      <c r="E2671" t="inlineStr">
        <is>
          <t>SKELLEFTEÅ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64340-2023</t>
        </is>
      </c>
      <c r="B2672" s="1" t="n">
        <v>45280</v>
      </c>
      <c r="C2672" s="1" t="n">
        <v>45760</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64370-2023</t>
        </is>
      </c>
      <c r="B2673" s="1" t="n">
        <v>45280</v>
      </c>
      <c r="C2673" s="1" t="n">
        <v>45760</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64598-2023</t>
        </is>
      </c>
      <c r="B2674" s="1" t="n">
        <v>45281</v>
      </c>
      <c r="C2674" s="1" t="n">
        <v>45760</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64682-2023</t>
        </is>
      </c>
      <c r="B2675" s="1" t="n">
        <v>45281</v>
      </c>
      <c r="C2675" s="1" t="n">
        <v>45760</v>
      </c>
      <c r="D2675" t="inlineStr">
        <is>
          <t>VÄSTERBOTTENS LÄN</t>
        </is>
      </c>
      <c r="E2675" t="inlineStr">
        <is>
          <t>SKELLEFTEÅ</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64720-2023</t>
        </is>
      </c>
      <c r="B2676" s="1" t="n">
        <v>45281</v>
      </c>
      <c r="C2676" s="1" t="n">
        <v>45760</v>
      </c>
      <c r="D2676" t="inlineStr">
        <is>
          <t>VÄSTERBOTTENS LÄN</t>
        </is>
      </c>
      <c r="E2676" t="inlineStr">
        <is>
          <t>SKELLEFTEÅ</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64716-2023</t>
        </is>
      </c>
      <c r="B2677" s="1" t="n">
        <v>45281</v>
      </c>
      <c r="C2677" s="1" t="n">
        <v>45760</v>
      </c>
      <c r="D2677" t="inlineStr">
        <is>
          <t>VÄSTERBOTTENS LÄN</t>
        </is>
      </c>
      <c r="E2677" t="inlineStr">
        <is>
          <t>SKELLEFTEÅ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64723-2023</t>
        </is>
      </c>
      <c r="B2678" s="1" t="n">
        <v>45281</v>
      </c>
      <c r="C2678" s="1" t="n">
        <v>45760</v>
      </c>
      <c r="D2678" t="inlineStr">
        <is>
          <t>VÄSTERBOTTENS LÄN</t>
        </is>
      </c>
      <c r="E2678" t="inlineStr">
        <is>
          <t>SKELLEFTEÅ</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64726-2023</t>
        </is>
      </c>
      <c r="B2679" s="1" t="n">
        <v>45281</v>
      </c>
      <c r="C2679" s="1" t="n">
        <v>45760</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64750-2023</t>
        </is>
      </c>
      <c r="B2680" s="1" t="n">
        <v>45281</v>
      </c>
      <c r="C2680" s="1" t="n">
        <v>45760</v>
      </c>
      <c r="D2680" t="inlineStr">
        <is>
          <t>VÄSTERBOTTENS LÄN</t>
        </is>
      </c>
      <c r="E2680" t="inlineStr">
        <is>
          <t>SKELLEFTEÅ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64920-2023</t>
        </is>
      </c>
      <c r="B2681" s="1" t="n">
        <v>45282</v>
      </c>
      <c r="C2681" s="1" t="n">
        <v>45760</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64942-2023</t>
        </is>
      </c>
      <c r="B2682" s="1" t="n">
        <v>45282</v>
      </c>
      <c r="C2682" s="1" t="n">
        <v>45760</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65010-2023</t>
        </is>
      </c>
      <c r="B2683" s="1" t="n">
        <v>45282</v>
      </c>
      <c r="C2683" s="1" t="n">
        <v>45760</v>
      </c>
      <c r="D2683" t="inlineStr">
        <is>
          <t>VÄSTERBOTTENS LÄN</t>
        </is>
      </c>
      <c r="E2683" t="inlineStr">
        <is>
          <t>SKELLEFTEÅ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64941-2023</t>
        </is>
      </c>
      <c r="B2684" s="1" t="n">
        <v>45282</v>
      </c>
      <c r="C2684" s="1" t="n">
        <v>45760</v>
      </c>
      <c r="D2684" t="inlineStr">
        <is>
          <t>VÄSTERBOTTENS LÄN</t>
        </is>
      </c>
      <c r="E2684" t="inlineStr">
        <is>
          <t>SKELLEFTEÅ</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65009-2023</t>
        </is>
      </c>
      <c r="B2685" s="1" t="n">
        <v>45287</v>
      </c>
      <c r="C2685" s="1" t="n">
        <v>45760</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65011-2023</t>
        </is>
      </c>
      <c r="B2686" s="1" t="n">
        <v>45287</v>
      </c>
      <c r="C2686" s="1" t="n">
        <v>45760</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65128-2023</t>
        </is>
      </c>
      <c r="B2687" s="1" t="n">
        <v>45288</v>
      </c>
      <c r="C2687" s="1" t="n">
        <v>45760</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65165-2023</t>
        </is>
      </c>
      <c r="B2688" s="1" t="n">
        <v>45288</v>
      </c>
      <c r="C2688" s="1" t="n">
        <v>45760</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65178-2023</t>
        </is>
      </c>
      <c r="B2689" s="1" t="n">
        <v>45288</v>
      </c>
      <c r="C2689" s="1" t="n">
        <v>45760</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65191-2023</t>
        </is>
      </c>
      <c r="B2690" s="1" t="n">
        <v>45288</v>
      </c>
      <c r="C2690" s="1" t="n">
        <v>45760</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65206-2023</t>
        </is>
      </c>
      <c r="B2691" s="1" t="n">
        <v>45289</v>
      </c>
      <c r="C2691" s="1" t="n">
        <v>45760</v>
      </c>
      <c r="D2691" t="inlineStr">
        <is>
          <t>VÄSTERBOTTENS LÄN</t>
        </is>
      </c>
      <c r="E2691" t="inlineStr">
        <is>
          <t>SKELLEFTEÅ</t>
        </is>
      </c>
      <c r="G2691" t="n">
        <v>19.2</v>
      </c>
      <c r="H2691" t="n">
        <v>0</v>
      </c>
      <c r="I2691" t="n">
        <v>0</v>
      </c>
      <c r="J2691" t="n">
        <v>0</v>
      </c>
      <c r="K2691" t="n">
        <v>0</v>
      </c>
      <c r="L2691" t="n">
        <v>0</v>
      </c>
      <c r="M2691" t="n">
        <v>0</v>
      </c>
      <c r="N2691" t="n">
        <v>0</v>
      </c>
      <c r="O2691" t="n">
        <v>0</v>
      </c>
      <c r="P2691" t="n">
        <v>0</v>
      </c>
      <c r="Q2691" t="n">
        <v>0</v>
      </c>
      <c r="R2691" s="2" t="inlineStr"/>
    </row>
    <row r="2692" ht="15" customHeight="1">
      <c r="A2692" t="inlineStr">
        <is>
          <t>A 65243-2023</t>
        </is>
      </c>
      <c r="B2692" s="1" t="n">
        <v>45289</v>
      </c>
      <c r="C2692" s="1" t="n">
        <v>45760</v>
      </c>
      <c r="D2692" t="inlineStr">
        <is>
          <t>VÄSTERBOTTENS LÄN</t>
        </is>
      </c>
      <c r="E2692" t="inlineStr">
        <is>
          <t>SKELLEFTEÅ</t>
        </is>
      </c>
      <c r="G2692" t="n">
        <v>22.2</v>
      </c>
      <c r="H2692" t="n">
        <v>0</v>
      </c>
      <c r="I2692" t="n">
        <v>0</v>
      </c>
      <c r="J2692" t="n">
        <v>0</v>
      </c>
      <c r="K2692" t="n">
        <v>0</v>
      </c>
      <c r="L2692" t="n">
        <v>0</v>
      </c>
      <c r="M2692" t="n">
        <v>0</v>
      </c>
      <c r="N2692" t="n">
        <v>0</v>
      </c>
      <c r="O2692" t="n">
        <v>0</v>
      </c>
      <c r="P2692" t="n">
        <v>0</v>
      </c>
      <c r="Q2692" t="n">
        <v>0</v>
      </c>
      <c r="R2692" s="2" t="inlineStr"/>
    </row>
    <row r="2693" ht="15" customHeight="1">
      <c r="A2693" t="inlineStr">
        <is>
          <t>A 27-2024</t>
        </is>
      </c>
      <c r="B2693" s="1" t="n">
        <v>45293</v>
      </c>
      <c r="C2693" s="1" t="n">
        <v>45760</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207-2024</t>
        </is>
      </c>
      <c r="B2694" s="1" t="n">
        <v>45293</v>
      </c>
      <c r="C2694" s="1" t="n">
        <v>45760</v>
      </c>
      <c r="D2694" t="inlineStr">
        <is>
          <t>VÄSTERBOTTENS LÄN</t>
        </is>
      </c>
      <c r="E2694" t="inlineStr">
        <is>
          <t>SKELLEFTEÅ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381-2024</t>
        </is>
      </c>
      <c r="B2695" s="1" t="n">
        <v>45296</v>
      </c>
      <c r="C2695" s="1" t="n">
        <v>45760</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418-2024</t>
        </is>
      </c>
      <c r="B2696" s="1" t="n">
        <v>45296</v>
      </c>
      <c r="C2696" s="1" t="n">
        <v>45760</v>
      </c>
      <c r="D2696" t="inlineStr">
        <is>
          <t>VÄSTERBOTTENS LÄN</t>
        </is>
      </c>
      <c r="E2696" t="inlineStr">
        <is>
          <t>SKELLEFTEÅ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671-2024</t>
        </is>
      </c>
      <c r="B2697" s="1" t="n">
        <v>45299</v>
      </c>
      <c r="C2697" s="1" t="n">
        <v>45760</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668-2024</t>
        </is>
      </c>
      <c r="B2698" s="1" t="n">
        <v>45300</v>
      </c>
      <c r="C2698" s="1" t="n">
        <v>45760</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1114-2024</t>
        </is>
      </c>
      <c r="B2699" s="1" t="n">
        <v>45302</v>
      </c>
      <c r="C2699" s="1" t="n">
        <v>45760</v>
      </c>
      <c r="D2699" t="inlineStr">
        <is>
          <t>VÄSTERBOTTENS LÄN</t>
        </is>
      </c>
      <c r="E2699" t="inlineStr">
        <is>
          <t>SKELLEFTEÅ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1255-2024</t>
        </is>
      </c>
      <c r="B2700" s="1" t="n">
        <v>45302</v>
      </c>
      <c r="C2700" s="1" t="n">
        <v>45760</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1250-2024</t>
        </is>
      </c>
      <c r="B2701" s="1" t="n">
        <v>45302</v>
      </c>
      <c r="C2701" s="1" t="n">
        <v>45760</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1257-2024</t>
        </is>
      </c>
      <c r="B2702" s="1" t="n">
        <v>45302</v>
      </c>
      <c r="C2702" s="1" t="n">
        <v>45760</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1256-2024</t>
        </is>
      </c>
      <c r="B2703" s="1" t="n">
        <v>45302</v>
      </c>
      <c r="C2703" s="1" t="n">
        <v>45760</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1280-2024</t>
        </is>
      </c>
      <c r="B2704" s="1" t="n">
        <v>45303</v>
      </c>
      <c r="C2704" s="1" t="n">
        <v>45760</v>
      </c>
      <c r="D2704" t="inlineStr">
        <is>
          <t>VÄSTERBOTTENS LÄN</t>
        </is>
      </c>
      <c r="E2704" t="inlineStr">
        <is>
          <t>SKELLEFTEÅ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1419-2024</t>
        </is>
      </c>
      <c r="B2705" s="1" t="n">
        <v>45303</v>
      </c>
      <c r="C2705" s="1" t="n">
        <v>45760</v>
      </c>
      <c r="D2705" t="inlineStr">
        <is>
          <t>VÄSTERBOTTENS LÄN</t>
        </is>
      </c>
      <c r="E2705" t="inlineStr">
        <is>
          <t>SKELLEFTEÅ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1507-2024</t>
        </is>
      </c>
      <c r="B2706" s="1" t="n">
        <v>45306</v>
      </c>
      <c r="C2706" s="1" t="n">
        <v>45760</v>
      </c>
      <c r="D2706" t="inlineStr">
        <is>
          <t>VÄSTERBOTTENS LÄN</t>
        </is>
      </c>
      <c r="E2706" t="inlineStr">
        <is>
          <t>SKELLEFTEÅ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1498-2024</t>
        </is>
      </c>
      <c r="B2707" s="1" t="n">
        <v>45306</v>
      </c>
      <c r="C2707" s="1" t="n">
        <v>45760</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1564-2024</t>
        </is>
      </c>
      <c r="B2708" s="1" t="n">
        <v>45306</v>
      </c>
      <c r="C2708" s="1" t="n">
        <v>45760</v>
      </c>
      <c r="D2708" t="inlineStr">
        <is>
          <t>VÄSTERBOTTENS LÄN</t>
        </is>
      </c>
      <c r="E2708" t="inlineStr">
        <is>
          <t>SKELLEFTEÅ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1829-2024</t>
        </is>
      </c>
      <c r="B2709" s="1" t="n">
        <v>45307</v>
      </c>
      <c r="C2709" s="1" t="n">
        <v>45760</v>
      </c>
      <c r="D2709" t="inlineStr">
        <is>
          <t>VÄSTERBOTTENS LÄN</t>
        </is>
      </c>
      <c r="E2709" t="inlineStr">
        <is>
          <t>SKELLEFTEÅ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1827-2024</t>
        </is>
      </c>
      <c r="B2710" s="1" t="n">
        <v>45307</v>
      </c>
      <c r="C2710" s="1" t="n">
        <v>45760</v>
      </c>
      <c r="D2710" t="inlineStr">
        <is>
          <t>VÄSTERBOTTENS LÄN</t>
        </is>
      </c>
      <c r="E2710" t="inlineStr">
        <is>
          <t>SKELLEFTEÅ</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1809-2024</t>
        </is>
      </c>
      <c r="B2711" s="1" t="n">
        <v>45307</v>
      </c>
      <c r="C2711" s="1" t="n">
        <v>45760</v>
      </c>
      <c r="D2711" t="inlineStr">
        <is>
          <t>VÄSTERBOTTENS LÄN</t>
        </is>
      </c>
      <c r="E2711" t="inlineStr">
        <is>
          <t>SKELLEFTEÅ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1826-2024</t>
        </is>
      </c>
      <c r="B2712" s="1" t="n">
        <v>45307</v>
      </c>
      <c r="C2712" s="1" t="n">
        <v>45760</v>
      </c>
      <c r="D2712" t="inlineStr">
        <is>
          <t>VÄSTERBOTTENS LÄN</t>
        </is>
      </c>
      <c r="E2712" t="inlineStr">
        <is>
          <t>SKELLEFTEÅ</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2050-2024</t>
        </is>
      </c>
      <c r="B2713" s="1" t="n">
        <v>45308</v>
      </c>
      <c r="C2713" s="1" t="n">
        <v>45760</v>
      </c>
      <c r="D2713" t="inlineStr">
        <is>
          <t>VÄSTERBOTTENS LÄN</t>
        </is>
      </c>
      <c r="E2713" t="inlineStr">
        <is>
          <t>SKELLEFTEÅ</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2058-2024</t>
        </is>
      </c>
      <c r="B2714" s="1" t="n">
        <v>45308</v>
      </c>
      <c r="C2714" s="1" t="n">
        <v>45760</v>
      </c>
      <c r="D2714" t="inlineStr">
        <is>
          <t>VÄSTERBOTTENS LÄN</t>
        </is>
      </c>
      <c r="E2714" t="inlineStr">
        <is>
          <t>SKELLEFTEÅ</t>
        </is>
      </c>
      <c r="G2714" t="n">
        <v>29.4</v>
      </c>
      <c r="H2714" t="n">
        <v>0</v>
      </c>
      <c r="I2714" t="n">
        <v>0</v>
      </c>
      <c r="J2714" t="n">
        <v>0</v>
      </c>
      <c r="K2714" t="n">
        <v>0</v>
      </c>
      <c r="L2714" t="n">
        <v>0</v>
      </c>
      <c r="M2714" t="n">
        <v>0</v>
      </c>
      <c r="N2714" t="n">
        <v>0</v>
      </c>
      <c r="O2714" t="n">
        <v>0</v>
      </c>
      <c r="P2714" t="n">
        <v>0</v>
      </c>
      <c r="Q2714" t="n">
        <v>0</v>
      </c>
      <c r="R2714" s="2" t="inlineStr"/>
    </row>
    <row r="2715" ht="15" customHeight="1">
      <c r="A2715" t="inlineStr">
        <is>
          <t>A 2043-2024</t>
        </is>
      </c>
      <c r="B2715" s="1" t="n">
        <v>45308</v>
      </c>
      <c r="C2715" s="1" t="n">
        <v>45760</v>
      </c>
      <c r="D2715" t="inlineStr">
        <is>
          <t>VÄSTERBOTTENS LÄN</t>
        </is>
      </c>
      <c r="E2715" t="inlineStr">
        <is>
          <t>SKELLEFTEÅ</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2051-2024</t>
        </is>
      </c>
      <c r="B2716" s="1" t="n">
        <v>45308</v>
      </c>
      <c r="C2716" s="1" t="n">
        <v>45760</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2055-2024</t>
        </is>
      </c>
      <c r="B2717" s="1" t="n">
        <v>45308</v>
      </c>
      <c r="C2717" s="1" t="n">
        <v>45760</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2059-2024</t>
        </is>
      </c>
      <c r="B2718" s="1" t="n">
        <v>45308</v>
      </c>
      <c r="C2718" s="1" t="n">
        <v>45760</v>
      </c>
      <c r="D2718" t="inlineStr">
        <is>
          <t>VÄSTERBOTTENS LÄN</t>
        </is>
      </c>
      <c r="E2718" t="inlineStr">
        <is>
          <t>SKELLEFTEÅ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2045-2024</t>
        </is>
      </c>
      <c r="B2719" s="1" t="n">
        <v>45308</v>
      </c>
      <c r="C2719" s="1" t="n">
        <v>45760</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2052-2024</t>
        </is>
      </c>
      <c r="B2720" s="1" t="n">
        <v>45308</v>
      </c>
      <c r="C2720" s="1" t="n">
        <v>45760</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2170-2024</t>
        </is>
      </c>
      <c r="B2721" s="1" t="n">
        <v>45309</v>
      </c>
      <c r="C2721" s="1" t="n">
        <v>45760</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2090-2024</t>
        </is>
      </c>
      <c r="B2722" s="1" t="n">
        <v>45309</v>
      </c>
      <c r="C2722" s="1" t="n">
        <v>45760</v>
      </c>
      <c r="D2722" t="inlineStr">
        <is>
          <t>VÄSTERBOTTENS LÄN</t>
        </is>
      </c>
      <c r="E2722" t="inlineStr">
        <is>
          <t>SKELLEFTEÅ</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2417-2024</t>
        </is>
      </c>
      <c r="B2723" s="1" t="n">
        <v>45310</v>
      </c>
      <c r="C2723" s="1" t="n">
        <v>45760</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2579-2024</t>
        </is>
      </c>
      <c r="B2724" s="1" t="n">
        <v>45313</v>
      </c>
      <c r="C2724" s="1" t="n">
        <v>45760</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2526-2024</t>
        </is>
      </c>
      <c r="B2725" s="1" t="n">
        <v>45313</v>
      </c>
      <c r="C2725" s="1" t="n">
        <v>45760</v>
      </c>
      <c r="D2725" t="inlineStr">
        <is>
          <t>VÄSTERBOTTENS LÄN</t>
        </is>
      </c>
      <c r="E2725" t="inlineStr">
        <is>
          <t>SKELLEFTEÅ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2562-2024</t>
        </is>
      </c>
      <c r="B2726" s="1" t="n">
        <v>45313</v>
      </c>
      <c r="C2726" s="1" t="n">
        <v>45760</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2572-2024</t>
        </is>
      </c>
      <c r="B2727" s="1" t="n">
        <v>45313</v>
      </c>
      <c r="C2727" s="1" t="n">
        <v>45760</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2641-2024</t>
        </is>
      </c>
      <c r="B2728" s="1" t="n">
        <v>45314</v>
      </c>
      <c r="C2728" s="1" t="n">
        <v>45760</v>
      </c>
      <c r="D2728" t="inlineStr">
        <is>
          <t>VÄSTERBOTTENS LÄN</t>
        </is>
      </c>
      <c r="E2728" t="inlineStr">
        <is>
          <t>SKELLEFTEÅ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2773-2024</t>
        </is>
      </c>
      <c r="B2729" s="1" t="n">
        <v>45314</v>
      </c>
      <c r="C2729" s="1" t="n">
        <v>45760</v>
      </c>
      <c r="D2729" t="inlineStr">
        <is>
          <t>VÄSTERBOTTENS LÄN</t>
        </is>
      </c>
      <c r="E2729" t="inlineStr">
        <is>
          <t>SKELLEFTEÅ</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2811-2024</t>
        </is>
      </c>
      <c r="B2730" s="1" t="n">
        <v>45314</v>
      </c>
      <c r="C2730" s="1" t="n">
        <v>45760</v>
      </c>
      <c r="D2730" t="inlineStr">
        <is>
          <t>VÄSTERBOTTENS LÄN</t>
        </is>
      </c>
      <c r="E2730" t="inlineStr">
        <is>
          <t>SKELLEFTEÅ</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2840-2024</t>
        </is>
      </c>
      <c r="B2731" s="1" t="n">
        <v>45315</v>
      </c>
      <c r="C2731" s="1" t="n">
        <v>45760</v>
      </c>
      <c r="D2731" t="inlineStr">
        <is>
          <t>VÄSTERBOTTENS LÄN</t>
        </is>
      </c>
      <c r="E2731" t="inlineStr">
        <is>
          <t>SKELLEFTEÅ</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2848-2024</t>
        </is>
      </c>
      <c r="B2732" s="1" t="n">
        <v>45315</v>
      </c>
      <c r="C2732" s="1" t="n">
        <v>45760</v>
      </c>
      <c r="D2732" t="inlineStr">
        <is>
          <t>VÄSTERBOTTENS LÄN</t>
        </is>
      </c>
      <c r="E2732" t="inlineStr">
        <is>
          <t>SKELLEFTEÅ</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2845-2024</t>
        </is>
      </c>
      <c r="B2733" s="1" t="n">
        <v>45315</v>
      </c>
      <c r="C2733" s="1" t="n">
        <v>45760</v>
      </c>
      <c r="D2733" t="inlineStr">
        <is>
          <t>VÄSTERBOTTENS LÄN</t>
        </is>
      </c>
      <c r="E2733" t="inlineStr">
        <is>
          <t>SKELLEFTEÅ</t>
        </is>
      </c>
      <c r="F2733" t="inlineStr">
        <is>
          <t>Sveaskog</t>
        </is>
      </c>
      <c r="G2733" t="n">
        <v>15.7</v>
      </c>
      <c r="H2733" t="n">
        <v>0</v>
      </c>
      <c r="I2733" t="n">
        <v>0</v>
      </c>
      <c r="J2733" t="n">
        <v>0</v>
      </c>
      <c r="K2733" t="n">
        <v>0</v>
      </c>
      <c r="L2733" t="n">
        <v>0</v>
      </c>
      <c r="M2733" t="n">
        <v>0</v>
      </c>
      <c r="N2733" t="n">
        <v>0</v>
      </c>
      <c r="O2733" t="n">
        <v>0</v>
      </c>
      <c r="P2733" t="n">
        <v>0</v>
      </c>
      <c r="Q2733" t="n">
        <v>0</v>
      </c>
      <c r="R2733" s="2" t="inlineStr"/>
    </row>
    <row r="2734" ht="15" customHeight="1">
      <c r="A2734" t="inlineStr">
        <is>
          <t>A 2955-2024</t>
        </is>
      </c>
      <c r="B2734" s="1" t="n">
        <v>45315</v>
      </c>
      <c r="C2734" s="1" t="n">
        <v>45760</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2987-2024</t>
        </is>
      </c>
      <c r="B2735" s="1" t="n">
        <v>45315</v>
      </c>
      <c r="C2735" s="1" t="n">
        <v>45760</v>
      </c>
      <c r="D2735" t="inlineStr">
        <is>
          <t>VÄSTERBOTTENS LÄN</t>
        </is>
      </c>
      <c r="E2735" t="inlineStr">
        <is>
          <t>SKELLEFTEÅ</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2976-2024</t>
        </is>
      </c>
      <c r="B2736" s="1" t="n">
        <v>45315</v>
      </c>
      <c r="C2736" s="1" t="n">
        <v>45760</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3045-2024</t>
        </is>
      </c>
      <c r="B2737" s="1" t="n">
        <v>45316</v>
      </c>
      <c r="C2737" s="1" t="n">
        <v>45760</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3143-2024</t>
        </is>
      </c>
      <c r="B2738" s="1" t="n">
        <v>45316</v>
      </c>
      <c r="C2738" s="1" t="n">
        <v>45760</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3142-2024</t>
        </is>
      </c>
      <c r="B2739" s="1" t="n">
        <v>45316</v>
      </c>
      <c r="C2739" s="1" t="n">
        <v>45760</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3141-2024</t>
        </is>
      </c>
      <c r="B2740" s="1" t="n">
        <v>45316</v>
      </c>
      <c r="C2740" s="1" t="n">
        <v>45760</v>
      </c>
      <c r="D2740" t="inlineStr">
        <is>
          <t>VÄSTERBOTTENS LÄN</t>
        </is>
      </c>
      <c r="E2740" t="inlineStr">
        <is>
          <t>SKELLEFTEÅ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3358-2024</t>
        </is>
      </c>
      <c r="B2741" s="1" t="n">
        <v>45317</v>
      </c>
      <c r="C2741" s="1" t="n">
        <v>45760</v>
      </c>
      <c r="D2741" t="inlineStr">
        <is>
          <t>VÄSTERBOTTENS LÄN</t>
        </is>
      </c>
      <c r="E2741" t="inlineStr">
        <is>
          <t>SKELLEFTEÅ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3445-2024</t>
        </is>
      </c>
      <c r="B2742" s="1" t="n">
        <v>45320</v>
      </c>
      <c r="C2742" s="1" t="n">
        <v>45760</v>
      </c>
      <c r="D2742" t="inlineStr">
        <is>
          <t>VÄSTERBOTTENS LÄN</t>
        </is>
      </c>
      <c r="E2742" t="inlineStr">
        <is>
          <t>SKELLEFTEÅ</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3451-2024</t>
        </is>
      </c>
      <c r="B2743" s="1" t="n">
        <v>45320</v>
      </c>
      <c r="C2743" s="1" t="n">
        <v>45760</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3465-2024</t>
        </is>
      </c>
      <c r="B2744" s="1" t="n">
        <v>45320</v>
      </c>
      <c r="C2744" s="1" t="n">
        <v>45760</v>
      </c>
      <c r="D2744" t="inlineStr">
        <is>
          <t>VÄSTERBOTTENS LÄN</t>
        </is>
      </c>
      <c r="E2744" t="inlineStr">
        <is>
          <t>SKELLEFTEÅ</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3571-2024</t>
        </is>
      </c>
      <c r="B2745" s="1" t="n">
        <v>45320</v>
      </c>
      <c r="C2745" s="1" t="n">
        <v>45760</v>
      </c>
      <c r="D2745" t="inlineStr">
        <is>
          <t>VÄSTERBOTTENS LÄN</t>
        </is>
      </c>
      <c r="E2745" t="inlineStr">
        <is>
          <t>SKELLEFTEÅ</t>
        </is>
      </c>
      <c r="F2745" t="inlineStr">
        <is>
          <t>Holmen skog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3453-2024</t>
        </is>
      </c>
      <c r="B2746" s="1" t="n">
        <v>45320</v>
      </c>
      <c r="C2746" s="1" t="n">
        <v>45760</v>
      </c>
      <c r="D2746" t="inlineStr">
        <is>
          <t>VÄSTERBOTTENS LÄN</t>
        </is>
      </c>
      <c r="E2746" t="inlineStr">
        <is>
          <t>SKELLEFTEÅ</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3458-2024</t>
        </is>
      </c>
      <c r="B2747" s="1" t="n">
        <v>45320</v>
      </c>
      <c r="C2747" s="1" t="n">
        <v>45760</v>
      </c>
      <c r="D2747" t="inlineStr">
        <is>
          <t>VÄSTERBOTTENS LÄN</t>
        </is>
      </c>
      <c r="E2747" t="inlineStr">
        <is>
          <t>SKELLEFTEÅ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3611-2024</t>
        </is>
      </c>
      <c r="B2748" s="1" t="n">
        <v>45320</v>
      </c>
      <c r="C2748" s="1" t="n">
        <v>45760</v>
      </c>
      <c r="D2748" t="inlineStr">
        <is>
          <t>VÄSTERBOTTENS LÄN</t>
        </is>
      </c>
      <c r="E2748" t="inlineStr">
        <is>
          <t>SKELLEFTEÅ</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3947-2024</t>
        </is>
      </c>
      <c r="B2749" s="1" t="n">
        <v>45322</v>
      </c>
      <c r="C2749" s="1" t="n">
        <v>45760</v>
      </c>
      <c r="D2749" t="inlineStr">
        <is>
          <t>VÄSTERBOTTENS LÄN</t>
        </is>
      </c>
      <c r="E2749" t="inlineStr">
        <is>
          <t>SKELLEFTEÅ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3983-2024</t>
        </is>
      </c>
      <c r="B2750" s="1" t="n">
        <v>45322</v>
      </c>
      <c r="C2750" s="1" t="n">
        <v>45760</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3962-2024</t>
        </is>
      </c>
      <c r="B2751" s="1" t="n">
        <v>45322</v>
      </c>
      <c r="C2751" s="1" t="n">
        <v>45760</v>
      </c>
      <c r="D2751" t="inlineStr">
        <is>
          <t>VÄSTERBOTTENS LÄN</t>
        </is>
      </c>
      <c r="E2751" t="inlineStr">
        <is>
          <t>SKELLEFTEÅ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4022-2024</t>
        </is>
      </c>
      <c r="B2752" s="1" t="n">
        <v>45323</v>
      </c>
      <c r="C2752" s="1" t="n">
        <v>45760</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4034-2024</t>
        </is>
      </c>
      <c r="B2753" s="1" t="n">
        <v>45323</v>
      </c>
      <c r="C2753" s="1" t="n">
        <v>45760</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4106-2024</t>
        </is>
      </c>
      <c r="B2754" s="1" t="n">
        <v>45323</v>
      </c>
      <c r="C2754" s="1" t="n">
        <v>45760</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4118-2024</t>
        </is>
      </c>
      <c r="B2755" s="1" t="n">
        <v>45323</v>
      </c>
      <c r="C2755" s="1" t="n">
        <v>45760</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4138-2024</t>
        </is>
      </c>
      <c r="B2756" s="1" t="n">
        <v>45323</v>
      </c>
      <c r="C2756" s="1" t="n">
        <v>45760</v>
      </c>
      <c r="D2756" t="inlineStr">
        <is>
          <t>VÄSTERBOTTENS LÄN</t>
        </is>
      </c>
      <c r="E2756" t="inlineStr">
        <is>
          <t>SKELLEFTEÅ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4008-2024</t>
        </is>
      </c>
      <c r="B2757" s="1" t="n">
        <v>45323</v>
      </c>
      <c r="C2757" s="1" t="n">
        <v>45760</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4032-2024</t>
        </is>
      </c>
      <c r="B2758" s="1" t="n">
        <v>45323</v>
      </c>
      <c r="C2758" s="1" t="n">
        <v>45760</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4019-2024</t>
        </is>
      </c>
      <c r="B2759" s="1" t="n">
        <v>45323</v>
      </c>
      <c r="C2759" s="1" t="n">
        <v>45760</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4084-2024</t>
        </is>
      </c>
      <c r="B2760" s="1" t="n">
        <v>45323</v>
      </c>
      <c r="C2760" s="1" t="n">
        <v>45760</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4124-2024</t>
        </is>
      </c>
      <c r="B2761" s="1" t="n">
        <v>45323</v>
      </c>
      <c r="C2761" s="1" t="n">
        <v>45760</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4292-2024</t>
        </is>
      </c>
      <c r="B2762" s="1" t="n">
        <v>45324</v>
      </c>
      <c r="C2762" s="1" t="n">
        <v>45760</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4617-2024</t>
        </is>
      </c>
      <c r="B2763" s="1" t="n">
        <v>45327</v>
      </c>
      <c r="C2763" s="1" t="n">
        <v>45760</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4656-2024</t>
        </is>
      </c>
      <c r="B2764" s="1" t="n">
        <v>45327</v>
      </c>
      <c r="C2764" s="1" t="n">
        <v>45760</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4777-2024</t>
        </is>
      </c>
      <c r="B2765" s="1" t="n">
        <v>45328</v>
      </c>
      <c r="C2765" s="1" t="n">
        <v>45760</v>
      </c>
      <c r="D2765" t="inlineStr">
        <is>
          <t>VÄSTERBOTTENS LÄN</t>
        </is>
      </c>
      <c r="E2765" t="inlineStr">
        <is>
          <t>SKELLEFTEÅ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4900-2024</t>
        </is>
      </c>
      <c r="B2766" s="1" t="n">
        <v>45329</v>
      </c>
      <c r="C2766" s="1" t="n">
        <v>45760</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5220-2024</t>
        </is>
      </c>
      <c r="B2767" s="1" t="n">
        <v>45330</v>
      </c>
      <c r="C2767" s="1" t="n">
        <v>45760</v>
      </c>
      <c r="D2767" t="inlineStr">
        <is>
          <t>VÄSTERBOTTENS LÄN</t>
        </is>
      </c>
      <c r="E2767" t="inlineStr">
        <is>
          <t>SKELLEFTEÅ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5236-2024</t>
        </is>
      </c>
      <c r="B2768" s="1" t="n">
        <v>45330</v>
      </c>
      <c r="C2768" s="1" t="n">
        <v>45760</v>
      </c>
      <c r="D2768" t="inlineStr">
        <is>
          <t>VÄSTERBOTTENS LÄN</t>
        </is>
      </c>
      <c r="E2768" t="inlineStr">
        <is>
          <t>SKELLEFTEÅ</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5252-2024</t>
        </is>
      </c>
      <c r="B2769" s="1" t="n">
        <v>45330</v>
      </c>
      <c r="C2769" s="1" t="n">
        <v>45760</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5239-2024</t>
        </is>
      </c>
      <c r="B2770" s="1" t="n">
        <v>45330</v>
      </c>
      <c r="C2770" s="1" t="n">
        <v>45760</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5237-2024</t>
        </is>
      </c>
      <c r="B2771" s="1" t="n">
        <v>45330</v>
      </c>
      <c r="C2771" s="1" t="n">
        <v>45760</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5603-2024</t>
        </is>
      </c>
      <c r="B2772" s="1" t="n">
        <v>45334</v>
      </c>
      <c r="C2772" s="1" t="n">
        <v>45760</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5636-2024</t>
        </is>
      </c>
      <c r="B2773" s="1" t="n">
        <v>45334</v>
      </c>
      <c r="C2773" s="1" t="n">
        <v>45760</v>
      </c>
      <c r="D2773" t="inlineStr">
        <is>
          <t>VÄSTERBOTTENS LÄN</t>
        </is>
      </c>
      <c r="E2773" t="inlineStr">
        <is>
          <t>SKELLEFTEÅ</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5660-2024</t>
        </is>
      </c>
      <c r="B2774" s="1" t="n">
        <v>45334</v>
      </c>
      <c r="C2774" s="1" t="n">
        <v>45760</v>
      </c>
      <c r="D2774" t="inlineStr">
        <is>
          <t>VÄSTERBOTTENS LÄN</t>
        </is>
      </c>
      <c r="E2774" t="inlineStr">
        <is>
          <t>SKELLEFTEÅ</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5639-2024</t>
        </is>
      </c>
      <c r="B2775" s="1" t="n">
        <v>45334</v>
      </c>
      <c r="C2775" s="1" t="n">
        <v>45760</v>
      </c>
      <c r="D2775" t="inlineStr">
        <is>
          <t>VÄSTERBOTTENS LÄN</t>
        </is>
      </c>
      <c r="E2775" t="inlineStr">
        <is>
          <t>SKELLEFTEÅ</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5596-2024</t>
        </is>
      </c>
      <c r="B2776" s="1" t="n">
        <v>45334</v>
      </c>
      <c r="C2776" s="1" t="n">
        <v>45760</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6018-2024</t>
        </is>
      </c>
      <c r="B2777" s="1" t="n">
        <v>45336</v>
      </c>
      <c r="C2777" s="1" t="n">
        <v>45760</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6078-2024</t>
        </is>
      </c>
      <c r="B2778" s="1" t="n">
        <v>45336</v>
      </c>
      <c r="C2778" s="1" t="n">
        <v>45760</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6244-2024</t>
        </is>
      </c>
      <c r="B2779" s="1" t="n">
        <v>45337</v>
      </c>
      <c r="C2779" s="1" t="n">
        <v>45760</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6398-2024</t>
        </is>
      </c>
      <c r="B2780" s="1" t="n">
        <v>45338</v>
      </c>
      <c r="C2780" s="1" t="n">
        <v>45760</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6420-2024</t>
        </is>
      </c>
      <c r="B2781" s="1" t="n">
        <v>45338</v>
      </c>
      <c r="C2781" s="1" t="n">
        <v>45760</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6428-2024</t>
        </is>
      </c>
      <c r="B2782" s="1" t="n">
        <v>45338</v>
      </c>
      <c r="C2782" s="1" t="n">
        <v>45760</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6422-2024</t>
        </is>
      </c>
      <c r="B2783" s="1" t="n">
        <v>45338</v>
      </c>
      <c r="C2783" s="1" t="n">
        <v>45760</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6448-2024</t>
        </is>
      </c>
      <c r="B2784" s="1" t="n">
        <v>45338</v>
      </c>
      <c r="C2784" s="1" t="n">
        <v>45760</v>
      </c>
      <c r="D2784" t="inlineStr">
        <is>
          <t>VÄSTERBOTTENS LÄN</t>
        </is>
      </c>
      <c r="E2784" t="inlineStr">
        <is>
          <t>SKELLEFTEÅ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6435-2024</t>
        </is>
      </c>
      <c r="B2785" s="1" t="n">
        <v>45338</v>
      </c>
      <c r="C2785" s="1" t="n">
        <v>45760</v>
      </c>
      <c r="D2785" t="inlineStr">
        <is>
          <t>VÄSTERBOTTENS LÄN</t>
        </is>
      </c>
      <c r="E2785" t="inlineStr">
        <is>
          <t>SKELLEFTEÅ</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6710-2024</t>
        </is>
      </c>
      <c r="B2786" s="1" t="n">
        <v>45341</v>
      </c>
      <c r="C2786" s="1" t="n">
        <v>45760</v>
      </c>
      <c r="D2786" t="inlineStr">
        <is>
          <t>VÄSTERBOTTENS LÄN</t>
        </is>
      </c>
      <c r="E2786" t="inlineStr">
        <is>
          <t>SKELLEFTEÅ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6723-2024</t>
        </is>
      </c>
      <c r="B2787" s="1" t="n">
        <v>45342</v>
      </c>
      <c r="C2787" s="1" t="n">
        <v>45760</v>
      </c>
      <c r="D2787" t="inlineStr">
        <is>
          <t>VÄSTERBOTTENS LÄN</t>
        </is>
      </c>
      <c r="E2787" t="inlineStr">
        <is>
          <t>SKELLEFTEÅ</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6720-2024</t>
        </is>
      </c>
      <c r="B2788" s="1" t="n">
        <v>45342</v>
      </c>
      <c r="C2788" s="1" t="n">
        <v>45760</v>
      </c>
      <c r="D2788" t="inlineStr">
        <is>
          <t>VÄSTERBOTTENS LÄN</t>
        </is>
      </c>
      <c r="E2788" t="inlineStr">
        <is>
          <t>SKELLEFTEÅ</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6704-2024</t>
        </is>
      </c>
      <c r="B2789" s="1" t="n">
        <v>45342</v>
      </c>
      <c r="C2789" s="1" t="n">
        <v>45760</v>
      </c>
      <c r="D2789" t="inlineStr">
        <is>
          <t>VÄSTERBOTTENS LÄN</t>
        </is>
      </c>
      <c r="E2789" t="inlineStr">
        <is>
          <t>SKELLEFTEÅ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6931-2024</t>
        </is>
      </c>
      <c r="B2790" s="1" t="n">
        <v>45343</v>
      </c>
      <c r="C2790" s="1" t="n">
        <v>45760</v>
      </c>
      <c r="D2790" t="inlineStr">
        <is>
          <t>VÄSTERBOTTENS LÄN</t>
        </is>
      </c>
      <c r="E2790" t="inlineStr">
        <is>
          <t>SKELLEFTEÅ</t>
        </is>
      </c>
      <c r="F2790" t="inlineStr">
        <is>
          <t>Holmen skog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7225-2024</t>
        </is>
      </c>
      <c r="B2791" s="1" t="n">
        <v>45344</v>
      </c>
      <c r="C2791" s="1" t="n">
        <v>45760</v>
      </c>
      <c r="D2791" t="inlineStr">
        <is>
          <t>VÄSTERBOTTENS LÄN</t>
        </is>
      </c>
      <c r="E2791" t="inlineStr">
        <is>
          <t>SKELLEFTEÅ</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7255-2024</t>
        </is>
      </c>
      <c r="B2792" s="1" t="n">
        <v>45344</v>
      </c>
      <c r="C2792" s="1" t="n">
        <v>45760</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7256-2024</t>
        </is>
      </c>
      <c r="B2793" s="1" t="n">
        <v>45344</v>
      </c>
      <c r="C2793" s="1" t="n">
        <v>45760</v>
      </c>
      <c r="D2793" t="inlineStr">
        <is>
          <t>VÄSTERBOTTENS LÄN</t>
        </is>
      </c>
      <c r="E2793" t="inlineStr">
        <is>
          <t>SKELLEFTEÅ</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7668-2024</t>
        </is>
      </c>
      <c r="B2794" s="1" t="n">
        <v>45348</v>
      </c>
      <c r="C2794" s="1" t="n">
        <v>45760</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7742-2024</t>
        </is>
      </c>
      <c r="B2795" s="1" t="n">
        <v>45348</v>
      </c>
      <c r="C2795" s="1" t="n">
        <v>45760</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7767-2024</t>
        </is>
      </c>
      <c r="B2796" s="1" t="n">
        <v>45348</v>
      </c>
      <c r="C2796" s="1" t="n">
        <v>45760</v>
      </c>
      <c r="D2796" t="inlineStr">
        <is>
          <t>VÄSTERBOTTENS LÄN</t>
        </is>
      </c>
      <c r="E2796" t="inlineStr">
        <is>
          <t>SKELLEFTEÅ</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7766-2024</t>
        </is>
      </c>
      <c r="B2797" s="1" t="n">
        <v>45348</v>
      </c>
      <c r="C2797" s="1" t="n">
        <v>45760</v>
      </c>
      <c r="D2797" t="inlineStr">
        <is>
          <t>VÄSTERBOTTENS LÄN</t>
        </is>
      </c>
      <c r="E2797" t="inlineStr">
        <is>
          <t>SKELLEFTEÅ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7745-2024</t>
        </is>
      </c>
      <c r="B2798" s="1" t="n">
        <v>45348</v>
      </c>
      <c r="C2798" s="1" t="n">
        <v>45760</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7800-2024</t>
        </is>
      </c>
      <c r="B2799" s="1" t="n">
        <v>45348</v>
      </c>
      <c r="C2799" s="1" t="n">
        <v>45760</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7832-2024</t>
        </is>
      </c>
      <c r="B2800" s="1" t="n">
        <v>45349</v>
      </c>
      <c r="C2800" s="1" t="n">
        <v>45760</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7872-2024</t>
        </is>
      </c>
      <c r="B2801" s="1" t="n">
        <v>45349</v>
      </c>
      <c r="C2801" s="1" t="n">
        <v>45760</v>
      </c>
      <c r="D2801" t="inlineStr">
        <is>
          <t>VÄSTERBOTTENS LÄN</t>
        </is>
      </c>
      <c r="E2801" t="inlineStr">
        <is>
          <t>SKELLEFTEÅ</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7831-2024</t>
        </is>
      </c>
      <c r="B2802" s="1" t="n">
        <v>45349</v>
      </c>
      <c r="C2802" s="1" t="n">
        <v>45760</v>
      </c>
      <c r="D2802" t="inlineStr">
        <is>
          <t>VÄSTERBOTTENS LÄN</t>
        </is>
      </c>
      <c r="E2802" t="inlineStr">
        <is>
          <t>SKELLEFTEÅ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7884-2024</t>
        </is>
      </c>
      <c r="B2803" s="1" t="n">
        <v>45349</v>
      </c>
      <c r="C2803" s="1" t="n">
        <v>45760</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7943-2024</t>
        </is>
      </c>
      <c r="B2804" s="1" t="n">
        <v>45350</v>
      </c>
      <c r="C2804" s="1" t="n">
        <v>45760</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8532-2024</t>
        </is>
      </c>
      <c r="B2805" s="1" t="n">
        <v>45351</v>
      </c>
      <c r="C2805" s="1" t="n">
        <v>45760</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8341-2024</t>
        </is>
      </c>
      <c r="B2806" s="1" t="n">
        <v>45351</v>
      </c>
      <c r="C2806" s="1" t="n">
        <v>45760</v>
      </c>
      <c r="D2806" t="inlineStr">
        <is>
          <t>VÄSTERBOTTENS LÄN</t>
        </is>
      </c>
      <c r="E2806" t="inlineStr">
        <is>
          <t>SKELLEFTEÅ</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8569-2024</t>
        </is>
      </c>
      <c r="B2807" s="1" t="n">
        <v>45351</v>
      </c>
      <c r="C2807" s="1" t="n">
        <v>45760</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8566-2024</t>
        </is>
      </c>
      <c r="B2808" s="1" t="n">
        <v>45355</v>
      </c>
      <c r="C2808" s="1" t="n">
        <v>45760</v>
      </c>
      <c r="D2808" t="inlineStr">
        <is>
          <t>VÄSTERBOTTENS LÄN</t>
        </is>
      </c>
      <c r="E2808" t="inlineStr">
        <is>
          <t>SKELLEFTEÅ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8920-2024</t>
        </is>
      </c>
      <c r="B2809" s="1" t="n">
        <v>45357</v>
      </c>
      <c r="C2809" s="1" t="n">
        <v>45760</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8927-2024</t>
        </is>
      </c>
      <c r="B2810" s="1" t="n">
        <v>45357</v>
      </c>
      <c r="C2810" s="1" t="n">
        <v>45760</v>
      </c>
      <c r="D2810" t="inlineStr">
        <is>
          <t>VÄSTERBOTTENS LÄN</t>
        </is>
      </c>
      <c r="E2810" t="inlineStr">
        <is>
          <t>SKELLEFTEÅ</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8924-2024</t>
        </is>
      </c>
      <c r="B2811" s="1" t="n">
        <v>45357</v>
      </c>
      <c r="C2811" s="1" t="n">
        <v>45760</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8928-2024</t>
        </is>
      </c>
      <c r="B2812" s="1" t="n">
        <v>45357</v>
      </c>
      <c r="C2812" s="1" t="n">
        <v>45760</v>
      </c>
      <c r="D2812" t="inlineStr">
        <is>
          <t>VÄSTERBOTTENS LÄN</t>
        </is>
      </c>
      <c r="E2812" t="inlineStr">
        <is>
          <t>SKELLEFTEÅ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8932-2024</t>
        </is>
      </c>
      <c r="B2813" s="1" t="n">
        <v>45357</v>
      </c>
      <c r="C2813" s="1" t="n">
        <v>45760</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8919-2024</t>
        </is>
      </c>
      <c r="B2814" s="1" t="n">
        <v>45357</v>
      </c>
      <c r="C2814" s="1" t="n">
        <v>45760</v>
      </c>
      <c r="D2814" t="inlineStr">
        <is>
          <t>VÄSTERBOTTENS LÄN</t>
        </is>
      </c>
      <c r="E2814" t="inlineStr">
        <is>
          <t>SKELLEFTEÅ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9233-2024</t>
        </is>
      </c>
      <c r="B2815" s="1" t="n">
        <v>45358</v>
      </c>
      <c r="C2815" s="1" t="n">
        <v>45760</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9228-2024</t>
        </is>
      </c>
      <c r="B2816" s="1" t="n">
        <v>45358</v>
      </c>
      <c r="C2816" s="1" t="n">
        <v>45760</v>
      </c>
      <c r="D2816" t="inlineStr">
        <is>
          <t>VÄSTERBOTTENS LÄN</t>
        </is>
      </c>
      <c r="E2816" t="inlineStr">
        <is>
          <t>SKELLEFTEÅ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9207-2024</t>
        </is>
      </c>
      <c r="B2817" s="1" t="n">
        <v>45358</v>
      </c>
      <c r="C2817" s="1" t="n">
        <v>45760</v>
      </c>
      <c r="D2817" t="inlineStr">
        <is>
          <t>VÄSTERBOTTENS LÄN</t>
        </is>
      </c>
      <c r="E2817" t="inlineStr">
        <is>
          <t>SKELLEFTEÅ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9466-2024</t>
        </is>
      </c>
      <c r="B2818" s="1" t="n">
        <v>45359</v>
      </c>
      <c r="C2818" s="1" t="n">
        <v>45760</v>
      </c>
      <c r="D2818" t="inlineStr">
        <is>
          <t>VÄSTERBOTTENS LÄN</t>
        </is>
      </c>
      <c r="E2818" t="inlineStr">
        <is>
          <t>SKELLEFTEÅ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9364-2024</t>
        </is>
      </c>
      <c r="B2819" s="1" t="n">
        <v>45359</v>
      </c>
      <c r="C2819" s="1" t="n">
        <v>45760</v>
      </c>
      <c r="D2819" t="inlineStr">
        <is>
          <t>VÄSTERBOTTENS LÄN</t>
        </is>
      </c>
      <c r="E2819" t="inlineStr">
        <is>
          <t>SKELLEFTEÅ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9425-2024</t>
        </is>
      </c>
      <c r="B2820" s="1" t="n">
        <v>45359</v>
      </c>
      <c r="C2820" s="1" t="n">
        <v>45760</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9465-2024</t>
        </is>
      </c>
      <c r="B2821" s="1" t="n">
        <v>45359</v>
      </c>
      <c r="C2821" s="1" t="n">
        <v>45760</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9470-2024</t>
        </is>
      </c>
      <c r="B2822" s="1" t="n">
        <v>45359</v>
      </c>
      <c r="C2822" s="1" t="n">
        <v>45760</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9717-2024</t>
        </is>
      </c>
      <c r="B2823" s="1" t="n">
        <v>45362</v>
      </c>
      <c r="C2823" s="1" t="n">
        <v>45760</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9711-2024</t>
        </is>
      </c>
      <c r="B2824" s="1" t="n">
        <v>45362</v>
      </c>
      <c r="C2824" s="1" t="n">
        <v>45760</v>
      </c>
      <c r="D2824" t="inlineStr">
        <is>
          <t>VÄSTERBOTTENS LÄN</t>
        </is>
      </c>
      <c r="E2824" t="inlineStr">
        <is>
          <t>SKELLEFTEÅ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9807-2024</t>
        </is>
      </c>
      <c r="B2825" s="1" t="n">
        <v>45362</v>
      </c>
      <c r="C2825" s="1" t="n">
        <v>45760</v>
      </c>
      <c r="D2825" t="inlineStr">
        <is>
          <t>VÄSTERBOTTENS LÄN</t>
        </is>
      </c>
      <c r="E2825" t="inlineStr">
        <is>
          <t>SKELLEFTEÅ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9897-2024</t>
        </is>
      </c>
      <c r="B2826" s="1" t="n">
        <v>45363</v>
      </c>
      <c r="C2826" s="1" t="n">
        <v>45760</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9983-2024</t>
        </is>
      </c>
      <c r="B2827" s="1" t="n">
        <v>45363</v>
      </c>
      <c r="C2827" s="1" t="n">
        <v>45760</v>
      </c>
      <c r="D2827" t="inlineStr">
        <is>
          <t>VÄSTERBOTTENS LÄN</t>
        </is>
      </c>
      <c r="E2827" t="inlineStr">
        <is>
          <t>SKELLEFTEÅ</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10340-2024</t>
        </is>
      </c>
      <c r="B2828" s="1" t="n">
        <v>45365</v>
      </c>
      <c r="C2828" s="1" t="n">
        <v>45760</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10250-2024</t>
        </is>
      </c>
      <c r="B2829" s="1" t="n">
        <v>45365</v>
      </c>
      <c r="C2829" s="1" t="n">
        <v>45760</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10343-2024</t>
        </is>
      </c>
      <c r="B2830" s="1" t="n">
        <v>45365</v>
      </c>
      <c r="C2830" s="1" t="n">
        <v>45760</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10604-2024</t>
        </is>
      </c>
      <c r="B2831" s="1" t="n">
        <v>45366</v>
      </c>
      <c r="C2831" s="1" t="n">
        <v>45760</v>
      </c>
      <c r="D2831" t="inlineStr">
        <is>
          <t>VÄSTERBOTTENS LÄN</t>
        </is>
      </c>
      <c r="E2831" t="inlineStr">
        <is>
          <t>SKELLEFTEÅ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10655-2024</t>
        </is>
      </c>
      <c r="B2832" s="1" t="n">
        <v>45368</v>
      </c>
      <c r="C2832" s="1" t="n">
        <v>45760</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10719-2024</t>
        </is>
      </c>
      <c r="B2833" s="1" t="n">
        <v>45369</v>
      </c>
      <c r="C2833" s="1" t="n">
        <v>45760</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10825-2024</t>
        </is>
      </c>
      <c r="B2834" s="1" t="n">
        <v>45369</v>
      </c>
      <c r="C2834" s="1" t="n">
        <v>45760</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10693-2024</t>
        </is>
      </c>
      <c r="B2835" s="1" t="n">
        <v>45369</v>
      </c>
      <c r="C2835" s="1" t="n">
        <v>45760</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10659-2024</t>
        </is>
      </c>
      <c r="B2836" s="1" t="n">
        <v>45369</v>
      </c>
      <c r="C2836" s="1" t="n">
        <v>45760</v>
      </c>
      <c r="D2836" t="inlineStr">
        <is>
          <t>VÄSTERBOTTENS LÄN</t>
        </is>
      </c>
      <c r="E2836" t="inlineStr">
        <is>
          <t>SKELLEFTEÅ</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10879-2024</t>
        </is>
      </c>
      <c r="B2837" s="1" t="n">
        <v>45370</v>
      </c>
      <c r="C2837" s="1" t="n">
        <v>45760</v>
      </c>
      <c r="D2837" t="inlineStr">
        <is>
          <t>VÄSTERBOTTENS LÄN</t>
        </is>
      </c>
      <c r="E2837" t="inlineStr">
        <is>
          <t>SKELLEFTEÅ</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10883-2024</t>
        </is>
      </c>
      <c r="B2838" s="1" t="n">
        <v>45370</v>
      </c>
      <c r="C2838" s="1" t="n">
        <v>45760</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10893-2024</t>
        </is>
      </c>
      <c r="B2839" s="1" t="n">
        <v>45370</v>
      </c>
      <c r="C2839" s="1" t="n">
        <v>45760</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10886-2024</t>
        </is>
      </c>
      <c r="B2840" s="1" t="n">
        <v>45370</v>
      </c>
      <c r="C2840" s="1" t="n">
        <v>45760</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10892-2024</t>
        </is>
      </c>
      <c r="B2841" s="1" t="n">
        <v>45370</v>
      </c>
      <c r="C2841" s="1" t="n">
        <v>45760</v>
      </c>
      <c r="D2841" t="inlineStr">
        <is>
          <t>VÄSTERBOTTENS LÄN</t>
        </is>
      </c>
      <c r="E2841" t="inlineStr">
        <is>
          <t>SKELLEFTEÅ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10900-2024</t>
        </is>
      </c>
      <c r="B2842" s="1" t="n">
        <v>45370</v>
      </c>
      <c r="C2842" s="1" t="n">
        <v>45760</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11027-2024</t>
        </is>
      </c>
      <c r="B2843" s="1" t="n">
        <v>45370</v>
      </c>
      <c r="C2843" s="1" t="n">
        <v>45760</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11025-2024</t>
        </is>
      </c>
      <c r="B2844" s="1" t="n">
        <v>45370</v>
      </c>
      <c r="C2844" s="1" t="n">
        <v>45760</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11082-2024</t>
        </is>
      </c>
      <c r="B2845" s="1" t="n">
        <v>45370</v>
      </c>
      <c r="C2845" s="1" t="n">
        <v>45760</v>
      </c>
      <c r="D2845" t="inlineStr">
        <is>
          <t>VÄSTERBOTTENS LÄN</t>
        </is>
      </c>
      <c r="E2845" t="inlineStr">
        <is>
          <t>SKELLEFTEÅ</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11078-2024</t>
        </is>
      </c>
      <c r="B2846" s="1" t="n">
        <v>45370</v>
      </c>
      <c r="C2846" s="1" t="n">
        <v>45760</v>
      </c>
      <c r="D2846" t="inlineStr">
        <is>
          <t>VÄSTERBOTTENS LÄN</t>
        </is>
      </c>
      <c r="E2846" t="inlineStr">
        <is>
          <t>SKELLEFTEÅ</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10911-2024</t>
        </is>
      </c>
      <c r="B2847" s="1" t="n">
        <v>45370</v>
      </c>
      <c r="C2847" s="1" t="n">
        <v>45760</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11079-2024</t>
        </is>
      </c>
      <c r="B2848" s="1" t="n">
        <v>45370</v>
      </c>
      <c r="C2848" s="1" t="n">
        <v>45760</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11081-2024</t>
        </is>
      </c>
      <c r="B2849" s="1" t="n">
        <v>45370</v>
      </c>
      <c r="C2849" s="1" t="n">
        <v>45760</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11076-2024</t>
        </is>
      </c>
      <c r="B2850" s="1" t="n">
        <v>45370</v>
      </c>
      <c r="C2850" s="1" t="n">
        <v>45760</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11077-2024</t>
        </is>
      </c>
      <c r="B2851" s="1" t="n">
        <v>45370</v>
      </c>
      <c r="C2851" s="1" t="n">
        <v>45760</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11130-2024</t>
        </is>
      </c>
      <c r="B2852" s="1" t="n">
        <v>45371</v>
      </c>
      <c r="C2852" s="1" t="n">
        <v>45760</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11313-2024</t>
        </is>
      </c>
      <c r="B2853" s="1" t="n">
        <v>45371</v>
      </c>
      <c r="C2853" s="1" t="n">
        <v>45760</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11490-2024</t>
        </is>
      </c>
      <c r="B2854" s="1" t="n">
        <v>45372</v>
      </c>
      <c r="C2854" s="1" t="n">
        <v>45760</v>
      </c>
      <c r="D2854" t="inlineStr">
        <is>
          <t>VÄSTERBOTTENS LÄN</t>
        </is>
      </c>
      <c r="E2854" t="inlineStr">
        <is>
          <t>SKELLEFTEÅ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11527-2024</t>
        </is>
      </c>
      <c r="B2855" s="1" t="n">
        <v>45372</v>
      </c>
      <c r="C2855" s="1" t="n">
        <v>45760</v>
      </c>
      <c r="D2855" t="inlineStr">
        <is>
          <t>VÄSTERBOTTENS LÄN</t>
        </is>
      </c>
      <c r="E2855" t="inlineStr">
        <is>
          <t>SKELLEFTEÅ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11528-2024</t>
        </is>
      </c>
      <c r="B2856" s="1" t="n">
        <v>45372</v>
      </c>
      <c r="C2856" s="1" t="n">
        <v>45760</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11526-2024</t>
        </is>
      </c>
      <c r="B2857" s="1" t="n">
        <v>45372</v>
      </c>
      <c r="C2857" s="1" t="n">
        <v>45760</v>
      </c>
      <c r="D2857" t="inlineStr">
        <is>
          <t>VÄSTERBOTTENS LÄN</t>
        </is>
      </c>
      <c r="E2857" t="inlineStr">
        <is>
          <t>SKELLEFTEÅ</t>
        </is>
      </c>
      <c r="G2857" t="n">
        <v>21.4</v>
      </c>
      <c r="H2857" t="n">
        <v>0</v>
      </c>
      <c r="I2857" t="n">
        <v>0</v>
      </c>
      <c r="J2857" t="n">
        <v>0</v>
      </c>
      <c r="K2857" t="n">
        <v>0</v>
      </c>
      <c r="L2857" t="n">
        <v>0</v>
      </c>
      <c r="M2857" t="n">
        <v>0</v>
      </c>
      <c r="N2857" t="n">
        <v>0</v>
      </c>
      <c r="O2857" t="n">
        <v>0</v>
      </c>
      <c r="P2857" t="n">
        <v>0</v>
      </c>
      <c r="Q2857" t="n">
        <v>0</v>
      </c>
      <c r="R2857" s="2" t="inlineStr"/>
    </row>
    <row r="2858" ht="15" customHeight="1">
      <c r="A2858" t="inlineStr">
        <is>
          <t>A 11525-2024</t>
        </is>
      </c>
      <c r="B2858" s="1" t="n">
        <v>45372</v>
      </c>
      <c r="C2858" s="1" t="n">
        <v>45760</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11529-2024</t>
        </is>
      </c>
      <c r="B2859" s="1" t="n">
        <v>45372</v>
      </c>
      <c r="C2859" s="1" t="n">
        <v>45760</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11875-2024</t>
        </is>
      </c>
      <c r="B2860" s="1" t="n">
        <v>45376</v>
      </c>
      <c r="C2860" s="1" t="n">
        <v>45760</v>
      </c>
      <c r="D2860" t="inlineStr">
        <is>
          <t>VÄSTERBOTTENS LÄN</t>
        </is>
      </c>
      <c r="E2860" t="inlineStr">
        <is>
          <t>SKELLEFTEÅ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12073-2024</t>
        </is>
      </c>
      <c r="B2861" s="1" t="n">
        <v>45376</v>
      </c>
      <c r="C2861" s="1" t="n">
        <v>45760</v>
      </c>
      <c r="D2861" t="inlineStr">
        <is>
          <t>VÄSTERBOTTENS LÄN</t>
        </is>
      </c>
      <c r="E2861" t="inlineStr">
        <is>
          <t>SKELLEFTEÅ</t>
        </is>
      </c>
      <c r="G2861" t="n">
        <v>41.5</v>
      </c>
      <c r="H2861" t="n">
        <v>0</v>
      </c>
      <c r="I2861" t="n">
        <v>0</v>
      </c>
      <c r="J2861" t="n">
        <v>0</v>
      </c>
      <c r="K2861" t="n">
        <v>0</v>
      </c>
      <c r="L2861" t="n">
        <v>0</v>
      </c>
      <c r="M2861" t="n">
        <v>0</v>
      </c>
      <c r="N2861" t="n">
        <v>0</v>
      </c>
      <c r="O2861" t="n">
        <v>0</v>
      </c>
      <c r="P2861" t="n">
        <v>0</v>
      </c>
      <c r="Q2861" t="n">
        <v>0</v>
      </c>
      <c r="R2861" s="2" t="inlineStr"/>
    </row>
    <row r="2862" ht="15" customHeight="1">
      <c r="A2862" t="inlineStr">
        <is>
          <t>A 12112-2024</t>
        </is>
      </c>
      <c r="B2862" s="1" t="n">
        <v>45376</v>
      </c>
      <c r="C2862" s="1" t="n">
        <v>45760</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12007-2024</t>
        </is>
      </c>
      <c r="B2863" s="1" t="n">
        <v>45377</v>
      </c>
      <c r="C2863" s="1" t="n">
        <v>45760</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12045-2024</t>
        </is>
      </c>
      <c r="B2864" s="1" t="n">
        <v>45377</v>
      </c>
      <c r="C2864" s="1" t="n">
        <v>45760</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12004-2024</t>
        </is>
      </c>
      <c r="B2865" s="1" t="n">
        <v>45377</v>
      </c>
      <c r="C2865" s="1" t="n">
        <v>45760</v>
      </c>
      <c r="D2865" t="inlineStr">
        <is>
          <t>VÄSTERBOTTENS LÄN</t>
        </is>
      </c>
      <c r="E2865" t="inlineStr">
        <is>
          <t>SKELLEFTEÅ</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12537-2024</t>
        </is>
      </c>
      <c r="B2866" s="1" t="n">
        <v>45379</v>
      </c>
      <c r="C2866" s="1" t="n">
        <v>45760</v>
      </c>
      <c r="D2866" t="inlineStr">
        <is>
          <t>VÄSTERBOTTENS LÄN</t>
        </is>
      </c>
      <c r="E2866" t="inlineStr">
        <is>
          <t>SKELLEFTEÅ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12515-2024</t>
        </is>
      </c>
      <c r="B2867" s="1" t="n">
        <v>45379</v>
      </c>
      <c r="C2867" s="1" t="n">
        <v>45760</v>
      </c>
      <c r="D2867" t="inlineStr">
        <is>
          <t>VÄSTERBOTTENS LÄN</t>
        </is>
      </c>
      <c r="E2867" t="inlineStr">
        <is>
          <t>SKELLEFTEÅ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12763-2024</t>
        </is>
      </c>
      <c r="B2868" s="1" t="n">
        <v>45384</v>
      </c>
      <c r="C2868" s="1" t="n">
        <v>45760</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12771-2024</t>
        </is>
      </c>
      <c r="B2869" s="1" t="n">
        <v>45384</v>
      </c>
      <c r="C2869" s="1" t="n">
        <v>45760</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12804-2024</t>
        </is>
      </c>
      <c r="B2870" s="1" t="n">
        <v>45384</v>
      </c>
      <c r="C2870" s="1" t="n">
        <v>45760</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12798-2024</t>
        </is>
      </c>
      <c r="B2871" s="1" t="n">
        <v>45384</v>
      </c>
      <c r="C2871" s="1" t="n">
        <v>45760</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12759-2024</t>
        </is>
      </c>
      <c r="B2872" s="1" t="n">
        <v>45384</v>
      </c>
      <c r="C2872" s="1" t="n">
        <v>45760</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12772-2024</t>
        </is>
      </c>
      <c r="B2873" s="1" t="n">
        <v>45384</v>
      </c>
      <c r="C2873" s="1" t="n">
        <v>45760</v>
      </c>
      <c r="D2873" t="inlineStr">
        <is>
          <t>VÄSTERBOTTENS LÄN</t>
        </is>
      </c>
      <c r="E2873" t="inlineStr">
        <is>
          <t>SKELLEFTEÅ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12801-2024</t>
        </is>
      </c>
      <c r="B2874" s="1" t="n">
        <v>45384</v>
      </c>
      <c r="C2874" s="1" t="n">
        <v>45760</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13270-2024</t>
        </is>
      </c>
      <c r="B2875" s="1" t="n">
        <v>45386</v>
      </c>
      <c r="C2875" s="1" t="n">
        <v>45760</v>
      </c>
      <c r="D2875" t="inlineStr">
        <is>
          <t>VÄSTERBOTTENS LÄN</t>
        </is>
      </c>
      <c r="E2875" t="inlineStr">
        <is>
          <t>SKELLEFTEÅ</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13267-2024</t>
        </is>
      </c>
      <c r="B2876" s="1" t="n">
        <v>45386</v>
      </c>
      <c r="C2876" s="1" t="n">
        <v>45760</v>
      </c>
      <c r="D2876" t="inlineStr">
        <is>
          <t>VÄSTERBOTTENS LÄN</t>
        </is>
      </c>
      <c r="E2876" t="inlineStr">
        <is>
          <t>SKELLEFTEÅ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13257-2024</t>
        </is>
      </c>
      <c r="B2877" s="1" t="n">
        <v>45386</v>
      </c>
      <c r="C2877" s="1" t="n">
        <v>45760</v>
      </c>
      <c r="D2877" t="inlineStr">
        <is>
          <t>VÄSTERBOTTENS LÄN</t>
        </is>
      </c>
      <c r="E2877" t="inlineStr">
        <is>
          <t>SKELLEFTEÅ</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13298-2024</t>
        </is>
      </c>
      <c r="B2878" s="1" t="n">
        <v>45386</v>
      </c>
      <c r="C2878" s="1" t="n">
        <v>45760</v>
      </c>
      <c r="D2878" t="inlineStr">
        <is>
          <t>VÄSTERBOTTENS LÄN</t>
        </is>
      </c>
      <c r="E2878" t="inlineStr">
        <is>
          <t>SKELLEFTEÅ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13330-2024</t>
        </is>
      </c>
      <c r="B2879" s="1" t="n">
        <v>45386</v>
      </c>
      <c r="C2879" s="1" t="n">
        <v>45760</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13920-2024</t>
        </is>
      </c>
      <c r="B2880" s="1" t="n">
        <v>45391</v>
      </c>
      <c r="C2880" s="1" t="n">
        <v>45760</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14227-2024</t>
        </is>
      </c>
      <c r="B2881" s="1" t="n">
        <v>45393</v>
      </c>
      <c r="C2881" s="1" t="n">
        <v>45760</v>
      </c>
      <c r="D2881" t="inlineStr">
        <is>
          <t>VÄSTERBOTTENS LÄN</t>
        </is>
      </c>
      <c r="E2881" t="inlineStr">
        <is>
          <t>SKELLEFTEÅ</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14232-2024</t>
        </is>
      </c>
      <c r="B2882" s="1" t="n">
        <v>45393</v>
      </c>
      <c r="C2882" s="1" t="n">
        <v>45760</v>
      </c>
      <c r="D2882" t="inlineStr">
        <is>
          <t>VÄSTERBOTTENS LÄN</t>
        </is>
      </c>
      <c r="E2882" t="inlineStr">
        <is>
          <t>SKELLEFTEÅ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14342-2024</t>
        </is>
      </c>
      <c r="B2883" s="1" t="n">
        <v>45393</v>
      </c>
      <c r="C2883" s="1" t="n">
        <v>45760</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14653-2024</t>
        </is>
      </c>
      <c r="B2884" s="1" t="n">
        <v>45397</v>
      </c>
      <c r="C2884" s="1" t="n">
        <v>45760</v>
      </c>
      <c r="D2884" t="inlineStr">
        <is>
          <t>VÄSTERBOTTENS LÄN</t>
        </is>
      </c>
      <c r="E2884" t="inlineStr">
        <is>
          <t>SKELLEFTEÅ</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14663-2024</t>
        </is>
      </c>
      <c r="B2885" s="1" t="n">
        <v>45397</v>
      </c>
      <c r="C2885" s="1" t="n">
        <v>45760</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14650-2024</t>
        </is>
      </c>
      <c r="B2886" s="1" t="n">
        <v>45397</v>
      </c>
      <c r="C2886" s="1" t="n">
        <v>45760</v>
      </c>
      <c r="D2886" t="inlineStr">
        <is>
          <t>VÄSTERBOTTENS LÄN</t>
        </is>
      </c>
      <c r="E2886" t="inlineStr">
        <is>
          <t>SKELLEFTEÅ</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14962-2024</t>
        </is>
      </c>
      <c r="B2887" s="1" t="n">
        <v>45399</v>
      </c>
      <c r="C2887" s="1" t="n">
        <v>45760</v>
      </c>
      <c r="D2887" t="inlineStr">
        <is>
          <t>VÄSTERBOTTENS LÄN</t>
        </is>
      </c>
      <c r="E2887" t="inlineStr">
        <is>
          <t>SKELLEFTEÅ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14963-2024</t>
        </is>
      </c>
      <c r="B2888" s="1" t="n">
        <v>45398</v>
      </c>
      <c r="C2888" s="1" t="n">
        <v>45760</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15137-2024</t>
        </is>
      </c>
      <c r="B2889" s="1" t="n">
        <v>45399</v>
      </c>
      <c r="C2889" s="1" t="n">
        <v>45760</v>
      </c>
      <c r="D2889" t="inlineStr">
        <is>
          <t>VÄSTERBOTTENS LÄN</t>
        </is>
      </c>
      <c r="E2889" t="inlineStr">
        <is>
          <t>SKELLEFTEÅ</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15136-2024</t>
        </is>
      </c>
      <c r="B2890" s="1" t="n">
        <v>45399</v>
      </c>
      <c r="C2890" s="1" t="n">
        <v>45760</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15424-2024</t>
        </is>
      </c>
      <c r="B2891" s="1" t="n">
        <v>45400</v>
      </c>
      <c r="C2891" s="1" t="n">
        <v>45760</v>
      </c>
      <c r="D2891" t="inlineStr">
        <is>
          <t>VÄSTERBOTTENS LÄN</t>
        </is>
      </c>
      <c r="E2891" t="inlineStr">
        <is>
          <t>SKELLEFTEÅ</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15467-2024</t>
        </is>
      </c>
      <c r="B2892" s="1" t="n">
        <v>45400</v>
      </c>
      <c r="C2892" s="1" t="n">
        <v>45760</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15473-2024</t>
        </is>
      </c>
      <c r="B2893" s="1" t="n">
        <v>45400</v>
      </c>
      <c r="C2893" s="1" t="n">
        <v>45760</v>
      </c>
      <c r="D2893" t="inlineStr">
        <is>
          <t>VÄSTERBOTTENS LÄN</t>
        </is>
      </c>
      <c r="E2893" t="inlineStr">
        <is>
          <t>SKELLEFTEÅ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15460-2024</t>
        </is>
      </c>
      <c r="B2894" s="1" t="n">
        <v>45400</v>
      </c>
      <c r="C2894" s="1" t="n">
        <v>45760</v>
      </c>
      <c r="D2894" t="inlineStr">
        <is>
          <t>VÄSTERBOTTENS LÄN</t>
        </is>
      </c>
      <c r="E2894" t="inlineStr">
        <is>
          <t>SKELLEFTEÅ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15625-2024</t>
        </is>
      </c>
      <c r="B2895" s="1" t="n">
        <v>45402</v>
      </c>
      <c r="C2895" s="1" t="n">
        <v>45760</v>
      </c>
      <c r="D2895" t="inlineStr">
        <is>
          <t>VÄSTERBOTTENS LÄN</t>
        </is>
      </c>
      <c r="E2895" t="inlineStr">
        <is>
          <t>SKELLEFTEÅ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15728-2024</t>
        </is>
      </c>
      <c r="B2896" s="1" t="n">
        <v>45404</v>
      </c>
      <c r="C2896" s="1" t="n">
        <v>45760</v>
      </c>
      <c r="D2896" t="inlineStr">
        <is>
          <t>VÄSTERBOTTENS LÄN</t>
        </is>
      </c>
      <c r="E2896" t="inlineStr">
        <is>
          <t>SKELLEFTEÅ</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15801-2024</t>
        </is>
      </c>
      <c r="B2897" s="1" t="n">
        <v>45404</v>
      </c>
      <c r="C2897" s="1" t="n">
        <v>45760</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15846-2024</t>
        </is>
      </c>
      <c r="B2898" s="1" t="n">
        <v>45404</v>
      </c>
      <c r="C2898" s="1" t="n">
        <v>45760</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15848-2024</t>
        </is>
      </c>
      <c r="B2899" s="1" t="n">
        <v>45404</v>
      </c>
      <c r="C2899" s="1" t="n">
        <v>45760</v>
      </c>
      <c r="D2899" t="inlineStr">
        <is>
          <t>VÄSTERBOTTENS LÄN</t>
        </is>
      </c>
      <c r="E2899" t="inlineStr">
        <is>
          <t>SKELLEFTEÅ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15856-2024</t>
        </is>
      </c>
      <c r="B2900" s="1" t="n">
        <v>45404</v>
      </c>
      <c r="C2900" s="1" t="n">
        <v>45760</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15855-2024</t>
        </is>
      </c>
      <c r="B2901" s="1" t="n">
        <v>45405</v>
      </c>
      <c r="C2901" s="1" t="n">
        <v>45760</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15927-2024</t>
        </is>
      </c>
      <c r="B2902" s="1" t="n">
        <v>45405</v>
      </c>
      <c r="C2902" s="1" t="n">
        <v>45760</v>
      </c>
      <c r="D2902" t="inlineStr">
        <is>
          <t>VÄSTERBOTTENS LÄN</t>
        </is>
      </c>
      <c r="E2902" t="inlineStr">
        <is>
          <t>SKELLEFTEÅ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16037-2024</t>
        </is>
      </c>
      <c r="B2903" s="1" t="n">
        <v>45405</v>
      </c>
      <c r="C2903" s="1" t="n">
        <v>45760</v>
      </c>
      <c r="D2903" t="inlineStr">
        <is>
          <t>VÄSTERBOTTENS LÄN</t>
        </is>
      </c>
      <c r="E2903" t="inlineStr">
        <is>
          <t>SKELLEFTEÅ</t>
        </is>
      </c>
      <c r="F2903" t="inlineStr">
        <is>
          <t>Holmen skog AB</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16096-2024</t>
        </is>
      </c>
      <c r="B2904" s="1" t="n">
        <v>45406</v>
      </c>
      <c r="C2904" s="1" t="n">
        <v>45760</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16501-2024</t>
        </is>
      </c>
      <c r="B2905" s="1" t="n">
        <v>45408</v>
      </c>
      <c r="C2905" s="1" t="n">
        <v>45760</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16519-2024</t>
        </is>
      </c>
      <c r="B2906" s="1" t="n">
        <v>45408</v>
      </c>
      <c r="C2906" s="1" t="n">
        <v>45760</v>
      </c>
      <c r="D2906" t="inlineStr">
        <is>
          <t>VÄSTERBOTTENS LÄN</t>
        </is>
      </c>
      <c r="E2906" t="inlineStr">
        <is>
          <t>SKELLEFTEÅ</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16711-2024</t>
        </is>
      </c>
      <c r="B2907" s="1" t="n">
        <v>45409</v>
      </c>
      <c r="C2907" s="1" t="n">
        <v>45760</v>
      </c>
      <c r="D2907" t="inlineStr">
        <is>
          <t>VÄSTERBOTTENS LÄN</t>
        </is>
      </c>
      <c r="E2907" t="inlineStr">
        <is>
          <t>SKELLEFTEÅ</t>
        </is>
      </c>
      <c r="F2907" t="inlineStr">
        <is>
          <t>SCA</t>
        </is>
      </c>
      <c r="G2907" t="n">
        <v>30.4</v>
      </c>
      <c r="H2907" t="n">
        <v>0</v>
      </c>
      <c r="I2907" t="n">
        <v>0</v>
      </c>
      <c r="J2907" t="n">
        <v>0</v>
      </c>
      <c r="K2907" t="n">
        <v>0</v>
      </c>
      <c r="L2907" t="n">
        <v>0</v>
      </c>
      <c r="M2907" t="n">
        <v>0</v>
      </c>
      <c r="N2907" t="n">
        <v>0</v>
      </c>
      <c r="O2907" t="n">
        <v>0</v>
      </c>
      <c r="P2907" t="n">
        <v>0</v>
      </c>
      <c r="Q2907" t="n">
        <v>0</v>
      </c>
      <c r="R2907" s="2" t="inlineStr"/>
      <c r="U2907">
        <f>HYPERLINK("https://klasma.github.io/Logging_2482/knärot/A 16711-2024 karta knärot.png", "A 16711-2024")</f>
        <v/>
      </c>
      <c r="V2907">
        <f>HYPERLINK("https://klasma.github.io/Logging_2482/klagomål/A 16711-2024 FSC-klagomål.docx", "A 16711-2024")</f>
        <v/>
      </c>
      <c r="W2907">
        <f>HYPERLINK("https://klasma.github.io/Logging_2482/klagomålsmail/A 16711-2024 FSC-klagomål mail.docx", "A 16711-2024")</f>
        <v/>
      </c>
      <c r="X2907">
        <f>HYPERLINK("https://klasma.github.io/Logging_2482/tillsyn/A 16711-2024 tillsynsbegäran.docx", "A 16711-2024")</f>
        <v/>
      </c>
      <c r="Y2907">
        <f>HYPERLINK("https://klasma.github.io/Logging_2482/tillsynsmail/A 16711-2024 tillsynsbegäran mail.docx", "A 16711-2024")</f>
        <v/>
      </c>
    </row>
    <row r="2908" ht="15" customHeight="1">
      <c r="A2908" t="inlineStr">
        <is>
          <t>A 16959-2024</t>
        </is>
      </c>
      <c r="B2908" s="1" t="n">
        <v>45411</v>
      </c>
      <c r="C2908" s="1" t="n">
        <v>45760</v>
      </c>
      <c r="D2908" t="inlineStr">
        <is>
          <t>VÄSTERBOTTENS LÄN</t>
        </is>
      </c>
      <c r="E2908" t="inlineStr">
        <is>
          <t>SKELLEFTEÅ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17005-2024</t>
        </is>
      </c>
      <c r="B2909" s="1" t="n">
        <v>45411</v>
      </c>
      <c r="C2909" s="1" t="n">
        <v>45760</v>
      </c>
      <c r="D2909" t="inlineStr">
        <is>
          <t>VÄSTERBOTTENS LÄN</t>
        </is>
      </c>
      <c r="E2909" t="inlineStr">
        <is>
          <t>SKELLEFTEÅ</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16977-2024</t>
        </is>
      </c>
      <c r="B2910" s="1" t="n">
        <v>45412</v>
      </c>
      <c r="C2910" s="1" t="n">
        <v>45760</v>
      </c>
      <c r="D2910" t="inlineStr">
        <is>
          <t>VÄSTERBOTTENS LÄN</t>
        </is>
      </c>
      <c r="E2910" t="inlineStr">
        <is>
          <t>SKELLEFTEÅ</t>
        </is>
      </c>
      <c r="F2910" t="inlineStr">
        <is>
          <t>SCA</t>
        </is>
      </c>
      <c r="G2910" t="n">
        <v>16.8</v>
      </c>
      <c r="H2910" t="n">
        <v>0</v>
      </c>
      <c r="I2910" t="n">
        <v>0</v>
      </c>
      <c r="J2910" t="n">
        <v>0</v>
      </c>
      <c r="K2910" t="n">
        <v>0</v>
      </c>
      <c r="L2910" t="n">
        <v>0</v>
      </c>
      <c r="M2910" t="n">
        <v>0</v>
      </c>
      <c r="N2910" t="n">
        <v>0</v>
      </c>
      <c r="O2910" t="n">
        <v>0</v>
      </c>
      <c r="P2910" t="n">
        <v>0</v>
      </c>
      <c r="Q2910" t="n">
        <v>0</v>
      </c>
      <c r="R2910" s="2" t="inlineStr"/>
    </row>
    <row r="2911" ht="15" customHeight="1">
      <c r="A2911" t="inlineStr">
        <is>
          <t>A 17509-2024</t>
        </is>
      </c>
      <c r="B2911" s="1" t="n">
        <v>45415</v>
      </c>
      <c r="C2911" s="1" t="n">
        <v>45760</v>
      </c>
      <c r="D2911" t="inlineStr">
        <is>
          <t>VÄSTERBOTTENS LÄN</t>
        </is>
      </c>
      <c r="E2911" t="inlineStr">
        <is>
          <t>SKELLEFTEÅ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17542-2024</t>
        </is>
      </c>
      <c r="B2912" s="1" t="n">
        <v>45415</v>
      </c>
      <c r="C2912" s="1" t="n">
        <v>45760</v>
      </c>
      <c r="D2912" t="inlineStr">
        <is>
          <t>VÄSTERBOTTENS LÄN</t>
        </is>
      </c>
      <c r="E2912" t="inlineStr">
        <is>
          <t>SKELLEFTEÅ</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17550-2024</t>
        </is>
      </c>
      <c r="B2913" s="1" t="n">
        <v>45415</v>
      </c>
      <c r="C2913" s="1" t="n">
        <v>45760</v>
      </c>
      <c r="D2913" t="inlineStr">
        <is>
          <t>VÄSTERBOTTENS LÄN</t>
        </is>
      </c>
      <c r="E2913" t="inlineStr">
        <is>
          <t>SKELLEFTEÅ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17506-2024</t>
        </is>
      </c>
      <c r="B2914" s="1" t="n">
        <v>45415</v>
      </c>
      <c r="C2914" s="1" t="n">
        <v>45760</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17568-2024</t>
        </is>
      </c>
      <c r="B2915" s="1" t="n">
        <v>45415</v>
      </c>
      <c r="C2915" s="1" t="n">
        <v>45760</v>
      </c>
      <c r="D2915" t="inlineStr">
        <is>
          <t>VÄSTERBOTTENS LÄN</t>
        </is>
      </c>
      <c r="E2915" t="inlineStr">
        <is>
          <t>SKELLEFTEÅ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18595-2024</t>
        </is>
      </c>
      <c r="B2916" s="1" t="n">
        <v>45415</v>
      </c>
      <c r="C2916" s="1" t="n">
        <v>45760</v>
      </c>
      <c r="D2916" t="inlineStr">
        <is>
          <t>VÄSTERBOTTENS LÄN</t>
        </is>
      </c>
      <c r="E2916" t="inlineStr">
        <is>
          <t>SKELLEFTEÅ</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17751-2024</t>
        </is>
      </c>
      <c r="B2917" s="1" t="n">
        <v>45418</v>
      </c>
      <c r="C2917" s="1" t="n">
        <v>45760</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17880-2024</t>
        </is>
      </c>
      <c r="B2918" s="1" t="n">
        <v>45419</v>
      </c>
      <c r="C2918" s="1" t="n">
        <v>45760</v>
      </c>
      <c r="D2918" t="inlineStr">
        <is>
          <t>VÄSTERBOTTENS LÄN</t>
        </is>
      </c>
      <c r="E2918" t="inlineStr">
        <is>
          <t>SKELLEFTEÅ</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17884-2024</t>
        </is>
      </c>
      <c r="B2919" s="1" t="n">
        <v>45419</v>
      </c>
      <c r="C2919" s="1" t="n">
        <v>45760</v>
      </c>
      <c r="D2919" t="inlineStr">
        <is>
          <t>VÄSTERBOTTENS LÄN</t>
        </is>
      </c>
      <c r="E2919" t="inlineStr">
        <is>
          <t>SKELLEFTEÅ</t>
        </is>
      </c>
      <c r="F2919" t="inlineStr">
        <is>
          <t>Kommuner</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18367-2024</t>
        </is>
      </c>
      <c r="B2920" s="1" t="n">
        <v>45422</v>
      </c>
      <c r="C2920" s="1" t="n">
        <v>45760</v>
      </c>
      <c r="D2920" t="inlineStr">
        <is>
          <t>VÄSTERBOTTENS LÄN</t>
        </is>
      </c>
      <c r="E2920" t="inlineStr">
        <is>
          <t>SKELLEFTEÅ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18368-2024</t>
        </is>
      </c>
      <c r="B2921" s="1" t="n">
        <v>45422</v>
      </c>
      <c r="C2921" s="1" t="n">
        <v>45760</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18578-2024</t>
        </is>
      </c>
      <c r="B2922" s="1" t="n">
        <v>45425</v>
      </c>
      <c r="C2922" s="1" t="n">
        <v>45760</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18564-2024</t>
        </is>
      </c>
      <c r="B2923" s="1" t="n">
        <v>45425</v>
      </c>
      <c r="C2923" s="1" t="n">
        <v>45760</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18580-2024</t>
        </is>
      </c>
      <c r="B2924" s="1" t="n">
        <v>45425</v>
      </c>
      <c r="C2924" s="1" t="n">
        <v>45760</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18681-2024</t>
        </is>
      </c>
      <c r="B2925" s="1" t="n">
        <v>45426</v>
      </c>
      <c r="C2925" s="1" t="n">
        <v>45760</v>
      </c>
      <c r="D2925" t="inlineStr">
        <is>
          <t>VÄSTERBOTTENS LÄN</t>
        </is>
      </c>
      <c r="E2925" t="inlineStr">
        <is>
          <t>SKELLEFTEÅ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18979-2024</t>
        </is>
      </c>
      <c r="B2926" s="1" t="n">
        <v>45427</v>
      </c>
      <c r="C2926" s="1" t="n">
        <v>45760</v>
      </c>
      <c r="D2926" t="inlineStr">
        <is>
          <t>VÄSTERBOTTENS LÄN</t>
        </is>
      </c>
      <c r="E2926" t="inlineStr">
        <is>
          <t>SKELLEFTEÅ</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19405-2024</t>
        </is>
      </c>
      <c r="B2927" s="1" t="n">
        <v>45428</v>
      </c>
      <c r="C2927" s="1" t="n">
        <v>45760</v>
      </c>
      <c r="D2927" t="inlineStr">
        <is>
          <t>VÄSTERBOTTENS LÄN</t>
        </is>
      </c>
      <c r="E2927" t="inlineStr">
        <is>
          <t>SKELLEFTEÅ</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19582-2024</t>
        </is>
      </c>
      <c r="B2928" s="1" t="n">
        <v>45430</v>
      </c>
      <c r="C2928" s="1" t="n">
        <v>45760</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19576-2024</t>
        </is>
      </c>
      <c r="B2929" s="1" t="n">
        <v>45430</v>
      </c>
      <c r="C2929" s="1" t="n">
        <v>45760</v>
      </c>
      <c r="D2929" t="inlineStr">
        <is>
          <t>VÄSTERBOTTENS LÄN</t>
        </is>
      </c>
      <c r="E2929" t="inlineStr">
        <is>
          <t>SKELLEFTEÅ</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19782-2024</t>
        </is>
      </c>
      <c r="B2930" s="1" t="n">
        <v>45432</v>
      </c>
      <c r="C2930" s="1" t="n">
        <v>45760</v>
      </c>
      <c r="D2930" t="inlineStr">
        <is>
          <t>VÄSTERBOTTENS LÄN</t>
        </is>
      </c>
      <c r="E2930" t="inlineStr">
        <is>
          <t>SKELLEFTEÅ</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19784-2024</t>
        </is>
      </c>
      <c r="B2931" s="1" t="n">
        <v>45432</v>
      </c>
      <c r="C2931" s="1" t="n">
        <v>45760</v>
      </c>
      <c r="D2931" t="inlineStr">
        <is>
          <t>VÄSTERBOTTENS LÄN</t>
        </is>
      </c>
      <c r="E2931" t="inlineStr">
        <is>
          <t>SKELLEFTEÅ</t>
        </is>
      </c>
      <c r="F2931" t="inlineStr">
        <is>
          <t>Sveaskog</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19801-2024</t>
        </is>
      </c>
      <c r="B2932" s="1" t="n">
        <v>45432</v>
      </c>
      <c r="C2932" s="1" t="n">
        <v>45760</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19808-2024</t>
        </is>
      </c>
      <c r="B2933" s="1" t="n">
        <v>45432</v>
      </c>
      <c r="C2933" s="1" t="n">
        <v>45760</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19809-2024</t>
        </is>
      </c>
      <c r="B2934" s="1" t="n">
        <v>45432</v>
      </c>
      <c r="C2934" s="1" t="n">
        <v>45760</v>
      </c>
      <c r="D2934" t="inlineStr">
        <is>
          <t>VÄSTERBOTTENS LÄN</t>
        </is>
      </c>
      <c r="E2934" t="inlineStr">
        <is>
          <t>SKELLEFTEÅ</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19839-2024</t>
        </is>
      </c>
      <c r="B2935" s="1" t="n">
        <v>45433</v>
      </c>
      <c r="C2935" s="1" t="n">
        <v>45760</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19905-2024</t>
        </is>
      </c>
      <c r="B2936" s="1" t="n">
        <v>45433</v>
      </c>
      <c r="C2936" s="1" t="n">
        <v>45760</v>
      </c>
      <c r="D2936" t="inlineStr">
        <is>
          <t>VÄSTERBOTTENS LÄN</t>
        </is>
      </c>
      <c r="E2936" t="inlineStr">
        <is>
          <t>SKELLEFTEÅ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19957-2024</t>
        </is>
      </c>
      <c r="B2937" s="1" t="n">
        <v>45433</v>
      </c>
      <c r="C2937" s="1" t="n">
        <v>45760</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19975-2024</t>
        </is>
      </c>
      <c r="B2938" s="1" t="n">
        <v>45433</v>
      </c>
      <c r="C2938" s="1" t="n">
        <v>45760</v>
      </c>
      <c r="D2938" t="inlineStr">
        <is>
          <t>VÄSTERBOTTENS LÄN</t>
        </is>
      </c>
      <c r="E2938" t="inlineStr">
        <is>
          <t>SKELLEFTEÅ</t>
        </is>
      </c>
      <c r="F2938" t="inlineStr">
        <is>
          <t>Sveaskog</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20153-2024</t>
        </is>
      </c>
      <c r="B2939" s="1" t="n">
        <v>45434</v>
      </c>
      <c r="C2939" s="1" t="n">
        <v>45760</v>
      </c>
      <c r="D2939" t="inlineStr">
        <is>
          <t>VÄSTERBOTTENS LÄN</t>
        </is>
      </c>
      <c r="E2939" t="inlineStr">
        <is>
          <t>SKELLEFTEÅ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20205-2024</t>
        </is>
      </c>
      <c r="B2940" s="1" t="n">
        <v>45434</v>
      </c>
      <c r="C2940" s="1" t="n">
        <v>45760</v>
      </c>
      <c r="D2940" t="inlineStr">
        <is>
          <t>VÄSTERBOTTENS LÄN</t>
        </is>
      </c>
      <c r="E2940" t="inlineStr">
        <is>
          <t>SKELLEFTEÅ</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20209-2024</t>
        </is>
      </c>
      <c r="B2941" s="1" t="n">
        <v>45434</v>
      </c>
      <c r="C2941" s="1" t="n">
        <v>45760</v>
      </c>
      <c r="D2941" t="inlineStr">
        <is>
          <t>VÄSTERBOTTENS LÄN</t>
        </is>
      </c>
      <c r="E2941" t="inlineStr">
        <is>
          <t>SKELLEFTEÅ</t>
        </is>
      </c>
      <c r="F2941" t="inlineStr">
        <is>
          <t>Holmen skog AB</t>
        </is>
      </c>
      <c r="G2941" t="n">
        <v>22.1</v>
      </c>
      <c r="H2941" t="n">
        <v>0</v>
      </c>
      <c r="I2941" t="n">
        <v>0</v>
      </c>
      <c r="J2941" t="n">
        <v>0</v>
      </c>
      <c r="K2941" t="n">
        <v>0</v>
      </c>
      <c r="L2941" t="n">
        <v>0</v>
      </c>
      <c r="M2941" t="n">
        <v>0</v>
      </c>
      <c r="N2941" t="n">
        <v>0</v>
      </c>
      <c r="O2941" t="n">
        <v>0</v>
      </c>
      <c r="P2941" t="n">
        <v>0</v>
      </c>
      <c r="Q2941" t="n">
        <v>0</v>
      </c>
      <c r="R2941" s="2" t="inlineStr"/>
    </row>
    <row r="2942" ht="15" customHeight="1">
      <c r="A2942" t="inlineStr">
        <is>
          <t>A 20320-2024</t>
        </is>
      </c>
      <c r="B2942" s="1" t="n">
        <v>45435</v>
      </c>
      <c r="C2942" s="1" t="n">
        <v>45760</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20454-2024</t>
        </is>
      </c>
      <c r="B2943" s="1" t="n">
        <v>45435</v>
      </c>
      <c r="C2943" s="1" t="n">
        <v>45760</v>
      </c>
      <c r="D2943" t="inlineStr">
        <is>
          <t>VÄSTERBOTTENS LÄN</t>
        </is>
      </c>
      <c r="E2943" t="inlineStr">
        <is>
          <t>SKELLEFTEÅ</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20498-2024</t>
        </is>
      </c>
      <c r="B2944" s="1" t="n">
        <v>45435</v>
      </c>
      <c r="C2944" s="1" t="n">
        <v>45760</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20429-2024</t>
        </is>
      </c>
      <c r="B2945" s="1" t="n">
        <v>45435</v>
      </c>
      <c r="C2945" s="1" t="n">
        <v>45760</v>
      </c>
      <c r="D2945" t="inlineStr">
        <is>
          <t>VÄSTERBOTTENS LÄN</t>
        </is>
      </c>
      <c r="E2945" t="inlineStr">
        <is>
          <t>SKELLEFTEÅ</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20497-2024</t>
        </is>
      </c>
      <c r="B2946" s="1" t="n">
        <v>45435</v>
      </c>
      <c r="C2946" s="1" t="n">
        <v>45760</v>
      </c>
      <c r="D2946" t="inlineStr">
        <is>
          <t>VÄSTERBOTTENS LÄN</t>
        </is>
      </c>
      <c r="E2946" t="inlineStr">
        <is>
          <t>SKELLEFTEÅ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20448-2024</t>
        </is>
      </c>
      <c r="B2947" s="1" t="n">
        <v>45435</v>
      </c>
      <c r="C2947" s="1" t="n">
        <v>45760</v>
      </c>
      <c r="D2947" t="inlineStr">
        <is>
          <t>VÄSTERBOTTENS LÄN</t>
        </is>
      </c>
      <c r="E2947" t="inlineStr">
        <is>
          <t>SKELLEFTEÅ</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20500-2024</t>
        </is>
      </c>
      <c r="B2948" s="1" t="n">
        <v>45436</v>
      </c>
      <c r="C2948" s="1" t="n">
        <v>45760</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20479-2024</t>
        </is>
      </c>
      <c r="B2949" s="1" t="n">
        <v>45435</v>
      </c>
      <c r="C2949" s="1" t="n">
        <v>45760</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20499-2024</t>
        </is>
      </c>
      <c r="B2950" s="1" t="n">
        <v>45435</v>
      </c>
      <c r="C2950" s="1" t="n">
        <v>45760</v>
      </c>
      <c r="D2950" t="inlineStr">
        <is>
          <t>VÄSTERBOTTENS LÄN</t>
        </is>
      </c>
      <c r="E2950" t="inlineStr">
        <is>
          <t>SKELLEFTEÅ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20592-2024</t>
        </is>
      </c>
      <c r="B2951" s="1" t="n">
        <v>45436</v>
      </c>
      <c r="C2951" s="1" t="n">
        <v>45760</v>
      </c>
      <c r="D2951" t="inlineStr">
        <is>
          <t>VÄSTERBOTTENS LÄN</t>
        </is>
      </c>
      <c r="E2951" t="inlineStr">
        <is>
          <t>SKELLEFTEÅ</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20596-2024</t>
        </is>
      </c>
      <c r="B2952" s="1" t="n">
        <v>45436</v>
      </c>
      <c r="C2952" s="1" t="n">
        <v>45760</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20723-2024</t>
        </is>
      </c>
      <c r="B2953" s="1" t="n">
        <v>45436</v>
      </c>
      <c r="C2953" s="1" t="n">
        <v>45760</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20637-2024</t>
        </is>
      </c>
      <c r="B2954" s="1" t="n">
        <v>45436</v>
      </c>
      <c r="C2954" s="1" t="n">
        <v>45760</v>
      </c>
      <c r="D2954" t="inlineStr">
        <is>
          <t>VÄSTERBOTTENS LÄN</t>
        </is>
      </c>
      <c r="E2954" t="inlineStr">
        <is>
          <t>SKELLEFTEÅ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20559-2024</t>
        </is>
      </c>
      <c r="B2955" s="1" t="n">
        <v>45436</v>
      </c>
      <c r="C2955" s="1" t="n">
        <v>45760</v>
      </c>
      <c r="D2955" t="inlineStr">
        <is>
          <t>VÄSTERBOTTENS LÄN</t>
        </is>
      </c>
      <c r="E2955" t="inlineStr">
        <is>
          <t>SKELLEFTEÅ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20900-2024</t>
        </is>
      </c>
      <c r="B2956" s="1" t="n">
        <v>45439</v>
      </c>
      <c r="C2956" s="1" t="n">
        <v>45760</v>
      </c>
      <c r="D2956" t="inlineStr">
        <is>
          <t>VÄSTERBOTTENS LÄN</t>
        </is>
      </c>
      <c r="E2956" t="inlineStr">
        <is>
          <t>SKELLEFTEÅ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21078-2024</t>
        </is>
      </c>
      <c r="B2957" s="1" t="n">
        <v>45440</v>
      </c>
      <c r="C2957" s="1" t="n">
        <v>45760</v>
      </c>
      <c r="D2957" t="inlineStr">
        <is>
          <t>VÄSTERBOTTENS LÄN</t>
        </is>
      </c>
      <c r="E2957" t="inlineStr">
        <is>
          <t>SKELLEFTEÅ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21057-2024</t>
        </is>
      </c>
      <c r="B2958" s="1" t="n">
        <v>45439</v>
      </c>
      <c r="C2958" s="1" t="n">
        <v>45760</v>
      </c>
      <c r="D2958" t="inlineStr">
        <is>
          <t>VÄSTERBOTTENS LÄN</t>
        </is>
      </c>
      <c r="E2958" t="inlineStr">
        <is>
          <t>SKELLEFTEÅ</t>
        </is>
      </c>
      <c r="F2958" t="inlineStr">
        <is>
          <t>Sveaskog</t>
        </is>
      </c>
      <c r="G2958" t="n">
        <v>18.8</v>
      </c>
      <c r="H2958" t="n">
        <v>0</v>
      </c>
      <c r="I2958" t="n">
        <v>0</v>
      </c>
      <c r="J2958" t="n">
        <v>0</v>
      </c>
      <c r="K2958" t="n">
        <v>0</v>
      </c>
      <c r="L2958" t="n">
        <v>0</v>
      </c>
      <c r="M2958" t="n">
        <v>0</v>
      </c>
      <c r="N2958" t="n">
        <v>0</v>
      </c>
      <c r="O2958" t="n">
        <v>0</v>
      </c>
      <c r="P2958" t="n">
        <v>0</v>
      </c>
      <c r="Q2958" t="n">
        <v>0</v>
      </c>
      <c r="R2958" s="2" t="inlineStr"/>
    </row>
    <row r="2959" ht="15" customHeight="1">
      <c r="A2959" t="inlineStr">
        <is>
          <t>A 21076-2024</t>
        </is>
      </c>
      <c r="B2959" s="1" t="n">
        <v>45440</v>
      </c>
      <c r="C2959" s="1" t="n">
        <v>45760</v>
      </c>
      <c r="D2959" t="inlineStr">
        <is>
          <t>VÄSTERBOTTENS LÄN</t>
        </is>
      </c>
      <c r="E2959" t="inlineStr">
        <is>
          <t>SKELLEFTEÅ</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20924-2024</t>
        </is>
      </c>
      <c r="B2960" s="1" t="n">
        <v>45439</v>
      </c>
      <c r="C2960" s="1" t="n">
        <v>45760</v>
      </c>
      <c r="D2960" t="inlineStr">
        <is>
          <t>VÄSTERBOTTENS LÄN</t>
        </is>
      </c>
      <c r="E2960" t="inlineStr">
        <is>
          <t>SKELLEFTEÅ</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21077-2024</t>
        </is>
      </c>
      <c r="B2961" s="1" t="n">
        <v>45440</v>
      </c>
      <c r="C2961" s="1" t="n">
        <v>45760</v>
      </c>
      <c r="D2961" t="inlineStr">
        <is>
          <t>VÄSTERBOTTENS LÄN</t>
        </is>
      </c>
      <c r="E2961" t="inlineStr">
        <is>
          <t>SKELLEFTEÅ</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21152-2024</t>
        </is>
      </c>
      <c r="B2962" s="1" t="n">
        <v>45440</v>
      </c>
      <c r="C2962" s="1" t="n">
        <v>45760</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21146-2024</t>
        </is>
      </c>
      <c r="B2963" s="1" t="n">
        <v>45440</v>
      </c>
      <c r="C2963" s="1" t="n">
        <v>45760</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21426-2024</t>
        </is>
      </c>
      <c r="B2964" s="1" t="n">
        <v>45441</v>
      </c>
      <c r="C2964" s="1" t="n">
        <v>45760</v>
      </c>
      <c r="D2964" t="inlineStr">
        <is>
          <t>VÄSTERBOTTENS LÄN</t>
        </is>
      </c>
      <c r="E2964" t="inlineStr">
        <is>
          <t>SKELLEFTEÅ</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21438-2024</t>
        </is>
      </c>
      <c r="B2965" s="1" t="n">
        <v>45441</v>
      </c>
      <c r="C2965" s="1" t="n">
        <v>45760</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21495-2024</t>
        </is>
      </c>
      <c r="B2966" s="1" t="n">
        <v>45441</v>
      </c>
      <c r="C2966" s="1" t="n">
        <v>45760</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21593-2024</t>
        </is>
      </c>
      <c r="B2967" s="1" t="n">
        <v>45441</v>
      </c>
      <c r="C2967" s="1" t="n">
        <v>45760</v>
      </c>
      <c r="D2967" t="inlineStr">
        <is>
          <t>VÄSTERBOTTENS LÄN</t>
        </is>
      </c>
      <c r="E2967" t="inlineStr">
        <is>
          <t>SKELLEFTEÅ</t>
        </is>
      </c>
      <c r="F2967" t="inlineStr">
        <is>
          <t>Sveaskog</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21730-2024</t>
        </is>
      </c>
      <c r="B2968" s="1" t="n">
        <v>45442</v>
      </c>
      <c r="C2968" s="1" t="n">
        <v>45760</v>
      </c>
      <c r="D2968" t="inlineStr">
        <is>
          <t>VÄSTERBOTTENS LÄN</t>
        </is>
      </c>
      <c r="E2968" t="inlineStr">
        <is>
          <t>SKELLEFTEÅ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21737-2024</t>
        </is>
      </c>
      <c r="B2969" s="1" t="n">
        <v>45442</v>
      </c>
      <c r="C2969" s="1" t="n">
        <v>45760</v>
      </c>
      <c r="D2969" t="inlineStr">
        <is>
          <t>VÄSTERBOTTENS LÄN</t>
        </is>
      </c>
      <c r="E2969" t="inlineStr">
        <is>
          <t>SKELLEFTEÅ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21765-2024</t>
        </is>
      </c>
      <c r="B2970" s="1" t="n">
        <v>45442</v>
      </c>
      <c r="C2970" s="1" t="n">
        <v>45760</v>
      </c>
      <c r="D2970" t="inlineStr">
        <is>
          <t>VÄSTERBOTTENS LÄN</t>
        </is>
      </c>
      <c r="E2970" t="inlineStr">
        <is>
          <t>SKELLEFTEÅ</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21785-2024</t>
        </is>
      </c>
      <c r="B2971" s="1" t="n">
        <v>45442</v>
      </c>
      <c r="C2971" s="1" t="n">
        <v>45760</v>
      </c>
      <c r="D2971" t="inlineStr">
        <is>
          <t>VÄSTERBOTTENS LÄN</t>
        </is>
      </c>
      <c r="E2971" t="inlineStr">
        <is>
          <t>SKELLEFTEÅ</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21812-2024</t>
        </is>
      </c>
      <c r="B2972" s="1" t="n">
        <v>45442</v>
      </c>
      <c r="C2972" s="1" t="n">
        <v>45760</v>
      </c>
      <c r="D2972" t="inlineStr">
        <is>
          <t>VÄSTERBOTTENS LÄN</t>
        </is>
      </c>
      <c r="E2972" t="inlineStr">
        <is>
          <t>SKELLEFTEÅ</t>
        </is>
      </c>
      <c r="F2972" t="inlineStr">
        <is>
          <t>Holmen skog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21854-2024</t>
        </is>
      </c>
      <c r="B2973" s="1" t="n">
        <v>45442</v>
      </c>
      <c r="C2973" s="1" t="n">
        <v>45760</v>
      </c>
      <c r="D2973" t="inlineStr">
        <is>
          <t>VÄSTERBOTTENS LÄN</t>
        </is>
      </c>
      <c r="E2973" t="inlineStr">
        <is>
          <t>SKELLEFTEÅ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21836-2024</t>
        </is>
      </c>
      <c r="B2974" s="1" t="n">
        <v>45443</v>
      </c>
      <c r="C2974" s="1" t="n">
        <v>45760</v>
      </c>
      <c r="D2974" t="inlineStr">
        <is>
          <t>VÄSTERBOTTENS LÄN</t>
        </is>
      </c>
      <c r="E2974" t="inlineStr">
        <is>
          <t>SKELLEFTEÅ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22044-2024</t>
        </is>
      </c>
      <c r="B2975" s="1" t="n">
        <v>45443</v>
      </c>
      <c r="C2975" s="1" t="n">
        <v>45760</v>
      </c>
      <c r="D2975" t="inlineStr">
        <is>
          <t>VÄSTERBOTTENS LÄN</t>
        </is>
      </c>
      <c r="E2975" t="inlineStr">
        <is>
          <t>SKELLEFTEÅ</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22014-2024</t>
        </is>
      </c>
      <c r="B2976" s="1" t="n">
        <v>45443</v>
      </c>
      <c r="C2976" s="1" t="n">
        <v>45760</v>
      </c>
      <c r="D2976" t="inlineStr">
        <is>
          <t>VÄSTERBOTTENS LÄN</t>
        </is>
      </c>
      <c r="E2976" t="inlineStr">
        <is>
          <t>SKELLEFTEÅ</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22072-2024</t>
        </is>
      </c>
      <c r="B2977" s="1" t="n">
        <v>45443</v>
      </c>
      <c r="C2977" s="1" t="n">
        <v>45760</v>
      </c>
      <c r="D2977" t="inlineStr">
        <is>
          <t>VÄSTERBOTTENS LÄN</t>
        </is>
      </c>
      <c r="E2977" t="inlineStr">
        <is>
          <t>SKELLEFTEÅ</t>
        </is>
      </c>
      <c r="F2977" t="inlineStr">
        <is>
          <t>Holmen skog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22136-2024</t>
        </is>
      </c>
      <c r="B2978" s="1" t="n">
        <v>45444</v>
      </c>
      <c r="C2978" s="1" t="n">
        <v>45760</v>
      </c>
      <c r="D2978" t="inlineStr">
        <is>
          <t>VÄSTERBOTTENS LÄN</t>
        </is>
      </c>
      <c r="E2978" t="inlineStr">
        <is>
          <t>SKELLEFTEÅ</t>
        </is>
      </c>
      <c r="F2978" t="inlineStr">
        <is>
          <t>Sveaskog</t>
        </is>
      </c>
      <c r="G2978" t="n">
        <v>13.7</v>
      </c>
      <c r="H2978" t="n">
        <v>0</v>
      </c>
      <c r="I2978" t="n">
        <v>0</v>
      </c>
      <c r="J2978" t="n">
        <v>0</v>
      </c>
      <c r="K2978" t="n">
        <v>0</v>
      </c>
      <c r="L2978" t="n">
        <v>0</v>
      </c>
      <c r="M2978" t="n">
        <v>0</v>
      </c>
      <c r="N2978" t="n">
        <v>0</v>
      </c>
      <c r="O2978" t="n">
        <v>0</v>
      </c>
      <c r="P2978" t="n">
        <v>0</v>
      </c>
      <c r="Q2978" t="n">
        <v>0</v>
      </c>
      <c r="R2978" s="2" t="inlineStr"/>
    </row>
    <row r="2979" ht="15" customHeight="1">
      <c r="A2979" t="inlineStr">
        <is>
          <t>A 22219-2024</t>
        </is>
      </c>
      <c r="B2979" s="1" t="n">
        <v>45446</v>
      </c>
      <c r="C2979" s="1" t="n">
        <v>45760</v>
      </c>
      <c r="D2979" t="inlineStr">
        <is>
          <t>VÄSTERBOTTENS LÄN</t>
        </is>
      </c>
      <c r="E2979" t="inlineStr">
        <is>
          <t>SKELLEFTEÅ</t>
        </is>
      </c>
      <c r="G2979" t="n">
        <v>14.9</v>
      </c>
      <c r="H2979" t="n">
        <v>0</v>
      </c>
      <c r="I2979" t="n">
        <v>0</v>
      </c>
      <c r="J2979" t="n">
        <v>0</v>
      </c>
      <c r="K2979" t="n">
        <v>0</v>
      </c>
      <c r="L2979" t="n">
        <v>0</v>
      </c>
      <c r="M2979" t="n">
        <v>0</v>
      </c>
      <c r="N2979" t="n">
        <v>0</v>
      </c>
      <c r="O2979" t="n">
        <v>0</v>
      </c>
      <c r="P2979" t="n">
        <v>0</v>
      </c>
      <c r="Q2979" t="n">
        <v>0</v>
      </c>
      <c r="R2979" s="2" t="inlineStr"/>
    </row>
    <row r="2980" ht="15" customHeight="1">
      <c r="A2980" t="inlineStr">
        <is>
          <t>A 22395-2024</t>
        </is>
      </c>
      <c r="B2980" s="1" t="n">
        <v>45446</v>
      </c>
      <c r="C2980" s="1" t="n">
        <v>45760</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22199-2024</t>
        </is>
      </c>
      <c r="B2981" s="1" t="n">
        <v>45446</v>
      </c>
      <c r="C2981" s="1" t="n">
        <v>45760</v>
      </c>
      <c r="D2981" t="inlineStr">
        <is>
          <t>VÄSTERBOTTENS LÄN</t>
        </is>
      </c>
      <c r="E2981" t="inlineStr">
        <is>
          <t>SKELLEFTEÅ</t>
        </is>
      </c>
      <c r="F2981" t="inlineStr">
        <is>
          <t>Sveaskog</t>
        </is>
      </c>
      <c r="G2981" t="n">
        <v>40.5</v>
      </c>
      <c r="H2981" t="n">
        <v>0</v>
      </c>
      <c r="I2981" t="n">
        <v>0</v>
      </c>
      <c r="J2981" t="n">
        <v>0</v>
      </c>
      <c r="K2981" t="n">
        <v>0</v>
      </c>
      <c r="L2981" t="n">
        <v>0</v>
      </c>
      <c r="M2981" t="n">
        <v>0</v>
      </c>
      <c r="N2981" t="n">
        <v>0</v>
      </c>
      <c r="O2981" t="n">
        <v>0</v>
      </c>
      <c r="P2981" t="n">
        <v>0</v>
      </c>
      <c r="Q2981" t="n">
        <v>0</v>
      </c>
      <c r="R2981" s="2" t="inlineStr"/>
    </row>
    <row r="2982" ht="15" customHeight="1">
      <c r="A2982" t="inlineStr">
        <is>
          <t>A 22203-2024</t>
        </is>
      </c>
      <c r="B2982" s="1" t="n">
        <v>45446</v>
      </c>
      <c r="C2982" s="1" t="n">
        <v>45760</v>
      </c>
      <c r="D2982" t="inlineStr">
        <is>
          <t>VÄSTERBOTTENS LÄN</t>
        </is>
      </c>
      <c r="E2982" t="inlineStr">
        <is>
          <t>SKELLEFTEÅ</t>
        </is>
      </c>
      <c r="F2982" t="inlineStr">
        <is>
          <t>Sveaskog</t>
        </is>
      </c>
      <c r="G2982" t="n">
        <v>48.1</v>
      </c>
      <c r="H2982" t="n">
        <v>0</v>
      </c>
      <c r="I2982" t="n">
        <v>0</v>
      </c>
      <c r="J2982" t="n">
        <v>0</v>
      </c>
      <c r="K2982" t="n">
        <v>0</v>
      </c>
      <c r="L2982" t="n">
        <v>0</v>
      </c>
      <c r="M2982" t="n">
        <v>0</v>
      </c>
      <c r="N2982" t="n">
        <v>0</v>
      </c>
      <c r="O2982" t="n">
        <v>0</v>
      </c>
      <c r="P2982" t="n">
        <v>0</v>
      </c>
      <c r="Q2982" t="n">
        <v>0</v>
      </c>
      <c r="R2982" s="2" t="inlineStr"/>
    </row>
    <row r="2983" ht="15" customHeight="1">
      <c r="A2983" t="inlineStr">
        <is>
          <t>A 22205-2024</t>
        </is>
      </c>
      <c r="B2983" s="1" t="n">
        <v>45446</v>
      </c>
      <c r="C2983" s="1" t="n">
        <v>45760</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22654-2024</t>
        </is>
      </c>
      <c r="B2984" s="1" t="n">
        <v>45447</v>
      </c>
      <c r="C2984" s="1" t="n">
        <v>45760</v>
      </c>
      <c r="D2984" t="inlineStr">
        <is>
          <t>VÄSTERBOTTENS LÄN</t>
        </is>
      </c>
      <c r="E2984" t="inlineStr">
        <is>
          <t>SKELLEFTEÅ</t>
        </is>
      </c>
      <c r="F2984" t="inlineStr">
        <is>
          <t>Sveaskog</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22609-2024</t>
        </is>
      </c>
      <c r="B2985" s="1" t="n">
        <v>45447</v>
      </c>
      <c r="C2985" s="1" t="n">
        <v>45760</v>
      </c>
      <c r="D2985" t="inlineStr">
        <is>
          <t>VÄSTERBOTTENS LÄN</t>
        </is>
      </c>
      <c r="E2985" t="inlineStr">
        <is>
          <t>SKELLEFTEÅ</t>
        </is>
      </c>
      <c r="F2985" t="inlineStr">
        <is>
          <t>Holmen skog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22921-2024</t>
        </is>
      </c>
      <c r="B2986" s="1" t="n">
        <v>45448</v>
      </c>
      <c r="C2986" s="1" t="n">
        <v>45760</v>
      </c>
      <c r="D2986" t="inlineStr">
        <is>
          <t>VÄSTERBOTTENS LÄN</t>
        </is>
      </c>
      <c r="E2986" t="inlineStr">
        <is>
          <t>SKELLEFTEÅ</t>
        </is>
      </c>
      <c r="F2986" t="inlineStr">
        <is>
          <t>Sveaskog</t>
        </is>
      </c>
      <c r="G2986" t="n">
        <v>18.6</v>
      </c>
      <c r="H2986" t="n">
        <v>0</v>
      </c>
      <c r="I2986" t="n">
        <v>0</v>
      </c>
      <c r="J2986" t="n">
        <v>0</v>
      </c>
      <c r="K2986" t="n">
        <v>0</v>
      </c>
      <c r="L2986" t="n">
        <v>0</v>
      </c>
      <c r="M2986" t="n">
        <v>0</v>
      </c>
      <c r="N2986" t="n">
        <v>0</v>
      </c>
      <c r="O2986" t="n">
        <v>0</v>
      </c>
      <c r="P2986" t="n">
        <v>0</v>
      </c>
      <c r="Q2986" t="n">
        <v>0</v>
      </c>
      <c r="R2986" s="2" t="inlineStr"/>
    </row>
    <row r="2987" ht="15" customHeight="1">
      <c r="A2987" t="inlineStr">
        <is>
          <t>A 22796-2024</t>
        </is>
      </c>
      <c r="B2987" s="1" t="n">
        <v>45448</v>
      </c>
      <c r="C2987" s="1" t="n">
        <v>45760</v>
      </c>
      <c r="D2987" t="inlineStr">
        <is>
          <t>VÄSTERBOTTENS LÄN</t>
        </is>
      </c>
      <c r="E2987" t="inlineStr">
        <is>
          <t>SKELLEFTEÅ</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22859-2024</t>
        </is>
      </c>
      <c r="B2988" s="1" t="n">
        <v>45448</v>
      </c>
      <c r="C2988" s="1" t="n">
        <v>45760</v>
      </c>
      <c r="D2988" t="inlineStr">
        <is>
          <t>VÄSTERBOTTENS LÄN</t>
        </is>
      </c>
      <c r="E2988" t="inlineStr">
        <is>
          <t>SKELLEFTEÅ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23059-2024</t>
        </is>
      </c>
      <c r="B2989" s="1" t="n">
        <v>45450</v>
      </c>
      <c r="C2989" s="1" t="n">
        <v>45760</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23135-2024</t>
        </is>
      </c>
      <c r="B2990" s="1" t="n">
        <v>45450</v>
      </c>
      <c r="C2990" s="1" t="n">
        <v>45760</v>
      </c>
      <c r="D2990" t="inlineStr">
        <is>
          <t>VÄSTERBOTTENS LÄN</t>
        </is>
      </c>
      <c r="E2990" t="inlineStr">
        <is>
          <t>SKELLEFTEÅ</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23164-2024</t>
        </is>
      </c>
      <c r="B2991" s="1" t="n">
        <v>45450</v>
      </c>
      <c r="C2991" s="1" t="n">
        <v>45760</v>
      </c>
      <c r="D2991" t="inlineStr">
        <is>
          <t>VÄSTERBOTTENS LÄN</t>
        </is>
      </c>
      <c r="E2991" t="inlineStr">
        <is>
          <t>SKELLEFTEÅ</t>
        </is>
      </c>
      <c r="F2991" t="inlineStr">
        <is>
          <t>Sveaskog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23168-2024</t>
        </is>
      </c>
      <c r="B2992" s="1" t="n">
        <v>45450</v>
      </c>
      <c r="C2992" s="1" t="n">
        <v>45760</v>
      </c>
      <c r="D2992" t="inlineStr">
        <is>
          <t>VÄSTERBOTTENS LÄN</t>
        </is>
      </c>
      <c r="E2992" t="inlineStr">
        <is>
          <t>SKELLEFTEÅ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23062-2024</t>
        </is>
      </c>
      <c r="B2993" s="1" t="n">
        <v>45450</v>
      </c>
      <c r="C2993" s="1" t="n">
        <v>45760</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23169-2024</t>
        </is>
      </c>
      <c r="B2994" s="1" t="n">
        <v>45450</v>
      </c>
      <c r="C2994" s="1" t="n">
        <v>45760</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23522-2024</t>
        </is>
      </c>
      <c r="B2995" s="1" t="n">
        <v>45454</v>
      </c>
      <c r="C2995" s="1" t="n">
        <v>45760</v>
      </c>
      <c r="D2995" t="inlineStr">
        <is>
          <t>VÄSTERBOTTENS LÄN</t>
        </is>
      </c>
      <c r="E2995" t="inlineStr">
        <is>
          <t>SKELLEFTEÅ</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23502-2024</t>
        </is>
      </c>
      <c r="B2996" s="1" t="n">
        <v>45453</v>
      </c>
      <c r="C2996" s="1" t="n">
        <v>45760</v>
      </c>
      <c r="D2996" t="inlineStr">
        <is>
          <t>VÄSTERBOTTENS LÄN</t>
        </is>
      </c>
      <c r="E2996" t="inlineStr">
        <is>
          <t>SKELLEFTEÅ</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23520-2024</t>
        </is>
      </c>
      <c r="B2997" s="1" t="n">
        <v>45453</v>
      </c>
      <c r="C2997" s="1" t="n">
        <v>45760</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23503-2024</t>
        </is>
      </c>
      <c r="B2998" s="1" t="n">
        <v>45453</v>
      </c>
      <c r="C2998" s="1" t="n">
        <v>45760</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23445-2024</t>
        </is>
      </c>
      <c r="B2999" s="1" t="n">
        <v>45453</v>
      </c>
      <c r="C2999" s="1" t="n">
        <v>45760</v>
      </c>
      <c r="D2999" t="inlineStr">
        <is>
          <t>VÄSTERBOTTENS LÄN</t>
        </is>
      </c>
      <c r="E2999" t="inlineStr">
        <is>
          <t>SKELLEFTEÅ</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23501-2024</t>
        </is>
      </c>
      <c r="B3000" s="1" t="n">
        <v>45453</v>
      </c>
      <c r="C3000" s="1" t="n">
        <v>45760</v>
      </c>
      <c r="D3000" t="inlineStr">
        <is>
          <t>VÄSTERBOTTENS LÄN</t>
        </is>
      </c>
      <c r="E3000" t="inlineStr">
        <is>
          <t>SKELLEFTEÅ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23521-2024</t>
        </is>
      </c>
      <c r="B3001" s="1" t="n">
        <v>45454</v>
      </c>
      <c r="C3001" s="1" t="n">
        <v>45760</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23239-2024</t>
        </is>
      </c>
      <c r="B3002" s="1" t="n">
        <v>45453</v>
      </c>
      <c r="C3002" s="1" t="n">
        <v>45760</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23634-2024</t>
        </is>
      </c>
      <c r="B3003" s="1" t="n">
        <v>45454</v>
      </c>
      <c r="C3003" s="1" t="n">
        <v>45760</v>
      </c>
      <c r="D3003" t="inlineStr">
        <is>
          <t>VÄSTERBOTTENS LÄN</t>
        </is>
      </c>
      <c r="E3003" t="inlineStr">
        <is>
          <t>SKELLEFTEÅ</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23629-2024</t>
        </is>
      </c>
      <c r="B3004" s="1" t="n">
        <v>45454</v>
      </c>
      <c r="C3004" s="1" t="n">
        <v>45760</v>
      </c>
      <c r="D3004" t="inlineStr">
        <is>
          <t>VÄSTERBOTTENS LÄN</t>
        </is>
      </c>
      <c r="E3004" t="inlineStr">
        <is>
          <t>SKELLEFTEÅ</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23925-2024</t>
        </is>
      </c>
      <c r="B3005" s="1" t="n">
        <v>45456</v>
      </c>
      <c r="C3005" s="1" t="n">
        <v>45760</v>
      </c>
      <c r="D3005" t="inlineStr">
        <is>
          <t>VÄSTERBOTTENS LÄN</t>
        </is>
      </c>
      <c r="E3005" t="inlineStr">
        <is>
          <t>SKELLEFTEÅ</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23929-2024</t>
        </is>
      </c>
      <c r="B3006" s="1" t="n">
        <v>45456</v>
      </c>
      <c r="C3006" s="1" t="n">
        <v>45760</v>
      </c>
      <c r="D3006" t="inlineStr">
        <is>
          <t>VÄSTERBOTTENS LÄN</t>
        </is>
      </c>
      <c r="E3006" t="inlineStr">
        <is>
          <t>SKELLEFTEÅ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23903-2024</t>
        </is>
      </c>
      <c r="B3007" s="1" t="n">
        <v>45455</v>
      </c>
      <c r="C3007" s="1" t="n">
        <v>45760</v>
      </c>
      <c r="D3007" t="inlineStr">
        <is>
          <t>VÄSTERBOTTENS LÄN</t>
        </is>
      </c>
      <c r="E3007" t="inlineStr">
        <is>
          <t>SKELLEFTEÅ</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23823-2024</t>
        </is>
      </c>
      <c r="B3008" s="1" t="n">
        <v>45455</v>
      </c>
      <c r="C3008" s="1" t="n">
        <v>45760</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24080-2024</t>
        </is>
      </c>
      <c r="B3009" s="1" t="n">
        <v>45456</v>
      </c>
      <c r="C3009" s="1" t="n">
        <v>45760</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24195-2024</t>
        </is>
      </c>
      <c r="B3010" s="1" t="n">
        <v>45456</v>
      </c>
      <c r="C3010" s="1" t="n">
        <v>45760</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24362-2024</t>
        </is>
      </c>
      <c r="B3011" s="1" t="n">
        <v>45457</v>
      </c>
      <c r="C3011" s="1" t="n">
        <v>45760</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24418-2024</t>
        </is>
      </c>
      <c r="B3012" s="1" t="n">
        <v>45457</v>
      </c>
      <c r="C3012" s="1" t="n">
        <v>45760</v>
      </c>
      <c r="D3012" t="inlineStr">
        <is>
          <t>VÄSTERBOTTENS LÄN</t>
        </is>
      </c>
      <c r="E3012" t="inlineStr">
        <is>
          <t>SKELLEFTEÅ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24349-2024</t>
        </is>
      </c>
      <c r="B3013" s="1" t="n">
        <v>45457</v>
      </c>
      <c r="C3013" s="1" t="n">
        <v>45760</v>
      </c>
      <c r="D3013" t="inlineStr">
        <is>
          <t>VÄSTERBOTTENS LÄN</t>
        </is>
      </c>
      <c r="E3013" t="inlineStr">
        <is>
          <t>SKELLEFTEÅ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24352-2024</t>
        </is>
      </c>
      <c r="B3014" s="1" t="n">
        <v>45457</v>
      </c>
      <c r="C3014" s="1" t="n">
        <v>45760</v>
      </c>
      <c r="D3014" t="inlineStr">
        <is>
          <t>VÄSTERBOTTENS LÄN</t>
        </is>
      </c>
      <c r="E3014" t="inlineStr">
        <is>
          <t>SKELLEFTEÅ</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24696-2024</t>
        </is>
      </c>
      <c r="B3015" s="1" t="n">
        <v>45460</v>
      </c>
      <c r="C3015" s="1" t="n">
        <v>45760</v>
      </c>
      <c r="D3015" t="inlineStr">
        <is>
          <t>VÄSTERBOTTENS LÄN</t>
        </is>
      </c>
      <c r="E3015" t="inlineStr">
        <is>
          <t>SKELLEFTEÅ</t>
        </is>
      </c>
      <c r="F3015" t="inlineStr">
        <is>
          <t>Holmen skog AB</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24780-2024</t>
        </is>
      </c>
      <c r="B3016" s="1" t="n">
        <v>45460</v>
      </c>
      <c r="C3016" s="1" t="n">
        <v>45760</v>
      </c>
      <c r="D3016" t="inlineStr">
        <is>
          <t>VÄSTERBOTTENS LÄN</t>
        </is>
      </c>
      <c r="E3016" t="inlineStr">
        <is>
          <t>SKELLEFTEÅ</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24604-2024</t>
        </is>
      </c>
      <c r="B3017" s="1" t="n">
        <v>45460</v>
      </c>
      <c r="C3017" s="1" t="n">
        <v>45760</v>
      </c>
      <c r="D3017" t="inlineStr">
        <is>
          <t>VÄSTERBOTTENS LÄN</t>
        </is>
      </c>
      <c r="E3017" t="inlineStr">
        <is>
          <t>SKELLEFTEÅ</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24576-2024</t>
        </is>
      </c>
      <c r="B3018" s="1" t="n">
        <v>45460</v>
      </c>
      <c r="C3018" s="1" t="n">
        <v>45760</v>
      </c>
      <c r="D3018" t="inlineStr">
        <is>
          <t>VÄSTERBOTTENS LÄN</t>
        </is>
      </c>
      <c r="E3018" t="inlineStr">
        <is>
          <t>SKELLEFTEÅ</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24914-2024</t>
        </is>
      </c>
      <c r="B3019" s="1" t="n">
        <v>45461</v>
      </c>
      <c r="C3019" s="1" t="n">
        <v>45760</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25006-2024</t>
        </is>
      </c>
      <c r="B3020" s="1" t="n">
        <v>45461</v>
      </c>
      <c r="C3020" s="1" t="n">
        <v>45760</v>
      </c>
      <c r="D3020" t="inlineStr">
        <is>
          <t>VÄSTERBOTTENS LÄN</t>
        </is>
      </c>
      <c r="E3020" t="inlineStr">
        <is>
          <t>SKELLEFTEÅ</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24920-2024</t>
        </is>
      </c>
      <c r="B3021" s="1" t="n">
        <v>45461</v>
      </c>
      <c r="C3021" s="1" t="n">
        <v>45760</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25354-2024</t>
        </is>
      </c>
      <c r="B3022" s="1" t="n">
        <v>45462</v>
      </c>
      <c r="C3022" s="1" t="n">
        <v>45760</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25209-2024</t>
        </is>
      </c>
      <c r="B3023" s="1" t="n">
        <v>45462</v>
      </c>
      <c r="C3023" s="1" t="n">
        <v>45760</v>
      </c>
      <c r="D3023" t="inlineStr">
        <is>
          <t>VÄSTERBOTTENS LÄN</t>
        </is>
      </c>
      <c r="E3023" t="inlineStr">
        <is>
          <t>SKELLEFTEÅ</t>
        </is>
      </c>
      <c r="F3023" t="inlineStr">
        <is>
          <t>Holmen skog AB</t>
        </is>
      </c>
      <c r="G3023" t="n">
        <v>30.3</v>
      </c>
      <c r="H3023" t="n">
        <v>0</v>
      </c>
      <c r="I3023" t="n">
        <v>0</v>
      </c>
      <c r="J3023" t="n">
        <v>0</v>
      </c>
      <c r="K3023" t="n">
        <v>0</v>
      </c>
      <c r="L3023" t="n">
        <v>0</v>
      </c>
      <c r="M3023" t="n">
        <v>0</v>
      </c>
      <c r="N3023" t="n">
        <v>0</v>
      </c>
      <c r="O3023" t="n">
        <v>0</v>
      </c>
      <c r="P3023" t="n">
        <v>0</v>
      </c>
      <c r="Q3023" t="n">
        <v>0</v>
      </c>
      <c r="R3023" s="2" t="inlineStr"/>
    </row>
    <row r="3024" ht="15" customHeight="1">
      <c r="A3024" t="inlineStr">
        <is>
          <t>A 25157-2024</t>
        </is>
      </c>
      <c r="B3024" s="1" t="n">
        <v>45462</v>
      </c>
      <c r="C3024" s="1" t="n">
        <v>45760</v>
      </c>
      <c r="D3024" t="inlineStr">
        <is>
          <t>VÄSTERBOTTENS LÄN</t>
        </is>
      </c>
      <c r="E3024" t="inlineStr">
        <is>
          <t>SKELLEFTEÅ</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25111-2024</t>
        </is>
      </c>
      <c r="B3025" s="1" t="n">
        <v>45462</v>
      </c>
      <c r="C3025" s="1" t="n">
        <v>45760</v>
      </c>
      <c r="D3025" t="inlineStr">
        <is>
          <t>VÄSTERBOTTENS LÄN</t>
        </is>
      </c>
      <c r="E3025" t="inlineStr">
        <is>
          <t>SKELLEFTEÅ</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25106-2024</t>
        </is>
      </c>
      <c r="B3026" s="1" t="n">
        <v>45462</v>
      </c>
      <c r="C3026" s="1" t="n">
        <v>45760</v>
      </c>
      <c r="D3026" t="inlineStr">
        <is>
          <t>VÄSTERBOTTENS LÄN</t>
        </is>
      </c>
      <c r="E3026" t="inlineStr">
        <is>
          <t>SKELLEFTEÅ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25184-2024</t>
        </is>
      </c>
      <c r="B3027" s="1" t="n">
        <v>45462</v>
      </c>
      <c r="C3027" s="1" t="n">
        <v>45760</v>
      </c>
      <c r="D3027" t="inlineStr">
        <is>
          <t>VÄSTERBOTTENS LÄN</t>
        </is>
      </c>
      <c r="E3027" t="inlineStr">
        <is>
          <t>SKELLEFTEÅ</t>
        </is>
      </c>
      <c r="F3027" t="inlineStr">
        <is>
          <t>Holmen skog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25158-2024</t>
        </is>
      </c>
      <c r="B3028" s="1" t="n">
        <v>45462</v>
      </c>
      <c r="C3028" s="1" t="n">
        <v>45760</v>
      </c>
      <c r="D3028" t="inlineStr">
        <is>
          <t>VÄSTERBOTTENS LÄN</t>
        </is>
      </c>
      <c r="E3028" t="inlineStr">
        <is>
          <t>SKELLEFTEÅ</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25099-2024</t>
        </is>
      </c>
      <c r="B3029" s="1" t="n">
        <v>45462</v>
      </c>
      <c r="C3029" s="1" t="n">
        <v>45760</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25155-2024</t>
        </is>
      </c>
      <c r="B3030" s="1" t="n">
        <v>45462</v>
      </c>
      <c r="C3030" s="1" t="n">
        <v>45760</v>
      </c>
      <c r="D3030" t="inlineStr">
        <is>
          <t>VÄSTERBOTTENS LÄN</t>
        </is>
      </c>
      <c r="E3030" t="inlineStr">
        <is>
          <t>SKELLEFTEÅ</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25682-2024</t>
        </is>
      </c>
      <c r="B3031" s="1" t="n">
        <v>45463</v>
      </c>
      <c r="C3031" s="1" t="n">
        <v>45760</v>
      </c>
      <c r="D3031" t="inlineStr">
        <is>
          <t>VÄSTERBOTTENS LÄN</t>
        </is>
      </c>
      <c r="E3031" t="inlineStr">
        <is>
          <t>SKELLEFTEÅ</t>
        </is>
      </c>
      <c r="F3031" t="inlineStr">
        <is>
          <t>Sveaskog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25666-2024</t>
        </is>
      </c>
      <c r="B3032" s="1" t="n">
        <v>45463</v>
      </c>
      <c r="C3032" s="1" t="n">
        <v>45760</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25795-2024</t>
        </is>
      </c>
      <c r="B3033" s="1" t="n">
        <v>45463</v>
      </c>
      <c r="C3033" s="1" t="n">
        <v>45760</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25665-2024</t>
        </is>
      </c>
      <c r="B3034" s="1" t="n">
        <v>45463</v>
      </c>
      <c r="C3034" s="1" t="n">
        <v>45760</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25984-2024</t>
        </is>
      </c>
      <c r="B3035" s="1" t="n">
        <v>45467</v>
      </c>
      <c r="C3035" s="1" t="n">
        <v>45760</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25943-2024</t>
        </is>
      </c>
      <c r="B3036" s="1" t="n">
        <v>45467</v>
      </c>
      <c r="C3036" s="1" t="n">
        <v>45760</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25983-2024</t>
        </is>
      </c>
      <c r="B3037" s="1" t="n">
        <v>45467</v>
      </c>
      <c r="C3037" s="1" t="n">
        <v>45760</v>
      </c>
      <c r="D3037" t="inlineStr">
        <is>
          <t>VÄSTERBOTTENS LÄN</t>
        </is>
      </c>
      <c r="E3037" t="inlineStr">
        <is>
          <t>SKELLEFTEÅ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26096-2024</t>
        </is>
      </c>
      <c r="B3038" s="1" t="n">
        <v>45467</v>
      </c>
      <c r="C3038" s="1" t="n">
        <v>45760</v>
      </c>
      <c r="D3038" t="inlineStr">
        <is>
          <t>VÄSTERBOTTENS LÄN</t>
        </is>
      </c>
      <c r="E3038" t="inlineStr">
        <is>
          <t>SKELLEFTEÅ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26253-2024</t>
        </is>
      </c>
      <c r="B3039" s="1" t="n">
        <v>45468</v>
      </c>
      <c r="C3039" s="1" t="n">
        <v>45760</v>
      </c>
      <c r="D3039" t="inlineStr">
        <is>
          <t>VÄSTERBOTTENS LÄN</t>
        </is>
      </c>
      <c r="E3039" t="inlineStr">
        <is>
          <t>SKELLEFTEÅ</t>
        </is>
      </c>
      <c r="F3039" t="inlineStr">
        <is>
          <t>Holmen skog AB</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26190-2024</t>
        </is>
      </c>
      <c r="B3040" s="1" t="n">
        <v>45468</v>
      </c>
      <c r="C3040" s="1" t="n">
        <v>45760</v>
      </c>
      <c r="D3040" t="inlineStr">
        <is>
          <t>VÄSTERBOTTENS LÄN</t>
        </is>
      </c>
      <c r="E3040" t="inlineStr">
        <is>
          <t>SKELLEFTEÅ</t>
        </is>
      </c>
      <c r="F3040" t="inlineStr">
        <is>
          <t>Holmen skog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26226-2024</t>
        </is>
      </c>
      <c r="B3041" s="1" t="n">
        <v>45468</v>
      </c>
      <c r="C3041" s="1" t="n">
        <v>45760</v>
      </c>
      <c r="D3041" t="inlineStr">
        <is>
          <t>VÄSTERBOTTENS LÄN</t>
        </is>
      </c>
      <c r="E3041" t="inlineStr">
        <is>
          <t>SKELLEFTEÅ</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26293-2024</t>
        </is>
      </c>
      <c r="B3042" s="1" t="n">
        <v>45468</v>
      </c>
      <c r="C3042" s="1" t="n">
        <v>45760</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26257-2024</t>
        </is>
      </c>
      <c r="B3043" s="1" t="n">
        <v>45468</v>
      </c>
      <c r="C3043" s="1" t="n">
        <v>45760</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26212-2024</t>
        </is>
      </c>
      <c r="B3044" s="1" t="n">
        <v>45468</v>
      </c>
      <c r="C3044" s="1" t="n">
        <v>45760</v>
      </c>
      <c r="D3044" t="inlineStr">
        <is>
          <t>VÄSTERBOTTENS LÄN</t>
        </is>
      </c>
      <c r="E3044" t="inlineStr">
        <is>
          <t>SKELLEFTEÅ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26102-2024</t>
        </is>
      </c>
      <c r="B3045" s="1" t="n">
        <v>45468</v>
      </c>
      <c r="C3045" s="1" t="n">
        <v>45760</v>
      </c>
      <c r="D3045" t="inlineStr">
        <is>
          <t>VÄSTERBOTTENS LÄN</t>
        </is>
      </c>
      <c r="E3045" t="inlineStr">
        <is>
          <t>SKELLEFTEÅ</t>
        </is>
      </c>
      <c r="F3045" t="inlineStr">
        <is>
          <t>Holmen skog AB</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26447-2024</t>
        </is>
      </c>
      <c r="B3046" s="1" t="n">
        <v>45469</v>
      </c>
      <c r="C3046" s="1" t="n">
        <v>45760</v>
      </c>
      <c r="D3046" t="inlineStr">
        <is>
          <t>VÄSTERBOTTENS LÄN</t>
        </is>
      </c>
      <c r="E3046" t="inlineStr">
        <is>
          <t>SKELLEFTEÅ</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26328-2024</t>
        </is>
      </c>
      <c r="B3047" s="1" t="n">
        <v>45469</v>
      </c>
      <c r="C3047" s="1" t="n">
        <v>45760</v>
      </c>
      <c r="D3047" t="inlineStr">
        <is>
          <t>VÄSTERBOTTENS LÄN</t>
        </is>
      </c>
      <c r="E3047" t="inlineStr">
        <is>
          <t>SKELLEFTEÅ</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26399-2024</t>
        </is>
      </c>
      <c r="B3048" s="1" t="n">
        <v>45469</v>
      </c>
      <c r="C3048" s="1" t="n">
        <v>45760</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26546-2024</t>
        </is>
      </c>
      <c r="B3049" s="1" t="n">
        <v>45469</v>
      </c>
      <c r="C3049" s="1" t="n">
        <v>45760</v>
      </c>
      <c r="D3049" t="inlineStr">
        <is>
          <t>VÄSTERBOTTENS LÄN</t>
        </is>
      </c>
      <c r="E3049" t="inlineStr">
        <is>
          <t>SKELLEFTEÅ</t>
        </is>
      </c>
      <c r="F3049" t="inlineStr">
        <is>
          <t>Sveaskog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26626-2024</t>
        </is>
      </c>
      <c r="B3050" s="1" t="n">
        <v>45469</v>
      </c>
      <c r="C3050" s="1" t="n">
        <v>45760</v>
      </c>
      <c r="D3050" t="inlineStr">
        <is>
          <t>VÄSTERBOTTENS LÄN</t>
        </is>
      </c>
      <c r="E3050" t="inlineStr">
        <is>
          <t>SKELLEFTEÅ</t>
        </is>
      </c>
      <c r="F3050" t="inlineStr">
        <is>
          <t>Sveaskog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26630-2024</t>
        </is>
      </c>
      <c r="B3051" s="1" t="n">
        <v>45469</v>
      </c>
      <c r="C3051" s="1" t="n">
        <v>45760</v>
      </c>
      <c r="D3051" t="inlineStr">
        <is>
          <t>VÄSTERBOTTENS LÄN</t>
        </is>
      </c>
      <c r="E3051" t="inlineStr">
        <is>
          <t>SKELLEFTEÅ</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26581-2024</t>
        </is>
      </c>
      <c r="B3052" s="1" t="n">
        <v>45469</v>
      </c>
      <c r="C3052" s="1" t="n">
        <v>45760</v>
      </c>
      <c r="D3052" t="inlineStr">
        <is>
          <t>VÄSTERBOTTENS LÄN</t>
        </is>
      </c>
      <c r="E3052" t="inlineStr">
        <is>
          <t>SKELLEFTEÅ</t>
        </is>
      </c>
      <c r="F3052" t="inlineStr">
        <is>
          <t>Holmen skog AB</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26497-2024</t>
        </is>
      </c>
      <c r="B3053" s="1" t="n">
        <v>45469</v>
      </c>
      <c r="C3053" s="1" t="n">
        <v>45760</v>
      </c>
      <c r="D3053" t="inlineStr">
        <is>
          <t>VÄSTERBOTTENS LÄN</t>
        </is>
      </c>
      <c r="E3053" t="inlineStr">
        <is>
          <t>SKELLEFTEÅ</t>
        </is>
      </c>
      <c r="F3053" t="inlineStr">
        <is>
          <t>Holmen skog AB</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26389-2024</t>
        </is>
      </c>
      <c r="B3054" s="1" t="n">
        <v>45469</v>
      </c>
      <c r="C3054" s="1" t="n">
        <v>45760</v>
      </c>
      <c r="D3054" t="inlineStr">
        <is>
          <t>VÄSTERBOTTENS LÄN</t>
        </is>
      </c>
      <c r="E3054" t="inlineStr">
        <is>
          <t>SKELLEFTEÅ</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26826-2024</t>
        </is>
      </c>
      <c r="B3055" s="1" t="n">
        <v>45470</v>
      </c>
      <c r="C3055" s="1" t="n">
        <v>45760</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26818-2024</t>
        </is>
      </c>
      <c r="B3056" s="1" t="n">
        <v>45470</v>
      </c>
      <c r="C3056" s="1" t="n">
        <v>45760</v>
      </c>
      <c r="D3056" t="inlineStr">
        <is>
          <t>VÄSTERBOTTENS LÄN</t>
        </is>
      </c>
      <c r="E3056" t="inlineStr">
        <is>
          <t>SKELLEFTEÅ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26928-2024</t>
        </is>
      </c>
      <c r="B3057" s="1" t="n">
        <v>45471</v>
      </c>
      <c r="C3057" s="1" t="n">
        <v>45760</v>
      </c>
      <c r="D3057" t="inlineStr">
        <is>
          <t>VÄSTERBOTTENS LÄN</t>
        </is>
      </c>
      <c r="E3057" t="inlineStr">
        <is>
          <t>SKELLEFTEÅ</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26920-2024</t>
        </is>
      </c>
      <c r="B3058" s="1" t="n">
        <v>45471</v>
      </c>
      <c r="C3058" s="1" t="n">
        <v>45760</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26708-2024</t>
        </is>
      </c>
      <c r="B3059" s="1" t="n">
        <v>45470</v>
      </c>
      <c r="C3059" s="1" t="n">
        <v>45760</v>
      </c>
      <c r="D3059" t="inlineStr">
        <is>
          <t>VÄSTERBOTTENS LÄN</t>
        </is>
      </c>
      <c r="E3059" t="inlineStr">
        <is>
          <t>SKELLEFTEÅ</t>
        </is>
      </c>
      <c r="F3059" t="inlineStr">
        <is>
          <t>Sveaskog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26831-2024</t>
        </is>
      </c>
      <c r="B3060" s="1" t="n">
        <v>45470</v>
      </c>
      <c r="C3060" s="1" t="n">
        <v>45760</v>
      </c>
      <c r="D3060" t="inlineStr">
        <is>
          <t>VÄSTERBOTTENS LÄN</t>
        </is>
      </c>
      <c r="E3060" t="inlineStr">
        <is>
          <t>SKELLEFTEÅ</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26929-2024</t>
        </is>
      </c>
      <c r="B3061" s="1" t="n">
        <v>45471</v>
      </c>
      <c r="C3061" s="1" t="n">
        <v>45760</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27190-2024</t>
        </is>
      </c>
      <c r="B3062" s="1" t="n">
        <v>45471</v>
      </c>
      <c r="C3062" s="1" t="n">
        <v>45760</v>
      </c>
      <c r="D3062" t="inlineStr">
        <is>
          <t>VÄSTERBOTTENS LÄN</t>
        </is>
      </c>
      <c r="E3062" t="inlineStr">
        <is>
          <t>SKELLEFTEÅ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27198-2024</t>
        </is>
      </c>
      <c r="B3063" s="1" t="n">
        <v>45471</v>
      </c>
      <c r="C3063" s="1" t="n">
        <v>45760</v>
      </c>
      <c r="D3063" t="inlineStr">
        <is>
          <t>VÄSTERBOTTENS LÄN</t>
        </is>
      </c>
      <c r="E3063" t="inlineStr">
        <is>
          <t>SKELLEFTEÅ</t>
        </is>
      </c>
      <c r="F3063" t="inlineStr">
        <is>
          <t>Holmen skog AB</t>
        </is>
      </c>
      <c r="G3063" t="n">
        <v>25.4</v>
      </c>
      <c r="H3063" t="n">
        <v>0</v>
      </c>
      <c r="I3063" t="n">
        <v>0</v>
      </c>
      <c r="J3063" t="n">
        <v>0</v>
      </c>
      <c r="K3063" t="n">
        <v>0</v>
      </c>
      <c r="L3063" t="n">
        <v>0</v>
      </c>
      <c r="M3063" t="n">
        <v>0</v>
      </c>
      <c r="N3063" t="n">
        <v>0</v>
      </c>
      <c r="O3063" t="n">
        <v>0</v>
      </c>
      <c r="P3063" t="n">
        <v>0</v>
      </c>
      <c r="Q3063" t="n">
        <v>0</v>
      </c>
      <c r="R3063" s="2" t="inlineStr"/>
    </row>
    <row r="3064" ht="15" customHeight="1">
      <c r="A3064" t="inlineStr">
        <is>
          <t>A 27083-2024</t>
        </is>
      </c>
      <c r="B3064" s="1" t="n">
        <v>45471</v>
      </c>
      <c r="C3064" s="1" t="n">
        <v>45760</v>
      </c>
      <c r="D3064" t="inlineStr">
        <is>
          <t>VÄSTERBOTTENS LÄN</t>
        </is>
      </c>
      <c r="E3064" t="inlineStr">
        <is>
          <t>SKELLEFTEÅ</t>
        </is>
      </c>
      <c r="F3064" t="inlineStr">
        <is>
          <t>Holmen skog AB</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27143-2024</t>
        </is>
      </c>
      <c r="B3065" s="1" t="n">
        <v>45471</v>
      </c>
      <c r="C3065" s="1" t="n">
        <v>45760</v>
      </c>
      <c r="D3065" t="inlineStr">
        <is>
          <t>VÄSTERBOTTENS LÄN</t>
        </is>
      </c>
      <c r="E3065" t="inlineStr">
        <is>
          <t>SKELLEFTEÅ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27212-2024</t>
        </is>
      </c>
      <c r="B3066" s="1" t="n">
        <v>45471</v>
      </c>
      <c r="C3066" s="1" t="n">
        <v>45760</v>
      </c>
      <c r="D3066" t="inlineStr">
        <is>
          <t>VÄSTERBOTTENS LÄN</t>
        </is>
      </c>
      <c r="E3066" t="inlineStr">
        <is>
          <t>SKELLEFTEÅ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27228-2024</t>
        </is>
      </c>
      <c r="B3067" s="1" t="n">
        <v>45471</v>
      </c>
      <c r="C3067" s="1" t="n">
        <v>45760</v>
      </c>
      <c r="D3067" t="inlineStr">
        <is>
          <t>VÄSTERBOTTENS LÄN</t>
        </is>
      </c>
      <c r="E3067" t="inlineStr">
        <is>
          <t>SKELLEFTEÅ</t>
        </is>
      </c>
      <c r="F3067" t="inlineStr">
        <is>
          <t>Holmen skog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27246-2024</t>
        </is>
      </c>
      <c r="B3068" s="1" t="n">
        <v>45471</v>
      </c>
      <c r="C3068" s="1" t="n">
        <v>45760</v>
      </c>
      <c r="D3068" t="inlineStr">
        <is>
          <t>VÄSTERBOTTENS LÄN</t>
        </is>
      </c>
      <c r="E3068" t="inlineStr">
        <is>
          <t>SKELLEFTEÅ</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27268-2024</t>
        </is>
      </c>
      <c r="B3069" s="1" t="n">
        <v>45471</v>
      </c>
      <c r="C3069" s="1" t="n">
        <v>45760</v>
      </c>
      <c r="D3069" t="inlineStr">
        <is>
          <t>VÄSTERBOTTENS LÄN</t>
        </is>
      </c>
      <c r="E3069" t="inlineStr">
        <is>
          <t>SKELLEFTEÅ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27289-2024</t>
        </is>
      </c>
      <c r="B3070" s="1" t="n">
        <v>45472</v>
      </c>
      <c r="C3070" s="1" t="n">
        <v>45760</v>
      </c>
      <c r="D3070" t="inlineStr">
        <is>
          <t>VÄSTERBOTTENS LÄN</t>
        </is>
      </c>
      <c r="E3070" t="inlineStr">
        <is>
          <t>SKELLEFTEÅ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27253-2024</t>
        </is>
      </c>
      <c r="B3071" s="1" t="n">
        <v>45471</v>
      </c>
      <c r="C3071" s="1" t="n">
        <v>45760</v>
      </c>
      <c r="D3071" t="inlineStr">
        <is>
          <t>VÄSTERBOTTENS LÄN</t>
        </is>
      </c>
      <c r="E3071" t="inlineStr">
        <is>
          <t>SKELLEFTEÅ</t>
        </is>
      </c>
      <c r="F3071" t="inlineStr">
        <is>
          <t>Holmen skog AB</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27264-2024</t>
        </is>
      </c>
      <c r="B3072" s="1" t="n">
        <v>45471</v>
      </c>
      <c r="C3072" s="1" t="n">
        <v>45760</v>
      </c>
      <c r="D3072" t="inlineStr">
        <is>
          <t>VÄSTERBOTTENS LÄN</t>
        </is>
      </c>
      <c r="E3072" t="inlineStr">
        <is>
          <t>SKELLEFTEÅ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27287-2024</t>
        </is>
      </c>
      <c r="B3073" s="1" t="n">
        <v>45472</v>
      </c>
      <c r="C3073" s="1" t="n">
        <v>45760</v>
      </c>
      <c r="D3073" t="inlineStr">
        <is>
          <t>VÄSTERBOTTENS LÄN</t>
        </is>
      </c>
      <c r="E3073" t="inlineStr">
        <is>
          <t>SKELLEFTEÅ</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27269-2024</t>
        </is>
      </c>
      <c r="B3074" s="1" t="n">
        <v>45471</v>
      </c>
      <c r="C3074" s="1" t="n">
        <v>45760</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27286-2024</t>
        </is>
      </c>
      <c r="B3075" s="1" t="n">
        <v>45472</v>
      </c>
      <c r="C3075" s="1" t="n">
        <v>45760</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27026-2024</t>
        </is>
      </c>
      <c r="B3076" s="1" t="n">
        <v>45471</v>
      </c>
      <c r="C3076" s="1" t="n">
        <v>45760</v>
      </c>
      <c r="D3076" t="inlineStr">
        <is>
          <t>VÄSTERBOTTENS LÄN</t>
        </is>
      </c>
      <c r="E3076" t="inlineStr">
        <is>
          <t>SKELLEFTEÅ</t>
        </is>
      </c>
      <c r="F3076" t="inlineStr">
        <is>
          <t>Holmen skog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26997-2024</t>
        </is>
      </c>
      <c r="B3077" s="1" t="n">
        <v>45471</v>
      </c>
      <c r="C3077" s="1" t="n">
        <v>45760</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27267-2024</t>
        </is>
      </c>
      <c r="B3078" s="1" t="n">
        <v>45471</v>
      </c>
      <c r="C3078" s="1" t="n">
        <v>45760</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27288-2024</t>
        </is>
      </c>
      <c r="B3079" s="1" t="n">
        <v>45472</v>
      </c>
      <c r="C3079" s="1" t="n">
        <v>45760</v>
      </c>
      <c r="D3079" t="inlineStr">
        <is>
          <t>VÄSTERBOTTENS LÄN</t>
        </is>
      </c>
      <c r="E3079" t="inlineStr">
        <is>
          <t>SKELLEFTEÅ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27332-2024</t>
        </is>
      </c>
      <c r="B3080" s="1" t="n">
        <v>45472</v>
      </c>
      <c r="C3080" s="1" t="n">
        <v>45760</v>
      </c>
      <c r="D3080" t="inlineStr">
        <is>
          <t>VÄSTERBOTTENS LÄN</t>
        </is>
      </c>
      <c r="E3080" t="inlineStr">
        <is>
          <t>SKELLEFTEÅ</t>
        </is>
      </c>
      <c r="F3080" t="inlineStr">
        <is>
          <t>Sveaskog</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27333-2024</t>
        </is>
      </c>
      <c r="B3081" s="1" t="n">
        <v>45472</v>
      </c>
      <c r="C3081" s="1" t="n">
        <v>45760</v>
      </c>
      <c r="D3081" t="inlineStr">
        <is>
          <t>VÄSTERBOTTENS LÄN</t>
        </is>
      </c>
      <c r="E3081" t="inlineStr">
        <is>
          <t>SKELLEFTEÅ</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27439-2024</t>
        </is>
      </c>
      <c r="B3082" s="1" t="n">
        <v>45474</v>
      </c>
      <c r="C3082" s="1" t="n">
        <v>45760</v>
      </c>
      <c r="D3082" t="inlineStr">
        <is>
          <t>VÄSTERBOTTENS LÄN</t>
        </is>
      </c>
      <c r="E3082" t="inlineStr">
        <is>
          <t>SKELLEFTEÅ</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27627-2024</t>
        </is>
      </c>
      <c r="B3083" s="1" t="n">
        <v>45475</v>
      </c>
      <c r="C3083" s="1" t="n">
        <v>45760</v>
      </c>
      <c r="D3083" t="inlineStr">
        <is>
          <t>VÄSTERBOTTENS LÄN</t>
        </is>
      </c>
      <c r="E3083" t="inlineStr">
        <is>
          <t>SKELLEFTEÅ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27631-2024</t>
        </is>
      </c>
      <c r="B3084" s="1" t="n">
        <v>45475</v>
      </c>
      <c r="C3084" s="1" t="n">
        <v>45760</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27542-2024</t>
        </is>
      </c>
      <c r="B3085" s="1" t="n">
        <v>45474</v>
      </c>
      <c r="C3085" s="1" t="n">
        <v>45760</v>
      </c>
      <c r="D3085" t="inlineStr">
        <is>
          <t>VÄSTERBOTTENS LÄN</t>
        </is>
      </c>
      <c r="E3085" t="inlineStr">
        <is>
          <t>SKELLEFTEÅ</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27566-2024</t>
        </is>
      </c>
      <c r="B3086" s="1" t="n">
        <v>45474</v>
      </c>
      <c r="C3086" s="1" t="n">
        <v>45760</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27628-2024</t>
        </is>
      </c>
      <c r="B3087" s="1" t="n">
        <v>45475</v>
      </c>
      <c r="C3087" s="1" t="n">
        <v>45760</v>
      </c>
      <c r="D3087" t="inlineStr">
        <is>
          <t>VÄSTERBOTTENS LÄN</t>
        </is>
      </c>
      <c r="E3087" t="inlineStr">
        <is>
          <t>SKELLEFTEÅ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27896-2024</t>
        </is>
      </c>
      <c r="B3088" s="1" t="n">
        <v>45476</v>
      </c>
      <c r="C3088" s="1" t="n">
        <v>45760</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27830-2024</t>
        </is>
      </c>
      <c r="B3089" s="1" t="n">
        <v>45475</v>
      </c>
      <c r="C3089" s="1" t="n">
        <v>45760</v>
      </c>
      <c r="D3089" t="inlineStr">
        <is>
          <t>VÄSTERBOTTENS LÄN</t>
        </is>
      </c>
      <c r="E3089" t="inlineStr">
        <is>
          <t>SKELLEFTEÅ</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27864-2024</t>
        </is>
      </c>
      <c r="B3090" s="1" t="n">
        <v>45475</v>
      </c>
      <c r="C3090" s="1" t="n">
        <v>45760</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27933-2024</t>
        </is>
      </c>
      <c r="B3091" s="1" t="n">
        <v>45476</v>
      </c>
      <c r="C3091" s="1" t="n">
        <v>45760</v>
      </c>
      <c r="D3091" t="inlineStr">
        <is>
          <t>VÄSTERBOTTENS LÄN</t>
        </is>
      </c>
      <c r="E3091" t="inlineStr">
        <is>
          <t>SKELLEFTEÅ</t>
        </is>
      </c>
      <c r="F3091" t="inlineStr">
        <is>
          <t>SCA</t>
        </is>
      </c>
      <c r="G3091" t="n">
        <v>28.7</v>
      </c>
      <c r="H3091" t="n">
        <v>0</v>
      </c>
      <c r="I3091" t="n">
        <v>0</v>
      </c>
      <c r="J3091" t="n">
        <v>0</v>
      </c>
      <c r="K3091" t="n">
        <v>0</v>
      </c>
      <c r="L3091" t="n">
        <v>0</v>
      </c>
      <c r="M3091" t="n">
        <v>0</v>
      </c>
      <c r="N3091" t="n">
        <v>0</v>
      </c>
      <c r="O3091" t="n">
        <v>0</v>
      </c>
      <c r="P3091" t="n">
        <v>0</v>
      </c>
      <c r="Q3091" t="n">
        <v>0</v>
      </c>
      <c r="R3091" s="2" t="inlineStr"/>
    </row>
    <row r="3092" ht="15" customHeight="1">
      <c r="A3092" t="inlineStr">
        <is>
          <t>A 27851-2024</t>
        </is>
      </c>
      <c r="B3092" s="1" t="n">
        <v>45475</v>
      </c>
      <c r="C3092" s="1" t="n">
        <v>45760</v>
      </c>
      <c r="D3092" t="inlineStr">
        <is>
          <t>VÄSTERBOTTENS LÄN</t>
        </is>
      </c>
      <c r="E3092" t="inlineStr">
        <is>
          <t>SKELLEFTEÅ</t>
        </is>
      </c>
      <c r="F3092" t="inlineStr">
        <is>
          <t>Sveaskog</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27863-2024</t>
        </is>
      </c>
      <c r="B3093" s="1" t="n">
        <v>45475</v>
      </c>
      <c r="C3093" s="1" t="n">
        <v>45760</v>
      </c>
      <c r="D3093" t="inlineStr">
        <is>
          <t>VÄSTERBOTTENS LÄN</t>
        </is>
      </c>
      <c r="E3093" t="inlineStr">
        <is>
          <t>SKELLEFTEÅ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28054-2024</t>
        </is>
      </c>
      <c r="B3094" s="1" t="n">
        <v>45476</v>
      </c>
      <c r="C3094" s="1" t="n">
        <v>45760</v>
      </c>
      <c r="D3094" t="inlineStr">
        <is>
          <t>VÄSTERBOTTENS LÄN</t>
        </is>
      </c>
      <c r="E3094" t="inlineStr">
        <is>
          <t>SKELLEFTEÅ</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27990-2024</t>
        </is>
      </c>
      <c r="B3095" s="1" t="n">
        <v>45476</v>
      </c>
      <c r="C3095" s="1" t="n">
        <v>45760</v>
      </c>
      <c r="D3095" t="inlineStr">
        <is>
          <t>VÄSTERBOTTENS LÄN</t>
        </is>
      </c>
      <c r="E3095" t="inlineStr">
        <is>
          <t>SKELLEFTEÅ</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28057-2024</t>
        </is>
      </c>
      <c r="B3096" s="1" t="n">
        <v>45476</v>
      </c>
      <c r="C3096" s="1" t="n">
        <v>45760</v>
      </c>
      <c r="D3096" t="inlineStr">
        <is>
          <t>VÄSTERBOTTENS LÄN</t>
        </is>
      </c>
      <c r="E3096" t="inlineStr">
        <is>
          <t>SKELLEFTEÅ</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27980-2024</t>
        </is>
      </c>
      <c r="B3097" s="1" t="n">
        <v>45476</v>
      </c>
      <c r="C3097" s="1" t="n">
        <v>45760</v>
      </c>
      <c r="D3097" t="inlineStr">
        <is>
          <t>VÄSTERBOTTENS LÄN</t>
        </is>
      </c>
      <c r="E3097" t="inlineStr">
        <is>
          <t>SKELLEFTEÅ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28353-2024</t>
        </is>
      </c>
      <c r="B3098" s="1" t="n">
        <v>45477</v>
      </c>
      <c r="C3098" s="1" t="n">
        <v>45760</v>
      </c>
      <c r="D3098" t="inlineStr">
        <is>
          <t>VÄSTERBOTTENS LÄN</t>
        </is>
      </c>
      <c r="E3098" t="inlineStr">
        <is>
          <t>SKELLEFTEÅ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28493-2024</t>
        </is>
      </c>
      <c r="B3099" s="1" t="n">
        <v>45477</v>
      </c>
      <c r="C3099" s="1" t="n">
        <v>45760</v>
      </c>
      <c r="D3099" t="inlineStr">
        <is>
          <t>VÄSTERBOTTENS LÄN</t>
        </is>
      </c>
      <c r="E3099" t="inlineStr">
        <is>
          <t>SKELLEFTEÅ</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28283-2024</t>
        </is>
      </c>
      <c r="B3100" s="1" t="n">
        <v>45477</v>
      </c>
      <c r="C3100" s="1" t="n">
        <v>45760</v>
      </c>
      <c r="D3100" t="inlineStr">
        <is>
          <t>VÄSTERBOTTENS LÄN</t>
        </is>
      </c>
      <c r="E3100" t="inlineStr">
        <is>
          <t>SKELLEFTEÅ</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28435-2024</t>
        </is>
      </c>
      <c r="B3101" s="1" t="n">
        <v>45477</v>
      </c>
      <c r="C3101" s="1" t="n">
        <v>45760</v>
      </c>
      <c r="D3101" t="inlineStr">
        <is>
          <t>VÄSTERBOTTENS LÄN</t>
        </is>
      </c>
      <c r="E3101" t="inlineStr">
        <is>
          <t>SKELLEFTEÅ</t>
        </is>
      </c>
      <c r="F3101" t="inlineStr">
        <is>
          <t>Holmen skog AB</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28273-2024</t>
        </is>
      </c>
      <c r="B3102" s="1" t="n">
        <v>45477</v>
      </c>
      <c r="C3102" s="1" t="n">
        <v>45760</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28356-2024</t>
        </is>
      </c>
      <c r="B3103" s="1" t="n">
        <v>45477</v>
      </c>
      <c r="C3103" s="1" t="n">
        <v>45760</v>
      </c>
      <c r="D3103" t="inlineStr">
        <is>
          <t>VÄSTERBOTTENS LÄN</t>
        </is>
      </c>
      <c r="E3103" t="inlineStr">
        <is>
          <t>SKELLEFTEÅ</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28308-2024</t>
        </is>
      </c>
      <c r="B3104" s="1" t="n">
        <v>45477</v>
      </c>
      <c r="C3104" s="1" t="n">
        <v>45760</v>
      </c>
      <c r="D3104" t="inlineStr">
        <is>
          <t>VÄSTERBOTTENS LÄN</t>
        </is>
      </c>
      <c r="E3104" t="inlineStr">
        <is>
          <t>SKELLEFTEÅ</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28630-2024</t>
        </is>
      </c>
      <c r="B3105" s="1" t="n">
        <v>45478</v>
      </c>
      <c r="C3105" s="1" t="n">
        <v>45760</v>
      </c>
      <c r="D3105" t="inlineStr">
        <is>
          <t>VÄSTERBOTTENS LÄN</t>
        </is>
      </c>
      <c r="E3105" t="inlineStr">
        <is>
          <t>SKELLEFTEÅ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29125-2024</t>
        </is>
      </c>
      <c r="B3106" s="1" t="n">
        <v>45481</v>
      </c>
      <c r="C3106" s="1" t="n">
        <v>45760</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29124-2024</t>
        </is>
      </c>
      <c r="B3107" s="1" t="n">
        <v>45481</v>
      </c>
      <c r="C3107" s="1" t="n">
        <v>45760</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29154-2024</t>
        </is>
      </c>
      <c r="B3108" s="1" t="n">
        <v>45482</v>
      </c>
      <c r="C3108" s="1" t="n">
        <v>45760</v>
      </c>
      <c r="D3108" t="inlineStr">
        <is>
          <t>VÄSTERBOTTENS LÄN</t>
        </is>
      </c>
      <c r="E3108" t="inlineStr">
        <is>
          <t>SKELLEFTEÅ</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29201-2024</t>
        </is>
      </c>
      <c r="B3109" s="1" t="n">
        <v>45482</v>
      </c>
      <c r="C3109" s="1" t="n">
        <v>45760</v>
      </c>
      <c r="D3109" t="inlineStr">
        <is>
          <t>VÄSTERBOTTENS LÄN</t>
        </is>
      </c>
      <c r="E3109" t="inlineStr">
        <is>
          <t>SKELLEFTEÅ</t>
        </is>
      </c>
      <c r="F3109" t="inlineStr">
        <is>
          <t>Holmen skog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29160-2024</t>
        </is>
      </c>
      <c r="B3110" s="1" t="n">
        <v>45482</v>
      </c>
      <c r="C3110" s="1" t="n">
        <v>45760</v>
      </c>
      <c r="D3110" t="inlineStr">
        <is>
          <t>VÄSTERBOTTENS LÄN</t>
        </is>
      </c>
      <c r="E3110" t="inlineStr">
        <is>
          <t>SKELLEFTEÅ</t>
        </is>
      </c>
      <c r="F3110" t="inlineStr">
        <is>
          <t>Holmen skog AB</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29167-2024</t>
        </is>
      </c>
      <c r="B3111" s="1" t="n">
        <v>45482</v>
      </c>
      <c r="C3111" s="1" t="n">
        <v>45760</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29326-2024</t>
        </is>
      </c>
      <c r="B3112" s="1" t="n">
        <v>45483</v>
      </c>
      <c r="C3112" s="1" t="n">
        <v>45760</v>
      </c>
      <c r="D3112" t="inlineStr">
        <is>
          <t>VÄSTERBOTTENS LÄN</t>
        </is>
      </c>
      <c r="E3112" t="inlineStr">
        <is>
          <t>SKELLEFTEÅ</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29323-2024</t>
        </is>
      </c>
      <c r="B3113" s="1" t="n">
        <v>45483</v>
      </c>
      <c r="C3113" s="1" t="n">
        <v>45760</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29321-2024</t>
        </is>
      </c>
      <c r="B3114" s="1" t="n">
        <v>45483</v>
      </c>
      <c r="C3114" s="1" t="n">
        <v>45760</v>
      </c>
      <c r="D3114" t="inlineStr">
        <is>
          <t>VÄSTERBOTTENS LÄN</t>
        </is>
      </c>
      <c r="E3114" t="inlineStr">
        <is>
          <t>SKELLEFTEÅ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29579-2024</t>
        </is>
      </c>
      <c r="B3115" s="1" t="n">
        <v>45484</v>
      </c>
      <c r="C3115" s="1" t="n">
        <v>45760</v>
      </c>
      <c r="D3115" t="inlineStr">
        <is>
          <t>VÄSTERBOTTENS LÄN</t>
        </is>
      </c>
      <c r="E3115" t="inlineStr">
        <is>
          <t>SKELLEFTEÅ</t>
        </is>
      </c>
      <c r="F3115" t="inlineStr">
        <is>
          <t>Holmen skog AB</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29654-2024</t>
        </is>
      </c>
      <c r="B3116" s="1" t="n">
        <v>45485</v>
      </c>
      <c r="C3116" s="1" t="n">
        <v>45760</v>
      </c>
      <c r="D3116" t="inlineStr">
        <is>
          <t>VÄSTERBOTTENS LÄN</t>
        </is>
      </c>
      <c r="E3116" t="inlineStr">
        <is>
          <t>SKELLEFTEÅ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30012-2024</t>
        </is>
      </c>
      <c r="B3117" s="1" t="n">
        <v>45488</v>
      </c>
      <c r="C3117" s="1" t="n">
        <v>45760</v>
      </c>
      <c r="D3117" t="inlineStr">
        <is>
          <t>VÄSTERBOTTENS LÄN</t>
        </is>
      </c>
      <c r="E3117" t="inlineStr">
        <is>
          <t>SKELLEFTEÅ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30014-2024</t>
        </is>
      </c>
      <c r="B3118" s="1" t="n">
        <v>45488</v>
      </c>
      <c r="C3118" s="1" t="n">
        <v>45760</v>
      </c>
      <c r="D3118" t="inlineStr">
        <is>
          <t>VÄSTERBOTTENS LÄN</t>
        </is>
      </c>
      <c r="E3118" t="inlineStr">
        <is>
          <t>SKELLEFTEÅ</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30395-2024</t>
        </is>
      </c>
      <c r="B3119" s="1" t="n">
        <v>45491</v>
      </c>
      <c r="C3119" s="1" t="n">
        <v>45760</v>
      </c>
      <c r="D3119" t="inlineStr">
        <is>
          <t>VÄSTERBOTTENS LÄN</t>
        </is>
      </c>
      <c r="E3119" t="inlineStr">
        <is>
          <t>SKELLEFTEÅ</t>
        </is>
      </c>
      <c r="F3119" t="inlineStr">
        <is>
          <t>Holmen skog AB</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30508-2024</t>
        </is>
      </c>
      <c r="B3120" s="1" t="n">
        <v>45492</v>
      </c>
      <c r="C3120" s="1" t="n">
        <v>45760</v>
      </c>
      <c r="D3120" t="inlineStr">
        <is>
          <t>VÄSTERBOTTENS LÄN</t>
        </is>
      </c>
      <c r="E3120" t="inlineStr">
        <is>
          <t>SKELLEFTEÅ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30650-2024</t>
        </is>
      </c>
      <c r="B3121" s="1" t="n">
        <v>45495</v>
      </c>
      <c r="C3121" s="1" t="n">
        <v>45760</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30900-2024</t>
        </is>
      </c>
      <c r="B3122" s="1" t="n">
        <v>45498</v>
      </c>
      <c r="C3122" s="1" t="n">
        <v>45760</v>
      </c>
      <c r="D3122" t="inlineStr">
        <is>
          <t>VÄSTERBOTTENS LÄN</t>
        </is>
      </c>
      <c r="E3122" t="inlineStr">
        <is>
          <t>SKELLEFTEÅ</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30904-2024</t>
        </is>
      </c>
      <c r="B3123" s="1" t="n">
        <v>45498</v>
      </c>
      <c r="C3123" s="1" t="n">
        <v>45760</v>
      </c>
      <c r="D3123" t="inlineStr">
        <is>
          <t>VÄSTERBOTTENS LÄN</t>
        </is>
      </c>
      <c r="E3123" t="inlineStr">
        <is>
          <t>SKELLEFTEÅ</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30901-2024</t>
        </is>
      </c>
      <c r="B3124" s="1" t="n">
        <v>45498</v>
      </c>
      <c r="C3124" s="1" t="n">
        <v>45760</v>
      </c>
      <c r="D3124" t="inlineStr">
        <is>
          <t>VÄSTERBOTTENS LÄN</t>
        </is>
      </c>
      <c r="E3124" t="inlineStr">
        <is>
          <t>SKELLEFTEÅ</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30897-2024</t>
        </is>
      </c>
      <c r="B3125" s="1" t="n">
        <v>45498</v>
      </c>
      <c r="C3125" s="1" t="n">
        <v>45760</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30986-2024</t>
        </is>
      </c>
      <c r="B3126" s="1" t="n">
        <v>45499</v>
      </c>
      <c r="C3126" s="1" t="n">
        <v>45760</v>
      </c>
      <c r="D3126" t="inlineStr">
        <is>
          <t>VÄSTERBOTTENS LÄN</t>
        </is>
      </c>
      <c r="E3126" t="inlineStr">
        <is>
          <t>SKELLEFTEÅ</t>
        </is>
      </c>
      <c r="F3126" t="inlineStr">
        <is>
          <t>Sveaskog</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31103-2024</t>
        </is>
      </c>
      <c r="B3127" s="1" t="n">
        <v>45502</v>
      </c>
      <c r="C3127" s="1" t="n">
        <v>45760</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31179-2024</t>
        </is>
      </c>
      <c r="B3128" s="1" t="n">
        <v>45503</v>
      </c>
      <c r="C3128" s="1" t="n">
        <v>45760</v>
      </c>
      <c r="D3128" t="inlineStr">
        <is>
          <t>VÄSTERBOTTENS LÄN</t>
        </is>
      </c>
      <c r="E3128" t="inlineStr">
        <is>
          <t>SKELLEFTEÅ</t>
        </is>
      </c>
      <c r="F3128" t="inlineStr">
        <is>
          <t>Holmen skog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31197-2024</t>
        </is>
      </c>
      <c r="B3129" s="1" t="n">
        <v>45503</v>
      </c>
      <c r="C3129" s="1" t="n">
        <v>45760</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31167-2024</t>
        </is>
      </c>
      <c r="B3130" s="1" t="n">
        <v>45503</v>
      </c>
      <c r="C3130" s="1" t="n">
        <v>45760</v>
      </c>
      <c r="D3130" t="inlineStr">
        <is>
          <t>VÄSTERBOTTENS LÄN</t>
        </is>
      </c>
      <c r="E3130" t="inlineStr">
        <is>
          <t>SKELLEFTEÅ</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31392-2024</t>
        </is>
      </c>
      <c r="B3131" s="1" t="n">
        <v>45505</v>
      </c>
      <c r="C3131" s="1" t="n">
        <v>45760</v>
      </c>
      <c r="D3131" t="inlineStr">
        <is>
          <t>VÄSTERBOTTENS LÄN</t>
        </is>
      </c>
      <c r="E3131" t="inlineStr">
        <is>
          <t>SKELLEFTEÅ</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31384-2024</t>
        </is>
      </c>
      <c r="B3132" s="1" t="n">
        <v>45505</v>
      </c>
      <c r="C3132" s="1" t="n">
        <v>45760</v>
      </c>
      <c r="D3132" t="inlineStr">
        <is>
          <t>VÄSTERBOTTENS LÄN</t>
        </is>
      </c>
      <c r="E3132" t="inlineStr">
        <is>
          <t>SKELLEFTEÅ</t>
        </is>
      </c>
      <c r="G3132" t="n">
        <v>19.9</v>
      </c>
      <c r="H3132" t="n">
        <v>0</v>
      </c>
      <c r="I3132" t="n">
        <v>0</v>
      </c>
      <c r="J3132" t="n">
        <v>0</v>
      </c>
      <c r="K3132" t="n">
        <v>0</v>
      </c>
      <c r="L3132" t="n">
        <v>0</v>
      </c>
      <c r="M3132" t="n">
        <v>0</v>
      </c>
      <c r="N3132" t="n">
        <v>0</v>
      </c>
      <c r="O3132" t="n">
        <v>0</v>
      </c>
      <c r="P3132" t="n">
        <v>0</v>
      </c>
      <c r="Q3132" t="n">
        <v>0</v>
      </c>
      <c r="R3132" s="2" t="inlineStr"/>
    </row>
    <row r="3133" ht="15" customHeight="1">
      <c r="A3133" t="inlineStr">
        <is>
          <t>A 31689-2024</t>
        </is>
      </c>
      <c r="B3133" s="1" t="n">
        <v>45507</v>
      </c>
      <c r="C3133" s="1" t="n">
        <v>45760</v>
      </c>
      <c r="D3133" t="inlineStr">
        <is>
          <t>VÄSTERBOTTENS LÄN</t>
        </is>
      </c>
      <c r="E3133" t="inlineStr">
        <is>
          <t>SKELLEFTEÅ</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31809-2024</t>
        </is>
      </c>
      <c r="B3134" s="1" t="n">
        <v>45509</v>
      </c>
      <c r="C3134" s="1" t="n">
        <v>45760</v>
      </c>
      <c r="D3134" t="inlineStr">
        <is>
          <t>VÄSTERBOTTENS LÄN</t>
        </is>
      </c>
      <c r="E3134" t="inlineStr">
        <is>
          <t>SKELLEFTEÅ</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31872-2024</t>
        </is>
      </c>
      <c r="B3135" s="1" t="n">
        <v>45510</v>
      </c>
      <c r="C3135" s="1" t="n">
        <v>45760</v>
      </c>
      <c r="D3135" t="inlineStr">
        <is>
          <t>VÄSTERBOTTENS LÄN</t>
        </is>
      </c>
      <c r="E3135" t="inlineStr">
        <is>
          <t>SKELLEFTEÅ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31871-2024</t>
        </is>
      </c>
      <c r="B3136" s="1" t="n">
        <v>45510</v>
      </c>
      <c r="C3136" s="1" t="n">
        <v>45760</v>
      </c>
      <c r="D3136" t="inlineStr">
        <is>
          <t>VÄSTERBOTTENS LÄN</t>
        </is>
      </c>
      <c r="E3136" t="inlineStr">
        <is>
          <t>SKELLEFTEÅ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31874-2024</t>
        </is>
      </c>
      <c r="B3137" s="1" t="n">
        <v>45509</v>
      </c>
      <c r="C3137" s="1" t="n">
        <v>45760</v>
      </c>
      <c r="D3137" t="inlineStr">
        <is>
          <t>VÄSTERBOTTENS LÄN</t>
        </is>
      </c>
      <c r="E3137" t="inlineStr">
        <is>
          <t>SKELLEFTEÅ</t>
        </is>
      </c>
      <c r="G3137" t="n">
        <v>137.5</v>
      </c>
      <c r="H3137" t="n">
        <v>0</v>
      </c>
      <c r="I3137" t="n">
        <v>0</v>
      </c>
      <c r="J3137" t="n">
        <v>0</v>
      </c>
      <c r="K3137" t="n">
        <v>0</v>
      </c>
      <c r="L3137" t="n">
        <v>0</v>
      </c>
      <c r="M3137" t="n">
        <v>0</v>
      </c>
      <c r="N3137" t="n">
        <v>0</v>
      </c>
      <c r="O3137" t="n">
        <v>0</v>
      </c>
      <c r="P3137" t="n">
        <v>0</v>
      </c>
      <c r="Q3137" t="n">
        <v>0</v>
      </c>
      <c r="R3137" s="2" t="inlineStr"/>
    </row>
    <row r="3138" ht="15" customHeight="1">
      <c r="A3138" t="inlineStr">
        <is>
          <t>A 31975-2024</t>
        </is>
      </c>
      <c r="B3138" s="1" t="n">
        <v>45510</v>
      </c>
      <c r="C3138" s="1" t="n">
        <v>45760</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31966-2024</t>
        </is>
      </c>
      <c r="B3139" s="1" t="n">
        <v>45510</v>
      </c>
      <c r="C3139" s="1" t="n">
        <v>45760</v>
      </c>
      <c r="D3139" t="inlineStr">
        <is>
          <t>VÄSTERBOTTENS LÄN</t>
        </is>
      </c>
      <c r="E3139" t="inlineStr">
        <is>
          <t>SKELLEFTEÅ</t>
        </is>
      </c>
      <c r="F3139" t="inlineStr">
        <is>
          <t>Holmen skog AB</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32217-2024</t>
        </is>
      </c>
      <c r="B3140" s="1" t="n">
        <v>45512</v>
      </c>
      <c r="C3140" s="1" t="n">
        <v>45760</v>
      </c>
      <c r="D3140" t="inlineStr">
        <is>
          <t>VÄSTERBOTTENS LÄN</t>
        </is>
      </c>
      <c r="E3140" t="inlineStr">
        <is>
          <t>SKELLEFTEÅ</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32298-2024</t>
        </is>
      </c>
      <c r="B3141" s="1" t="n">
        <v>45512</v>
      </c>
      <c r="C3141" s="1" t="n">
        <v>45760</v>
      </c>
      <c r="D3141" t="inlineStr">
        <is>
          <t>VÄSTERBOTTENS LÄN</t>
        </is>
      </c>
      <c r="E3141" t="inlineStr">
        <is>
          <t>SKELLEFTEÅ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32499-2024</t>
        </is>
      </c>
      <c r="B3142" s="1" t="n">
        <v>45513</v>
      </c>
      <c r="C3142" s="1" t="n">
        <v>45760</v>
      </c>
      <c r="D3142" t="inlineStr">
        <is>
          <t>VÄSTERBOTTENS LÄN</t>
        </is>
      </c>
      <c r="E3142" t="inlineStr">
        <is>
          <t>SKELLEFTEÅ</t>
        </is>
      </c>
      <c r="F3142" t="inlineStr">
        <is>
          <t>Holmen skog AB</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32593-2024</t>
        </is>
      </c>
      <c r="B3143" s="1" t="n">
        <v>45513</v>
      </c>
      <c r="C3143" s="1" t="n">
        <v>45760</v>
      </c>
      <c r="D3143" t="inlineStr">
        <is>
          <t>VÄSTERBOTTENS LÄN</t>
        </is>
      </c>
      <c r="E3143" t="inlineStr">
        <is>
          <t>SKELLEFTEÅ</t>
        </is>
      </c>
      <c r="F3143" t="inlineStr">
        <is>
          <t>Holmen skog AB</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32914-2024</t>
        </is>
      </c>
      <c r="B3144" s="1" t="n">
        <v>45517</v>
      </c>
      <c r="C3144" s="1" t="n">
        <v>45760</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32918-2024</t>
        </is>
      </c>
      <c r="B3145" s="1" t="n">
        <v>45517</v>
      </c>
      <c r="C3145" s="1" t="n">
        <v>45760</v>
      </c>
      <c r="D3145" t="inlineStr">
        <is>
          <t>VÄSTERBOTTENS LÄN</t>
        </is>
      </c>
      <c r="E3145" t="inlineStr">
        <is>
          <t>SKELLEFTEÅ</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32917-2024</t>
        </is>
      </c>
      <c r="B3146" s="1" t="n">
        <v>45517</v>
      </c>
      <c r="C3146" s="1" t="n">
        <v>45760</v>
      </c>
      <c r="D3146" t="inlineStr">
        <is>
          <t>VÄSTERBOTTENS LÄN</t>
        </is>
      </c>
      <c r="E3146" t="inlineStr">
        <is>
          <t>SKELLEFTEÅ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32916-2024</t>
        </is>
      </c>
      <c r="B3147" s="1" t="n">
        <v>45517</v>
      </c>
      <c r="C3147" s="1" t="n">
        <v>45760</v>
      </c>
      <c r="D3147" t="inlineStr">
        <is>
          <t>VÄSTERBOTTENS LÄN</t>
        </is>
      </c>
      <c r="E3147" t="inlineStr">
        <is>
          <t>SKELLEFTEÅ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32709-2024</t>
        </is>
      </c>
      <c r="B3148" s="1" t="n">
        <v>45516</v>
      </c>
      <c r="C3148" s="1" t="n">
        <v>45760</v>
      </c>
      <c r="D3148" t="inlineStr">
        <is>
          <t>VÄSTERBOTTENS LÄN</t>
        </is>
      </c>
      <c r="E3148" t="inlineStr">
        <is>
          <t>SKELLEFTEÅ</t>
        </is>
      </c>
      <c r="F3148" t="inlineStr">
        <is>
          <t>Holmen skog AB</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32919-2024</t>
        </is>
      </c>
      <c r="B3149" s="1" t="n">
        <v>45517</v>
      </c>
      <c r="C3149" s="1" t="n">
        <v>45760</v>
      </c>
      <c r="D3149" t="inlineStr">
        <is>
          <t>VÄSTERBOTTENS LÄN</t>
        </is>
      </c>
      <c r="E3149" t="inlineStr">
        <is>
          <t>SKELLEFTEÅ</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33109-2024</t>
        </is>
      </c>
      <c r="B3150" s="1" t="n">
        <v>45517</v>
      </c>
      <c r="C3150" s="1" t="n">
        <v>45760</v>
      </c>
      <c r="D3150" t="inlineStr">
        <is>
          <t>VÄSTERBOTTENS LÄN</t>
        </is>
      </c>
      <c r="E3150" t="inlineStr">
        <is>
          <t>SKELLEFTEÅ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33204-2024</t>
        </is>
      </c>
      <c r="B3151" s="1" t="n">
        <v>45518</v>
      </c>
      <c r="C3151" s="1" t="n">
        <v>45760</v>
      </c>
      <c r="D3151" t="inlineStr">
        <is>
          <t>VÄSTERBOTTENS LÄN</t>
        </is>
      </c>
      <c r="E3151" t="inlineStr">
        <is>
          <t>SKELLEFTEÅ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33530-2024</t>
        </is>
      </c>
      <c r="B3152" s="1" t="n">
        <v>45519</v>
      </c>
      <c r="C3152" s="1" t="n">
        <v>45760</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33538-2024</t>
        </is>
      </c>
      <c r="B3153" s="1" t="n">
        <v>45519</v>
      </c>
      <c r="C3153" s="1" t="n">
        <v>45760</v>
      </c>
      <c r="D3153" t="inlineStr">
        <is>
          <t>VÄSTERBOTTENS LÄN</t>
        </is>
      </c>
      <c r="E3153" t="inlineStr">
        <is>
          <t>SKELLEFTEÅ</t>
        </is>
      </c>
      <c r="F3153" t="inlineStr">
        <is>
          <t>Holmen skog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33442-2024</t>
        </is>
      </c>
      <c r="B3154" s="1" t="n">
        <v>45519</v>
      </c>
      <c r="C3154" s="1" t="n">
        <v>45760</v>
      </c>
      <c r="D3154" t="inlineStr">
        <is>
          <t>VÄSTERBOTTENS LÄN</t>
        </is>
      </c>
      <c r="E3154" t="inlineStr">
        <is>
          <t>SKELLEFTEÅ</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33543-2024</t>
        </is>
      </c>
      <c r="B3155" s="1" t="n">
        <v>45519</v>
      </c>
      <c r="C3155" s="1" t="n">
        <v>45760</v>
      </c>
      <c r="D3155" t="inlineStr">
        <is>
          <t>VÄSTERBOTTENS LÄN</t>
        </is>
      </c>
      <c r="E3155" t="inlineStr">
        <is>
          <t>SKELLEFTEÅ</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33528-2024</t>
        </is>
      </c>
      <c r="B3156" s="1" t="n">
        <v>45519</v>
      </c>
      <c r="C3156" s="1" t="n">
        <v>45760</v>
      </c>
      <c r="D3156" t="inlineStr">
        <is>
          <t>VÄSTERBOTTENS LÄN</t>
        </is>
      </c>
      <c r="E3156" t="inlineStr">
        <is>
          <t>SKELLEFTEÅ</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33785-2024</t>
        </is>
      </c>
      <c r="B3157" s="1" t="n">
        <v>45520</v>
      </c>
      <c r="C3157" s="1" t="n">
        <v>45760</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33776-2024</t>
        </is>
      </c>
      <c r="B3158" s="1" t="n">
        <v>45520</v>
      </c>
      <c r="C3158" s="1" t="n">
        <v>45760</v>
      </c>
      <c r="D3158" t="inlineStr">
        <is>
          <t>VÄSTERBOTTENS LÄN</t>
        </is>
      </c>
      <c r="E3158" t="inlineStr">
        <is>
          <t>SKELLEFTEÅ</t>
        </is>
      </c>
      <c r="F3158" t="inlineStr">
        <is>
          <t>Sveaskog</t>
        </is>
      </c>
      <c r="G3158" t="n">
        <v>16.4</v>
      </c>
      <c r="H3158" t="n">
        <v>0</v>
      </c>
      <c r="I3158" t="n">
        <v>0</v>
      </c>
      <c r="J3158" t="n">
        <v>0</v>
      </c>
      <c r="K3158" t="n">
        <v>0</v>
      </c>
      <c r="L3158" t="n">
        <v>0</v>
      </c>
      <c r="M3158" t="n">
        <v>0</v>
      </c>
      <c r="N3158" t="n">
        <v>0</v>
      </c>
      <c r="O3158" t="n">
        <v>0</v>
      </c>
      <c r="P3158" t="n">
        <v>0</v>
      </c>
      <c r="Q3158" t="n">
        <v>0</v>
      </c>
      <c r="R3158" s="2" t="inlineStr"/>
    </row>
    <row r="3159" ht="15" customHeight="1">
      <c r="A3159" t="inlineStr">
        <is>
          <t>A 34242-2024</t>
        </is>
      </c>
      <c r="B3159" s="1" t="n">
        <v>45524</v>
      </c>
      <c r="C3159" s="1" t="n">
        <v>45760</v>
      </c>
      <c r="D3159" t="inlineStr">
        <is>
          <t>VÄSTERBOTTENS LÄN</t>
        </is>
      </c>
      <c r="E3159" t="inlineStr">
        <is>
          <t>SKELLEFTEÅ</t>
        </is>
      </c>
      <c r="F3159" t="inlineStr">
        <is>
          <t>Sveaskog</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34158-2024</t>
        </is>
      </c>
      <c r="B3160" s="1" t="n">
        <v>45524</v>
      </c>
      <c r="C3160" s="1" t="n">
        <v>45760</v>
      </c>
      <c r="D3160" t="inlineStr">
        <is>
          <t>VÄSTERBOTTENS LÄN</t>
        </is>
      </c>
      <c r="E3160" t="inlineStr">
        <is>
          <t>SKELLEFTEÅ</t>
        </is>
      </c>
      <c r="F3160" t="inlineStr">
        <is>
          <t>Sveaskog</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34332-2024</t>
        </is>
      </c>
      <c r="B3161" s="1" t="n">
        <v>45524</v>
      </c>
      <c r="C3161" s="1" t="n">
        <v>45760</v>
      </c>
      <c r="D3161" t="inlineStr">
        <is>
          <t>VÄSTERBOTTENS LÄN</t>
        </is>
      </c>
      <c r="E3161" t="inlineStr">
        <is>
          <t>SKELLEFTEÅ</t>
        </is>
      </c>
      <c r="F3161" t="inlineStr">
        <is>
          <t>Sveaskog</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34614-2024</t>
        </is>
      </c>
      <c r="B3162" s="1" t="n">
        <v>45526</v>
      </c>
      <c r="C3162" s="1" t="n">
        <v>45760</v>
      </c>
      <c r="D3162" t="inlineStr">
        <is>
          <t>VÄSTERBOTTENS LÄN</t>
        </is>
      </c>
      <c r="E3162" t="inlineStr">
        <is>
          <t>SKELLEFTEÅ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34622-2024</t>
        </is>
      </c>
      <c r="B3163" s="1" t="n">
        <v>45526</v>
      </c>
      <c r="C3163" s="1" t="n">
        <v>45760</v>
      </c>
      <c r="D3163" t="inlineStr">
        <is>
          <t>VÄSTERBOTTENS LÄN</t>
        </is>
      </c>
      <c r="E3163" t="inlineStr">
        <is>
          <t>SKELLEFTEÅ</t>
        </is>
      </c>
      <c r="F3163" t="inlineStr">
        <is>
          <t>Holmen skog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34631-2024</t>
        </is>
      </c>
      <c r="B3164" s="1" t="n">
        <v>45526</v>
      </c>
      <c r="C3164" s="1" t="n">
        <v>45760</v>
      </c>
      <c r="D3164" t="inlineStr">
        <is>
          <t>VÄSTERBOTTENS LÄN</t>
        </is>
      </c>
      <c r="E3164" t="inlineStr">
        <is>
          <t>SKELLEFTEÅ</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34644-2024</t>
        </is>
      </c>
      <c r="B3165" s="1" t="n">
        <v>45526</v>
      </c>
      <c r="C3165" s="1" t="n">
        <v>45760</v>
      </c>
      <c r="D3165" t="inlineStr">
        <is>
          <t>VÄSTERBOTTENS LÄN</t>
        </is>
      </c>
      <c r="E3165" t="inlineStr">
        <is>
          <t>SKELLEFTEÅ</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34821-2024</t>
        </is>
      </c>
      <c r="B3166" s="1" t="n">
        <v>45526</v>
      </c>
      <c r="C3166" s="1" t="n">
        <v>45760</v>
      </c>
      <c r="D3166" t="inlineStr">
        <is>
          <t>VÄSTERBOTTENS LÄN</t>
        </is>
      </c>
      <c r="E3166" t="inlineStr">
        <is>
          <t>SKELLEFTEÅ</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34615-2024</t>
        </is>
      </c>
      <c r="B3167" s="1" t="n">
        <v>45526</v>
      </c>
      <c r="C3167" s="1" t="n">
        <v>45760</v>
      </c>
      <c r="D3167" t="inlineStr">
        <is>
          <t>VÄSTERBOTTENS LÄN</t>
        </is>
      </c>
      <c r="E3167" t="inlineStr">
        <is>
          <t>SKELLEFTEÅ</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34713-2024</t>
        </is>
      </c>
      <c r="B3168" s="1" t="n">
        <v>45526</v>
      </c>
      <c r="C3168" s="1" t="n">
        <v>45760</v>
      </c>
      <c r="D3168" t="inlineStr">
        <is>
          <t>VÄSTERBOTTENS LÄN</t>
        </is>
      </c>
      <c r="E3168" t="inlineStr">
        <is>
          <t>SKELLEFTEÅ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34714-2024</t>
        </is>
      </c>
      <c r="B3169" s="1" t="n">
        <v>45526</v>
      </c>
      <c r="C3169" s="1" t="n">
        <v>45760</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34694-2024</t>
        </is>
      </c>
      <c r="B3170" s="1" t="n">
        <v>45526</v>
      </c>
      <c r="C3170" s="1" t="n">
        <v>45760</v>
      </c>
      <c r="D3170" t="inlineStr">
        <is>
          <t>VÄSTERBOTTENS LÄN</t>
        </is>
      </c>
      <c r="E3170" t="inlineStr">
        <is>
          <t>SKELLEFTEÅ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34690-2024</t>
        </is>
      </c>
      <c r="B3171" s="1" t="n">
        <v>45526</v>
      </c>
      <c r="C3171" s="1" t="n">
        <v>45760</v>
      </c>
      <c r="D3171" t="inlineStr">
        <is>
          <t>VÄSTERBOTTENS LÄN</t>
        </is>
      </c>
      <c r="E3171" t="inlineStr">
        <is>
          <t>SKELLEFTEÅ</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34608-2024</t>
        </is>
      </c>
      <c r="B3172" s="1" t="n">
        <v>45526</v>
      </c>
      <c r="C3172" s="1" t="n">
        <v>45760</v>
      </c>
      <c r="D3172" t="inlineStr">
        <is>
          <t>VÄSTERBOTTENS LÄN</t>
        </is>
      </c>
      <c r="E3172" t="inlineStr">
        <is>
          <t>SKELLEFTEÅ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34739-2024</t>
        </is>
      </c>
      <c r="B3173" s="1" t="n">
        <v>45526</v>
      </c>
      <c r="C3173" s="1" t="n">
        <v>45760</v>
      </c>
      <c r="D3173" t="inlineStr">
        <is>
          <t>VÄSTERBOTTENS LÄN</t>
        </is>
      </c>
      <c r="E3173" t="inlineStr">
        <is>
          <t>SKELLEFTEÅ</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35035-2024</t>
        </is>
      </c>
      <c r="B3174" s="1" t="n">
        <v>45527</v>
      </c>
      <c r="C3174" s="1" t="n">
        <v>45760</v>
      </c>
      <c r="D3174" t="inlineStr">
        <is>
          <t>VÄSTERBOTTENS LÄN</t>
        </is>
      </c>
      <c r="E3174" t="inlineStr">
        <is>
          <t>SKELLEFTEÅ</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34874-2024</t>
        </is>
      </c>
      <c r="B3175" s="1" t="n">
        <v>45527</v>
      </c>
      <c r="C3175" s="1" t="n">
        <v>45760</v>
      </c>
      <c r="D3175" t="inlineStr">
        <is>
          <t>VÄSTERBOTTENS LÄN</t>
        </is>
      </c>
      <c r="E3175" t="inlineStr">
        <is>
          <t>SKELLEFTEÅ</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34998-2024</t>
        </is>
      </c>
      <c r="B3176" s="1" t="n">
        <v>45527</v>
      </c>
      <c r="C3176" s="1" t="n">
        <v>45760</v>
      </c>
      <c r="D3176" t="inlineStr">
        <is>
          <t>VÄSTERBOTTENS LÄN</t>
        </is>
      </c>
      <c r="E3176" t="inlineStr">
        <is>
          <t>SKELLEFTEÅ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35114-2024</t>
        </is>
      </c>
      <c r="B3177" s="1" t="n">
        <v>45530</v>
      </c>
      <c r="C3177" s="1" t="n">
        <v>45760</v>
      </c>
      <c r="D3177" t="inlineStr">
        <is>
          <t>VÄSTERBOTTENS LÄN</t>
        </is>
      </c>
      <c r="E3177" t="inlineStr">
        <is>
          <t>SKELLEFTEÅ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35213-2024</t>
        </is>
      </c>
      <c r="B3178" s="1" t="n">
        <v>45530</v>
      </c>
      <c r="C3178" s="1" t="n">
        <v>45760</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35135-2024</t>
        </is>
      </c>
      <c r="B3179" s="1" t="n">
        <v>45530</v>
      </c>
      <c r="C3179" s="1" t="n">
        <v>45760</v>
      </c>
      <c r="D3179" t="inlineStr">
        <is>
          <t>VÄSTERBOTTENS LÄN</t>
        </is>
      </c>
      <c r="E3179" t="inlineStr">
        <is>
          <t>SKELLEFTEÅ</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35168-2024</t>
        </is>
      </c>
      <c r="B3180" s="1" t="n">
        <v>45530</v>
      </c>
      <c r="C3180" s="1" t="n">
        <v>45760</v>
      </c>
      <c r="D3180" t="inlineStr">
        <is>
          <t>VÄSTERBOTTENS LÄN</t>
        </is>
      </c>
      <c r="E3180" t="inlineStr">
        <is>
          <t>SKELLEFTEÅ</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35216-2024</t>
        </is>
      </c>
      <c r="B3181" s="1" t="n">
        <v>45530</v>
      </c>
      <c r="C3181" s="1" t="n">
        <v>45760</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35208-2024</t>
        </is>
      </c>
      <c r="B3182" s="1" t="n">
        <v>45530</v>
      </c>
      <c r="C3182" s="1" t="n">
        <v>45760</v>
      </c>
      <c r="D3182" t="inlineStr">
        <is>
          <t>VÄSTERBOTTENS LÄN</t>
        </is>
      </c>
      <c r="E3182" t="inlineStr">
        <is>
          <t>SKELLEFTEÅ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35435-2024</t>
        </is>
      </c>
      <c r="B3183" s="1" t="n">
        <v>45531</v>
      </c>
      <c r="C3183" s="1" t="n">
        <v>45760</v>
      </c>
      <c r="D3183" t="inlineStr">
        <is>
          <t>VÄSTERBOTTENS LÄN</t>
        </is>
      </c>
      <c r="E3183" t="inlineStr">
        <is>
          <t>SKELLEFTEÅ</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35800-2024</t>
        </is>
      </c>
      <c r="B3184" s="1" t="n">
        <v>45532</v>
      </c>
      <c r="C3184" s="1" t="n">
        <v>45760</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35807-2024</t>
        </is>
      </c>
      <c r="B3185" s="1" t="n">
        <v>45532</v>
      </c>
      <c r="C3185" s="1" t="n">
        <v>45760</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35881-2024</t>
        </is>
      </c>
      <c r="B3186" s="1" t="n">
        <v>45533</v>
      </c>
      <c r="C3186" s="1" t="n">
        <v>45760</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35880-2024</t>
        </is>
      </c>
      <c r="B3187" s="1" t="n">
        <v>45533</v>
      </c>
      <c r="C3187" s="1" t="n">
        <v>45760</v>
      </c>
      <c r="D3187" t="inlineStr">
        <is>
          <t>VÄSTERBOTTENS LÄN</t>
        </is>
      </c>
      <c r="E3187" t="inlineStr">
        <is>
          <t>SKELLEFTEÅ</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36201-2024</t>
        </is>
      </c>
      <c r="B3188" s="1" t="n">
        <v>45534</v>
      </c>
      <c r="C3188" s="1" t="n">
        <v>45760</v>
      </c>
      <c r="D3188" t="inlineStr">
        <is>
          <t>VÄSTERBOTTENS LÄN</t>
        </is>
      </c>
      <c r="E3188" t="inlineStr">
        <is>
          <t>SKELLEFTEÅ</t>
        </is>
      </c>
      <c r="F3188" t="inlineStr">
        <is>
          <t>Holmen skog AB</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36213-2024</t>
        </is>
      </c>
      <c r="B3189" s="1" t="n">
        <v>45534</v>
      </c>
      <c r="C3189" s="1" t="n">
        <v>45760</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36122-2024</t>
        </is>
      </c>
      <c r="B3190" s="1" t="n">
        <v>45534</v>
      </c>
      <c r="C3190" s="1" t="n">
        <v>45760</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36222-2024</t>
        </is>
      </c>
      <c r="B3191" s="1" t="n">
        <v>45534</v>
      </c>
      <c r="C3191" s="1" t="n">
        <v>45760</v>
      </c>
      <c r="D3191" t="inlineStr">
        <is>
          <t>VÄSTERBOTTENS LÄN</t>
        </is>
      </c>
      <c r="E3191" t="inlineStr">
        <is>
          <t>SKELLEFTEÅ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36216-2024</t>
        </is>
      </c>
      <c r="B3192" s="1" t="n">
        <v>45534</v>
      </c>
      <c r="C3192" s="1" t="n">
        <v>45760</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36297-2024</t>
        </is>
      </c>
      <c r="B3193" s="1" t="n">
        <v>45534</v>
      </c>
      <c r="C3193" s="1" t="n">
        <v>45760</v>
      </c>
      <c r="D3193" t="inlineStr">
        <is>
          <t>VÄSTERBOTTENS LÄN</t>
        </is>
      </c>
      <c r="E3193" t="inlineStr">
        <is>
          <t>SKELLEFTEÅ</t>
        </is>
      </c>
      <c r="F3193" t="inlineStr">
        <is>
          <t>Sveaskog</t>
        </is>
      </c>
      <c r="G3193" t="n">
        <v>20.9</v>
      </c>
      <c r="H3193" t="n">
        <v>0</v>
      </c>
      <c r="I3193" t="n">
        <v>0</v>
      </c>
      <c r="J3193" t="n">
        <v>0</v>
      </c>
      <c r="K3193" t="n">
        <v>0</v>
      </c>
      <c r="L3193" t="n">
        <v>0</v>
      </c>
      <c r="M3193" t="n">
        <v>0</v>
      </c>
      <c r="N3193" t="n">
        <v>0</v>
      </c>
      <c r="O3193" t="n">
        <v>0</v>
      </c>
      <c r="P3193" t="n">
        <v>0</v>
      </c>
      <c r="Q3193" t="n">
        <v>0</v>
      </c>
      <c r="R3193" s="2" t="inlineStr"/>
    </row>
    <row r="3194" ht="15" customHeight="1">
      <c r="A3194" t="inlineStr">
        <is>
          <t>A 36329-2024</t>
        </is>
      </c>
      <c r="B3194" s="1" t="n">
        <v>45534</v>
      </c>
      <c r="C3194" s="1" t="n">
        <v>45760</v>
      </c>
      <c r="D3194" t="inlineStr">
        <is>
          <t>VÄSTERBOTTENS LÄN</t>
        </is>
      </c>
      <c r="E3194" t="inlineStr">
        <is>
          <t>SKELLEFTEÅ</t>
        </is>
      </c>
      <c r="F3194" t="inlineStr">
        <is>
          <t>Holmen skog AB</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36351-2024</t>
        </is>
      </c>
      <c r="B3195" s="1" t="n">
        <v>45534</v>
      </c>
      <c r="C3195" s="1" t="n">
        <v>45760</v>
      </c>
      <c r="D3195" t="inlineStr">
        <is>
          <t>VÄSTERBOTTENS LÄN</t>
        </is>
      </c>
      <c r="E3195" t="inlineStr">
        <is>
          <t>SKELLEFTEÅ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36379-2024</t>
        </is>
      </c>
      <c r="B3196" s="1" t="n">
        <v>45534</v>
      </c>
      <c r="C3196" s="1" t="n">
        <v>45760</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36339-2024</t>
        </is>
      </c>
      <c r="B3197" s="1" t="n">
        <v>45534</v>
      </c>
      <c r="C3197" s="1" t="n">
        <v>45760</v>
      </c>
      <c r="D3197" t="inlineStr">
        <is>
          <t>VÄSTERBOTTENS LÄN</t>
        </is>
      </c>
      <c r="E3197" t="inlineStr">
        <is>
          <t>SKELLEFTEÅ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36490-2024</t>
        </is>
      </c>
      <c r="B3198" s="1" t="n">
        <v>45537</v>
      </c>
      <c r="C3198" s="1" t="n">
        <v>45760</v>
      </c>
      <c r="D3198" t="inlineStr">
        <is>
          <t>VÄSTERBOTTENS LÄN</t>
        </is>
      </c>
      <c r="E3198" t="inlineStr">
        <is>
          <t>SKELLEFTEÅ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36546-2024</t>
        </is>
      </c>
      <c r="B3199" s="1" t="n">
        <v>45537</v>
      </c>
      <c r="C3199" s="1" t="n">
        <v>45760</v>
      </c>
      <c r="D3199" t="inlineStr">
        <is>
          <t>VÄSTERBOTTENS LÄN</t>
        </is>
      </c>
      <c r="E3199" t="inlineStr">
        <is>
          <t>SKELLEFTEÅ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36513-2024</t>
        </is>
      </c>
      <c r="B3200" s="1" t="n">
        <v>45537</v>
      </c>
      <c r="C3200" s="1" t="n">
        <v>45760</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36533-2024</t>
        </is>
      </c>
      <c r="B3201" s="1" t="n">
        <v>45537</v>
      </c>
      <c r="C3201" s="1" t="n">
        <v>45760</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36537-2024</t>
        </is>
      </c>
      <c r="B3202" s="1" t="n">
        <v>45537</v>
      </c>
      <c r="C3202" s="1" t="n">
        <v>45760</v>
      </c>
      <c r="D3202" t="inlineStr">
        <is>
          <t>VÄSTERBOTTENS LÄN</t>
        </is>
      </c>
      <c r="E3202" t="inlineStr">
        <is>
          <t>SKELLEFTEÅ</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36698-2024</t>
        </is>
      </c>
      <c r="B3203" s="1" t="n">
        <v>45537</v>
      </c>
      <c r="C3203" s="1" t="n">
        <v>45760</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36794-2024</t>
        </is>
      </c>
      <c r="B3204" s="1" t="n">
        <v>45538</v>
      </c>
      <c r="C3204" s="1" t="n">
        <v>45760</v>
      </c>
      <c r="D3204" t="inlineStr">
        <is>
          <t>VÄSTERBOTTENS LÄN</t>
        </is>
      </c>
      <c r="E3204" t="inlineStr">
        <is>
          <t>SKELLEFTEÅ</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36806-2024</t>
        </is>
      </c>
      <c r="B3205" s="1" t="n">
        <v>45538</v>
      </c>
      <c r="C3205" s="1" t="n">
        <v>45760</v>
      </c>
      <c r="D3205" t="inlineStr">
        <is>
          <t>VÄSTERBOTTENS LÄN</t>
        </is>
      </c>
      <c r="E3205" t="inlineStr">
        <is>
          <t>SKELLEFTEÅ</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36771-2024</t>
        </is>
      </c>
      <c r="B3206" s="1" t="n">
        <v>45538</v>
      </c>
      <c r="C3206" s="1" t="n">
        <v>45760</v>
      </c>
      <c r="D3206" t="inlineStr">
        <is>
          <t>VÄSTERBOTTENS LÄN</t>
        </is>
      </c>
      <c r="E3206" t="inlineStr">
        <is>
          <t>SKELLEFTEÅ</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36779-2024</t>
        </is>
      </c>
      <c r="B3207" s="1" t="n">
        <v>45538</v>
      </c>
      <c r="C3207" s="1" t="n">
        <v>45760</v>
      </c>
      <c r="D3207" t="inlineStr">
        <is>
          <t>VÄSTERBOTTENS LÄN</t>
        </is>
      </c>
      <c r="E3207" t="inlineStr">
        <is>
          <t>SKELLEFTEÅ</t>
        </is>
      </c>
      <c r="F3207" t="inlineStr">
        <is>
          <t>Holmen skog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36792-2024</t>
        </is>
      </c>
      <c r="B3208" s="1" t="n">
        <v>45538</v>
      </c>
      <c r="C3208" s="1" t="n">
        <v>45760</v>
      </c>
      <c r="D3208" t="inlineStr">
        <is>
          <t>VÄSTERBOTTENS LÄN</t>
        </is>
      </c>
      <c r="E3208" t="inlineStr">
        <is>
          <t>SKELLEFTEÅ</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36800-2024</t>
        </is>
      </c>
      <c r="B3209" s="1" t="n">
        <v>45538</v>
      </c>
      <c r="C3209" s="1" t="n">
        <v>45760</v>
      </c>
      <c r="D3209" t="inlineStr">
        <is>
          <t>VÄSTERBOTTENS LÄN</t>
        </is>
      </c>
      <c r="E3209" t="inlineStr">
        <is>
          <t>SKELLEFTEÅ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36823-2024</t>
        </is>
      </c>
      <c r="B3210" s="1" t="n">
        <v>45538</v>
      </c>
      <c r="C3210" s="1" t="n">
        <v>45760</v>
      </c>
      <c r="D3210" t="inlineStr">
        <is>
          <t>VÄSTERBOTTENS LÄN</t>
        </is>
      </c>
      <c r="E3210" t="inlineStr">
        <is>
          <t>SKELLEFTEÅ</t>
        </is>
      </c>
      <c r="F3210" t="inlineStr">
        <is>
          <t>Holmen skog AB</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36824-2024</t>
        </is>
      </c>
      <c r="B3211" s="1" t="n">
        <v>45538</v>
      </c>
      <c r="C3211" s="1" t="n">
        <v>45760</v>
      </c>
      <c r="D3211" t="inlineStr">
        <is>
          <t>VÄSTERBOTTENS LÄN</t>
        </is>
      </c>
      <c r="E3211" t="inlineStr">
        <is>
          <t>SKELLEFTEÅ</t>
        </is>
      </c>
      <c r="F3211" t="inlineStr">
        <is>
          <t>Sveaskog</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36867-2024</t>
        </is>
      </c>
      <c r="B3212" s="1" t="n">
        <v>45538</v>
      </c>
      <c r="C3212" s="1" t="n">
        <v>45760</v>
      </c>
      <c r="D3212" t="inlineStr">
        <is>
          <t>VÄSTERBOTTENS LÄN</t>
        </is>
      </c>
      <c r="E3212" t="inlineStr">
        <is>
          <t>SKELLEFTEÅ</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36895-2024</t>
        </is>
      </c>
      <c r="B3213" s="1" t="n">
        <v>45538</v>
      </c>
      <c r="C3213" s="1" t="n">
        <v>45760</v>
      </c>
      <c r="D3213" t="inlineStr">
        <is>
          <t>VÄSTERBOTTENS LÄN</t>
        </is>
      </c>
      <c r="E3213" t="inlineStr">
        <is>
          <t>SKELLEFTEÅ</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37139-2024</t>
        </is>
      </c>
      <c r="B3214" s="1" t="n">
        <v>45539</v>
      </c>
      <c r="C3214" s="1" t="n">
        <v>45760</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37298-2024</t>
        </is>
      </c>
      <c r="B3215" s="1" t="n">
        <v>45540</v>
      </c>
      <c r="C3215" s="1" t="n">
        <v>45760</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37320-2024</t>
        </is>
      </c>
      <c r="B3216" s="1" t="n">
        <v>45540</v>
      </c>
      <c r="C3216" s="1" t="n">
        <v>45760</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37499-2024</t>
        </is>
      </c>
      <c r="B3217" s="1" t="n">
        <v>45541</v>
      </c>
      <c r="C3217" s="1" t="n">
        <v>45760</v>
      </c>
      <c r="D3217" t="inlineStr">
        <is>
          <t>VÄSTERBOTTENS LÄN</t>
        </is>
      </c>
      <c r="E3217" t="inlineStr">
        <is>
          <t>SKELLEFTEÅ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37547-2024</t>
        </is>
      </c>
      <c r="B3218" s="1" t="n">
        <v>45541</v>
      </c>
      <c r="C3218" s="1" t="n">
        <v>45760</v>
      </c>
      <c r="D3218" t="inlineStr">
        <is>
          <t>VÄSTERBOTTENS LÄN</t>
        </is>
      </c>
      <c r="E3218" t="inlineStr">
        <is>
          <t>SKELLEFTEÅ</t>
        </is>
      </c>
      <c r="F3218" t="inlineStr">
        <is>
          <t>Holmen skog AB</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37760-2024</t>
        </is>
      </c>
      <c r="B3219" s="1" t="n">
        <v>45541</v>
      </c>
      <c r="C3219" s="1" t="n">
        <v>45760</v>
      </c>
      <c r="D3219" t="inlineStr">
        <is>
          <t>VÄSTERBOTTENS LÄN</t>
        </is>
      </c>
      <c r="E3219" t="inlineStr">
        <is>
          <t>SKELLEFTEÅ</t>
        </is>
      </c>
      <c r="F3219" t="inlineStr">
        <is>
          <t>Sveaskog</t>
        </is>
      </c>
      <c r="G3219" t="n">
        <v>27.6</v>
      </c>
      <c r="H3219" t="n">
        <v>0</v>
      </c>
      <c r="I3219" t="n">
        <v>0</v>
      </c>
      <c r="J3219" t="n">
        <v>0</v>
      </c>
      <c r="K3219" t="n">
        <v>0</v>
      </c>
      <c r="L3219" t="n">
        <v>0</v>
      </c>
      <c r="M3219" t="n">
        <v>0</v>
      </c>
      <c r="N3219" t="n">
        <v>0</v>
      </c>
      <c r="O3219" t="n">
        <v>0</v>
      </c>
      <c r="P3219" t="n">
        <v>0</v>
      </c>
      <c r="Q3219" t="n">
        <v>0</v>
      </c>
      <c r="R3219" s="2" t="inlineStr"/>
    </row>
    <row r="3220" ht="15" customHeight="1">
      <c r="A3220" t="inlineStr">
        <is>
          <t>A 37892-2024</t>
        </is>
      </c>
      <c r="B3220" s="1" t="n">
        <v>45544</v>
      </c>
      <c r="C3220" s="1" t="n">
        <v>45760</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37946-2024</t>
        </is>
      </c>
      <c r="B3221" s="1" t="n">
        <v>45544</v>
      </c>
      <c r="C3221" s="1" t="n">
        <v>45760</v>
      </c>
      <c r="D3221" t="inlineStr">
        <is>
          <t>VÄSTERBOTTENS LÄN</t>
        </is>
      </c>
      <c r="E3221" t="inlineStr">
        <is>
          <t>SKELLEFTEÅ</t>
        </is>
      </c>
      <c r="F3221" t="inlineStr">
        <is>
          <t>Holmen skog AB</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38023-2024</t>
        </is>
      </c>
      <c r="B3222" s="1" t="n">
        <v>45544</v>
      </c>
      <c r="C3222" s="1" t="n">
        <v>45760</v>
      </c>
      <c r="D3222" t="inlineStr">
        <is>
          <t>VÄSTERBOTTENS LÄN</t>
        </is>
      </c>
      <c r="E3222" t="inlineStr">
        <is>
          <t>SKELLEFTEÅ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38432-2024</t>
        </is>
      </c>
      <c r="B3223" s="1" t="n">
        <v>45546</v>
      </c>
      <c r="C3223" s="1" t="n">
        <v>45760</v>
      </c>
      <c r="D3223" t="inlineStr">
        <is>
          <t>VÄSTERBOTTENS LÄN</t>
        </is>
      </c>
      <c r="E3223" t="inlineStr">
        <is>
          <t>SKELLEFTEÅ</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38496-2024</t>
        </is>
      </c>
      <c r="B3224" s="1" t="n">
        <v>45546</v>
      </c>
      <c r="C3224" s="1" t="n">
        <v>45760</v>
      </c>
      <c r="D3224" t="inlineStr">
        <is>
          <t>VÄSTERBOTTENS LÄN</t>
        </is>
      </c>
      <c r="E3224" t="inlineStr">
        <is>
          <t>SKELLEFTEÅ</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38558-2024</t>
        </is>
      </c>
      <c r="B3225" s="1" t="n">
        <v>45546</v>
      </c>
      <c r="C3225" s="1" t="n">
        <v>45760</v>
      </c>
      <c r="D3225" t="inlineStr">
        <is>
          <t>VÄSTERBOTTENS LÄN</t>
        </is>
      </c>
      <c r="E3225" t="inlineStr">
        <is>
          <t>SKELLEFTEÅ</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38398-2024</t>
        </is>
      </c>
      <c r="B3226" s="1" t="n">
        <v>45546</v>
      </c>
      <c r="C3226" s="1" t="n">
        <v>45760</v>
      </c>
      <c r="D3226" t="inlineStr">
        <is>
          <t>VÄSTERBOTTENS LÄN</t>
        </is>
      </c>
      <c r="E3226" t="inlineStr">
        <is>
          <t>SKELLEFTEÅ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38430-2024</t>
        </is>
      </c>
      <c r="B3227" s="1" t="n">
        <v>45546</v>
      </c>
      <c r="C3227" s="1" t="n">
        <v>45760</v>
      </c>
      <c r="D3227" t="inlineStr">
        <is>
          <t>VÄSTERBOTTENS LÄN</t>
        </is>
      </c>
      <c r="E3227" t="inlineStr">
        <is>
          <t>SKELLEFTEÅ</t>
        </is>
      </c>
      <c r="F3227" t="inlineStr">
        <is>
          <t>Holmen skog AB</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38445-2024</t>
        </is>
      </c>
      <c r="B3228" s="1" t="n">
        <v>45546</v>
      </c>
      <c r="C3228" s="1" t="n">
        <v>45760</v>
      </c>
      <c r="D3228" t="inlineStr">
        <is>
          <t>VÄSTERBOTTENS LÄN</t>
        </is>
      </c>
      <c r="E3228" t="inlineStr">
        <is>
          <t>SKELLEFTEÅ</t>
        </is>
      </c>
      <c r="F3228" t="inlineStr">
        <is>
          <t>Holmen skog AB</t>
        </is>
      </c>
      <c r="G3228" t="n">
        <v>20.4</v>
      </c>
      <c r="H3228" t="n">
        <v>0</v>
      </c>
      <c r="I3228" t="n">
        <v>0</v>
      </c>
      <c r="J3228" t="n">
        <v>0</v>
      </c>
      <c r="K3228" t="n">
        <v>0</v>
      </c>
      <c r="L3228" t="n">
        <v>0</v>
      </c>
      <c r="M3228" t="n">
        <v>0</v>
      </c>
      <c r="N3228" t="n">
        <v>0</v>
      </c>
      <c r="O3228" t="n">
        <v>0</v>
      </c>
      <c r="P3228" t="n">
        <v>0</v>
      </c>
      <c r="Q3228" t="n">
        <v>0</v>
      </c>
      <c r="R3228" s="2" t="inlineStr"/>
    </row>
    <row r="3229" ht="15" customHeight="1">
      <c r="A3229" t="inlineStr">
        <is>
          <t>A 38493-2024</t>
        </is>
      </c>
      <c r="B3229" s="1" t="n">
        <v>45546</v>
      </c>
      <c r="C3229" s="1" t="n">
        <v>45760</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38503-2024</t>
        </is>
      </c>
      <c r="B3230" s="1" t="n">
        <v>45546</v>
      </c>
      <c r="C3230" s="1" t="n">
        <v>45760</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38532-2024</t>
        </is>
      </c>
      <c r="B3231" s="1" t="n">
        <v>45546</v>
      </c>
      <c r="C3231" s="1" t="n">
        <v>45760</v>
      </c>
      <c r="D3231" t="inlineStr">
        <is>
          <t>VÄSTERBOTTENS LÄN</t>
        </is>
      </c>
      <c r="E3231" t="inlineStr">
        <is>
          <t>SKELLEFTEÅ</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38568-2024</t>
        </is>
      </c>
      <c r="B3232" s="1" t="n">
        <v>45546</v>
      </c>
      <c r="C3232" s="1" t="n">
        <v>45760</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38588-2024</t>
        </is>
      </c>
      <c r="B3233" s="1" t="n">
        <v>45546</v>
      </c>
      <c r="C3233" s="1" t="n">
        <v>45760</v>
      </c>
      <c r="D3233" t="inlineStr">
        <is>
          <t>VÄSTERBOTTENS LÄN</t>
        </is>
      </c>
      <c r="E3233" t="inlineStr">
        <is>
          <t>SKELLEFTEÅ</t>
        </is>
      </c>
      <c r="F3233" t="inlineStr">
        <is>
          <t>Holmen skog AB</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38616-2024</t>
        </is>
      </c>
      <c r="B3234" s="1" t="n">
        <v>45546</v>
      </c>
      <c r="C3234" s="1" t="n">
        <v>45760</v>
      </c>
      <c r="D3234" t="inlineStr">
        <is>
          <t>VÄSTERBOTTENS LÄN</t>
        </is>
      </c>
      <c r="E3234" t="inlineStr">
        <is>
          <t>SKELLEFTEÅ</t>
        </is>
      </c>
      <c r="F3234" t="inlineStr">
        <is>
          <t>Holmen skog AB</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38620-2024</t>
        </is>
      </c>
      <c r="B3235" s="1" t="n">
        <v>45546</v>
      </c>
      <c r="C3235" s="1" t="n">
        <v>45760</v>
      </c>
      <c r="D3235" t="inlineStr">
        <is>
          <t>VÄSTERBOTTENS LÄN</t>
        </is>
      </c>
      <c r="E3235" t="inlineStr">
        <is>
          <t>SKELLEFTEÅ</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38637-2024</t>
        </is>
      </c>
      <c r="B3236" s="1" t="n">
        <v>45546</v>
      </c>
      <c r="C3236" s="1" t="n">
        <v>45760</v>
      </c>
      <c r="D3236" t="inlineStr">
        <is>
          <t>VÄSTERBOTTENS LÄN</t>
        </is>
      </c>
      <c r="E3236" t="inlineStr">
        <is>
          <t>SKELLEFTEÅ</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38635-2024</t>
        </is>
      </c>
      <c r="B3237" s="1" t="n">
        <v>45546</v>
      </c>
      <c r="C3237" s="1" t="n">
        <v>45760</v>
      </c>
      <c r="D3237" t="inlineStr">
        <is>
          <t>VÄSTERBOTTENS LÄN</t>
        </is>
      </c>
      <c r="E3237" t="inlineStr">
        <is>
          <t>SKELLEFTEÅ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38657-2024</t>
        </is>
      </c>
      <c r="B3238" s="1" t="n">
        <v>45546</v>
      </c>
      <c r="C3238" s="1" t="n">
        <v>45760</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38706-2024</t>
        </is>
      </c>
      <c r="B3239" s="1" t="n">
        <v>45547</v>
      </c>
      <c r="C3239" s="1" t="n">
        <v>45760</v>
      </c>
      <c r="D3239" t="inlineStr">
        <is>
          <t>VÄSTERBOTTENS LÄN</t>
        </is>
      </c>
      <c r="E3239" t="inlineStr">
        <is>
          <t>SKELLEFTEÅ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38935-2024</t>
        </is>
      </c>
      <c r="B3240" s="1" t="n">
        <v>45548</v>
      </c>
      <c r="C3240" s="1" t="n">
        <v>45760</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38957-2024</t>
        </is>
      </c>
      <c r="B3241" s="1" t="n">
        <v>45548</v>
      </c>
      <c r="C3241" s="1" t="n">
        <v>45760</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39054-2024</t>
        </is>
      </c>
      <c r="B3242" s="1" t="n">
        <v>45548</v>
      </c>
      <c r="C3242" s="1" t="n">
        <v>45760</v>
      </c>
      <c r="D3242" t="inlineStr">
        <is>
          <t>VÄSTERBOTTENS LÄN</t>
        </is>
      </c>
      <c r="E3242" t="inlineStr">
        <is>
          <t>SKELLEFTEÅ</t>
        </is>
      </c>
      <c r="F3242" t="inlineStr">
        <is>
          <t>Sveaskog</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39146-2024</t>
        </is>
      </c>
      <c r="B3243" s="1" t="n">
        <v>45548</v>
      </c>
      <c r="C3243" s="1" t="n">
        <v>45760</v>
      </c>
      <c r="D3243" t="inlineStr">
        <is>
          <t>VÄSTERBOTTENS LÄN</t>
        </is>
      </c>
      <c r="E3243" t="inlineStr">
        <is>
          <t>SKELLEFTEÅ</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39133-2024</t>
        </is>
      </c>
      <c r="B3244" s="1" t="n">
        <v>45548</v>
      </c>
      <c r="C3244" s="1" t="n">
        <v>45760</v>
      </c>
      <c r="D3244" t="inlineStr">
        <is>
          <t>VÄSTERBOTTENS LÄN</t>
        </is>
      </c>
      <c r="E3244" t="inlineStr">
        <is>
          <t>SKELLEFTEÅ</t>
        </is>
      </c>
      <c r="F3244" t="inlineStr">
        <is>
          <t>Sveaskog</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39371-2024</t>
        </is>
      </c>
      <c r="B3245" s="1" t="n">
        <v>45551</v>
      </c>
      <c r="C3245" s="1" t="n">
        <v>45760</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39444-2024</t>
        </is>
      </c>
      <c r="B3246" s="1" t="n">
        <v>45551</v>
      </c>
      <c r="C3246" s="1" t="n">
        <v>45760</v>
      </c>
      <c r="D3246" t="inlineStr">
        <is>
          <t>VÄSTERBOTTENS LÄN</t>
        </is>
      </c>
      <c r="E3246" t="inlineStr">
        <is>
          <t>SKELLEFTEÅ</t>
        </is>
      </c>
      <c r="F3246" t="inlineStr">
        <is>
          <t>Kommuner</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39465-2024</t>
        </is>
      </c>
      <c r="B3247" s="1" t="n">
        <v>45551</v>
      </c>
      <c r="C3247" s="1" t="n">
        <v>45760</v>
      </c>
      <c r="D3247" t="inlineStr">
        <is>
          <t>VÄSTERBOTTENS LÄN</t>
        </is>
      </c>
      <c r="E3247" t="inlineStr">
        <is>
          <t>SKELLEFTEÅ</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39464-2024</t>
        </is>
      </c>
      <c r="B3248" s="1" t="n">
        <v>45551</v>
      </c>
      <c r="C3248" s="1" t="n">
        <v>45760</v>
      </c>
      <c r="D3248" t="inlineStr">
        <is>
          <t>VÄSTERBOTTENS LÄN</t>
        </is>
      </c>
      <c r="E3248" t="inlineStr">
        <is>
          <t>SKELLEFTEÅ</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39468-2024</t>
        </is>
      </c>
      <c r="B3249" s="1" t="n">
        <v>45551</v>
      </c>
      <c r="C3249" s="1" t="n">
        <v>45760</v>
      </c>
      <c r="D3249" t="inlineStr">
        <is>
          <t>VÄSTERBOTTENS LÄN</t>
        </is>
      </c>
      <c r="E3249" t="inlineStr">
        <is>
          <t>SKELLEFTEÅ</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39690-2024</t>
        </is>
      </c>
      <c r="B3250" s="1" t="n">
        <v>45552</v>
      </c>
      <c r="C3250" s="1" t="n">
        <v>45760</v>
      </c>
      <c r="D3250" t="inlineStr">
        <is>
          <t>VÄSTERBOTTENS LÄN</t>
        </is>
      </c>
      <c r="E3250" t="inlineStr">
        <is>
          <t>SKELLEFTEÅ</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39765-2024</t>
        </is>
      </c>
      <c r="B3251" s="1" t="n">
        <v>45552</v>
      </c>
      <c r="C3251" s="1" t="n">
        <v>45760</v>
      </c>
      <c r="D3251" t="inlineStr">
        <is>
          <t>VÄSTERBOTTENS LÄN</t>
        </is>
      </c>
      <c r="E3251" t="inlineStr">
        <is>
          <t>SKELLEFTEÅ</t>
        </is>
      </c>
      <c r="F3251" t="inlineStr">
        <is>
          <t>Sveaskog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39691-2024</t>
        </is>
      </c>
      <c r="B3252" s="1" t="n">
        <v>45552</v>
      </c>
      <c r="C3252" s="1" t="n">
        <v>45760</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39794-2024</t>
        </is>
      </c>
      <c r="B3253" s="1" t="n">
        <v>45553</v>
      </c>
      <c r="C3253" s="1" t="n">
        <v>45760</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39852-2024</t>
        </is>
      </c>
      <c r="B3254" s="1" t="n">
        <v>45553</v>
      </c>
      <c r="C3254" s="1" t="n">
        <v>45760</v>
      </c>
      <c r="D3254" t="inlineStr">
        <is>
          <t>VÄSTERBOTTENS LÄN</t>
        </is>
      </c>
      <c r="E3254" t="inlineStr">
        <is>
          <t>SKELLEFTEÅ</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39870-2024</t>
        </is>
      </c>
      <c r="B3255" s="1" t="n">
        <v>45553</v>
      </c>
      <c r="C3255" s="1" t="n">
        <v>45760</v>
      </c>
      <c r="D3255" t="inlineStr">
        <is>
          <t>VÄSTERBOTTENS LÄN</t>
        </is>
      </c>
      <c r="E3255" t="inlineStr">
        <is>
          <t>SKELLEFTEÅ</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40072-2024</t>
        </is>
      </c>
      <c r="B3256" s="1" t="n">
        <v>45554</v>
      </c>
      <c r="C3256" s="1" t="n">
        <v>45760</v>
      </c>
      <c r="D3256" t="inlineStr">
        <is>
          <t>VÄSTERBOTTENS LÄN</t>
        </is>
      </c>
      <c r="E3256" t="inlineStr">
        <is>
          <t>SKELLEFTEÅ</t>
        </is>
      </c>
      <c r="F3256" t="inlineStr">
        <is>
          <t>Holmen skog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40205-2024</t>
        </is>
      </c>
      <c r="B3257" s="1" t="n">
        <v>45554</v>
      </c>
      <c r="C3257" s="1" t="n">
        <v>45760</v>
      </c>
      <c r="D3257" t="inlineStr">
        <is>
          <t>VÄSTERBOTTENS LÄN</t>
        </is>
      </c>
      <c r="E3257" t="inlineStr">
        <is>
          <t>SKELLEFTEÅ</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40118-2024</t>
        </is>
      </c>
      <c r="B3258" s="1" t="n">
        <v>45554</v>
      </c>
      <c r="C3258" s="1" t="n">
        <v>45760</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40122-2024</t>
        </is>
      </c>
      <c r="B3259" s="1" t="n">
        <v>45554</v>
      </c>
      <c r="C3259" s="1" t="n">
        <v>45760</v>
      </c>
      <c r="D3259" t="inlineStr">
        <is>
          <t>VÄSTERBOTTENS LÄN</t>
        </is>
      </c>
      <c r="E3259" t="inlineStr">
        <is>
          <t>SKELLEFTEÅ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40253-2024</t>
        </is>
      </c>
      <c r="B3260" s="1" t="n">
        <v>45554</v>
      </c>
      <c r="C3260" s="1" t="n">
        <v>45760</v>
      </c>
      <c r="D3260" t="inlineStr">
        <is>
          <t>VÄSTERBOTTENS LÄN</t>
        </is>
      </c>
      <c r="E3260" t="inlineStr">
        <is>
          <t>SKELLEFTEÅ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40093-2024</t>
        </is>
      </c>
      <c r="B3261" s="1" t="n">
        <v>45554</v>
      </c>
      <c r="C3261" s="1" t="n">
        <v>45760</v>
      </c>
      <c r="D3261" t="inlineStr">
        <is>
          <t>VÄSTERBOTTENS LÄN</t>
        </is>
      </c>
      <c r="E3261" t="inlineStr">
        <is>
          <t>SKELLEFTEÅ</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40198-2024</t>
        </is>
      </c>
      <c r="B3262" s="1" t="n">
        <v>45554</v>
      </c>
      <c r="C3262" s="1" t="n">
        <v>45760</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40248-2024</t>
        </is>
      </c>
      <c r="B3263" s="1" t="n">
        <v>45554</v>
      </c>
      <c r="C3263" s="1" t="n">
        <v>45760</v>
      </c>
      <c r="D3263" t="inlineStr">
        <is>
          <t>VÄSTERBOTTENS LÄN</t>
        </is>
      </c>
      <c r="E3263" t="inlineStr">
        <is>
          <t>SKELLEFTEÅ</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40183-2024</t>
        </is>
      </c>
      <c r="B3264" s="1" t="n">
        <v>45554</v>
      </c>
      <c r="C3264" s="1" t="n">
        <v>45760</v>
      </c>
      <c r="D3264" t="inlineStr">
        <is>
          <t>VÄSTERBOTTENS LÄN</t>
        </is>
      </c>
      <c r="E3264" t="inlineStr">
        <is>
          <t>SKELLEFTEÅ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40347-2024</t>
        </is>
      </c>
      <c r="B3265" s="1" t="n">
        <v>45555</v>
      </c>
      <c r="C3265" s="1" t="n">
        <v>45760</v>
      </c>
      <c r="D3265" t="inlineStr">
        <is>
          <t>VÄSTERBOTTENS LÄN</t>
        </is>
      </c>
      <c r="E3265" t="inlineStr">
        <is>
          <t>SKELLEFTEÅ</t>
        </is>
      </c>
      <c r="F3265" t="inlineStr">
        <is>
          <t>Kommuner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40511-2024</t>
        </is>
      </c>
      <c r="B3266" s="1" t="n">
        <v>45555</v>
      </c>
      <c r="C3266" s="1" t="n">
        <v>45760</v>
      </c>
      <c r="D3266" t="inlineStr">
        <is>
          <t>VÄSTERBOTTENS LÄN</t>
        </is>
      </c>
      <c r="E3266" t="inlineStr">
        <is>
          <t>SKELLEFTEÅ</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40653-2024</t>
        </is>
      </c>
      <c r="B3267" s="1" t="n">
        <v>45558</v>
      </c>
      <c r="C3267" s="1" t="n">
        <v>45760</v>
      </c>
      <c r="D3267" t="inlineStr">
        <is>
          <t>VÄSTERBOTTENS LÄN</t>
        </is>
      </c>
      <c r="E3267" t="inlineStr">
        <is>
          <t>SKELLEFTEÅ</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40787-2024</t>
        </is>
      </c>
      <c r="B3268" s="1" t="n">
        <v>45558</v>
      </c>
      <c r="C3268" s="1" t="n">
        <v>45760</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40800-2024</t>
        </is>
      </c>
      <c r="B3269" s="1" t="n">
        <v>45558</v>
      </c>
      <c r="C3269" s="1" t="n">
        <v>45760</v>
      </c>
      <c r="D3269" t="inlineStr">
        <is>
          <t>VÄSTERBOTTENS LÄN</t>
        </is>
      </c>
      <c r="E3269" t="inlineStr">
        <is>
          <t>SKELLEFTEÅ</t>
        </is>
      </c>
      <c r="F3269" t="inlineStr">
        <is>
          <t>Sveaskog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40857-2024</t>
        </is>
      </c>
      <c r="B3270" s="1" t="n">
        <v>45558</v>
      </c>
      <c r="C3270" s="1" t="n">
        <v>45760</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40967-2024</t>
        </is>
      </c>
      <c r="B3271" s="1" t="n">
        <v>45558</v>
      </c>
      <c r="C3271" s="1" t="n">
        <v>45760</v>
      </c>
      <c r="D3271" t="inlineStr">
        <is>
          <t>VÄSTERBOTTENS LÄN</t>
        </is>
      </c>
      <c r="E3271" t="inlineStr">
        <is>
          <t>SKELLEFTEÅ</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40966-2024</t>
        </is>
      </c>
      <c r="B3272" s="1" t="n">
        <v>45558</v>
      </c>
      <c r="C3272" s="1" t="n">
        <v>45760</v>
      </c>
      <c r="D3272" t="inlineStr">
        <is>
          <t>VÄSTERBOTTENS LÄN</t>
        </is>
      </c>
      <c r="E3272" t="inlineStr">
        <is>
          <t>SKELLEFTEÅ</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40798-2024</t>
        </is>
      </c>
      <c r="B3273" s="1" t="n">
        <v>45558</v>
      </c>
      <c r="C3273" s="1" t="n">
        <v>45760</v>
      </c>
      <c r="D3273" t="inlineStr">
        <is>
          <t>VÄSTERBOTTENS LÄN</t>
        </is>
      </c>
      <c r="E3273" t="inlineStr">
        <is>
          <t>SKELLEFTEÅ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40765-2024</t>
        </is>
      </c>
      <c r="B3274" s="1" t="n">
        <v>45558</v>
      </c>
      <c r="C3274" s="1" t="n">
        <v>45760</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40797-2024</t>
        </is>
      </c>
      <c r="B3275" s="1" t="n">
        <v>45558</v>
      </c>
      <c r="C3275" s="1" t="n">
        <v>45760</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40927-2024</t>
        </is>
      </c>
      <c r="B3276" s="1" t="n">
        <v>45558</v>
      </c>
      <c r="C3276" s="1" t="n">
        <v>45760</v>
      </c>
      <c r="D3276" t="inlineStr">
        <is>
          <t>VÄSTERBOTTENS LÄN</t>
        </is>
      </c>
      <c r="E3276" t="inlineStr">
        <is>
          <t>SKELLEFTEÅ</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41032-2024</t>
        </is>
      </c>
      <c r="B3277" s="1" t="n">
        <v>45558</v>
      </c>
      <c r="C3277" s="1" t="n">
        <v>45760</v>
      </c>
      <c r="D3277" t="inlineStr">
        <is>
          <t>VÄSTERBOTTENS LÄN</t>
        </is>
      </c>
      <c r="E3277" t="inlineStr">
        <is>
          <t>SKELLEFTEÅ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41038-2024</t>
        </is>
      </c>
      <c r="B3278" s="1" t="n">
        <v>45559</v>
      </c>
      <c r="C3278" s="1" t="n">
        <v>45760</v>
      </c>
      <c r="D3278" t="inlineStr">
        <is>
          <t>VÄSTERBOTTENS LÄN</t>
        </is>
      </c>
      <c r="E3278" t="inlineStr">
        <is>
          <t>SKELLEFTEÅ</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41056-2024</t>
        </is>
      </c>
      <c r="B3279" s="1" t="n">
        <v>45559</v>
      </c>
      <c r="C3279" s="1" t="n">
        <v>45760</v>
      </c>
      <c r="D3279" t="inlineStr">
        <is>
          <t>VÄSTERBOTTENS LÄN</t>
        </is>
      </c>
      <c r="E3279" t="inlineStr">
        <is>
          <t>SKELLEFTEÅ</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41064-2024</t>
        </is>
      </c>
      <c r="B3280" s="1" t="n">
        <v>45559</v>
      </c>
      <c r="C3280" s="1" t="n">
        <v>45760</v>
      </c>
      <c r="D3280" t="inlineStr">
        <is>
          <t>VÄSTERBOTTENS LÄN</t>
        </is>
      </c>
      <c r="E3280" t="inlineStr">
        <is>
          <t>SKELLEFTEÅ</t>
        </is>
      </c>
      <c r="F3280" t="inlineStr">
        <is>
          <t>Holmen skog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41072-2024</t>
        </is>
      </c>
      <c r="B3281" s="1" t="n">
        <v>45559</v>
      </c>
      <c r="C3281" s="1" t="n">
        <v>45760</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41112-2024</t>
        </is>
      </c>
      <c r="B3282" s="1" t="n">
        <v>45559</v>
      </c>
      <c r="C3282" s="1" t="n">
        <v>45760</v>
      </c>
      <c r="D3282" t="inlineStr">
        <is>
          <t>VÄSTERBOTTENS LÄN</t>
        </is>
      </c>
      <c r="E3282" t="inlineStr">
        <is>
          <t>SKELLEFTEÅ</t>
        </is>
      </c>
      <c r="F3282" t="inlineStr">
        <is>
          <t>Holmen skog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41133-2024</t>
        </is>
      </c>
      <c r="B3283" s="1" t="n">
        <v>45559</v>
      </c>
      <c r="C3283" s="1" t="n">
        <v>45760</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41231-2024</t>
        </is>
      </c>
      <c r="B3284" s="1" t="n">
        <v>45559</v>
      </c>
      <c r="C3284" s="1" t="n">
        <v>45760</v>
      </c>
      <c r="D3284" t="inlineStr">
        <is>
          <t>VÄSTERBOTTENS LÄN</t>
        </is>
      </c>
      <c r="E3284" t="inlineStr">
        <is>
          <t>SKELLEFTEÅ</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41190-2024</t>
        </is>
      </c>
      <c r="B3285" s="1" t="n">
        <v>45559</v>
      </c>
      <c r="C3285" s="1" t="n">
        <v>45760</v>
      </c>
      <c r="D3285" t="inlineStr">
        <is>
          <t>VÄSTERBOTTENS LÄN</t>
        </is>
      </c>
      <c r="E3285" t="inlineStr">
        <is>
          <t>SKELLEFTEÅ</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41198-2024</t>
        </is>
      </c>
      <c r="B3286" s="1" t="n">
        <v>45559</v>
      </c>
      <c r="C3286" s="1" t="n">
        <v>45760</v>
      </c>
      <c r="D3286" t="inlineStr">
        <is>
          <t>VÄSTERBOTTENS LÄN</t>
        </is>
      </c>
      <c r="E3286" t="inlineStr">
        <is>
          <t>SKELLEFTEÅ</t>
        </is>
      </c>
      <c r="F3286" t="inlineStr">
        <is>
          <t>Holmen skog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41226-2024</t>
        </is>
      </c>
      <c r="B3287" s="1" t="n">
        <v>45559</v>
      </c>
      <c r="C3287" s="1" t="n">
        <v>45760</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41304-2024</t>
        </is>
      </c>
      <c r="B3288" s="1" t="n">
        <v>45559</v>
      </c>
      <c r="C3288" s="1" t="n">
        <v>45760</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41320-2024</t>
        </is>
      </c>
      <c r="B3289" s="1" t="n">
        <v>45559</v>
      </c>
      <c r="C3289" s="1" t="n">
        <v>45760</v>
      </c>
      <c r="D3289" t="inlineStr">
        <is>
          <t>VÄSTERBOTTENS LÄN</t>
        </is>
      </c>
      <c r="E3289" t="inlineStr">
        <is>
          <t>SKELLEFTEÅ</t>
        </is>
      </c>
      <c r="G3289" t="n">
        <v>24.7</v>
      </c>
      <c r="H3289" t="n">
        <v>0</v>
      </c>
      <c r="I3289" t="n">
        <v>0</v>
      </c>
      <c r="J3289" t="n">
        <v>0</v>
      </c>
      <c r="K3289" t="n">
        <v>0</v>
      </c>
      <c r="L3289" t="n">
        <v>0</v>
      </c>
      <c r="M3289" t="n">
        <v>0</v>
      </c>
      <c r="N3289" t="n">
        <v>0</v>
      </c>
      <c r="O3289" t="n">
        <v>0</v>
      </c>
      <c r="P3289" t="n">
        <v>0</v>
      </c>
      <c r="Q3289" t="n">
        <v>0</v>
      </c>
      <c r="R3289" s="2" t="inlineStr"/>
    </row>
    <row r="3290" ht="15" customHeight="1">
      <c r="A3290" t="inlineStr">
        <is>
          <t>A 41245-2024</t>
        </is>
      </c>
      <c r="B3290" s="1" t="n">
        <v>45559</v>
      </c>
      <c r="C3290" s="1" t="n">
        <v>45760</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41297-2024</t>
        </is>
      </c>
      <c r="B3291" s="1" t="n">
        <v>45559</v>
      </c>
      <c r="C3291" s="1" t="n">
        <v>45760</v>
      </c>
      <c r="D3291" t="inlineStr">
        <is>
          <t>VÄSTERBOTTENS LÄN</t>
        </is>
      </c>
      <c r="E3291" t="inlineStr">
        <is>
          <t>SKELLEFTEÅ</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41319-2024</t>
        </is>
      </c>
      <c r="B3292" s="1" t="n">
        <v>45559</v>
      </c>
      <c r="C3292" s="1" t="n">
        <v>45760</v>
      </c>
      <c r="D3292" t="inlineStr">
        <is>
          <t>VÄSTERBOTTENS LÄN</t>
        </is>
      </c>
      <c r="E3292" t="inlineStr">
        <is>
          <t>SKELLEFTEÅ</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41033-2024</t>
        </is>
      </c>
      <c r="B3293" s="1" t="n">
        <v>45559</v>
      </c>
      <c r="C3293" s="1" t="n">
        <v>45760</v>
      </c>
      <c r="D3293" t="inlineStr">
        <is>
          <t>VÄSTERBOTTENS LÄN</t>
        </is>
      </c>
      <c r="E3293" t="inlineStr">
        <is>
          <t>SKELLEFTEÅ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41037-2024</t>
        </is>
      </c>
      <c r="B3294" s="1" t="n">
        <v>45559</v>
      </c>
      <c r="C3294" s="1" t="n">
        <v>45760</v>
      </c>
      <c r="D3294" t="inlineStr">
        <is>
          <t>VÄSTERBOTTENS LÄN</t>
        </is>
      </c>
      <c r="E3294" t="inlineStr">
        <is>
          <t>SKELLEFTEÅ</t>
        </is>
      </c>
      <c r="F3294" t="inlineStr">
        <is>
          <t>Sveaskog</t>
        </is>
      </c>
      <c r="G3294" t="n">
        <v>22.5</v>
      </c>
      <c r="H3294" t="n">
        <v>0</v>
      </c>
      <c r="I3294" t="n">
        <v>0</v>
      </c>
      <c r="J3294" t="n">
        <v>0</v>
      </c>
      <c r="K3294" t="n">
        <v>0</v>
      </c>
      <c r="L3294" t="n">
        <v>0</v>
      </c>
      <c r="M3294" t="n">
        <v>0</v>
      </c>
      <c r="N3294" t="n">
        <v>0</v>
      </c>
      <c r="O3294" t="n">
        <v>0</v>
      </c>
      <c r="P3294" t="n">
        <v>0</v>
      </c>
      <c r="Q3294" t="n">
        <v>0</v>
      </c>
      <c r="R3294" s="2" t="inlineStr"/>
    </row>
    <row r="3295" ht="15" customHeight="1">
      <c r="A3295" t="inlineStr">
        <is>
          <t>A 41118-2024</t>
        </is>
      </c>
      <c r="B3295" s="1" t="n">
        <v>45559</v>
      </c>
      <c r="C3295" s="1" t="n">
        <v>45760</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41155-2024</t>
        </is>
      </c>
      <c r="B3296" s="1" t="n">
        <v>45559</v>
      </c>
      <c r="C3296" s="1" t="n">
        <v>45760</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41242-2024</t>
        </is>
      </c>
      <c r="B3297" s="1" t="n">
        <v>45559</v>
      </c>
      <c r="C3297" s="1" t="n">
        <v>45760</v>
      </c>
      <c r="D3297" t="inlineStr">
        <is>
          <t>VÄSTERBOTTENS LÄN</t>
        </is>
      </c>
      <c r="E3297" t="inlineStr">
        <is>
          <t>SKELLEFTEÅ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41669-2024</t>
        </is>
      </c>
      <c r="B3298" s="1" t="n">
        <v>45560</v>
      </c>
      <c r="C3298" s="1" t="n">
        <v>45760</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41642-2024</t>
        </is>
      </c>
      <c r="B3299" s="1" t="n">
        <v>45560</v>
      </c>
      <c r="C3299" s="1" t="n">
        <v>45760</v>
      </c>
      <c r="D3299" t="inlineStr">
        <is>
          <t>VÄSTERBOTTENS LÄN</t>
        </is>
      </c>
      <c r="E3299" t="inlineStr">
        <is>
          <t>SKELLEFTEÅ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41582-2024</t>
        </is>
      </c>
      <c r="B3300" s="1" t="n">
        <v>45560</v>
      </c>
      <c r="C3300" s="1" t="n">
        <v>45760</v>
      </c>
      <c r="D3300" t="inlineStr">
        <is>
          <t>VÄSTERBOTTENS LÄN</t>
        </is>
      </c>
      <c r="E3300" t="inlineStr">
        <is>
          <t>SKELLEFTEÅ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41710-2024</t>
        </is>
      </c>
      <c r="B3301" s="1" t="n">
        <v>45560</v>
      </c>
      <c r="C3301" s="1" t="n">
        <v>45760</v>
      </c>
      <c r="D3301" t="inlineStr">
        <is>
          <t>VÄSTERBOTTENS LÄN</t>
        </is>
      </c>
      <c r="E3301" t="inlineStr">
        <is>
          <t>SKELLEFTEÅ</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41794-2024</t>
        </is>
      </c>
      <c r="B3302" s="1" t="n">
        <v>45561</v>
      </c>
      <c r="C3302" s="1" t="n">
        <v>45760</v>
      </c>
      <c r="D3302" t="inlineStr">
        <is>
          <t>VÄSTERBOTTENS LÄN</t>
        </is>
      </c>
      <c r="E3302" t="inlineStr">
        <is>
          <t>SKELLEFTEÅ</t>
        </is>
      </c>
      <c r="F3302" t="inlineStr">
        <is>
          <t>Kommuner</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42249-2024</t>
        </is>
      </c>
      <c r="B3303" s="1" t="n">
        <v>45562</v>
      </c>
      <c r="C3303" s="1" t="n">
        <v>45760</v>
      </c>
      <c r="D3303" t="inlineStr">
        <is>
          <t>VÄSTERBOTTENS LÄN</t>
        </is>
      </c>
      <c r="E3303" t="inlineStr">
        <is>
          <t>SKELLEFTEÅ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42297-2024</t>
        </is>
      </c>
      <c r="B3304" s="1" t="n">
        <v>45562</v>
      </c>
      <c r="C3304" s="1" t="n">
        <v>45760</v>
      </c>
      <c r="D3304" t="inlineStr">
        <is>
          <t>VÄSTERBOTTENS LÄN</t>
        </is>
      </c>
      <c r="E3304" t="inlineStr">
        <is>
          <t>SKELLEFTEÅ</t>
        </is>
      </c>
      <c r="G3304" t="n">
        <v>14.4</v>
      </c>
      <c r="H3304" t="n">
        <v>0</v>
      </c>
      <c r="I3304" t="n">
        <v>0</v>
      </c>
      <c r="J3304" t="n">
        <v>0</v>
      </c>
      <c r="K3304" t="n">
        <v>0</v>
      </c>
      <c r="L3304" t="n">
        <v>0</v>
      </c>
      <c r="M3304" t="n">
        <v>0</v>
      </c>
      <c r="N3304" t="n">
        <v>0</v>
      </c>
      <c r="O3304" t="n">
        <v>0</v>
      </c>
      <c r="P3304" t="n">
        <v>0</v>
      </c>
      <c r="Q3304" t="n">
        <v>0</v>
      </c>
      <c r="R3304" s="2" t="inlineStr"/>
    </row>
    <row r="3305" ht="15" customHeight="1">
      <c r="A3305" t="inlineStr">
        <is>
          <t>A 42223-2024</t>
        </is>
      </c>
      <c r="B3305" s="1" t="n">
        <v>45562</v>
      </c>
      <c r="C3305" s="1" t="n">
        <v>45760</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42216-2024</t>
        </is>
      </c>
      <c r="B3306" s="1" t="n">
        <v>45562</v>
      </c>
      <c r="C3306" s="1" t="n">
        <v>45760</v>
      </c>
      <c r="D3306" t="inlineStr">
        <is>
          <t>VÄSTERBOTTENS LÄN</t>
        </is>
      </c>
      <c r="E3306" t="inlineStr">
        <is>
          <t>SKELLEFTEÅ</t>
        </is>
      </c>
      <c r="F3306" t="inlineStr">
        <is>
          <t>Holmen skog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42248-2024</t>
        </is>
      </c>
      <c r="B3307" s="1" t="n">
        <v>45562</v>
      </c>
      <c r="C3307" s="1" t="n">
        <v>45760</v>
      </c>
      <c r="D3307" t="inlineStr">
        <is>
          <t>VÄSTERBOTTENS LÄN</t>
        </is>
      </c>
      <c r="E3307" t="inlineStr">
        <is>
          <t>SKELLEFTEÅ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42508-2024</t>
        </is>
      </c>
      <c r="B3308" s="1" t="n">
        <v>45565</v>
      </c>
      <c r="C3308" s="1" t="n">
        <v>45760</v>
      </c>
      <c r="D3308" t="inlineStr">
        <is>
          <t>VÄSTERBOTTENS LÄN</t>
        </is>
      </c>
      <c r="E3308" t="inlineStr">
        <is>
          <t>SKELLEFTEÅ</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42610-2024</t>
        </is>
      </c>
      <c r="B3309" s="1" t="n">
        <v>45565</v>
      </c>
      <c r="C3309" s="1" t="n">
        <v>45760</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42507-2024</t>
        </is>
      </c>
      <c r="B3310" s="1" t="n">
        <v>45565</v>
      </c>
      <c r="C3310" s="1" t="n">
        <v>45760</v>
      </c>
      <c r="D3310" t="inlineStr">
        <is>
          <t>VÄSTERBOTTENS LÄN</t>
        </is>
      </c>
      <c r="E3310" t="inlineStr">
        <is>
          <t>SKELLEFTEÅ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42560-2024</t>
        </is>
      </c>
      <c r="B3311" s="1" t="n">
        <v>45565</v>
      </c>
      <c r="C3311" s="1" t="n">
        <v>45760</v>
      </c>
      <c r="D3311" t="inlineStr">
        <is>
          <t>VÄSTERBOTTENS LÄN</t>
        </is>
      </c>
      <c r="E3311" t="inlineStr">
        <is>
          <t>SKELLEFTEÅ</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42548-2024</t>
        </is>
      </c>
      <c r="B3312" s="1" t="n">
        <v>45565</v>
      </c>
      <c r="C3312" s="1" t="n">
        <v>45760</v>
      </c>
      <c r="D3312" t="inlineStr">
        <is>
          <t>VÄSTERBOTTENS LÄN</t>
        </is>
      </c>
      <c r="E3312" t="inlineStr">
        <is>
          <t>SKELLEFTEÅ</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42599-2024</t>
        </is>
      </c>
      <c r="B3313" s="1" t="n">
        <v>45565</v>
      </c>
      <c r="C3313" s="1" t="n">
        <v>45760</v>
      </c>
      <c r="D3313" t="inlineStr">
        <is>
          <t>VÄSTERBOTTENS LÄN</t>
        </is>
      </c>
      <c r="E3313" t="inlineStr">
        <is>
          <t>SKELLEFTEÅ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42559-2024</t>
        </is>
      </c>
      <c r="B3314" s="1" t="n">
        <v>45565</v>
      </c>
      <c r="C3314" s="1" t="n">
        <v>45760</v>
      </c>
      <c r="D3314" t="inlineStr">
        <is>
          <t>VÄSTERBOTTENS LÄN</t>
        </is>
      </c>
      <c r="E3314" t="inlineStr">
        <is>
          <t>SKELLEFTEÅ</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42877-2024</t>
        </is>
      </c>
      <c r="B3315" s="1" t="n">
        <v>45566</v>
      </c>
      <c r="C3315" s="1" t="n">
        <v>45760</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42861-2024</t>
        </is>
      </c>
      <c r="B3316" s="1" t="n">
        <v>45566</v>
      </c>
      <c r="C3316" s="1" t="n">
        <v>45760</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42849-2024</t>
        </is>
      </c>
      <c r="B3317" s="1" t="n">
        <v>45566</v>
      </c>
      <c r="C3317" s="1" t="n">
        <v>45760</v>
      </c>
      <c r="D3317" t="inlineStr">
        <is>
          <t>VÄSTERBOTTENS LÄN</t>
        </is>
      </c>
      <c r="E3317" t="inlineStr">
        <is>
          <t>SKELLEFTEÅ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42821-2024</t>
        </is>
      </c>
      <c r="B3318" s="1" t="n">
        <v>45566</v>
      </c>
      <c r="C3318" s="1" t="n">
        <v>45760</v>
      </c>
      <c r="D3318" t="inlineStr">
        <is>
          <t>VÄSTERBOTTENS LÄN</t>
        </is>
      </c>
      <c r="E3318" t="inlineStr">
        <is>
          <t>SKELLEFTEÅ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42851-2024</t>
        </is>
      </c>
      <c r="B3319" s="1" t="n">
        <v>45566</v>
      </c>
      <c r="C3319" s="1" t="n">
        <v>45760</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42819-2024</t>
        </is>
      </c>
      <c r="B3320" s="1" t="n">
        <v>45566</v>
      </c>
      <c r="C3320" s="1" t="n">
        <v>45760</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42852-2024</t>
        </is>
      </c>
      <c r="B3321" s="1" t="n">
        <v>45566</v>
      </c>
      <c r="C3321" s="1" t="n">
        <v>45760</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42848-2024</t>
        </is>
      </c>
      <c r="B3322" s="1" t="n">
        <v>45566</v>
      </c>
      <c r="C3322" s="1" t="n">
        <v>45760</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42820-2024</t>
        </is>
      </c>
      <c r="B3323" s="1" t="n">
        <v>45566</v>
      </c>
      <c r="C3323" s="1" t="n">
        <v>45760</v>
      </c>
      <c r="D3323" t="inlineStr">
        <is>
          <t>VÄSTERBOTTENS LÄN</t>
        </is>
      </c>
      <c r="E3323" t="inlineStr">
        <is>
          <t>SKELLEFTEÅ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42758-2024</t>
        </is>
      </c>
      <c r="B3324" s="1" t="n">
        <v>45566</v>
      </c>
      <c r="C3324" s="1" t="n">
        <v>45760</v>
      </c>
      <c r="D3324" t="inlineStr">
        <is>
          <t>VÄSTERBOTTENS LÄN</t>
        </is>
      </c>
      <c r="E3324" t="inlineStr">
        <is>
          <t>SKELLEFTEÅ</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42791-2024</t>
        </is>
      </c>
      <c r="B3325" s="1" t="n">
        <v>45566</v>
      </c>
      <c r="C3325" s="1" t="n">
        <v>45760</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42764-2024</t>
        </is>
      </c>
      <c r="B3326" s="1" t="n">
        <v>45566</v>
      </c>
      <c r="C3326" s="1" t="n">
        <v>45760</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42996-2024</t>
        </is>
      </c>
      <c r="B3327" s="1" t="n">
        <v>45567</v>
      </c>
      <c r="C3327" s="1" t="n">
        <v>45760</v>
      </c>
      <c r="D3327" t="inlineStr">
        <is>
          <t>VÄSTERBOTTENS LÄN</t>
        </is>
      </c>
      <c r="E3327" t="inlineStr">
        <is>
          <t>SKELLEFTEÅ</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42993-2024</t>
        </is>
      </c>
      <c r="B3328" s="1" t="n">
        <v>45567</v>
      </c>
      <c r="C3328" s="1" t="n">
        <v>45760</v>
      </c>
      <c r="D3328" t="inlineStr">
        <is>
          <t>VÄSTERBOTTENS LÄN</t>
        </is>
      </c>
      <c r="E3328" t="inlineStr">
        <is>
          <t>SKELLEFTEÅ</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42995-2024</t>
        </is>
      </c>
      <c r="B3329" s="1" t="n">
        <v>45567</v>
      </c>
      <c r="C3329" s="1" t="n">
        <v>45760</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43204-2024</t>
        </is>
      </c>
      <c r="B3330" s="1" t="n">
        <v>45567</v>
      </c>
      <c r="C3330" s="1" t="n">
        <v>45760</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43434-2024</t>
        </is>
      </c>
      <c r="B3331" s="1" t="n">
        <v>45568</v>
      </c>
      <c r="C3331" s="1" t="n">
        <v>45760</v>
      </c>
      <c r="D3331" t="inlineStr">
        <is>
          <t>VÄSTERBOTTENS LÄN</t>
        </is>
      </c>
      <c r="E3331" t="inlineStr">
        <is>
          <t>SKELLEFTEÅ</t>
        </is>
      </c>
      <c r="F3331" t="inlineStr">
        <is>
          <t>Holmen skog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43714-2024</t>
        </is>
      </c>
      <c r="B3332" s="1" t="n">
        <v>45569</v>
      </c>
      <c r="C3332" s="1" t="n">
        <v>45760</v>
      </c>
      <c r="D3332" t="inlineStr">
        <is>
          <t>VÄSTERBOTTENS LÄN</t>
        </is>
      </c>
      <c r="E3332" t="inlineStr">
        <is>
          <t>SKELLEFTEÅ</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43726-2024</t>
        </is>
      </c>
      <c r="B3333" s="1" t="n">
        <v>45569</v>
      </c>
      <c r="C3333" s="1" t="n">
        <v>45760</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43701-2024</t>
        </is>
      </c>
      <c r="B3334" s="1" t="n">
        <v>45569</v>
      </c>
      <c r="C3334" s="1" t="n">
        <v>45760</v>
      </c>
      <c r="D3334" t="inlineStr">
        <is>
          <t>VÄSTERBOTTENS LÄN</t>
        </is>
      </c>
      <c r="E3334" t="inlineStr">
        <is>
          <t>SKELLEFTEÅ</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43705-2024</t>
        </is>
      </c>
      <c r="B3335" s="1" t="n">
        <v>45569</v>
      </c>
      <c r="C3335" s="1" t="n">
        <v>45760</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43732-2024</t>
        </is>
      </c>
      <c r="B3336" s="1" t="n">
        <v>45569</v>
      </c>
      <c r="C3336" s="1" t="n">
        <v>45760</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43748-2024</t>
        </is>
      </c>
      <c r="B3337" s="1" t="n">
        <v>45569</v>
      </c>
      <c r="C3337" s="1" t="n">
        <v>45760</v>
      </c>
      <c r="D3337" t="inlineStr">
        <is>
          <t>VÄSTERBOTTENS LÄN</t>
        </is>
      </c>
      <c r="E3337" t="inlineStr">
        <is>
          <t>SKELLEFTEÅ</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43722-2024</t>
        </is>
      </c>
      <c r="B3338" s="1" t="n">
        <v>45569</v>
      </c>
      <c r="C3338" s="1" t="n">
        <v>45760</v>
      </c>
      <c r="D3338" t="inlineStr">
        <is>
          <t>VÄSTERBOTTENS LÄN</t>
        </is>
      </c>
      <c r="E3338" t="inlineStr">
        <is>
          <t>SKELLEFTEÅ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43749-2024</t>
        </is>
      </c>
      <c r="B3339" s="1" t="n">
        <v>45569</v>
      </c>
      <c r="C3339" s="1" t="n">
        <v>45760</v>
      </c>
      <c r="D3339" t="inlineStr">
        <is>
          <t>VÄSTERBOTTENS LÄN</t>
        </is>
      </c>
      <c r="E3339" t="inlineStr">
        <is>
          <t>SKELLEFTEÅ</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43513-2024</t>
        </is>
      </c>
      <c r="B3340" s="1" t="n">
        <v>45569</v>
      </c>
      <c r="C3340" s="1" t="n">
        <v>45760</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43599-2024</t>
        </is>
      </c>
      <c r="B3341" s="1" t="n">
        <v>45569</v>
      </c>
      <c r="C3341" s="1" t="n">
        <v>45760</v>
      </c>
      <c r="D3341" t="inlineStr">
        <is>
          <t>VÄSTERBOTTENS LÄN</t>
        </is>
      </c>
      <c r="E3341" t="inlineStr">
        <is>
          <t>SKELLEFTEÅ</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43762-2024</t>
        </is>
      </c>
      <c r="B3342" s="1" t="n">
        <v>45569</v>
      </c>
      <c r="C3342" s="1" t="n">
        <v>45760</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43723-2024</t>
        </is>
      </c>
      <c r="B3343" s="1" t="n">
        <v>45569</v>
      </c>
      <c r="C3343" s="1" t="n">
        <v>45760</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43727-2024</t>
        </is>
      </c>
      <c r="B3344" s="1" t="n">
        <v>45569</v>
      </c>
      <c r="C3344" s="1" t="n">
        <v>45760</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43781-2024</t>
        </is>
      </c>
      <c r="B3345" s="1" t="n">
        <v>45570</v>
      </c>
      <c r="C3345" s="1" t="n">
        <v>45760</v>
      </c>
      <c r="D3345" t="inlineStr">
        <is>
          <t>VÄSTERBOTTENS LÄN</t>
        </is>
      </c>
      <c r="E3345" t="inlineStr">
        <is>
          <t>SKELLEFTEÅ</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43793-2024</t>
        </is>
      </c>
      <c r="B3346" s="1" t="n">
        <v>45571</v>
      </c>
      <c r="C3346" s="1" t="n">
        <v>45760</v>
      </c>
      <c r="D3346" t="inlineStr">
        <is>
          <t>VÄSTERBOTTENS LÄN</t>
        </is>
      </c>
      <c r="E3346" t="inlineStr">
        <is>
          <t>SKELLEFTEÅ</t>
        </is>
      </c>
      <c r="F3346" t="inlineStr">
        <is>
          <t>Sveaskog</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43954-2024</t>
        </is>
      </c>
      <c r="B3347" s="1" t="n">
        <v>45572</v>
      </c>
      <c r="C3347" s="1" t="n">
        <v>45760</v>
      </c>
      <c r="D3347" t="inlineStr">
        <is>
          <t>VÄSTERBOTTENS LÄN</t>
        </is>
      </c>
      <c r="E3347" t="inlineStr">
        <is>
          <t>SKELLEFTEÅ</t>
        </is>
      </c>
      <c r="F3347" t="inlineStr">
        <is>
          <t>Sveaskog</t>
        </is>
      </c>
      <c r="G3347" t="n">
        <v>24.1</v>
      </c>
      <c r="H3347" t="n">
        <v>0</v>
      </c>
      <c r="I3347" t="n">
        <v>0</v>
      </c>
      <c r="J3347" t="n">
        <v>0</v>
      </c>
      <c r="K3347" t="n">
        <v>0</v>
      </c>
      <c r="L3347" t="n">
        <v>0</v>
      </c>
      <c r="M3347" t="n">
        <v>0</v>
      </c>
      <c r="N3347" t="n">
        <v>0</v>
      </c>
      <c r="O3347" t="n">
        <v>0</v>
      </c>
      <c r="P3347" t="n">
        <v>0</v>
      </c>
      <c r="Q3347" t="n">
        <v>0</v>
      </c>
      <c r="R3347" s="2" t="inlineStr"/>
    </row>
    <row r="3348" ht="15" customHeight="1">
      <c r="A3348" t="inlineStr">
        <is>
          <t>A 44057-2024</t>
        </is>
      </c>
      <c r="B3348" s="1" t="n">
        <v>45572</v>
      </c>
      <c r="C3348" s="1" t="n">
        <v>45760</v>
      </c>
      <c r="D3348" t="inlineStr">
        <is>
          <t>VÄSTERBOTTENS LÄN</t>
        </is>
      </c>
      <c r="E3348" t="inlineStr">
        <is>
          <t>SKELLEFTEÅ</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43875-2024</t>
        </is>
      </c>
      <c r="B3349" s="1" t="n">
        <v>45572</v>
      </c>
      <c r="C3349" s="1" t="n">
        <v>45760</v>
      </c>
      <c r="D3349" t="inlineStr">
        <is>
          <t>VÄSTERBOTTENS LÄN</t>
        </is>
      </c>
      <c r="E3349" t="inlineStr">
        <is>
          <t>SKELLEFTEÅ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44100-2024</t>
        </is>
      </c>
      <c r="B3350" s="1" t="n">
        <v>45572</v>
      </c>
      <c r="C3350" s="1" t="n">
        <v>45760</v>
      </c>
      <c r="D3350" t="inlineStr">
        <is>
          <t>VÄSTERBOTTENS LÄN</t>
        </is>
      </c>
      <c r="E3350" t="inlineStr">
        <is>
          <t>SKELLEFTEÅ</t>
        </is>
      </c>
      <c r="F3350" t="inlineStr">
        <is>
          <t>Holmen skog AB</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44178-2024</t>
        </is>
      </c>
      <c r="B3351" s="1" t="n">
        <v>45572</v>
      </c>
      <c r="C3351" s="1" t="n">
        <v>45760</v>
      </c>
      <c r="D3351" t="inlineStr">
        <is>
          <t>VÄSTERBOTTENS LÄN</t>
        </is>
      </c>
      <c r="E3351" t="inlineStr">
        <is>
          <t>SKELLEFTEÅ</t>
        </is>
      </c>
      <c r="F3351" t="inlineStr">
        <is>
          <t>Sveaskog</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44239-2024</t>
        </is>
      </c>
      <c r="B3352" s="1" t="n">
        <v>45573</v>
      </c>
      <c r="C3352" s="1" t="n">
        <v>45760</v>
      </c>
      <c r="D3352" t="inlineStr">
        <is>
          <t>VÄSTERBOTTENS LÄN</t>
        </is>
      </c>
      <c r="E3352" t="inlineStr">
        <is>
          <t>SKELLEFTEÅ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44240-2024</t>
        </is>
      </c>
      <c r="B3353" s="1" t="n">
        <v>45573</v>
      </c>
      <c r="C3353" s="1" t="n">
        <v>45760</v>
      </c>
      <c r="D3353" t="inlineStr">
        <is>
          <t>VÄSTERBOTTENS LÄN</t>
        </is>
      </c>
      <c r="E3353" t="inlineStr">
        <is>
          <t>SKELLEFTEÅ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44480-2024</t>
        </is>
      </c>
      <c r="B3354" s="1" t="n">
        <v>45574</v>
      </c>
      <c r="C3354" s="1" t="n">
        <v>45760</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44501-2024</t>
        </is>
      </c>
      <c r="B3355" s="1" t="n">
        <v>45574</v>
      </c>
      <c r="C3355" s="1" t="n">
        <v>45760</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44542-2024</t>
        </is>
      </c>
      <c r="B3356" s="1" t="n">
        <v>45574</v>
      </c>
      <c r="C3356" s="1" t="n">
        <v>45760</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44479-2024</t>
        </is>
      </c>
      <c r="B3357" s="1" t="n">
        <v>45574</v>
      </c>
      <c r="C3357" s="1" t="n">
        <v>45760</v>
      </c>
      <c r="D3357" t="inlineStr">
        <is>
          <t>VÄSTERBOTTENS LÄN</t>
        </is>
      </c>
      <c r="E3357" t="inlineStr">
        <is>
          <t>SKELLEFTEÅ</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44483-2024</t>
        </is>
      </c>
      <c r="B3358" s="1" t="n">
        <v>45574</v>
      </c>
      <c r="C3358" s="1" t="n">
        <v>45760</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44779-2024</t>
        </is>
      </c>
      <c r="B3359" s="1" t="n">
        <v>45574</v>
      </c>
      <c r="C3359" s="1" t="n">
        <v>45760</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44829-2024</t>
        </is>
      </c>
      <c r="B3360" s="1" t="n">
        <v>45574</v>
      </c>
      <c r="C3360" s="1" t="n">
        <v>45760</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44482-2024</t>
        </is>
      </c>
      <c r="B3361" s="1" t="n">
        <v>45574</v>
      </c>
      <c r="C3361" s="1" t="n">
        <v>45760</v>
      </c>
      <c r="D3361" t="inlineStr">
        <is>
          <t>VÄSTERBOTTENS LÄN</t>
        </is>
      </c>
      <c r="E3361" t="inlineStr">
        <is>
          <t>SKELLEFTEÅ</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44510-2024</t>
        </is>
      </c>
      <c r="B3362" s="1" t="n">
        <v>45574</v>
      </c>
      <c r="C3362" s="1" t="n">
        <v>45760</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45111-2024</t>
        </is>
      </c>
      <c r="B3363" s="1" t="n">
        <v>45575</v>
      </c>
      <c r="C3363" s="1" t="n">
        <v>45760</v>
      </c>
      <c r="D3363" t="inlineStr">
        <is>
          <t>VÄSTERBOTTENS LÄN</t>
        </is>
      </c>
      <c r="E3363" t="inlineStr">
        <is>
          <t>SKELLEFTEÅ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45143-2024</t>
        </is>
      </c>
      <c r="B3364" s="1" t="n">
        <v>45575</v>
      </c>
      <c r="C3364" s="1" t="n">
        <v>45760</v>
      </c>
      <c r="D3364" t="inlineStr">
        <is>
          <t>VÄSTERBOTTENS LÄN</t>
        </is>
      </c>
      <c r="E3364" t="inlineStr">
        <is>
          <t>SKELLEFTEÅ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45177-2024</t>
        </is>
      </c>
      <c r="B3365" s="1" t="n">
        <v>45575</v>
      </c>
      <c r="C3365" s="1" t="n">
        <v>45760</v>
      </c>
      <c r="D3365" t="inlineStr">
        <is>
          <t>VÄSTERBOTTENS LÄN</t>
        </is>
      </c>
      <c r="E3365" t="inlineStr">
        <is>
          <t>SKELLEFTEÅ</t>
        </is>
      </c>
      <c r="F3365" t="inlineStr">
        <is>
          <t>Kommuner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45205-2024</t>
        </is>
      </c>
      <c r="B3366" s="1" t="n">
        <v>45575</v>
      </c>
      <c r="C3366" s="1" t="n">
        <v>45760</v>
      </c>
      <c r="D3366" t="inlineStr">
        <is>
          <t>VÄSTERBOTTENS LÄN</t>
        </is>
      </c>
      <c r="E3366" t="inlineStr">
        <is>
          <t>SKELLEFTEÅ</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44968-2024</t>
        </is>
      </c>
      <c r="B3367" s="1" t="n">
        <v>45575</v>
      </c>
      <c r="C3367" s="1" t="n">
        <v>45760</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44867-2024</t>
        </is>
      </c>
      <c r="B3368" s="1" t="n">
        <v>45575</v>
      </c>
      <c r="C3368" s="1" t="n">
        <v>45760</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45200-2024</t>
        </is>
      </c>
      <c r="B3369" s="1" t="n">
        <v>45575</v>
      </c>
      <c r="C3369" s="1" t="n">
        <v>45760</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45212-2024</t>
        </is>
      </c>
      <c r="B3370" s="1" t="n">
        <v>45575</v>
      </c>
      <c r="C3370" s="1" t="n">
        <v>45760</v>
      </c>
      <c r="D3370" t="inlineStr">
        <is>
          <t>VÄSTERBOTTENS LÄN</t>
        </is>
      </c>
      <c r="E3370" t="inlineStr">
        <is>
          <t>SKELLEFTEÅ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45240-2024</t>
        </is>
      </c>
      <c r="B3371" s="1" t="n">
        <v>45576</v>
      </c>
      <c r="C3371" s="1" t="n">
        <v>45760</v>
      </c>
      <c r="D3371" t="inlineStr">
        <is>
          <t>VÄSTERBOTTENS LÄN</t>
        </is>
      </c>
      <c r="E3371" t="inlineStr">
        <is>
          <t>SKELLEFTEÅ</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45294-2024</t>
        </is>
      </c>
      <c r="B3372" s="1" t="n">
        <v>45576</v>
      </c>
      <c r="C3372" s="1" t="n">
        <v>45760</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45418-2024</t>
        </is>
      </c>
      <c r="B3373" s="1" t="n">
        <v>45576</v>
      </c>
      <c r="C3373" s="1" t="n">
        <v>45760</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45403-2024</t>
        </is>
      </c>
      <c r="B3374" s="1" t="n">
        <v>45576</v>
      </c>
      <c r="C3374" s="1" t="n">
        <v>45760</v>
      </c>
      <c r="D3374" t="inlineStr">
        <is>
          <t>VÄSTERBOTTENS LÄN</t>
        </is>
      </c>
      <c r="E3374" t="inlineStr">
        <is>
          <t>SKELLEFTEÅ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45407-2024</t>
        </is>
      </c>
      <c r="B3375" s="1" t="n">
        <v>45576</v>
      </c>
      <c r="C3375" s="1" t="n">
        <v>45760</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45421-2024</t>
        </is>
      </c>
      <c r="B3376" s="1" t="n">
        <v>45576</v>
      </c>
      <c r="C3376" s="1" t="n">
        <v>45760</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45374-2024</t>
        </is>
      </c>
      <c r="B3377" s="1" t="n">
        <v>45576</v>
      </c>
      <c r="C3377" s="1" t="n">
        <v>45760</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45690-2024</t>
        </is>
      </c>
      <c r="B3378" s="1" t="n">
        <v>45579</v>
      </c>
      <c r="C3378" s="1" t="n">
        <v>45760</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45788-2024</t>
        </is>
      </c>
      <c r="B3379" s="1" t="n">
        <v>45579</v>
      </c>
      <c r="C3379" s="1" t="n">
        <v>45760</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45757-2024</t>
        </is>
      </c>
      <c r="B3380" s="1" t="n">
        <v>45579</v>
      </c>
      <c r="C3380" s="1" t="n">
        <v>45760</v>
      </c>
      <c r="D3380" t="inlineStr">
        <is>
          <t>VÄSTERBOTTENS LÄN</t>
        </is>
      </c>
      <c r="E3380" t="inlineStr">
        <is>
          <t>SKELLEFTEÅ</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45643-2024</t>
        </is>
      </c>
      <c r="B3381" s="1" t="n">
        <v>45579</v>
      </c>
      <c r="C3381" s="1" t="n">
        <v>45760</v>
      </c>
      <c r="D3381" t="inlineStr">
        <is>
          <t>VÄSTERBOTTENS LÄN</t>
        </is>
      </c>
      <c r="E3381" t="inlineStr">
        <is>
          <t>SKELLEFTEÅ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45622-2024</t>
        </is>
      </c>
      <c r="B3382" s="1" t="n">
        <v>45579</v>
      </c>
      <c r="C3382" s="1" t="n">
        <v>45760</v>
      </c>
      <c r="D3382" t="inlineStr">
        <is>
          <t>VÄSTERBOTTENS LÄN</t>
        </is>
      </c>
      <c r="E3382" t="inlineStr">
        <is>
          <t>SKELLEFTEÅ</t>
        </is>
      </c>
      <c r="F3382" t="inlineStr">
        <is>
          <t>Holmen skog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45903-2024</t>
        </is>
      </c>
      <c r="B3383" s="1" t="n">
        <v>45580</v>
      </c>
      <c r="C3383" s="1" t="n">
        <v>45760</v>
      </c>
      <c r="D3383" t="inlineStr">
        <is>
          <t>VÄSTERBOTTENS LÄN</t>
        </is>
      </c>
      <c r="E3383" t="inlineStr">
        <is>
          <t>SKELLEFTEÅ</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45943-2024</t>
        </is>
      </c>
      <c r="B3384" s="1" t="n">
        <v>45580</v>
      </c>
      <c r="C3384" s="1" t="n">
        <v>45760</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45955-2024</t>
        </is>
      </c>
      <c r="B3385" s="1" t="n">
        <v>45580</v>
      </c>
      <c r="C3385" s="1" t="n">
        <v>45760</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45850-2024</t>
        </is>
      </c>
      <c r="B3386" s="1" t="n">
        <v>45580</v>
      </c>
      <c r="C3386" s="1" t="n">
        <v>45760</v>
      </c>
      <c r="D3386" t="inlineStr">
        <is>
          <t>VÄSTERBOTTENS LÄN</t>
        </is>
      </c>
      <c r="E3386" t="inlineStr">
        <is>
          <t>SKELLEFTEÅ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45862-2024</t>
        </is>
      </c>
      <c r="B3387" s="1" t="n">
        <v>45580</v>
      </c>
      <c r="C3387" s="1" t="n">
        <v>45760</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45981-2024</t>
        </is>
      </c>
      <c r="B3388" s="1" t="n">
        <v>45580</v>
      </c>
      <c r="C3388" s="1" t="n">
        <v>45760</v>
      </c>
      <c r="D3388" t="inlineStr">
        <is>
          <t>VÄSTERBOTTENS LÄN</t>
        </is>
      </c>
      <c r="E3388" t="inlineStr">
        <is>
          <t>SKELLEFTEÅ</t>
        </is>
      </c>
      <c r="F3388" t="inlineStr">
        <is>
          <t>Holmen skog AB</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46048-2024</t>
        </is>
      </c>
      <c r="B3389" s="1" t="n">
        <v>45580</v>
      </c>
      <c r="C3389" s="1" t="n">
        <v>45760</v>
      </c>
      <c r="D3389" t="inlineStr">
        <is>
          <t>VÄSTERBOTTENS LÄN</t>
        </is>
      </c>
      <c r="E3389" t="inlineStr">
        <is>
          <t>SKELLEFTEÅ</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46049-2024</t>
        </is>
      </c>
      <c r="B3390" s="1" t="n">
        <v>45580</v>
      </c>
      <c r="C3390" s="1" t="n">
        <v>45760</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46047-2024</t>
        </is>
      </c>
      <c r="B3391" s="1" t="n">
        <v>45580</v>
      </c>
      <c r="C3391" s="1" t="n">
        <v>45760</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46268-2024</t>
        </is>
      </c>
      <c r="B3392" s="1" t="n">
        <v>45581</v>
      </c>
      <c r="C3392" s="1" t="n">
        <v>45760</v>
      </c>
      <c r="D3392" t="inlineStr">
        <is>
          <t>VÄSTERBOTTENS LÄN</t>
        </is>
      </c>
      <c r="E3392" t="inlineStr">
        <is>
          <t>SKELLEFTEÅ</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46089-2024</t>
        </is>
      </c>
      <c r="B3393" s="1" t="n">
        <v>45581</v>
      </c>
      <c r="C3393" s="1" t="n">
        <v>45760</v>
      </c>
      <c r="D3393" t="inlineStr">
        <is>
          <t>VÄSTERBOTTENS LÄN</t>
        </is>
      </c>
      <c r="E3393" t="inlineStr">
        <is>
          <t>SKELLEFTEÅ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46116-2024</t>
        </is>
      </c>
      <c r="B3394" s="1" t="n">
        <v>45581</v>
      </c>
      <c r="C3394" s="1" t="n">
        <v>45760</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46108-2024</t>
        </is>
      </c>
      <c r="B3395" s="1" t="n">
        <v>45581</v>
      </c>
      <c r="C3395" s="1" t="n">
        <v>45760</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46282-2024</t>
        </is>
      </c>
      <c r="B3396" s="1" t="n">
        <v>45581</v>
      </c>
      <c r="C3396" s="1" t="n">
        <v>45760</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46201-2024</t>
        </is>
      </c>
      <c r="B3397" s="1" t="n">
        <v>45581</v>
      </c>
      <c r="C3397" s="1" t="n">
        <v>45760</v>
      </c>
      <c r="D3397" t="inlineStr">
        <is>
          <t>VÄSTERBOTTENS LÄN</t>
        </is>
      </c>
      <c r="E3397" t="inlineStr">
        <is>
          <t>SKELLEFTEÅ</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46304-2024</t>
        </is>
      </c>
      <c r="B3398" s="1" t="n">
        <v>45581</v>
      </c>
      <c r="C3398" s="1" t="n">
        <v>45760</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46480-2024</t>
        </is>
      </c>
      <c r="B3399" s="1" t="n">
        <v>45582</v>
      </c>
      <c r="C3399" s="1" t="n">
        <v>45760</v>
      </c>
      <c r="D3399" t="inlineStr">
        <is>
          <t>VÄSTERBOTTENS LÄN</t>
        </is>
      </c>
      <c r="E3399" t="inlineStr">
        <is>
          <t>SKELLEFTEÅ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46482-2024</t>
        </is>
      </c>
      <c r="B3400" s="1" t="n">
        <v>45582</v>
      </c>
      <c r="C3400" s="1" t="n">
        <v>45760</v>
      </c>
      <c r="D3400" t="inlineStr">
        <is>
          <t>VÄSTERBOTTENS LÄN</t>
        </is>
      </c>
      <c r="E3400" t="inlineStr">
        <is>
          <t>SKELLEFTEÅ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46377-2024</t>
        </is>
      </c>
      <c r="B3401" s="1" t="n">
        <v>45582</v>
      </c>
      <c r="C3401" s="1" t="n">
        <v>45760</v>
      </c>
      <c r="D3401" t="inlineStr">
        <is>
          <t>VÄSTERBOTTENS LÄN</t>
        </is>
      </c>
      <c r="E3401" t="inlineStr">
        <is>
          <t>SKELLEFTEÅ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46557-2024</t>
        </is>
      </c>
      <c r="B3402" s="1" t="n">
        <v>45582</v>
      </c>
      <c r="C3402" s="1" t="n">
        <v>45760</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46565-2024</t>
        </is>
      </c>
      <c r="B3403" s="1" t="n">
        <v>45582</v>
      </c>
      <c r="C3403" s="1" t="n">
        <v>45760</v>
      </c>
      <c r="D3403" t="inlineStr">
        <is>
          <t>VÄSTERBOTTENS LÄN</t>
        </is>
      </c>
      <c r="E3403" t="inlineStr">
        <is>
          <t>SKELLEFTEÅ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46736-2024</t>
        </is>
      </c>
      <c r="B3404" s="1" t="n">
        <v>45583</v>
      </c>
      <c r="C3404" s="1" t="n">
        <v>45760</v>
      </c>
      <c r="D3404" t="inlineStr">
        <is>
          <t>VÄSTERBOTTENS LÄN</t>
        </is>
      </c>
      <c r="E3404" t="inlineStr">
        <is>
          <t>SKELLEFTEÅ</t>
        </is>
      </c>
      <c r="F3404" t="inlineStr">
        <is>
          <t>Sveaskog</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46858-2024</t>
        </is>
      </c>
      <c r="B3405" s="1" t="n">
        <v>45583</v>
      </c>
      <c r="C3405" s="1" t="n">
        <v>45760</v>
      </c>
      <c r="D3405" t="inlineStr">
        <is>
          <t>VÄSTERBOTTENS LÄN</t>
        </is>
      </c>
      <c r="E3405" t="inlineStr">
        <is>
          <t>SKELLEFTEÅ</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46846-2024</t>
        </is>
      </c>
      <c r="B3406" s="1" t="n">
        <v>45583</v>
      </c>
      <c r="C3406" s="1" t="n">
        <v>45760</v>
      </c>
      <c r="D3406" t="inlineStr">
        <is>
          <t>VÄSTERBOTTENS LÄN</t>
        </is>
      </c>
      <c r="E3406" t="inlineStr">
        <is>
          <t>SKELLEFTEÅ</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46705-2024</t>
        </is>
      </c>
      <c r="B3407" s="1" t="n">
        <v>45583</v>
      </c>
      <c r="C3407" s="1" t="n">
        <v>45760</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46721-2024</t>
        </is>
      </c>
      <c r="B3408" s="1" t="n">
        <v>45583</v>
      </c>
      <c r="C3408" s="1" t="n">
        <v>45760</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46731-2024</t>
        </is>
      </c>
      <c r="B3409" s="1" t="n">
        <v>45583</v>
      </c>
      <c r="C3409" s="1" t="n">
        <v>45760</v>
      </c>
      <c r="D3409" t="inlineStr">
        <is>
          <t>VÄSTERBOTTENS LÄN</t>
        </is>
      </c>
      <c r="E3409" t="inlineStr">
        <is>
          <t>SKELLEFTEÅ</t>
        </is>
      </c>
      <c r="F3409" t="inlineStr">
        <is>
          <t>Holmen skog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46657-2024</t>
        </is>
      </c>
      <c r="B3410" s="1" t="n">
        <v>45583</v>
      </c>
      <c r="C3410" s="1" t="n">
        <v>45760</v>
      </c>
      <c r="D3410" t="inlineStr">
        <is>
          <t>VÄSTERBOTTENS LÄN</t>
        </is>
      </c>
      <c r="E3410" t="inlineStr">
        <is>
          <t>SKELLEFTEÅ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46841-2024</t>
        </is>
      </c>
      <c r="B3411" s="1" t="n">
        <v>45583</v>
      </c>
      <c r="C3411" s="1" t="n">
        <v>45760</v>
      </c>
      <c r="D3411" t="inlineStr">
        <is>
          <t>VÄSTERBOTTENS LÄN</t>
        </is>
      </c>
      <c r="E3411" t="inlineStr">
        <is>
          <t>SKELLEFTEÅ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46853-2024</t>
        </is>
      </c>
      <c r="B3412" s="1" t="n">
        <v>45583</v>
      </c>
      <c r="C3412" s="1" t="n">
        <v>45760</v>
      </c>
      <c r="D3412" t="inlineStr">
        <is>
          <t>VÄSTERBOTTENS LÄN</t>
        </is>
      </c>
      <c r="E3412" t="inlineStr">
        <is>
          <t>SKELLEFTEÅ</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47062-2024</t>
        </is>
      </c>
      <c r="B3413" s="1" t="n">
        <v>45585</v>
      </c>
      <c r="C3413" s="1" t="n">
        <v>45760</v>
      </c>
      <c r="D3413" t="inlineStr">
        <is>
          <t>VÄSTERBOTTENS LÄN</t>
        </is>
      </c>
      <c r="E3413" t="inlineStr">
        <is>
          <t>SKELLEFTEÅ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47282-2024</t>
        </is>
      </c>
      <c r="B3414" s="1" t="n">
        <v>45586</v>
      </c>
      <c r="C3414" s="1" t="n">
        <v>45760</v>
      </c>
      <c r="D3414" t="inlineStr">
        <is>
          <t>VÄSTERBOTTENS LÄN</t>
        </is>
      </c>
      <c r="E3414" t="inlineStr">
        <is>
          <t>SKELLEFTEÅ</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47045-2024</t>
        </is>
      </c>
      <c r="B3415" s="1" t="n">
        <v>45586</v>
      </c>
      <c r="C3415" s="1" t="n">
        <v>45760</v>
      </c>
      <c r="D3415" t="inlineStr">
        <is>
          <t>VÄSTERBOTTENS LÄN</t>
        </is>
      </c>
      <c r="E3415" t="inlineStr">
        <is>
          <t>SKELLEFTEÅ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46968-2024</t>
        </is>
      </c>
      <c r="B3416" s="1" t="n">
        <v>45586</v>
      </c>
      <c r="C3416" s="1" t="n">
        <v>45760</v>
      </c>
      <c r="D3416" t="inlineStr">
        <is>
          <t>VÄSTERBOTTENS LÄN</t>
        </is>
      </c>
      <c r="E3416" t="inlineStr">
        <is>
          <t>SKELLEFTEÅ</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47007-2024</t>
        </is>
      </c>
      <c r="B3417" s="1" t="n">
        <v>45586</v>
      </c>
      <c r="C3417" s="1" t="n">
        <v>45760</v>
      </c>
      <c r="D3417" t="inlineStr">
        <is>
          <t>VÄSTERBOTTENS LÄN</t>
        </is>
      </c>
      <c r="E3417" t="inlineStr">
        <is>
          <t>SKELLEFTEÅ</t>
        </is>
      </c>
      <c r="G3417" t="n">
        <v>22.2</v>
      </c>
      <c r="H3417" t="n">
        <v>0</v>
      </c>
      <c r="I3417" t="n">
        <v>0</v>
      </c>
      <c r="J3417" t="n">
        <v>0</v>
      </c>
      <c r="K3417" t="n">
        <v>0</v>
      </c>
      <c r="L3417" t="n">
        <v>0</v>
      </c>
      <c r="M3417" t="n">
        <v>0</v>
      </c>
      <c r="N3417" t="n">
        <v>0</v>
      </c>
      <c r="O3417" t="n">
        <v>0</v>
      </c>
      <c r="P3417" t="n">
        <v>0</v>
      </c>
      <c r="Q3417" t="n">
        <v>0</v>
      </c>
      <c r="R3417" s="2" t="inlineStr"/>
    </row>
    <row r="3418" ht="15" customHeight="1">
      <c r="A3418" t="inlineStr">
        <is>
          <t>A 47014-2024</t>
        </is>
      </c>
      <c r="B3418" s="1" t="n">
        <v>45586</v>
      </c>
      <c r="C3418" s="1" t="n">
        <v>45760</v>
      </c>
      <c r="D3418" t="inlineStr">
        <is>
          <t>VÄSTERBOTTENS LÄN</t>
        </is>
      </c>
      <c r="E3418" t="inlineStr">
        <is>
          <t>SKELLEFTEÅ</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47544-2024</t>
        </is>
      </c>
      <c r="B3419" s="1" t="n">
        <v>45587</v>
      </c>
      <c r="C3419" s="1" t="n">
        <v>45760</v>
      </c>
      <c r="D3419" t="inlineStr">
        <is>
          <t>VÄSTERBOTTENS LÄN</t>
        </is>
      </c>
      <c r="E3419" t="inlineStr">
        <is>
          <t>SKELLEFTEÅ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47519-2024</t>
        </is>
      </c>
      <c r="B3420" s="1" t="n">
        <v>45587</v>
      </c>
      <c r="C3420" s="1" t="n">
        <v>45760</v>
      </c>
      <c r="D3420" t="inlineStr">
        <is>
          <t>VÄSTERBOTTENS LÄN</t>
        </is>
      </c>
      <c r="E3420" t="inlineStr">
        <is>
          <t>SKELLEFTEÅ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47496-2024</t>
        </is>
      </c>
      <c r="B3421" s="1" t="n">
        <v>45587</v>
      </c>
      <c r="C3421" s="1" t="n">
        <v>45760</v>
      </c>
      <c r="D3421" t="inlineStr">
        <is>
          <t>VÄSTERBOTTENS LÄN</t>
        </is>
      </c>
      <c r="E3421" t="inlineStr">
        <is>
          <t>SKELLEFTEÅ</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47514-2024</t>
        </is>
      </c>
      <c r="B3422" s="1" t="n">
        <v>45587</v>
      </c>
      <c r="C3422" s="1" t="n">
        <v>45760</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47352-2024</t>
        </is>
      </c>
      <c r="B3423" s="1" t="n">
        <v>45587</v>
      </c>
      <c r="C3423" s="1" t="n">
        <v>45760</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47668-2024</t>
        </is>
      </c>
      <c r="B3424" s="1" t="n">
        <v>45588</v>
      </c>
      <c r="C3424" s="1" t="n">
        <v>45760</v>
      </c>
      <c r="D3424" t="inlineStr">
        <is>
          <t>VÄSTERBOTTENS LÄN</t>
        </is>
      </c>
      <c r="E3424" t="inlineStr">
        <is>
          <t>SKELLEFTEÅ</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47887-2024</t>
        </is>
      </c>
      <c r="B3425" s="1" t="n">
        <v>45588</v>
      </c>
      <c r="C3425" s="1" t="n">
        <v>45760</v>
      </c>
      <c r="D3425" t="inlineStr">
        <is>
          <t>VÄSTERBOTTENS LÄN</t>
        </is>
      </c>
      <c r="E3425" t="inlineStr">
        <is>
          <t>SKELLEFTEÅ</t>
        </is>
      </c>
      <c r="F3425" t="inlineStr">
        <is>
          <t>Sveaskog</t>
        </is>
      </c>
      <c r="G3425" t="n">
        <v>24.7</v>
      </c>
      <c r="H3425" t="n">
        <v>0</v>
      </c>
      <c r="I3425" t="n">
        <v>0</v>
      </c>
      <c r="J3425" t="n">
        <v>0</v>
      </c>
      <c r="K3425" t="n">
        <v>0</v>
      </c>
      <c r="L3425" t="n">
        <v>0</v>
      </c>
      <c r="M3425" t="n">
        <v>0</v>
      </c>
      <c r="N3425" t="n">
        <v>0</v>
      </c>
      <c r="O3425" t="n">
        <v>0</v>
      </c>
      <c r="P3425" t="n">
        <v>0</v>
      </c>
      <c r="Q3425" t="n">
        <v>0</v>
      </c>
      <c r="R3425" s="2" t="inlineStr"/>
    </row>
    <row r="3426" ht="15" customHeight="1">
      <c r="A3426" t="inlineStr">
        <is>
          <t>A 47686-2024</t>
        </is>
      </c>
      <c r="B3426" s="1" t="n">
        <v>45588</v>
      </c>
      <c r="C3426" s="1" t="n">
        <v>45760</v>
      </c>
      <c r="D3426" t="inlineStr">
        <is>
          <t>VÄSTERBOTTENS LÄN</t>
        </is>
      </c>
      <c r="E3426" t="inlineStr">
        <is>
          <t>SKELLEFTEÅ</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48074-2024</t>
        </is>
      </c>
      <c r="B3427" s="1" t="n">
        <v>45589</v>
      </c>
      <c r="C3427" s="1" t="n">
        <v>45760</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48043-2024</t>
        </is>
      </c>
      <c r="B3428" s="1" t="n">
        <v>45589</v>
      </c>
      <c r="C3428" s="1" t="n">
        <v>45760</v>
      </c>
      <c r="D3428" t="inlineStr">
        <is>
          <t>VÄSTERBOTTENS LÄN</t>
        </is>
      </c>
      <c r="E3428" t="inlineStr">
        <is>
          <t>SKELLEFTEÅ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48116-2024</t>
        </is>
      </c>
      <c r="B3429" s="1" t="n">
        <v>45589</v>
      </c>
      <c r="C3429" s="1" t="n">
        <v>45760</v>
      </c>
      <c r="D3429" t="inlineStr">
        <is>
          <t>VÄSTERBOTTENS LÄN</t>
        </is>
      </c>
      <c r="E3429" t="inlineStr">
        <is>
          <t>SKELLEFTEÅ</t>
        </is>
      </c>
      <c r="F3429" t="inlineStr">
        <is>
          <t>Kommuner</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48203-2024</t>
        </is>
      </c>
      <c r="B3430" s="1" t="n">
        <v>45589</v>
      </c>
      <c r="C3430" s="1" t="n">
        <v>45760</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48093-2024</t>
        </is>
      </c>
      <c r="B3431" s="1" t="n">
        <v>45589</v>
      </c>
      <c r="C3431" s="1" t="n">
        <v>45760</v>
      </c>
      <c r="D3431" t="inlineStr">
        <is>
          <t>VÄSTERBOTTENS LÄN</t>
        </is>
      </c>
      <c r="E3431" t="inlineStr">
        <is>
          <t>SKELLEFTEÅ</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48204-2024</t>
        </is>
      </c>
      <c r="B3432" s="1" t="n">
        <v>45589</v>
      </c>
      <c r="C3432" s="1" t="n">
        <v>45760</v>
      </c>
      <c r="D3432" t="inlineStr">
        <is>
          <t>VÄSTERBOTTENS LÄN</t>
        </is>
      </c>
      <c r="E3432" t="inlineStr">
        <is>
          <t>SKELLEFTEÅ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48202-2024</t>
        </is>
      </c>
      <c r="B3433" s="1" t="n">
        <v>45589</v>
      </c>
      <c r="C3433" s="1" t="n">
        <v>45760</v>
      </c>
      <c r="D3433" t="inlineStr">
        <is>
          <t>VÄSTERBOTTENS LÄN</t>
        </is>
      </c>
      <c r="E3433" t="inlineStr">
        <is>
          <t>SKELLEFTEÅ</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48290-2024</t>
        </is>
      </c>
      <c r="B3434" s="1" t="n">
        <v>45590</v>
      </c>
      <c r="C3434" s="1" t="n">
        <v>45760</v>
      </c>
      <c r="D3434" t="inlineStr">
        <is>
          <t>VÄSTERBOTTENS LÄN</t>
        </is>
      </c>
      <c r="E3434" t="inlineStr">
        <is>
          <t>SKELLEFTEÅ</t>
        </is>
      </c>
      <c r="F3434" t="inlineStr">
        <is>
          <t>Sveaskog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48391-2024</t>
        </is>
      </c>
      <c r="B3435" s="1" t="n">
        <v>45590</v>
      </c>
      <c r="C3435" s="1" t="n">
        <v>45760</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48620-2024</t>
        </is>
      </c>
      <c r="B3436" s="1" t="n">
        <v>45593</v>
      </c>
      <c r="C3436" s="1" t="n">
        <v>45760</v>
      </c>
      <c r="D3436" t="inlineStr">
        <is>
          <t>VÄSTERBOTTENS LÄN</t>
        </is>
      </c>
      <c r="E3436" t="inlineStr">
        <is>
          <t>SKELLEFTEÅ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48786-2024</t>
        </is>
      </c>
      <c r="B3437" s="1" t="n">
        <v>45593</v>
      </c>
      <c r="C3437" s="1" t="n">
        <v>45760</v>
      </c>
      <c r="D3437" t="inlineStr">
        <is>
          <t>VÄSTERBOTTENS LÄN</t>
        </is>
      </c>
      <c r="E3437" t="inlineStr">
        <is>
          <t>SKELLEFTEÅ</t>
        </is>
      </c>
      <c r="F3437" t="inlineStr">
        <is>
          <t>Kommuner</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48610-2024</t>
        </is>
      </c>
      <c r="B3438" s="1" t="n">
        <v>45593</v>
      </c>
      <c r="C3438" s="1" t="n">
        <v>45760</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48799-2024</t>
        </is>
      </c>
      <c r="B3439" s="1" t="n">
        <v>45593</v>
      </c>
      <c r="C3439" s="1" t="n">
        <v>45760</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48744-2024</t>
        </is>
      </c>
      <c r="B3440" s="1" t="n">
        <v>45593</v>
      </c>
      <c r="C3440" s="1" t="n">
        <v>45760</v>
      </c>
      <c r="D3440" t="inlineStr">
        <is>
          <t>VÄSTERBOTTENS LÄN</t>
        </is>
      </c>
      <c r="E3440" t="inlineStr">
        <is>
          <t>SKELLEFTEÅ</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48878-2024</t>
        </is>
      </c>
      <c r="B3441" s="1" t="n">
        <v>45594</v>
      </c>
      <c r="C3441" s="1" t="n">
        <v>45760</v>
      </c>
      <c r="D3441" t="inlineStr">
        <is>
          <t>VÄSTERBOTTENS LÄN</t>
        </is>
      </c>
      <c r="E3441" t="inlineStr">
        <is>
          <t>SKELLEFTEÅ</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48866-2024</t>
        </is>
      </c>
      <c r="B3442" s="1" t="n">
        <v>45594</v>
      </c>
      <c r="C3442" s="1" t="n">
        <v>45760</v>
      </c>
      <c r="D3442" t="inlineStr">
        <is>
          <t>VÄSTERBOTTENS LÄN</t>
        </is>
      </c>
      <c r="E3442" t="inlineStr">
        <is>
          <t>SKELLEFTEÅ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49120-2024</t>
        </is>
      </c>
      <c r="B3443" s="1" t="n">
        <v>45594</v>
      </c>
      <c r="C3443" s="1" t="n">
        <v>45760</v>
      </c>
      <c r="D3443" t="inlineStr">
        <is>
          <t>VÄSTERBOTTENS LÄN</t>
        </is>
      </c>
      <c r="E3443" t="inlineStr">
        <is>
          <t>SKELLEFTEÅ</t>
        </is>
      </c>
      <c r="F3443" t="inlineStr">
        <is>
          <t>Holmen skog AB</t>
        </is>
      </c>
      <c r="G3443" t="n">
        <v>37.2</v>
      </c>
      <c r="H3443" t="n">
        <v>0</v>
      </c>
      <c r="I3443" t="n">
        <v>0</v>
      </c>
      <c r="J3443" t="n">
        <v>0</v>
      </c>
      <c r="K3443" t="n">
        <v>0</v>
      </c>
      <c r="L3443" t="n">
        <v>0</v>
      </c>
      <c r="M3443" t="n">
        <v>0</v>
      </c>
      <c r="N3443" t="n">
        <v>0</v>
      </c>
      <c r="O3443" t="n">
        <v>0</v>
      </c>
      <c r="P3443" t="n">
        <v>0</v>
      </c>
      <c r="Q3443" t="n">
        <v>0</v>
      </c>
      <c r="R3443" s="2" t="inlineStr"/>
    </row>
    <row r="3444" ht="15" customHeight="1">
      <c r="A3444" t="inlineStr">
        <is>
          <t>A 48885-2024</t>
        </is>
      </c>
      <c r="B3444" s="1" t="n">
        <v>45594</v>
      </c>
      <c r="C3444" s="1" t="n">
        <v>45760</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48891-2024</t>
        </is>
      </c>
      <c r="B3445" s="1" t="n">
        <v>45594</v>
      </c>
      <c r="C3445" s="1" t="n">
        <v>45760</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49217-2024</t>
        </is>
      </c>
      <c r="B3446" s="1" t="n">
        <v>45595</v>
      </c>
      <c r="C3446" s="1" t="n">
        <v>45760</v>
      </c>
      <c r="D3446" t="inlineStr">
        <is>
          <t>VÄSTERBOTTENS LÄN</t>
        </is>
      </c>
      <c r="E3446" t="inlineStr">
        <is>
          <t>SKELLEFTEÅ</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49171-2024</t>
        </is>
      </c>
      <c r="B3447" s="1" t="n">
        <v>45595</v>
      </c>
      <c r="C3447" s="1" t="n">
        <v>45760</v>
      </c>
      <c r="D3447" t="inlineStr">
        <is>
          <t>VÄSTERBOTTENS LÄN</t>
        </is>
      </c>
      <c r="E3447" t="inlineStr">
        <is>
          <t>SKELLEFTEÅ</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49268-2024</t>
        </is>
      </c>
      <c r="B3448" s="1" t="n">
        <v>45595</v>
      </c>
      <c r="C3448" s="1" t="n">
        <v>45760</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49429-2024</t>
        </is>
      </c>
      <c r="B3449" s="1" t="n">
        <v>45595</v>
      </c>
      <c r="C3449" s="1" t="n">
        <v>45760</v>
      </c>
      <c r="D3449" t="inlineStr">
        <is>
          <t>VÄSTERBOTTENS LÄN</t>
        </is>
      </c>
      <c r="E3449" t="inlineStr">
        <is>
          <t>SKELLEFTEÅ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49279-2024</t>
        </is>
      </c>
      <c r="B3450" s="1" t="n">
        <v>45595</v>
      </c>
      <c r="C3450" s="1" t="n">
        <v>45760</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49356-2024</t>
        </is>
      </c>
      <c r="B3451" s="1" t="n">
        <v>45595</v>
      </c>
      <c r="C3451" s="1" t="n">
        <v>45760</v>
      </c>
      <c r="D3451" t="inlineStr">
        <is>
          <t>VÄSTERBOTTENS LÄN</t>
        </is>
      </c>
      <c r="E3451" t="inlineStr">
        <is>
          <t>SKELLEFTEÅ</t>
        </is>
      </c>
      <c r="F3451" t="inlineStr">
        <is>
          <t>Sveaskog</t>
        </is>
      </c>
      <c r="G3451" t="n">
        <v>12.8</v>
      </c>
      <c r="H3451" t="n">
        <v>0</v>
      </c>
      <c r="I3451" t="n">
        <v>0</v>
      </c>
      <c r="J3451" t="n">
        <v>0</v>
      </c>
      <c r="K3451" t="n">
        <v>0</v>
      </c>
      <c r="L3451" t="n">
        <v>0</v>
      </c>
      <c r="M3451" t="n">
        <v>0</v>
      </c>
      <c r="N3451" t="n">
        <v>0</v>
      </c>
      <c r="O3451" t="n">
        <v>0</v>
      </c>
      <c r="P3451" t="n">
        <v>0</v>
      </c>
      <c r="Q3451" t="n">
        <v>0</v>
      </c>
      <c r="R3451" s="2" t="inlineStr"/>
    </row>
    <row r="3452" ht="15" customHeight="1">
      <c r="A3452" t="inlineStr">
        <is>
          <t>A 49731-2024</t>
        </is>
      </c>
      <c r="B3452" s="1" t="n">
        <v>45596</v>
      </c>
      <c r="C3452" s="1" t="n">
        <v>45760</v>
      </c>
      <c r="D3452" t="inlineStr">
        <is>
          <t>VÄSTERBOTTENS LÄN</t>
        </is>
      </c>
      <c r="E3452" t="inlineStr">
        <is>
          <t>SKELLEFTEÅ</t>
        </is>
      </c>
      <c r="F3452" t="inlineStr">
        <is>
          <t>Sveaskog</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49844-2024</t>
        </is>
      </c>
      <c r="B3453" s="1" t="n">
        <v>45597</v>
      </c>
      <c r="C3453" s="1" t="n">
        <v>45760</v>
      </c>
      <c r="D3453" t="inlineStr">
        <is>
          <t>VÄSTERBOTTENS LÄN</t>
        </is>
      </c>
      <c r="E3453" t="inlineStr">
        <is>
          <t>SKELLEFTEÅ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49947-2024</t>
        </is>
      </c>
      <c r="B3454" s="1" t="n">
        <v>45597</v>
      </c>
      <c r="C3454" s="1" t="n">
        <v>45760</v>
      </c>
      <c r="D3454" t="inlineStr">
        <is>
          <t>VÄSTERBOTTENS LÄN</t>
        </is>
      </c>
      <c r="E3454" t="inlineStr">
        <is>
          <t>SKELLEFTEÅ</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49955-2024</t>
        </is>
      </c>
      <c r="B3455" s="1" t="n">
        <v>45597</v>
      </c>
      <c r="C3455" s="1" t="n">
        <v>45760</v>
      </c>
      <c r="D3455" t="inlineStr">
        <is>
          <t>VÄSTERBOTTENS LÄN</t>
        </is>
      </c>
      <c r="E3455" t="inlineStr">
        <is>
          <t>SKELLEFTEÅ</t>
        </is>
      </c>
      <c r="F3455" t="inlineStr">
        <is>
          <t>Sveaskog</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49811-2024</t>
        </is>
      </c>
      <c r="B3456" s="1" t="n">
        <v>45597</v>
      </c>
      <c r="C3456" s="1" t="n">
        <v>45760</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49981-2024</t>
        </is>
      </c>
      <c r="B3457" s="1" t="n">
        <v>45597</v>
      </c>
      <c r="C3457" s="1" t="n">
        <v>45760</v>
      </c>
      <c r="D3457" t="inlineStr">
        <is>
          <t>VÄSTERBOTTENS LÄN</t>
        </is>
      </c>
      <c r="E3457" t="inlineStr">
        <is>
          <t>SKELLEFTEÅ</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50082-2024</t>
        </is>
      </c>
      <c r="B3458" s="1" t="n">
        <v>45597</v>
      </c>
      <c r="C3458" s="1" t="n">
        <v>45760</v>
      </c>
      <c r="D3458" t="inlineStr">
        <is>
          <t>VÄSTERBOTTENS LÄN</t>
        </is>
      </c>
      <c r="E3458" t="inlineStr">
        <is>
          <t>SKELLEFTEÅ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50059-2024</t>
        </is>
      </c>
      <c r="B3459" s="1" t="n">
        <v>45600</v>
      </c>
      <c r="C3459" s="1" t="n">
        <v>45760</v>
      </c>
      <c r="D3459" t="inlineStr">
        <is>
          <t>VÄSTERBOTTENS LÄN</t>
        </is>
      </c>
      <c r="E3459" t="inlineStr">
        <is>
          <t>SKELLEFTEÅ</t>
        </is>
      </c>
      <c r="F3459" t="inlineStr">
        <is>
          <t>Kommuner</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50070-2024</t>
        </is>
      </c>
      <c r="B3460" s="1" t="n">
        <v>45600</v>
      </c>
      <c r="C3460" s="1" t="n">
        <v>45760</v>
      </c>
      <c r="D3460" t="inlineStr">
        <is>
          <t>VÄSTERBOTTENS LÄN</t>
        </is>
      </c>
      <c r="E3460" t="inlineStr">
        <is>
          <t>SKELLEFTEÅ</t>
        </is>
      </c>
      <c r="F3460" t="inlineStr">
        <is>
          <t>Kommuner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50058-2024</t>
        </is>
      </c>
      <c r="B3461" s="1" t="n">
        <v>45600</v>
      </c>
      <c r="C3461" s="1" t="n">
        <v>45760</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50263-2024</t>
        </is>
      </c>
      <c r="B3462" s="1" t="n">
        <v>45600</v>
      </c>
      <c r="C3462" s="1" t="n">
        <v>45760</v>
      </c>
      <c r="D3462" t="inlineStr">
        <is>
          <t>VÄSTERBOTTENS LÄN</t>
        </is>
      </c>
      <c r="E3462" t="inlineStr">
        <is>
          <t>SKELLEFTEÅ</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50335-2024</t>
        </is>
      </c>
      <c r="B3463" s="1" t="n">
        <v>45600</v>
      </c>
      <c r="C3463" s="1" t="n">
        <v>45760</v>
      </c>
      <c r="D3463" t="inlineStr">
        <is>
          <t>VÄSTERBOTTENS LÄN</t>
        </is>
      </c>
      <c r="E3463" t="inlineStr">
        <is>
          <t>SKELLEFTEÅ</t>
        </is>
      </c>
      <c r="F3463" t="inlineStr">
        <is>
          <t>Holmen skog AB</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50232-2024</t>
        </is>
      </c>
      <c r="B3464" s="1" t="n">
        <v>45600</v>
      </c>
      <c r="C3464" s="1" t="n">
        <v>45760</v>
      </c>
      <c r="D3464" t="inlineStr">
        <is>
          <t>VÄSTERBOTTENS LÄN</t>
        </is>
      </c>
      <c r="E3464" t="inlineStr">
        <is>
          <t>SKELLEFTEÅ</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50276-2024</t>
        </is>
      </c>
      <c r="B3465" s="1" t="n">
        <v>45600</v>
      </c>
      <c r="C3465" s="1" t="n">
        <v>45760</v>
      </c>
      <c r="D3465" t="inlineStr">
        <is>
          <t>VÄSTERBOTTENS LÄN</t>
        </is>
      </c>
      <c r="E3465" t="inlineStr">
        <is>
          <t>SKELLEFTEÅ</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50288-2024</t>
        </is>
      </c>
      <c r="B3466" s="1" t="n">
        <v>45600</v>
      </c>
      <c r="C3466" s="1" t="n">
        <v>45760</v>
      </c>
      <c r="D3466" t="inlineStr">
        <is>
          <t>VÄSTERBOTTENS LÄN</t>
        </is>
      </c>
      <c r="E3466" t="inlineStr">
        <is>
          <t>SKELLEFTEÅ</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50322-2024</t>
        </is>
      </c>
      <c r="B3467" s="1" t="n">
        <v>45600</v>
      </c>
      <c r="C3467" s="1" t="n">
        <v>45760</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50515-2024</t>
        </is>
      </c>
      <c r="B3468" s="1" t="n">
        <v>45601</v>
      </c>
      <c r="C3468" s="1" t="n">
        <v>45760</v>
      </c>
      <c r="D3468" t="inlineStr">
        <is>
          <t>VÄSTERBOTTENS LÄN</t>
        </is>
      </c>
      <c r="E3468" t="inlineStr">
        <is>
          <t>SKELLEFTEÅ</t>
        </is>
      </c>
      <c r="F3468" t="inlineStr">
        <is>
          <t>Holmen skog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50476-2024</t>
        </is>
      </c>
      <c r="B3469" s="1" t="n">
        <v>45601</v>
      </c>
      <c r="C3469" s="1" t="n">
        <v>45760</v>
      </c>
      <c r="D3469" t="inlineStr">
        <is>
          <t>VÄSTERBOTTENS LÄN</t>
        </is>
      </c>
      <c r="E3469" t="inlineStr">
        <is>
          <t>SKELLEFTEÅ</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50439-2024</t>
        </is>
      </c>
      <c r="B3470" s="1" t="n">
        <v>45601</v>
      </c>
      <c r="C3470" s="1" t="n">
        <v>45760</v>
      </c>
      <c r="D3470" t="inlineStr">
        <is>
          <t>VÄSTERBOTTENS LÄN</t>
        </is>
      </c>
      <c r="E3470" t="inlineStr">
        <is>
          <t>SKELLEFTEÅ</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50450-2024</t>
        </is>
      </c>
      <c r="B3471" s="1" t="n">
        <v>45601</v>
      </c>
      <c r="C3471" s="1" t="n">
        <v>45760</v>
      </c>
      <c r="D3471" t="inlineStr">
        <is>
          <t>VÄSTERBOTTENS LÄN</t>
        </is>
      </c>
      <c r="E3471" t="inlineStr">
        <is>
          <t>SKELLEFTEÅ</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50752-2024</t>
        </is>
      </c>
      <c r="B3472" s="1" t="n">
        <v>45602</v>
      </c>
      <c r="C3472" s="1" t="n">
        <v>45760</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50795-2024</t>
        </is>
      </c>
      <c r="B3473" s="1" t="n">
        <v>45602</v>
      </c>
      <c r="C3473" s="1" t="n">
        <v>45760</v>
      </c>
      <c r="D3473" t="inlineStr">
        <is>
          <t>VÄSTERBOTTENS LÄN</t>
        </is>
      </c>
      <c r="E3473" t="inlineStr">
        <is>
          <t>SKELLEFTEÅ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50862-2024</t>
        </is>
      </c>
      <c r="B3474" s="1" t="n">
        <v>45602</v>
      </c>
      <c r="C3474" s="1" t="n">
        <v>45760</v>
      </c>
      <c r="D3474" t="inlineStr">
        <is>
          <t>VÄSTERBOTTENS LÄN</t>
        </is>
      </c>
      <c r="E3474" t="inlineStr">
        <is>
          <t>SKELLEFTEÅ</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50894-2024</t>
        </is>
      </c>
      <c r="B3475" s="1" t="n">
        <v>45602</v>
      </c>
      <c r="C3475" s="1" t="n">
        <v>45760</v>
      </c>
      <c r="D3475" t="inlineStr">
        <is>
          <t>VÄSTERBOTTENS LÄN</t>
        </is>
      </c>
      <c r="E3475" t="inlineStr">
        <is>
          <t>SKELLEFTEÅ</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51006-2024</t>
        </is>
      </c>
      <c r="B3476" s="1" t="n">
        <v>45603</v>
      </c>
      <c r="C3476" s="1" t="n">
        <v>45760</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51179-2024</t>
        </is>
      </c>
      <c r="B3477" s="1" t="n">
        <v>45603</v>
      </c>
      <c r="C3477" s="1" t="n">
        <v>45760</v>
      </c>
      <c r="D3477" t="inlineStr">
        <is>
          <t>VÄSTERBOTTENS LÄN</t>
        </is>
      </c>
      <c r="E3477" t="inlineStr">
        <is>
          <t>SKELLEFTEÅ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51165-2024</t>
        </is>
      </c>
      <c r="B3478" s="1" t="n">
        <v>45603</v>
      </c>
      <c r="C3478" s="1" t="n">
        <v>45760</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51116-2024</t>
        </is>
      </c>
      <c r="B3479" s="1" t="n">
        <v>45603</v>
      </c>
      <c r="C3479" s="1" t="n">
        <v>45760</v>
      </c>
      <c r="D3479" t="inlineStr">
        <is>
          <t>VÄSTERBOTTENS LÄN</t>
        </is>
      </c>
      <c r="E3479" t="inlineStr">
        <is>
          <t>SKELLEFTEÅ</t>
        </is>
      </c>
      <c r="F3479" t="inlineStr">
        <is>
          <t>Holmen skog AB</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51357-2024</t>
        </is>
      </c>
      <c r="B3480" s="1" t="n">
        <v>45603</v>
      </c>
      <c r="C3480" s="1" t="n">
        <v>45760</v>
      </c>
      <c r="D3480" t="inlineStr">
        <is>
          <t>VÄSTERBOTTENS LÄN</t>
        </is>
      </c>
      <c r="E3480" t="inlineStr">
        <is>
          <t>SKELLEFTEÅ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51348-2024</t>
        </is>
      </c>
      <c r="B3481" s="1" t="n">
        <v>45603</v>
      </c>
      <c r="C3481" s="1" t="n">
        <v>45760</v>
      </c>
      <c r="D3481" t="inlineStr">
        <is>
          <t>VÄSTERBOTTENS LÄN</t>
        </is>
      </c>
      <c r="E3481" t="inlineStr">
        <is>
          <t>SKELLEFTEÅ</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51332-2024</t>
        </is>
      </c>
      <c r="B3482" s="1" t="n">
        <v>45604</v>
      </c>
      <c r="C3482" s="1" t="n">
        <v>45760</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51356-2024</t>
        </is>
      </c>
      <c r="B3483" s="1" t="n">
        <v>45604</v>
      </c>
      <c r="C3483" s="1" t="n">
        <v>45760</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51363-2024</t>
        </is>
      </c>
      <c r="B3484" s="1" t="n">
        <v>45604</v>
      </c>
      <c r="C3484" s="1" t="n">
        <v>45760</v>
      </c>
      <c r="D3484" t="inlineStr">
        <is>
          <t>VÄSTERBOTTENS LÄN</t>
        </is>
      </c>
      <c r="E3484" t="inlineStr">
        <is>
          <t>SKELLEFTEÅ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51382-2024</t>
        </is>
      </c>
      <c r="B3485" s="1" t="n">
        <v>45604</v>
      </c>
      <c r="C3485" s="1" t="n">
        <v>45760</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51362-2024</t>
        </is>
      </c>
      <c r="B3486" s="1" t="n">
        <v>45604</v>
      </c>
      <c r="C3486" s="1" t="n">
        <v>45760</v>
      </c>
      <c r="D3486" t="inlineStr">
        <is>
          <t>VÄSTERBOTTENS LÄN</t>
        </is>
      </c>
      <c r="E3486" t="inlineStr">
        <is>
          <t>SKELLEFTEÅ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51383-2024</t>
        </is>
      </c>
      <c r="B3487" s="1" t="n">
        <v>45604</v>
      </c>
      <c r="C3487" s="1" t="n">
        <v>45760</v>
      </c>
      <c r="D3487" t="inlineStr">
        <is>
          <t>VÄSTERBOTTENS LÄN</t>
        </is>
      </c>
      <c r="E3487" t="inlineStr">
        <is>
          <t>SKELLEFTEÅ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51439-2024</t>
        </is>
      </c>
      <c r="B3488" s="1" t="n">
        <v>45604</v>
      </c>
      <c r="C3488" s="1" t="n">
        <v>45760</v>
      </c>
      <c r="D3488" t="inlineStr">
        <is>
          <t>VÄSTERBOTTENS LÄN</t>
        </is>
      </c>
      <c r="E3488" t="inlineStr">
        <is>
          <t>SKELLEFTEÅ</t>
        </is>
      </c>
      <c r="F3488" t="inlineStr">
        <is>
          <t>Holmen skog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51592-2024</t>
        </is>
      </c>
      <c r="B3489" s="1" t="n">
        <v>45604</v>
      </c>
      <c r="C3489" s="1" t="n">
        <v>45760</v>
      </c>
      <c r="D3489" t="inlineStr">
        <is>
          <t>VÄSTERBOTTENS LÄN</t>
        </is>
      </c>
      <c r="E3489" t="inlineStr">
        <is>
          <t>SKELLEFTEÅ</t>
        </is>
      </c>
      <c r="F3489" t="inlineStr">
        <is>
          <t>Sveaskog</t>
        </is>
      </c>
      <c r="G3489" t="n">
        <v>15.1</v>
      </c>
      <c r="H3489" t="n">
        <v>0</v>
      </c>
      <c r="I3489" t="n">
        <v>0</v>
      </c>
      <c r="J3489" t="n">
        <v>0</v>
      </c>
      <c r="K3489" t="n">
        <v>0</v>
      </c>
      <c r="L3489" t="n">
        <v>0</v>
      </c>
      <c r="M3489" t="n">
        <v>0</v>
      </c>
      <c r="N3489" t="n">
        <v>0</v>
      </c>
      <c r="O3489" t="n">
        <v>0</v>
      </c>
      <c r="P3489" t="n">
        <v>0</v>
      </c>
      <c r="Q3489" t="n">
        <v>0</v>
      </c>
      <c r="R3489" s="2" t="inlineStr"/>
    </row>
    <row r="3490" ht="15" customHeight="1">
      <c r="A3490" t="inlineStr">
        <is>
          <t>A 51319-2024</t>
        </is>
      </c>
      <c r="B3490" s="1" t="n">
        <v>45604</v>
      </c>
      <c r="C3490" s="1" t="n">
        <v>45760</v>
      </c>
      <c r="D3490" t="inlineStr">
        <is>
          <t>VÄSTERBOTTENS LÄN</t>
        </is>
      </c>
      <c r="E3490" t="inlineStr">
        <is>
          <t>SKELLEFTEÅ</t>
        </is>
      </c>
      <c r="F3490" t="inlineStr">
        <is>
          <t>Kommuner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51993-2024</t>
        </is>
      </c>
      <c r="B3491" s="1" t="n">
        <v>45607</v>
      </c>
      <c r="C3491" s="1" t="n">
        <v>45760</v>
      </c>
      <c r="D3491" t="inlineStr">
        <is>
          <t>VÄSTERBOTTENS LÄN</t>
        </is>
      </c>
      <c r="E3491" t="inlineStr">
        <is>
          <t>SKELLEFTEÅ</t>
        </is>
      </c>
      <c r="F3491" t="inlineStr">
        <is>
          <t>Kommuner</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51991-2024</t>
        </is>
      </c>
      <c r="B3492" s="1" t="n">
        <v>45607</v>
      </c>
      <c r="C3492" s="1" t="n">
        <v>45760</v>
      </c>
      <c r="D3492" t="inlineStr">
        <is>
          <t>VÄSTERBOTTENS LÄN</t>
        </is>
      </c>
      <c r="E3492" t="inlineStr">
        <is>
          <t>SKELLEFTEÅ</t>
        </is>
      </c>
      <c r="F3492" t="inlineStr">
        <is>
          <t>Kommuner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51810-2024</t>
        </is>
      </c>
      <c r="B3493" s="1" t="n">
        <v>45607</v>
      </c>
      <c r="C3493" s="1" t="n">
        <v>45760</v>
      </c>
      <c r="D3493" t="inlineStr">
        <is>
          <t>VÄSTERBOTTENS LÄN</t>
        </is>
      </c>
      <c r="E3493" t="inlineStr">
        <is>
          <t>SKELLEFTEÅ</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52157-2024</t>
        </is>
      </c>
      <c r="B3494" s="1" t="n">
        <v>45608</v>
      </c>
      <c r="C3494" s="1" t="n">
        <v>45760</v>
      </c>
      <c r="D3494" t="inlineStr">
        <is>
          <t>VÄSTERBOTTENS LÄN</t>
        </is>
      </c>
      <c r="E3494" t="inlineStr">
        <is>
          <t>SKELLEFTEÅ</t>
        </is>
      </c>
      <c r="F3494" t="inlineStr">
        <is>
          <t>Holmen skog AB</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52098-2024</t>
        </is>
      </c>
      <c r="B3495" s="1" t="n">
        <v>45608</v>
      </c>
      <c r="C3495" s="1" t="n">
        <v>45760</v>
      </c>
      <c r="D3495" t="inlineStr">
        <is>
          <t>VÄSTERBOTTENS LÄN</t>
        </is>
      </c>
      <c r="E3495" t="inlineStr">
        <is>
          <t>SKELLEFTEÅ</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52410-2024</t>
        </is>
      </c>
      <c r="B3496" s="1" t="n">
        <v>45608</v>
      </c>
      <c r="C3496" s="1" t="n">
        <v>45760</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52245-2024</t>
        </is>
      </c>
      <c r="B3497" s="1" t="n">
        <v>45608</v>
      </c>
      <c r="C3497" s="1" t="n">
        <v>45760</v>
      </c>
      <c r="D3497" t="inlineStr">
        <is>
          <t>VÄSTERBOTTENS LÄN</t>
        </is>
      </c>
      <c r="E3497" t="inlineStr">
        <is>
          <t>SKELLEFTEÅ</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52417-2024</t>
        </is>
      </c>
      <c r="B3498" s="1" t="n">
        <v>45608</v>
      </c>
      <c r="C3498" s="1" t="n">
        <v>45760</v>
      </c>
      <c r="D3498" t="inlineStr">
        <is>
          <t>VÄSTERBOTTENS LÄN</t>
        </is>
      </c>
      <c r="E3498" t="inlineStr">
        <is>
          <t>SKELLEFTEÅ</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52218-2024</t>
        </is>
      </c>
      <c r="B3499" s="1" t="n">
        <v>45608</v>
      </c>
      <c r="C3499" s="1" t="n">
        <v>45760</v>
      </c>
      <c r="D3499" t="inlineStr">
        <is>
          <t>VÄSTERBOTTENS LÄN</t>
        </is>
      </c>
      <c r="E3499" t="inlineStr">
        <is>
          <t>SKELLEFTEÅ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52108-2024</t>
        </is>
      </c>
      <c r="B3500" s="1" t="n">
        <v>45608</v>
      </c>
      <c r="C3500" s="1" t="n">
        <v>45760</v>
      </c>
      <c r="D3500" t="inlineStr">
        <is>
          <t>VÄSTERBOTTENS LÄN</t>
        </is>
      </c>
      <c r="E3500" t="inlineStr">
        <is>
          <t>SKELLEFTEÅ</t>
        </is>
      </c>
      <c r="F3500" t="inlineStr">
        <is>
          <t>Holmen skog AB</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52509-2024</t>
        </is>
      </c>
      <c r="B3501" s="1" t="n">
        <v>45609</v>
      </c>
      <c r="C3501" s="1" t="n">
        <v>45760</v>
      </c>
      <c r="D3501" t="inlineStr">
        <is>
          <t>VÄSTERBOTTENS LÄN</t>
        </is>
      </c>
      <c r="E3501" t="inlineStr">
        <is>
          <t>SKELLEFTEÅ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52587-2024</t>
        </is>
      </c>
      <c r="B3502" s="1" t="n">
        <v>45609</v>
      </c>
      <c r="C3502" s="1" t="n">
        <v>45760</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52620-2024</t>
        </is>
      </c>
      <c r="B3503" s="1" t="n">
        <v>45609</v>
      </c>
      <c r="C3503" s="1" t="n">
        <v>45760</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52693-2024</t>
        </is>
      </c>
      <c r="B3504" s="1" t="n">
        <v>45610</v>
      </c>
      <c r="C3504" s="1" t="n">
        <v>45760</v>
      </c>
      <c r="D3504" t="inlineStr">
        <is>
          <t>VÄSTERBOTTENS LÄN</t>
        </is>
      </c>
      <c r="E3504" t="inlineStr">
        <is>
          <t>SKELLEFTEÅ</t>
        </is>
      </c>
      <c r="F3504" t="inlineStr">
        <is>
          <t>Holmen skog AB</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52744-2024</t>
        </is>
      </c>
      <c r="B3505" s="1" t="n">
        <v>45610</v>
      </c>
      <c r="C3505" s="1" t="n">
        <v>45760</v>
      </c>
      <c r="D3505" t="inlineStr">
        <is>
          <t>VÄSTERBOTTENS LÄN</t>
        </is>
      </c>
      <c r="E3505" t="inlineStr">
        <is>
          <t>SKELLEFTEÅ</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52767-2024</t>
        </is>
      </c>
      <c r="B3506" s="1" t="n">
        <v>45610</v>
      </c>
      <c r="C3506" s="1" t="n">
        <v>45760</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52864-2024</t>
        </is>
      </c>
      <c r="B3507" s="1" t="n">
        <v>45610</v>
      </c>
      <c r="C3507" s="1" t="n">
        <v>45760</v>
      </c>
      <c r="D3507" t="inlineStr">
        <is>
          <t>VÄSTERBOTTENS LÄN</t>
        </is>
      </c>
      <c r="E3507" t="inlineStr">
        <is>
          <t>SKELLEFTEÅ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52920-2024</t>
        </is>
      </c>
      <c r="B3508" s="1" t="n">
        <v>45610</v>
      </c>
      <c r="C3508" s="1" t="n">
        <v>45760</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52830-2024</t>
        </is>
      </c>
      <c r="B3509" s="1" t="n">
        <v>45610</v>
      </c>
      <c r="C3509" s="1" t="n">
        <v>45760</v>
      </c>
      <c r="D3509" t="inlineStr">
        <is>
          <t>VÄSTERBOTTENS LÄN</t>
        </is>
      </c>
      <c r="E3509" t="inlineStr">
        <is>
          <t>SKELLEFTEÅ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52862-2024</t>
        </is>
      </c>
      <c r="B3510" s="1" t="n">
        <v>45610</v>
      </c>
      <c r="C3510" s="1" t="n">
        <v>45760</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53000-2024</t>
        </is>
      </c>
      <c r="B3511" s="1" t="n">
        <v>45611</v>
      </c>
      <c r="C3511" s="1" t="n">
        <v>45760</v>
      </c>
      <c r="D3511" t="inlineStr">
        <is>
          <t>VÄSTERBOTTENS LÄN</t>
        </is>
      </c>
      <c r="E3511" t="inlineStr">
        <is>
          <t>SKELLEFTEÅ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53124-2024</t>
        </is>
      </c>
      <c r="B3512" s="1" t="n">
        <v>45611</v>
      </c>
      <c r="C3512" s="1" t="n">
        <v>45760</v>
      </c>
      <c r="D3512" t="inlineStr">
        <is>
          <t>VÄSTERBOTTENS LÄN</t>
        </is>
      </c>
      <c r="E3512" t="inlineStr">
        <is>
          <t>SKELLEFTEÅ</t>
        </is>
      </c>
      <c r="F3512" t="inlineStr">
        <is>
          <t>Holmen skog AB</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53117-2024</t>
        </is>
      </c>
      <c r="B3513" s="1" t="n">
        <v>45611</v>
      </c>
      <c r="C3513" s="1" t="n">
        <v>45760</v>
      </c>
      <c r="D3513" t="inlineStr">
        <is>
          <t>VÄSTERBOTTENS LÄN</t>
        </is>
      </c>
      <c r="E3513" t="inlineStr">
        <is>
          <t>SKELLEFTEÅ</t>
        </is>
      </c>
      <c r="F3513" t="inlineStr">
        <is>
          <t>Kommuner</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52999-2024</t>
        </is>
      </c>
      <c r="B3514" s="1" t="n">
        <v>45611</v>
      </c>
      <c r="C3514" s="1" t="n">
        <v>45760</v>
      </c>
      <c r="D3514" t="inlineStr">
        <is>
          <t>VÄSTERBOTTENS LÄN</t>
        </is>
      </c>
      <c r="E3514" t="inlineStr">
        <is>
          <t>SKELLEFTEÅ</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53419-2024</t>
        </is>
      </c>
      <c r="B3515" s="1" t="n">
        <v>45614</v>
      </c>
      <c r="C3515" s="1" t="n">
        <v>45760</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53257-2024</t>
        </is>
      </c>
      <c r="B3516" s="1" t="n">
        <v>45614</v>
      </c>
      <c r="C3516" s="1" t="n">
        <v>45760</v>
      </c>
      <c r="D3516" t="inlineStr">
        <is>
          <t>VÄSTERBOTTENS LÄN</t>
        </is>
      </c>
      <c r="E3516" t="inlineStr">
        <is>
          <t>SKELLEFTEÅ</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53505-2024</t>
        </is>
      </c>
      <c r="B3517" s="1" t="n">
        <v>45614</v>
      </c>
      <c r="C3517" s="1" t="n">
        <v>45760</v>
      </c>
      <c r="D3517" t="inlineStr">
        <is>
          <t>VÄSTERBOTTENS LÄN</t>
        </is>
      </c>
      <c r="E3517" t="inlineStr">
        <is>
          <t>SKELLEFTEÅ</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53420-2024</t>
        </is>
      </c>
      <c r="B3518" s="1" t="n">
        <v>45614</v>
      </c>
      <c r="C3518" s="1" t="n">
        <v>45760</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53635-2024</t>
        </is>
      </c>
      <c r="B3519" s="1" t="n">
        <v>45614</v>
      </c>
      <c r="C3519" s="1" t="n">
        <v>45760</v>
      </c>
      <c r="D3519" t="inlineStr">
        <is>
          <t>VÄSTERBOTTENS LÄN</t>
        </is>
      </c>
      <c r="E3519" t="inlineStr">
        <is>
          <t>SKELLEFTEÅ</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53430-2024</t>
        </is>
      </c>
      <c r="B3520" s="1" t="n">
        <v>45614</v>
      </c>
      <c r="C3520" s="1" t="n">
        <v>45760</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53426-2024</t>
        </is>
      </c>
      <c r="B3521" s="1" t="n">
        <v>45614</v>
      </c>
      <c r="C3521" s="1" t="n">
        <v>45760</v>
      </c>
      <c r="D3521" t="inlineStr">
        <is>
          <t>VÄSTERBOTTENS LÄN</t>
        </is>
      </c>
      <c r="E3521" t="inlineStr">
        <is>
          <t>SKELLEFTEÅ</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53445-2024</t>
        </is>
      </c>
      <c r="B3522" s="1" t="n">
        <v>45614</v>
      </c>
      <c r="C3522" s="1" t="n">
        <v>45760</v>
      </c>
      <c r="D3522" t="inlineStr">
        <is>
          <t>VÄSTERBOTTENS LÄN</t>
        </is>
      </c>
      <c r="E3522" t="inlineStr">
        <is>
          <t>SKELLEFTEÅ</t>
        </is>
      </c>
      <c r="F3522" t="inlineStr">
        <is>
          <t>Holmen skog AB</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53425-2024</t>
        </is>
      </c>
      <c r="B3523" s="1" t="n">
        <v>45614</v>
      </c>
      <c r="C3523" s="1" t="n">
        <v>45760</v>
      </c>
      <c r="D3523" t="inlineStr">
        <is>
          <t>VÄSTERBOTTENS LÄN</t>
        </is>
      </c>
      <c r="E3523" t="inlineStr">
        <is>
          <t>SKELLEFTEÅ</t>
        </is>
      </c>
      <c r="G3523" t="n">
        <v>29.4</v>
      </c>
      <c r="H3523" t="n">
        <v>0</v>
      </c>
      <c r="I3523" t="n">
        <v>0</v>
      </c>
      <c r="J3523" t="n">
        <v>0</v>
      </c>
      <c r="K3523" t="n">
        <v>0</v>
      </c>
      <c r="L3523" t="n">
        <v>0</v>
      </c>
      <c r="M3523" t="n">
        <v>0</v>
      </c>
      <c r="N3523" t="n">
        <v>0</v>
      </c>
      <c r="O3523" t="n">
        <v>0</v>
      </c>
      <c r="P3523" t="n">
        <v>0</v>
      </c>
      <c r="Q3523" t="n">
        <v>0</v>
      </c>
      <c r="R3523" s="2" t="inlineStr"/>
    </row>
    <row r="3524" ht="15" customHeight="1">
      <c r="A3524" t="inlineStr">
        <is>
          <t>A 53421-2024</t>
        </is>
      </c>
      <c r="B3524" s="1" t="n">
        <v>45614</v>
      </c>
      <c r="C3524" s="1" t="n">
        <v>45760</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53716-2024</t>
        </is>
      </c>
      <c r="B3525" s="1" t="n">
        <v>45615</v>
      </c>
      <c r="C3525" s="1" t="n">
        <v>45760</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53720-2024</t>
        </is>
      </c>
      <c r="B3526" s="1" t="n">
        <v>45615</v>
      </c>
      <c r="C3526" s="1" t="n">
        <v>45760</v>
      </c>
      <c r="D3526" t="inlineStr">
        <is>
          <t>VÄSTERBOTTENS LÄN</t>
        </is>
      </c>
      <c r="E3526" t="inlineStr">
        <is>
          <t>SKELLEFTEÅ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53725-2024</t>
        </is>
      </c>
      <c r="B3527" s="1" t="n">
        <v>45615</v>
      </c>
      <c r="C3527" s="1" t="n">
        <v>45760</v>
      </c>
      <c r="D3527" t="inlineStr">
        <is>
          <t>VÄSTERBOTTENS LÄN</t>
        </is>
      </c>
      <c r="E3527" t="inlineStr">
        <is>
          <t>SKELLEFTEÅ</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54159-2024</t>
        </is>
      </c>
      <c r="B3528" s="1" t="n">
        <v>45616</v>
      </c>
      <c r="C3528" s="1" t="n">
        <v>45760</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54251-2024</t>
        </is>
      </c>
      <c r="B3529" s="1" t="n">
        <v>45616</v>
      </c>
      <c r="C3529" s="1" t="n">
        <v>45760</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54162-2024</t>
        </is>
      </c>
      <c r="B3530" s="1" t="n">
        <v>45616</v>
      </c>
      <c r="C3530" s="1" t="n">
        <v>45760</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54246-2024</t>
        </is>
      </c>
      <c r="B3531" s="1" t="n">
        <v>45616</v>
      </c>
      <c r="C3531" s="1" t="n">
        <v>45760</v>
      </c>
      <c r="D3531" t="inlineStr">
        <is>
          <t>VÄSTERBOTTENS LÄN</t>
        </is>
      </c>
      <c r="E3531" t="inlineStr">
        <is>
          <t>SKELLEFTEÅ</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54258-2024</t>
        </is>
      </c>
      <c r="B3532" s="1" t="n">
        <v>45616</v>
      </c>
      <c r="C3532" s="1" t="n">
        <v>45760</v>
      </c>
      <c r="D3532" t="inlineStr">
        <is>
          <t>VÄSTERBOTTENS LÄN</t>
        </is>
      </c>
      <c r="E3532" t="inlineStr">
        <is>
          <t>SKELLEFTEÅ</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54084-2024</t>
        </is>
      </c>
      <c r="B3533" s="1" t="n">
        <v>45616</v>
      </c>
      <c r="C3533" s="1" t="n">
        <v>45760</v>
      </c>
      <c r="D3533" t="inlineStr">
        <is>
          <t>VÄSTERBOTTENS LÄN</t>
        </is>
      </c>
      <c r="E3533" t="inlineStr">
        <is>
          <t>SKELLEFTEÅ</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54224-2024</t>
        </is>
      </c>
      <c r="B3534" s="1" t="n">
        <v>45616</v>
      </c>
      <c r="C3534" s="1" t="n">
        <v>45760</v>
      </c>
      <c r="D3534" t="inlineStr">
        <is>
          <t>VÄSTERBOTTENS LÄN</t>
        </is>
      </c>
      <c r="E3534" t="inlineStr">
        <is>
          <t>SKELLEFTEÅ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54248-2024</t>
        </is>
      </c>
      <c r="B3535" s="1" t="n">
        <v>45616</v>
      </c>
      <c r="C3535" s="1" t="n">
        <v>45760</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54264-2024</t>
        </is>
      </c>
      <c r="B3536" s="1" t="n">
        <v>45616</v>
      </c>
      <c r="C3536" s="1" t="n">
        <v>45760</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54037-2024</t>
        </is>
      </c>
      <c r="B3537" s="1" t="n">
        <v>45616</v>
      </c>
      <c r="C3537" s="1" t="n">
        <v>45760</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54612-2024</t>
        </is>
      </c>
      <c r="B3538" s="1" t="n">
        <v>45617</v>
      </c>
      <c r="C3538" s="1" t="n">
        <v>45760</v>
      </c>
      <c r="D3538" t="inlineStr">
        <is>
          <t>VÄSTERBOTTENS LÄN</t>
        </is>
      </c>
      <c r="E3538" t="inlineStr">
        <is>
          <t>SKELLEFTEÅ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54657-2024</t>
        </is>
      </c>
      <c r="B3539" s="1" t="n">
        <v>45617</v>
      </c>
      <c r="C3539" s="1" t="n">
        <v>45760</v>
      </c>
      <c r="D3539" t="inlineStr">
        <is>
          <t>VÄSTERBOTTENS LÄN</t>
        </is>
      </c>
      <c r="E3539" t="inlineStr">
        <is>
          <t>SKELLEFTEÅ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54653-2024</t>
        </is>
      </c>
      <c r="B3540" s="1" t="n">
        <v>45618</v>
      </c>
      <c r="C3540" s="1" t="n">
        <v>45760</v>
      </c>
      <c r="D3540" t="inlineStr">
        <is>
          <t>VÄSTERBOTTENS LÄN</t>
        </is>
      </c>
      <c r="E3540" t="inlineStr">
        <is>
          <t>SKELLEFTEÅ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54895-2024</t>
        </is>
      </c>
      <c r="B3541" s="1" t="n">
        <v>45618</v>
      </c>
      <c r="C3541" s="1" t="n">
        <v>45760</v>
      </c>
      <c r="D3541" t="inlineStr">
        <is>
          <t>VÄSTERBOTTENS LÄN</t>
        </is>
      </c>
      <c r="E3541" t="inlineStr">
        <is>
          <t>SKELLEFTEÅ</t>
        </is>
      </c>
      <c r="F3541" t="inlineStr">
        <is>
          <t>Holmen skog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54880-2024</t>
        </is>
      </c>
      <c r="B3542" s="1" t="n">
        <v>45618</v>
      </c>
      <c r="C3542" s="1" t="n">
        <v>45760</v>
      </c>
      <c r="D3542" t="inlineStr">
        <is>
          <t>VÄSTERBOTTENS LÄN</t>
        </is>
      </c>
      <c r="E3542" t="inlineStr">
        <is>
          <t>SKELLEFTEÅ</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54662-2024</t>
        </is>
      </c>
      <c r="B3543" s="1" t="n">
        <v>45618</v>
      </c>
      <c r="C3543" s="1" t="n">
        <v>45760</v>
      </c>
      <c r="D3543" t="inlineStr">
        <is>
          <t>VÄSTERBOTTENS LÄN</t>
        </is>
      </c>
      <c r="E3543" t="inlineStr">
        <is>
          <t>SKELLEFTEÅ</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54874-2024</t>
        </is>
      </c>
      <c r="B3544" s="1" t="n">
        <v>45618</v>
      </c>
      <c r="C3544" s="1" t="n">
        <v>45760</v>
      </c>
      <c r="D3544" t="inlineStr">
        <is>
          <t>VÄSTERBOTTENS LÄN</t>
        </is>
      </c>
      <c r="E3544" t="inlineStr">
        <is>
          <t>SKELLEFTEÅ</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54660-2024</t>
        </is>
      </c>
      <c r="B3545" s="1" t="n">
        <v>45618</v>
      </c>
      <c r="C3545" s="1" t="n">
        <v>45760</v>
      </c>
      <c r="D3545" t="inlineStr">
        <is>
          <t>VÄSTERBOTTENS LÄN</t>
        </is>
      </c>
      <c r="E3545" t="inlineStr">
        <is>
          <t>SKELLEFTEÅ</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55253-2024</t>
        </is>
      </c>
      <c r="B3546" s="1" t="n">
        <v>45620</v>
      </c>
      <c r="C3546" s="1" t="n">
        <v>45760</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54971-2024</t>
        </is>
      </c>
      <c r="B3547" s="1" t="n">
        <v>45620</v>
      </c>
      <c r="C3547" s="1" t="n">
        <v>45760</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54974-2024</t>
        </is>
      </c>
      <c r="B3548" s="1" t="n">
        <v>45620</v>
      </c>
      <c r="C3548" s="1" t="n">
        <v>45760</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55201-2024</t>
        </is>
      </c>
      <c r="B3549" s="1" t="n">
        <v>45620</v>
      </c>
      <c r="C3549" s="1" t="n">
        <v>45760</v>
      </c>
      <c r="D3549" t="inlineStr">
        <is>
          <t>VÄSTERBOTTENS LÄN</t>
        </is>
      </c>
      <c r="E3549" t="inlineStr">
        <is>
          <t>SKELLEFTEÅ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55233-2024</t>
        </is>
      </c>
      <c r="B3550" s="1" t="n">
        <v>45620</v>
      </c>
      <c r="C3550" s="1" t="n">
        <v>45760</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55241-2024</t>
        </is>
      </c>
      <c r="B3551" s="1" t="n">
        <v>45621</v>
      </c>
      <c r="C3551" s="1" t="n">
        <v>45760</v>
      </c>
      <c r="D3551" t="inlineStr">
        <is>
          <t>VÄSTERBOTTENS LÄN</t>
        </is>
      </c>
      <c r="E3551" t="inlineStr">
        <is>
          <t>SKELLEFTEÅ</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55269-2024</t>
        </is>
      </c>
      <c r="B3552" s="1" t="n">
        <v>45621</v>
      </c>
      <c r="C3552" s="1" t="n">
        <v>45760</v>
      </c>
      <c r="D3552" t="inlineStr">
        <is>
          <t>VÄSTERBOTTENS LÄN</t>
        </is>
      </c>
      <c r="E3552" t="inlineStr">
        <is>
          <t>SKELLEFTEÅ</t>
        </is>
      </c>
      <c r="F3552" t="inlineStr">
        <is>
          <t>Sveaskog</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55525-2024</t>
        </is>
      </c>
      <c r="B3553" s="1" t="n">
        <v>45621</v>
      </c>
      <c r="C3553" s="1" t="n">
        <v>45760</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55652-2024</t>
        </is>
      </c>
      <c r="B3554" s="1" t="n">
        <v>45621</v>
      </c>
      <c r="C3554" s="1" t="n">
        <v>45760</v>
      </c>
      <c r="D3554" t="inlineStr">
        <is>
          <t>VÄSTERBOTTENS LÄN</t>
        </is>
      </c>
      <c r="E3554" t="inlineStr">
        <is>
          <t>SKELLEFTEÅ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55654-2024</t>
        </is>
      </c>
      <c r="B3555" s="1" t="n">
        <v>45621</v>
      </c>
      <c r="C3555" s="1" t="n">
        <v>45760</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55645-2024</t>
        </is>
      </c>
      <c r="B3556" s="1" t="n">
        <v>45621</v>
      </c>
      <c r="C3556" s="1" t="n">
        <v>45760</v>
      </c>
      <c r="D3556" t="inlineStr">
        <is>
          <t>VÄSTERBOTTENS LÄN</t>
        </is>
      </c>
      <c r="E3556" t="inlineStr">
        <is>
          <t>SKELLEFTEÅ</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55441-2024</t>
        </is>
      </c>
      <c r="B3557" s="1" t="n">
        <v>45622</v>
      </c>
      <c r="C3557" s="1" t="n">
        <v>45760</v>
      </c>
      <c r="D3557" t="inlineStr">
        <is>
          <t>VÄSTERBOTTENS LÄN</t>
        </is>
      </c>
      <c r="E3557" t="inlineStr">
        <is>
          <t>SKELLEFTEÅ</t>
        </is>
      </c>
      <c r="F3557" t="inlineStr">
        <is>
          <t>Holmen skog AB</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55398-2024</t>
        </is>
      </c>
      <c r="B3558" s="1" t="n">
        <v>45622</v>
      </c>
      <c r="C3558" s="1" t="n">
        <v>45760</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55617-2024</t>
        </is>
      </c>
      <c r="B3559" s="1" t="n">
        <v>45622</v>
      </c>
      <c r="C3559" s="1" t="n">
        <v>45760</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55500-2024</t>
        </is>
      </c>
      <c r="B3560" s="1" t="n">
        <v>45622</v>
      </c>
      <c r="C3560" s="1" t="n">
        <v>45760</v>
      </c>
      <c r="D3560" t="inlineStr">
        <is>
          <t>VÄSTERBOTTENS LÄN</t>
        </is>
      </c>
      <c r="E3560" t="inlineStr">
        <is>
          <t>SKELLEFTEÅ</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55743-2024</t>
        </is>
      </c>
      <c r="B3561" s="1" t="n">
        <v>45623</v>
      </c>
      <c r="C3561" s="1" t="n">
        <v>45760</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55786-2024</t>
        </is>
      </c>
      <c r="B3562" s="1" t="n">
        <v>45623</v>
      </c>
      <c r="C3562" s="1" t="n">
        <v>45760</v>
      </c>
      <c r="D3562" t="inlineStr">
        <is>
          <t>VÄSTERBOTTENS LÄN</t>
        </is>
      </c>
      <c r="E3562" t="inlineStr">
        <is>
          <t>SKELLEFTEÅ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55907-2024</t>
        </is>
      </c>
      <c r="B3563" s="1" t="n">
        <v>45623</v>
      </c>
      <c r="C3563" s="1" t="n">
        <v>45760</v>
      </c>
      <c r="D3563" t="inlineStr">
        <is>
          <t>VÄSTERBOTTENS LÄN</t>
        </is>
      </c>
      <c r="E3563" t="inlineStr">
        <is>
          <t>SKELLEFTEÅ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55940-2024</t>
        </is>
      </c>
      <c r="B3564" s="1" t="n">
        <v>45623</v>
      </c>
      <c r="C3564" s="1" t="n">
        <v>45760</v>
      </c>
      <c r="D3564" t="inlineStr">
        <is>
          <t>VÄSTERBOTTENS LÄN</t>
        </is>
      </c>
      <c r="E3564" t="inlineStr">
        <is>
          <t>SKELLEFTEÅ</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56157-2024</t>
        </is>
      </c>
      <c r="B3565" s="1" t="n">
        <v>45623</v>
      </c>
      <c r="C3565" s="1" t="n">
        <v>45760</v>
      </c>
      <c r="D3565" t="inlineStr">
        <is>
          <t>VÄSTERBOTTENS LÄN</t>
        </is>
      </c>
      <c r="E3565" t="inlineStr">
        <is>
          <t>SKELLEFTEÅ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56149-2024</t>
        </is>
      </c>
      <c r="B3566" s="1" t="n">
        <v>45623</v>
      </c>
      <c r="C3566" s="1" t="n">
        <v>45760</v>
      </c>
      <c r="D3566" t="inlineStr">
        <is>
          <t>VÄSTERBOTTENS LÄN</t>
        </is>
      </c>
      <c r="E3566" t="inlineStr">
        <is>
          <t>SKELLEFTEÅ</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56154-2024</t>
        </is>
      </c>
      <c r="B3567" s="1" t="n">
        <v>45623</v>
      </c>
      <c r="C3567" s="1" t="n">
        <v>45760</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56105-2024</t>
        </is>
      </c>
      <c r="B3568" s="1" t="n">
        <v>45624</v>
      </c>
      <c r="C3568" s="1" t="n">
        <v>45760</v>
      </c>
      <c r="D3568" t="inlineStr">
        <is>
          <t>VÄSTERBOTTENS LÄN</t>
        </is>
      </c>
      <c r="E3568" t="inlineStr">
        <is>
          <t>SKELLEFTEÅ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56186-2024</t>
        </is>
      </c>
      <c r="B3569" s="1" t="n">
        <v>45624</v>
      </c>
      <c r="C3569" s="1" t="n">
        <v>45760</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56162-2024</t>
        </is>
      </c>
      <c r="B3570" s="1" t="n">
        <v>45624</v>
      </c>
      <c r="C3570" s="1" t="n">
        <v>45760</v>
      </c>
      <c r="D3570" t="inlineStr">
        <is>
          <t>VÄSTERBOTTENS LÄN</t>
        </is>
      </c>
      <c r="E3570" t="inlineStr">
        <is>
          <t>SKELLEFTEÅ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56170-2024</t>
        </is>
      </c>
      <c r="B3571" s="1" t="n">
        <v>45624</v>
      </c>
      <c r="C3571" s="1" t="n">
        <v>45760</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56183-2024</t>
        </is>
      </c>
      <c r="B3572" s="1" t="n">
        <v>45624</v>
      </c>
      <c r="C3572" s="1" t="n">
        <v>45760</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56417-2024</t>
        </is>
      </c>
      <c r="B3573" s="1" t="n">
        <v>45625</v>
      </c>
      <c r="C3573" s="1" t="n">
        <v>45760</v>
      </c>
      <c r="D3573" t="inlineStr">
        <is>
          <t>VÄSTERBOTTENS LÄN</t>
        </is>
      </c>
      <c r="E3573" t="inlineStr">
        <is>
          <t>SKELLEFTEÅ</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56501-2024</t>
        </is>
      </c>
      <c r="B3574" s="1" t="n">
        <v>45625</v>
      </c>
      <c r="C3574" s="1" t="n">
        <v>45760</v>
      </c>
      <c r="D3574" t="inlineStr">
        <is>
          <t>VÄSTERBOTTENS LÄN</t>
        </is>
      </c>
      <c r="E3574" t="inlineStr">
        <is>
          <t>SKELLEFTEÅ</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56530-2024</t>
        </is>
      </c>
      <c r="B3575" s="1" t="n">
        <v>45625</v>
      </c>
      <c r="C3575" s="1" t="n">
        <v>45760</v>
      </c>
      <c r="D3575" t="inlineStr">
        <is>
          <t>VÄSTERBOTTENS LÄN</t>
        </is>
      </c>
      <c r="E3575" t="inlineStr">
        <is>
          <t>SKELLEFTEÅ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56381-2024</t>
        </is>
      </c>
      <c r="B3576" s="1" t="n">
        <v>45625</v>
      </c>
      <c r="C3576" s="1" t="n">
        <v>45760</v>
      </c>
      <c r="D3576" t="inlineStr">
        <is>
          <t>VÄSTERBOTTENS LÄN</t>
        </is>
      </c>
      <c r="E3576" t="inlineStr">
        <is>
          <t>SKELLEFTEÅ</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56453-2024</t>
        </is>
      </c>
      <c r="B3577" s="1" t="n">
        <v>45625</v>
      </c>
      <c r="C3577" s="1" t="n">
        <v>45760</v>
      </c>
      <c r="D3577" t="inlineStr">
        <is>
          <t>VÄSTERBOTTENS LÄN</t>
        </is>
      </c>
      <c r="E3577" t="inlineStr">
        <is>
          <t>SKELLEFTEÅ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56500-2024</t>
        </is>
      </c>
      <c r="B3578" s="1" t="n">
        <v>45625</v>
      </c>
      <c r="C3578" s="1" t="n">
        <v>45760</v>
      </c>
      <c r="D3578" t="inlineStr">
        <is>
          <t>VÄSTERBOTTENS LÄN</t>
        </is>
      </c>
      <c r="E3578" t="inlineStr">
        <is>
          <t>SKELLEFTEÅ</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56529-2024</t>
        </is>
      </c>
      <c r="B3579" s="1" t="n">
        <v>45625</v>
      </c>
      <c r="C3579" s="1" t="n">
        <v>45760</v>
      </c>
      <c r="D3579" t="inlineStr">
        <is>
          <t>VÄSTERBOTTENS LÄN</t>
        </is>
      </c>
      <c r="E3579" t="inlineStr">
        <is>
          <t>SKELLEFTEÅ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56533-2024</t>
        </is>
      </c>
      <c r="B3580" s="1" t="n">
        <v>45625</v>
      </c>
      <c r="C3580" s="1" t="n">
        <v>45760</v>
      </c>
      <c r="D3580" t="inlineStr">
        <is>
          <t>VÄSTERBOTTENS LÄN</t>
        </is>
      </c>
      <c r="E3580" t="inlineStr">
        <is>
          <t>SKELLEFTEÅ</t>
        </is>
      </c>
      <c r="G3580" t="n">
        <v>12.9</v>
      </c>
      <c r="H3580" t="n">
        <v>0</v>
      </c>
      <c r="I3580" t="n">
        <v>0</v>
      </c>
      <c r="J3580" t="n">
        <v>0</v>
      </c>
      <c r="K3580" t="n">
        <v>0</v>
      </c>
      <c r="L3580" t="n">
        <v>0</v>
      </c>
      <c r="M3580" t="n">
        <v>0</v>
      </c>
      <c r="N3580" t="n">
        <v>0</v>
      </c>
      <c r="O3580" t="n">
        <v>0</v>
      </c>
      <c r="P3580" t="n">
        <v>0</v>
      </c>
      <c r="Q3580" t="n">
        <v>0</v>
      </c>
      <c r="R3580" s="2" t="inlineStr"/>
    </row>
    <row r="3581" ht="15" customHeight="1">
      <c r="A3581" t="inlineStr">
        <is>
          <t>A 56444-2024</t>
        </is>
      </c>
      <c r="B3581" s="1" t="n">
        <v>45625</v>
      </c>
      <c r="C3581" s="1" t="n">
        <v>45760</v>
      </c>
      <c r="D3581" t="inlineStr">
        <is>
          <t>VÄSTERBOTTENS LÄN</t>
        </is>
      </c>
      <c r="E3581" t="inlineStr">
        <is>
          <t>SKELLEFTEÅ</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56560-2024</t>
        </is>
      </c>
      <c r="B3582" s="1" t="n">
        <v>45625</v>
      </c>
      <c r="C3582" s="1" t="n">
        <v>45760</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56539-2024</t>
        </is>
      </c>
      <c r="B3583" s="1" t="n">
        <v>45625</v>
      </c>
      <c r="C3583" s="1" t="n">
        <v>45760</v>
      </c>
      <c r="D3583" t="inlineStr">
        <is>
          <t>VÄSTERBOTTENS LÄN</t>
        </is>
      </c>
      <c r="E3583" t="inlineStr">
        <is>
          <t>SKELLEFTEÅ</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56822-2024</t>
        </is>
      </c>
      <c r="B3584" s="1" t="n">
        <v>45628</v>
      </c>
      <c r="C3584" s="1" t="n">
        <v>45760</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56838-2024</t>
        </is>
      </c>
      <c r="B3585" s="1" t="n">
        <v>45628</v>
      </c>
      <c r="C3585" s="1" t="n">
        <v>45760</v>
      </c>
      <c r="D3585" t="inlineStr">
        <is>
          <t>VÄSTERBOTTENS LÄN</t>
        </is>
      </c>
      <c r="E3585" t="inlineStr">
        <is>
          <t>SKELLEFTEÅ</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56714-2024</t>
        </is>
      </c>
      <c r="B3586" s="1" t="n">
        <v>45628</v>
      </c>
      <c r="C3586" s="1" t="n">
        <v>45760</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56965-2024</t>
        </is>
      </c>
      <c r="B3587" s="1" t="n">
        <v>45628</v>
      </c>
      <c r="C3587" s="1" t="n">
        <v>45760</v>
      </c>
      <c r="D3587" t="inlineStr">
        <is>
          <t>VÄSTERBOTTENS LÄN</t>
        </is>
      </c>
      <c r="E3587" t="inlineStr">
        <is>
          <t>SKELLEFTEÅ</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56974-2024</t>
        </is>
      </c>
      <c r="B3588" s="1" t="n">
        <v>45628</v>
      </c>
      <c r="C3588" s="1" t="n">
        <v>45760</v>
      </c>
      <c r="D3588" t="inlineStr">
        <is>
          <t>VÄSTERBOTTENS LÄN</t>
        </is>
      </c>
      <c r="E3588" t="inlineStr">
        <is>
          <t>SKELLEFTEÅ</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56745-2024</t>
        </is>
      </c>
      <c r="B3589" s="1" t="n">
        <v>45628</v>
      </c>
      <c r="C3589" s="1" t="n">
        <v>45760</v>
      </c>
      <c r="D3589" t="inlineStr">
        <is>
          <t>VÄSTERBOTTENS LÄN</t>
        </is>
      </c>
      <c r="E3589" t="inlineStr">
        <is>
          <t>SKELLEFTEÅ</t>
        </is>
      </c>
      <c r="F3589" t="inlineStr">
        <is>
          <t>Holmen skog AB</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56923-2024</t>
        </is>
      </c>
      <c r="B3590" s="1" t="n">
        <v>45628</v>
      </c>
      <c r="C3590" s="1" t="n">
        <v>45760</v>
      </c>
      <c r="D3590" t="inlineStr">
        <is>
          <t>VÄSTERBOTTENS LÄN</t>
        </is>
      </c>
      <c r="E3590" t="inlineStr">
        <is>
          <t>SKELLEFTEÅ</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56797-2024</t>
        </is>
      </c>
      <c r="B3591" s="1" t="n">
        <v>45628</v>
      </c>
      <c r="C3591" s="1" t="n">
        <v>45760</v>
      </c>
      <c r="D3591" t="inlineStr">
        <is>
          <t>VÄSTERBOTTENS LÄN</t>
        </is>
      </c>
      <c r="E3591" t="inlineStr">
        <is>
          <t>SKELLEFTEÅ</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56806-2024</t>
        </is>
      </c>
      <c r="B3592" s="1" t="n">
        <v>45628</v>
      </c>
      <c r="C3592" s="1" t="n">
        <v>45760</v>
      </c>
      <c r="D3592" t="inlineStr">
        <is>
          <t>VÄSTERBOTTENS LÄN</t>
        </is>
      </c>
      <c r="E3592" t="inlineStr">
        <is>
          <t>SKELLEFTEÅ</t>
        </is>
      </c>
      <c r="F3592" t="inlineStr">
        <is>
          <t>Holmen skog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56952-2024</t>
        </is>
      </c>
      <c r="B3593" s="1" t="n">
        <v>45628</v>
      </c>
      <c r="C3593" s="1" t="n">
        <v>45760</v>
      </c>
      <c r="D3593" t="inlineStr">
        <is>
          <t>VÄSTERBOTTENS LÄN</t>
        </is>
      </c>
      <c r="E3593" t="inlineStr">
        <is>
          <t>SKELLEFTEÅ</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56983-2024</t>
        </is>
      </c>
      <c r="B3594" s="1" t="n">
        <v>45628</v>
      </c>
      <c r="C3594" s="1" t="n">
        <v>45760</v>
      </c>
      <c r="D3594" t="inlineStr">
        <is>
          <t>VÄSTERBOTTENS LÄN</t>
        </is>
      </c>
      <c r="E3594" t="inlineStr">
        <is>
          <t>SKELLEFTEÅ</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57003-2024</t>
        </is>
      </c>
      <c r="B3595" s="1" t="n">
        <v>45628</v>
      </c>
      <c r="C3595" s="1" t="n">
        <v>45760</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57199-2024</t>
        </is>
      </c>
      <c r="B3596" s="1" t="n">
        <v>45628</v>
      </c>
      <c r="C3596" s="1" t="n">
        <v>45760</v>
      </c>
      <c r="D3596" t="inlineStr">
        <is>
          <t>VÄSTERBOTTENS LÄN</t>
        </is>
      </c>
      <c r="E3596" t="inlineStr">
        <is>
          <t>SKELLEFTEÅ</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57274-2024</t>
        </is>
      </c>
      <c r="B3597" s="1" t="n">
        <v>45629</v>
      </c>
      <c r="C3597" s="1" t="n">
        <v>45760</v>
      </c>
      <c r="D3597" t="inlineStr">
        <is>
          <t>VÄSTERBOTTENS LÄN</t>
        </is>
      </c>
      <c r="E3597" t="inlineStr">
        <is>
          <t>SKELLEFTEÅ</t>
        </is>
      </c>
      <c r="F3597" t="inlineStr">
        <is>
          <t>Holmen skog AB</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57278-2024</t>
        </is>
      </c>
      <c r="B3598" s="1" t="n">
        <v>45629</v>
      </c>
      <c r="C3598" s="1" t="n">
        <v>45760</v>
      </c>
      <c r="D3598" t="inlineStr">
        <is>
          <t>VÄSTERBOTTENS LÄN</t>
        </is>
      </c>
      <c r="E3598" t="inlineStr">
        <is>
          <t>SKELLEFTEÅ</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57182-2024</t>
        </is>
      </c>
      <c r="B3599" s="1" t="n">
        <v>45629</v>
      </c>
      <c r="C3599" s="1" t="n">
        <v>45760</v>
      </c>
      <c r="D3599" t="inlineStr">
        <is>
          <t>VÄSTERBOTTENS LÄN</t>
        </is>
      </c>
      <c r="E3599" t="inlineStr">
        <is>
          <t>SKELLEFTEÅ</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57186-2024</t>
        </is>
      </c>
      <c r="B3600" s="1" t="n">
        <v>45629</v>
      </c>
      <c r="C3600" s="1" t="n">
        <v>45760</v>
      </c>
      <c r="D3600" t="inlineStr">
        <is>
          <t>VÄSTERBOTTENS LÄN</t>
        </is>
      </c>
      <c r="E3600" t="inlineStr">
        <is>
          <t>SKELLEFTEÅ</t>
        </is>
      </c>
      <c r="F3600" t="inlineStr">
        <is>
          <t>Holmen skog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57245-2024</t>
        </is>
      </c>
      <c r="B3601" s="1" t="n">
        <v>45629</v>
      </c>
      <c r="C3601" s="1" t="n">
        <v>45760</v>
      </c>
      <c r="D3601" t="inlineStr">
        <is>
          <t>VÄSTERBOTTENS LÄN</t>
        </is>
      </c>
      <c r="E3601" t="inlineStr">
        <is>
          <t>SKELLEFTEÅ</t>
        </is>
      </c>
      <c r="F3601" t="inlineStr">
        <is>
          <t>Sveaskog</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57131-2024</t>
        </is>
      </c>
      <c r="B3602" s="1" t="n">
        <v>45629</v>
      </c>
      <c r="C3602" s="1" t="n">
        <v>45760</v>
      </c>
      <c r="D3602" t="inlineStr">
        <is>
          <t>VÄSTERBOTTENS LÄN</t>
        </is>
      </c>
      <c r="E3602" t="inlineStr">
        <is>
          <t>SKELLEFTEÅ</t>
        </is>
      </c>
      <c r="F3602" t="inlineStr">
        <is>
          <t>Holmen skog AB</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57340-2024</t>
        </is>
      </c>
      <c r="B3603" s="1" t="n">
        <v>45629</v>
      </c>
      <c r="C3603" s="1" t="n">
        <v>45760</v>
      </c>
      <c r="D3603" t="inlineStr">
        <is>
          <t>VÄSTERBOTTENS LÄN</t>
        </is>
      </c>
      <c r="E3603" t="inlineStr">
        <is>
          <t>SKELLEFTEÅ</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57479-2024</t>
        </is>
      </c>
      <c r="B3604" s="1" t="n">
        <v>45630</v>
      </c>
      <c r="C3604" s="1" t="n">
        <v>45760</v>
      </c>
      <c r="D3604" t="inlineStr">
        <is>
          <t>VÄSTERBOTTENS LÄN</t>
        </is>
      </c>
      <c r="E3604" t="inlineStr">
        <is>
          <t>SKELLEFTEÅ</t>
        </is>
      </c>
      <c r="F3604" t="inlineStr">
        <is>
          <t>Sveaskog</t>
        </is>
      </c>
      <c r="G3604" t="n">
        <v>16.4</v>
      </c>
      <c r="H3604" t="n">
        <v>0</v>
      </c>
      <c r="I3604" t="n">
        <v>0</v>
      </c>
      <c r="J3604" t="n">
        <v>0</v>
      </c>
      <c r="K3604" t="n">
        <v>0</v>
      </c>
      <c r="L3604" t="n">
        <v>0</v>
      </c>
      <c r="M3604" t="n">
        <v>0</v>
      </c>
      <c r="N3604" t="n">
        <v>0</v>
      </c>
      <c r="O3604" t="n">
        <v>0</v>
      </c>
      <c r="P3604" t="n">
        <v>0</v>
      </c>
      <c r="Q3604" t="n">
        <v>0</v>
      </c>
      <c r="R3604" s="2" t="inlineStr"/>
    </row>
    <row r="3605" ht="15" customHeight="1">
      <c r="A3605" t="inlineStr">
        <is>
          <t>A 57876-2024</t>
        </is>
      </c>
      <c r="B3605" s="1" t="n">
        <v>45631</v>
      </c>
      <c r="C3605" s="1" t="n">
        <v>45760</v>
      </c>
      <c r="D3605" t="inlineStr">
        <is>
          <t>VÄSTERBOTTENS LÄN</t>
        </is>
      </c>
      <c r="E3605" t="inlineStr">
        <is>
          <t>SKELLEFTEÅ</t>
        </is>
      </c>
      <c r="G3605" t="n">
        <v>14.8</v>
      </c>
      <c r="H3605" t="n">
        <v>0</v>
      </c>
      <c r="I3605" t="n">
        <v>0</v>
      </c>
      <c r="J3605" t="n">
        <v>0</v>
      </c>
      <c r="K3605" t="n">
        <v>0</v>
      </c>
      <c r="L3605" t="n">
        <v>0</v>
      </c>
      <c r="M3605" t="n">
        <v>0</v>
      </c>
      <c r="N3605" t="n">
        <v>0</v>
      </c>
      <c r="O3605" t="n">
        <v>0</v>
      </c>
      <c r="P3605" t="n">
        <v>0</v>
      </c>
      <c r="Q3605" t="n">
        <v>0</v>
      </c>
      <c r="R3605" s="2" t="inlineStr"/>
    </row>
    <row r="3606" ht="15" customHeight="1">
      <c r="A3606" t="inlineStr">
        <is>
          <t>A 57894-2024</t>
        </is>
      </c>
      <c r="B3606" s="1" t="n">
        <v>45631</v>
      </c>
      <c r="C3606" s="1" t="n">
        <v>45760</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57893-2024</t>
        </is>
      </c>
      <c r="B3607" s="1" t="n">
        <v>45631</v>
      </c>
      <c r="C3607" s="1" t="n">
        <v>45760</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58008-2024</t>
        </is>
      </c>
      <c r="B3608" s="1" t="n">
        <v>45631</v>
      </c>
      <c r="C3608" s="1" t="n">
        <v>45760</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58119-2024</t>
        </is>
      </c>
      <c r="B3609" s="1" t="n">
        <v>45632</v>
      </c>
      <c r="C3609" s="1" t="n">
        <v>45760</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58465-2024</t>
        </is>
      </c>
      <c r="B3610" s="1" t="n">
        <v>45635</v>
      </c>
      <c r="C3610" s="1" t="n">
        <v>45760</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58557-2024</t>
        </is>
      </c>
      <c r="B3611" s="1" t="n">
        <v>45635</v>
      </c>
      <c r="C3611" s="1" t="n">
        <v>45760</v>
      </c>
      <c r="D3611" t="inlineStr">
        <is>
          <t>VÄSTERBOTTENS LÄN</t>
        </is>
      </c>
      <c r="E3611" t="inlineStr">
        <is>
          <t>SKELLEFTEÅ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58595-2024</t>
        </is>
      </c>
      <c r="B3612" s="1" t="n">
        <v>45635</v>
      </c>
      <c r="C3612" s="1" t="n">
        <v>45760</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58480-2024</t>
        </is>
      </c>
      <c r="B3613" s="1" t="n">
        <v>45635</v>
      </c>
      <c r="C3613" s="1" t="n">
        <v>45760</v>
      </c>
      <c r="D3613" t="inlineStr">
        <is>
          <t>VÄSTERBOTTENS LÄN</t>
        </is>
      </c>
      <c r="E3613" t="inlineStr">
        <is>
          <t>SKELLEFTEÅ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58542-2024</t>
        </is>
      </c>
      <c r="B3614" s="1" t="n">
        <v>45635</v>
      </c>
      <c r="C3614" s="1" t="n">
        <v>45760</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58775-2024</t>
        </is>
      </c>
      <c r="B3615" s="1" t="n">
        <v>45635</v>
      </c>
      <c r="C3615" s="1" t="n">
        <v>45760</v>
      </c>
      <c r="D3615" t="inlineStr">
        <is>
          <t>VÄSTERBOTTENS LÄN</t>
        </is>
      </c>
      <c r="E3615" t="inlineStr">
        <is>
          <t>SKELLEFTEÅ</t>
        </is>
      </c>
      <c r="F3615" t="inlineStr">
        <is>
          <t>Sveaskog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58776-2024</t>
        </is>
      </c>
      <c r="B3616" s="1" t="n">
        <v>45635</v>
      </c>
      <c r="C3616" s="1" t="n">
        <v>45760</v>
      </c>
      <c r="D3616" t="inlineStr">
        <is>
          <t>VÄSTERBOTTENS LÄN</t>
        </is>
      </c>
      <c r="E3616" t="inlineStr">
        <is>
          <t>SKELLEFTEÅ</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58977-2024</t>
        </is>
      </c>
      <c r="B3617" s="1" t="n">
        <v>45635</v>
      </c>
      <c r="C3617" s="1" t="n">
        <v>45760</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58960-2024</t>
        </is>
      </c>
      <c r="B3618" s="1" t="n">
        <v>45635</v>
      </c>
      <c r="C3618" s="1" t="n">
        <v>45760</v>
      </c>
      <c r="D3618" t="inlineStr">
        <is>
          <t>VÄSTERBOTTENS LÄN</t>
        </is>
      </c>
      <c r="E3618" t="inlineStr">
        <is>
          <t>SKELLEFTEÅ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58969-2024</t>
        </is>
      </c>
      <c r="B3619" s="1" t="n">
        <v>45635</v>
      </c>
      <c r="C3619" s="1" t="n">
        <v>45760</v>
      </c>
      <c r="D3619" t="inlineStr">
        <is>
          <t>VÄSTERBOTTENS LÄN</t>
        </is>
      </c>
      <c r="E3619" t="inlineStr">
        <is>
          <t>SKELLEFTEÅ</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58993-2024</t>
        </is>
      </c>
      <c r="B3620" s="1" t="n">
        <v>45636</v>
      </c>
      <c r="C3620" s="1" t="n">
        <v>45760</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58939-2024</t>
        </is>
      </c>
      <c r="B3621" s="1" t="n">
        <v>45636</v>
      </c>
      <c r="C3621" s="1" t="n">
        <v>45760</v>
      </c>
      <c r="D3621" t="inlineStr">
        <is>
          <t>VÄSTERBOTTENS LÄN</t>
        </is>
      </c>
      <c r="E3621" t="inlineStr">
        <is>
          <t>SKELLEFTEÅ</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58902-2024</t>
        </is>
      </c>
      <c r="B3622" s="1" t="n">
        <v>45636</v>
      </c>
      <c r="C3622" s="1" t="n">
        <v>45760</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58829-2024</t>
        </is>
      </c>
      <c r="B3623" s="1" t="n">
        <v>45636</v>
      </c>
      <c r="C3623" s="1" t="n">
        <v>45760</v>
      </c>
      <c r="D3623" t="inlineStr">
        <is>
          <t>VÄSTERBOTTENS LÄN</t>
        </is>
      </c>
      <c r="E3623" t="inlineStr">
        <is>
          <t>SKELLEFTEÅ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59198-2024</t>
        </is>
      </c>
      <c r="B3624" s="1" t="n">
        <v>45636</v>
      </c>
      <c r="C3624" s="1" t="n">
        <v>45760</v>
      </c>
      <c r="D3624" t="inlineStr">
        <is>
          <t>VÄSTERBOTTENS LÄN</t>
        </is>
      </c>
      <c r="E3624" t="inlineStr">
        <is>
          <t>SKELLEFTEÅ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58869-2024</t>
        </is>
      </c>
      <c r="B3625" s="1" t="n">
        <v>45636</v>
      </c>
      <c r="C3625" s="1" t="n">
        <v>45760</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58830-2024</t>
        </is>
      </c>
      <c r="B3626" s="1" t="n">
        <v>45636</v>
      </c>
      <c r="C3626" s="1" t="n">
        <v>45760</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59109-2024</t>
        </is>
      </c>
      <c r="B3627" s="1" t="n">
        <v>45637</v>
      </c>
      <c r="C3627" s="1" t="n">
        <v>45760</v>
      </c>
      <c r="D3627" t="inlineStr">
        <is>
          <t>VÄSTERBOTTENS LÄN</t>
        </is>
      </c>
      <c r="E3627" t="inlineStr">
        <is>
          <t>SKELLEFTEÅ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59134-2024</t>
        </is>
      </c>
      <c r="B3628" s="1" t="n">
        <v>45637</v>
      </c>
      <c r="C3628" s="1" t="n">
        <v>45760</v>
      </c>
      <c r="D3628" t="inlineStr">
        <is>
          <t>VÄSTERBOTTENS LÄN</t>
        </is>
      </c>
      <c r="E3628" t="inlineStr">
        <is>
          <t>SKELLEFTEÅ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59123-2024</t>
        </is>
      </c>
      <c r="B3629" s="1" t="n">
        <v>45637</v>
      </c>
      <c r="C3629" s="1" t="n">
        <v>45760</v>
      </c>
      <c r="D3629" t="inlineStr">
        <is>
          <t>VÄSTERBOTTENS LÄN</t>
        </is>
      </c>
      <c r="E3629" t="inlineStr">
        <is>
          <t>SKELLEFTEÅ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59188-2024</t>
        </is>
      </c>
      <c r="B3630" s="1" t="n">
        <v>45637</v>
      </c>
      <c r="C3630" s="1" t="n">
        <v>45760</v>
      </c>
      <c r="D3630" t="inlineStr">
        <is>
          <t>VÄSTERBOTTENS LÄN</t>
        </is>
      </c>
      <c r="E3630" t="inlineStr">
        <is>
          <t>SKELLEFTEÅ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59316-2024</t>
        </is>
      </c>
      <c r="B3631" s="1" t="n">
        <v>45637</v>
      </c>
      <c r="C3631" s="1" t="n">
        <v>45760</v>
      </c>
      <c r="D3631" t="inlineStr">
        <is>
          <t>VÄSTERBOTTENS LÄN</t>
        </is>
      </c>
      <c r="E3631" t="inlineStr">
        <is>
          <t>SKELLEFTEÅ</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59324-2024</t>
        </is>
      </c>
      <c r="B3632" s="1" t="n">
        <v>45637</v>
      </c>
      <c r="C3632" s="1" t="n">
        <v>45760</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59608-2024</t>
        </is>
      </c>
      <c r="B3633" s="1" t="n">
        <v>45638</v>
      </c>
      <c r="C3633" s="1" t="n">
        <v>45760</v>
      </c>
      <c r="D3633" t="inlineStr">
        <is>
          <t>VÄSTERBOTTENS LÄN</t>
        </is>
      </c>
      <c r="E3633" t="inlineStr">
        <is>
          <t>SKELLEFTEÅ</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59606-2024</t>
        </is>
      </c>
      <c r="B3634" s="1" t="n">
        <v>45638</v>
      </c>
      <c r="C3634" s="1" t="n">
        <v>45760</v>
      </c>
      <c r="D3634" t="inlineStr">
        <is>
          <t>VÄSTERBOTTENS LÄN</t>
        </is>
      </c>
      <c r="E3634" t="inlineStr">
        <is>
          <t>SKELLEFTEÅ</t>
        </is>
      </c>
      <c r="F3634" t="inlineStr">
        <is>
          <t>Sveaskog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59442-2024</t>
        </is>
      </c>
      <c r="B3635" s="1" t="n">
        <v>45638</v>
      </c>
      <c r="C3635" s="1" t="n">
        <v>45760</v>
      </c>
      <c r="D3635" t="inlineStr">
        <is>
          <t>VÄSTERBOTTENS LÄN</t>
        </is>
      </c>
      <c r="E3635" t="inlineStr">
        <is>
          <t>SKELLEFTEÅ</t>
        </is>
      </c>
      <c r="F3635" t="inlineStr">
        <is>
          <t>Holmen skog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59633-2024</t>
        </is>
      </c>
      <c r="B3636" s="1" t="n">
        <v>45638</v>
      </c>
      <c r="C3636" s="1" t="n">
        <v>45760</v>
      </c>
      <c r="D3636" t="inlineStr">
        <is>
          <t>VÄSTERBOTTENS LÄN</t>
        </is>
      </c>
      <c r="E3636" t="inlineStr">
        <is>
          <t>SKELLEFTEÅ</t>
        </is>
      </c>
      <c r="F3636" t="inlineStr">
        <is>
          <t>Sveaskog</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59443-2024</t>
        </is>
      </c>
      <c r="B3637" s="1" t="n">
        <v>45638</v>
      </c>
      <c r="C3637" s="1" t="n">
        <v>45760</v>
      </c>
      <c r="D3637" t="inlineStr">
        <is>
          <t>VÄSTERBOTTENS LÄN</t>
        </is>
      </c>
      <c r="E3637" t="inlineStr">
        <is>
          <t>SKELLEFTEÅ</t>
        </is>
      </c>
      <c r="F3637" t="inlineStr">
        <is>
          <t>Sveaskog</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59516-2024</t>
        </is>
      </c>
      <c r="B3638" s="1" t="n">
        <v>45638</v>
      </c>
      <c r="C3638" s="1" t="n">
        <v>45760</v>
      </c>
      <c r="D3638" t="inlineStr">
        <is>
          <t>VÄSTERBOTTENS LÄN</t>
        </is>
      </c>
      <c r="E3638" t="inlineStr">
        <is>
          <t>SKELLEFTEÅ</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59425-2024</t>
        </is>
      </c>
      <c r="B3639" s="1" t="n">
        <v>45638</v>
      </c>
      <c r="C3639" s="1" t="n">
        <v>45760</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59689-2024</t>
        </is>
      </c>
      <c r="B3640" s="1" t="n">
        <v>45639</v>
      </c>
      <c r="C3640" s="1" t="n">
        <v>45760</v>
      </c>
      <c r="D3640" t="inlineStr">
        <is>
          <t>VÄSTERBOTTENS LÄN</t>
        </is>
      </c>
      <c r="E3640" t="inlineStr">
        <is>
          <t>SKELLEFTEÅ</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59664-2024</t>
        </is>
      </c>
      <c r="B3641" s="1" t="n">
        <v>45639</v>
      </c>
      <c r="C3641" s="1" t="n">
        <v>45760</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59660-2024</t>
        </is>
      </c>
      <c r="B3642" s="1" t="n">
        <v>45639</v>
      </c>
      <c r="C3642" s="1" t="n">
        <v>45760</v>
      </c>
      <c r="D3642" t="inlineStr">
        <is>
          <t>VÄSTERBOTTENS LÄN</t>
        </is>
      </c>
      <c r="E3642" t="inlineStr">
        <is>
          <t>SKELLEFTEÅ</t>
        </is>
      </c>
      <c r="F3642" t="inlineStr">
        <is>
          <t>Sveaskog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59663-2024</t>
        </is>
      </c>
      <c r="B3643" s="1" t="n">
        <v>45639</v>
      </c>
      <c r="C3643" s="1" t="n">
        <v>45760</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59783-2024</t>
        </is>
      </c>
      <c r="B3644" s="1" t="n">
        <v>45639</v>
      </c>
      <c r="C3644" s="1" t="n">
        <v>45760</v>
      </c>
      <c r="D3644" t="inlineStr">
        <is>
          <t>VÄSTERBOTTENS LÄN</t>
        </is>
      </c>
      <c r="E3644" t="inlineStr">
        <is>
          <t>SKELLEFTEÅ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59640-2024</t>
        </is>
      </c>
      <c r="B3645" s="1" t="n">
        <v>45639</v>
      </c>
      <c r="C3645" s="1" t="n">
        <v>45760</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59956-2024</t>
        </is>
      </c>
      <c r="B3646" s="1" t="n">
        <v>45639</v>
      </c>
      <c r="C3646" s="1" t="n">
        <v>45760</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59711-2024</t>
        </is>
      </c>
      <c r="B3647" s="1" t="n">
        <v>45639</v>
      </c>
      <c r="C3647" s="1" t="n">
        <v>45760</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59918-2024</t>
        </is>
      </c>
      <c r="B3648" s="1" t="n">
        <v>45641</v>
      </c>
      <c r="C3648" s="1" t="n">
        <v>45760</v>
      </c>
      <c r="D3648" t="inlineStr">
        <is>
          <t>VÄSTERBOTTENS LÄN</t>
        </is>
      </c>
      <c r="E3648" t="inlineStr">
        <is>
          <t>SKELLEFTEÅ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60210-2024</t>
        </is>
      </c>
      <c r="B3649" s="1" t="n">
        <v>45642</v>
      </c>
      <c r="C3649" s="1" t="n">
        <v>45760</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60134-2024</t>
        </is>
      </c>
      <c r="B3650" s="1" t="n">
        <v>45642</v>
      </c>
      <c r="C3650" s="1" t="n">
        <v>45760</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60116-2024</t>
        </is>
      </c>
      <c r="B3651" s="1" t="n">
        <v>45642</v>
      </c>
      <c r="C3651" s="1" t="n">
        <v>45760</v>
      </c>
      <c r="D3651" t="inlineStr">
        <is>
          <t>VÄSTERBOTTENS LÄN</t>
        </is>
      </c>
      <c r="E3651" t="inlineStr">
        <is>
          <t>SKELLEFTEÅ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60209-2024</t>
        </is>
      </c>
      <c r="B3652" s="1" t="n">
        <v>45642</v>
      </c>
      <c r="C3652" s="1" t="n">
        <v>45760</v>
      </c>
      <c r="D3652" t="inlineStr">
        <is>
          <t>VÄSTERBOTTENS LÄN</t>
        </is>
      </c>
      <c r="E3652" t="inlineStr">
        <is>
          <t>SKELLEFTEÅ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59993-2024</t>
        </is>
      </c>
      <c r="B3653" s="1" t="n">
        <v>45642</v>
      </c>
      <c r="C3653" s="1" t="n">
        <v>45760</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59940-2024</t>
        </is>
      </c>
      <c r="B3654" s="1" t="n">
        <v>45642</v>
      </c>
      <c r="C3654" s="1" t="n">
        <v>45760</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59932-2024</t>
        </is>
      </c>
      <c r="B3655" s="1" t="n">
        <v>45642</v>
      </c>
      <c r="C3655" s="1" t="n">
        <v>45760</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59937-2024</t>
        </is>
      </c>
      <c r="B3656" s="1" t="n">
        <v>45642</v>
      </c>
      <c r="C3656" s="1" t="n">
        <v>45760</v>
      </c>
      <c r="D3656" t="inlineStr">
        <is>
          <t>VÄSTERBOTTENS LÄN</t>
        </is>
      </c>
      <c r="E3656" t="inlineStr">
        <is>
          <t>SKELLEFTEÅ</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59931-2024</t>
        </is>
      </c>
      <c r="B3657" s="1" t="n">
        <v>45642</v>
      </c>
      <c r="C3657" s="1" t="n">
        <v>45760</v>
      </c>
      <c r="D3657" t="inlineStr">
        <is>
          <t>VÄSTERBOTTENS LÄN</t>
        </is>
      </c>
      <c r="E3657" t="inlineStr">
        <is>
          <t>SKELLEFTEÅ</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60294-2024</t>
        </is>
      </c>
      <c r="B3658" s="1" t="n">
        <v>45643</v>
      </c>
      <c r="C3658" s="1" t="n">
        <v>45760</v>
      </c>
      <c r="D3658" t="inlineStr">
        <is>
          <t>VÄSTERBOTTENS LÄN</t>
        </is>
      </c>
      <c r="E3658" t="inlineStr">
        <is>
          <t>SKELLEFTEÅ</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60518-2024</t>
        </is>
      </c>
      <c r="B3659" s="1" t="n">
        <v>45643</v>
      </c>
      <c r="C3659" s="1" t="n">
        <v>45760</v>
      </c>
      <c r="D3659" t="inlineStr">
        <is>
          <t>VÄSTERBOTTENS LÄN</t>
        </is>
      </c>
      <c r="E3659" t="inlineStr">
        <is>
          <t>SKELLEFTEÅ</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60293-2024</t>
        </is>
      </c>
      <c r="B3660" s="1" t="n">
        <v>45643</v>
      </c>
      <c r="C3660" s="1" t="n">
        <v>45760</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60324-2024</t>
        </is>
      </c>
      <c r="B3661" s="1" t="n">
        <v>45643</v>
      </c>
      <c r="C3661" s="1" t="n">
        <v>45760</v>
      </c>
      <c r="D3661" t="inlineStr">
        <is>
          <t>VÄSTERBOTTENS LÄN</t>
        </is>
      </c>
      <c r="E3661" t="inlineStr">
        <is>
          <t>SKELLEFTEÅ</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60861-2024</t>
        </is>
      </c>
      <c r="B3662" s="1" t="n">
        <v>45644</v>
      </c>
      <c r="C3662" s="1" t="n">
        <v>45760</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60982-2024</t>
        </is>
      </c>
      <c r="B3663" s="1" t="n">
        <v>45645</v>
      </c>
      <c r="C3663" s="1" t="n">
        <v>45760</v>
      </c>
      <c r="D3663" t="inlineStr">
        <is>
          <t>VÄSTERBOTTENS LÄN</t>
        </is>
      </c>
      <c r="E3663" t="inlineStr">
        <is>
          <t>SKELLEFTEÅ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61030-2024</t>
        </is>
      </c>
      <c r="B3664" s="1" t="n">
        <v>45645</v>
      </c>
      <c r="C3664" s="1" t="n">
        <v>45760</v>
      </c>
      <c r="D3664" t="inlineStr">
        <is>
          <t>VÄSTERBOTTENS LÄN</t>
        </is>
      </c>
      <c r="E3664" t="inlineStr">
        <is>
          <t>SKELLEFTEÅ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61097-2024</t>
        </is>
      </c>
      <c r="B3665" s="1" t="n">
        <v>45645</v>
      </c>
      <c r="C3665" s="1" t="n">
        <v>45760</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60992-2024</t>
        </is>
      </c>
      <c r="B3666" s="1" t="n">
        <v>45645</v>
      </c>
      <c r="C3666" s="1" t="n">
        <v>45760</v>
      </c>
      <c r="D3666" t="inlineStr">
        <is>
          <t>VÄSTERBOTTENS LÄN</t>
        </is>
      </c>
      <c r="E3666" t="inlineStr">
        <is>
          <t>SKELLEFTEÅ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61378-2024</t>
        </is>
      </c>
      <c r="B3667" s="1" t="n">
        <v>45645</v>
      </c>
      <c r="C3667" s="1" t="n">
        <v>45760</v>
      </c>
      <c r="D3667" t="inlineStr">
        <is>
          <t>VÄSTERBOTTENS LÄN</t>
        </is>
      </c>
      <c r="E3667" t="inlineStr">
        <is>
          <t>SKELLEFTEÅ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61437-2024</t>
        </is>
      </c>
      <c r="B3668" s="1" t="n">
        <v>45645</v>
      </c>
      <c r="C3668" s="1" t="n">
        <v>45760</v>
      </c>
      <c r="D3668" t="inlineStr">
        <is>
          <t>VÄSTERBOTTENS LÄN</t>
        </is>
      </c>
      <c r="E3668" t="inlineStr">
        <is>
          <t>SKELLEFTEÅ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61112-2024</t>
        </is>
      </c>
      <c r="B3669" s="1" t="n">
        <v>45645</v>
      </c>
      <c r="C3669" s="1" t="n">
        <v>45760</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61433-2024</t>
        </is>
      </c>
      <c r="B3670" s="1" t="n">
        <v>45645</v>
      </c>
      <c r="C3670" s="1" t="n">
        <v>45760</v>
      </c>
      <c r="D3670" t="inlineStr">
        <is>
          <t>VÄSTERBOTTENS LÄN</t>
        </is>
      </c>
      <c r="E3670" t="inlineStr">
        <is>
          <t>SKELLEFTEÅ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61257-2024</t>
        </is>
      </c>
      <c r="B3671" s="1" t="n">
        <v>45645</v>
      </c>
      <c r="C3671" s="1" t="n">
        <v>45760</v>
      </c>
      <c r="D3671" t="inlineStr">
        <is>
          <t>VÄSTERBOTTENS LÄN</t>
        </is>
      </c>
      <c r="E3671" t="inlineStr">
        <is>
          <t>SKELLEFTEÅ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61359-2024</t>
        </is>
      </c>
      <c r="B3672" s="1" t="n">
        <v>45645</v>
      </c>
      <c r="C3672" s="1" t="n">
        <v>45760</v>
      </c>
      <c r="D3672" t="inlineStr">
        <is>
          <t>VÄSTERBOTTENS LÄN</t>
        </is>
      </c>
      <c r="E3672" t="inlineStr">
        <is>
          <t>SKELLEFTEÅ</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61429-2024</t>
        </is>
      </c>
      <c r="B3673" s="1" t="n">
        <v>45645</v>
      </c>
      <c r="C3673" s="1" t="n">
        <v>45760</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61238-2024</t>
        </is>
      </c>
      <c r="B3674" s="1" t="n">
        <v>45645</v>
      </c>
      <c r="C3674" s="1" t="n">
        <v>45760</v>
      </c>
      <c r="D3674" t="inlineStr">
        <is>
          <t>VÄSTERBOTTENS LÄN</t>
        </is>
      </c>
      <c r="E3674" t="inlineStr">
        <is>
          <t>SKELLEFTEÅ</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61421-2024</t>
        </is>
      </c>
      <c r="B3675" s="1" t="n">
        <v>45645</v>
      </c>
      <c r="C3675" s="1" t="n">
        <v>45760</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61438-2024</t>
        </is>
      </c>
      <c r="B3676" s="1" t="n">
        <v>45645</v>
      </c>
      <c r="C3676" s="1" t="n">
        <v>45760</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61327-2024</t>
        </is>
      </c>
      <c r="B3677" s="1" t="n">
        <v>45646</v>
      </c>
      <c r="C3677" s="1" t="n">
        <v>45760</v>
      </c>
      <c r="D3677" t="inlineStr">
        <is>
          <t>VÄSTERBOTTENS LÄN</t>
        </is>
      </c>
      <c r="E3677" t="inlineStr">
        <is>
          <t>SKELLEFTEÅ</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61479-2024</t>
        </is>
      </c>
      <c r="B3678" s="1" t="n">
        <v>45646</v>
      </c>
      <c r="C3678" s="1" t="n">
        <v>45760</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61584-2024</t>
        </is>
      </c>
      <c r="B3679" s="1" t="n">
        <v>45646</v>
      </c>
      <c r="C3679" s="1" t="n">
        <v>45760</v>
      </c>
      <c r="D3679" t="inlineStr">
        <is>
          <t>VÄSTERBOTTENS LÄN</t>
        </is>
      </c>
      <c r="E3679" t="inlineStr">
        <is>
          <t>SKELLEFTEÅ</t>
        </is>
      </c>
      <c r="F3679" t="inlineStr">
        <is>
          <t>Sveaskog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61983-2024</t>
        </is>
      </c>
      <c r="B3680" s="1" t="n">
        <v>45646</v>
      </c>
      <c r="C3680" s="1" t="n">
        <v>45760</v>
      </c>
      <c r="D3680" t="inlineStr">
        <is>
          <t>VÄSTERBOTTENS LÄN</t>
        </is>
      </c>
      <c r="E3680" t="inlineStr">
        <is>
          <t>SKELLEFTEÅ</t>
        </is>
      </c>
      <c r="F3680" t="inlineStr">
        <is>
          <t>Kommuner</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61551-2024</t>
        </is>
      </c>
      <c r="B3681" s="1" t="n">
        <v>45646</v>
      </c>
      <c r="C3681" s="1" t="n">
        <v>45760</v>
      </c>
      <c r="D3681" t="inlineStr">
        <is>
          <t>VÄSTERBOTTENS LÄN</t>
        </is>
      </c>
      <c r="E3681" t="inlineStr">
        <is>
          <t>SKELLEFTEÅ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61559-2024</t>
        </is>
      </c>
      <c r="B3682" s="1" t="n">
        <v>45646</v>
      </c>
      <c r="C3682" s="1" t="n">
        <v>45760</v>
      </c>
      <c r="D3682" t="inlineStr">
        <is>
          <t>VÄSTERBOTTENS LÄN</t>
        </is>
      </c>
      <c r="E3682" t="inlineStr">
        <is>
          <t>SKELLEFTEÅ</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61988-2024</t>
        </is>
      </c>
      <c r="B3683" s="1" t="n">
        <v>45646</v>
      </c>
      <c r="C3683" s="1" t="n">
        <v>45760</v>
      </c>
      <c r="D3683" t="inlineStr">
        <is>
          <t>VÄSTERBOTTENS LÄN</t>
        </is>
      </c>
      <c r="E3683" t="inlineStr">
        <is>
          <t>SKELLEFTEÅ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61697-2024</t>
        </is>
      </c>
      <c r="B3684" s="1" t="n">
        <v>45647</v>
      </c>
      <c r="C3684" s="1" t="n">
        <v>45760</v>
      </c>
      <c r="D3684" t="inlineStr">
        <is>
          <t>VÄSTERBOTTENS LÄN</t>
        </is>
      </c>
      <c r="E3684" t="inlineStr">
        <is>
          <t>SKELLEFTEÅ</t>
        </is>
      </c>
      <c r="G3684" t="n">
        <v>16.7</v>
      </c>
      <c r="H3684" t="n">
        <v>0</v>
      </c>
      <c r="I3684" t="n">
        <v>0</v>
      </c>
      <c r="J3684" t="n">
        <v>0</v>
      </c>
      <c r="K3684" t="n">
        <v>0</v>
      </c>
      <c r="L3684" t="n">
        <v>0</v>
      </c>
      <c r="M3684" t="n">
        <v>0</v>
      </c>
      <c r="N3684" t="n">
        <v>0</v>
      </c>
      <c r="O3684" t="n">
        <v>0</v>
      </c>
      <c r="P3684" t="n">
        <v>0</v>
      </c>
      <c r="Q3684" t="n">
        <v>0</v>
      </c>
      <c r="R3684" s="2" t="inlineStr"/>
    </row>
    <row r="3685" ht="15" customHeight="1">
      <c r="A3685" t="inlineStr">
        <is>
          <t>A 160-2025</t>
        </is>
      </c>
      <c r="B3685" s="1" t="n">
        <v>45649</v>
      </c>
      <c r="C3685" s="1" t="n">
        <v>45760</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61989-2024</t>
        </is>
      </c>
      <c r="B3686" s="1" t="n">
        <v>45653</v>
      </c>
      <c r="C3686" s="1" t="n">
        <v>45760</v>
      </c>
      <c r="D3686" t="inlineStr">
        <is>
          <t>VÄSTERBOTTENS LÄN</t>
        </is>
      </c>
      <c r="E3686" t="inlineStr">
        <is>
          <t>SKELLEFTEÅ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61993-2024</t>
        </is>
      </c>
      <c r="B3687" s="1" t="n">
        <v>45653</v>
      </c>
      <c r="C3687" s="1" t="n">
        <v>45760</v>
      </c>
      <c r="D3687" t="inlineStr">
        <is>
          <t>VÄSTERBOTTENS LÄN</t>
        </is>
      </c>
      <c r="E3687" t="inlineStr">
        <is>
          <t>SKELLEFTEÅ</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62052-2024</t>
        </is>
      </c>
      <c r="B3688" s="1" t="n">
        <v>45656</v>
      </c>
      <c r="C3688" s="1" t="n">
        <v>45760</v>
      </c>
      <c r="D3688" t="inlineStr">
        <is>
          <t>VÄSTERBOTTENS LÄN</t>
        </is>
      </c>
      <c r="E3688" t="inlineStr">
        <is>
          <t>SKELLEFTEÅ</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62056-2024</t>
        </is>
      </c>
      <c r="B3689" s="1" t="n">
        <v>45656</v>
      </c>
      <c r="C3689" s="1" t="n">
        <v>45760</v>
      </c>
      <c r="D3689" t="inlineStr">
        <is>
          <t>VÄSTERBOTTENS LÄN</t>
        </is>
      </c>
      <c r="E3689" t="inlineStr">
        <is>
          <t>SKELLEFTEÅ</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62061-2024</t>
        </is>
      </c>
      <c r="B3690" s="1" t="n">
        <v>45656</v>
      </c>
      <c r="C3690" s="1" t="n">
        <v>45760</v>
      </c>
      <c r="D3690" t="inlineStr">
        <is>
          <t>VÄSTERBOTTENS LÄN</t>
        </is>
      </c>
      <c r="E3690" t="inlineStr">
        <is>
          <t>SKELLEFTEÅ</t>
        </is>
      </c>
      <c r="F3690" t="inlineStr">
        <is>
          <t>Sveaskog</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62063-2024</t>
        </is>
      </c>
      <c r="B3691" s="1" t="n">
        <v>45656</v>
      </c>
      <c r="C3691" s="1" t="n">
        <v>45760</v>
      </c>
      <c r="D3691" t="inlineStr">
        <is>
          <t>VÄSTERBOTTENS LÄN</t>
        </is>
      </c>
      <c r="E3691" t="inlineStr">
        <is>
          <t>SKELLEFTEÅ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62047-2024</t>
        </is>
      </c>
      <c r="B3692" s="1" t="n">
        <v>45656</v>
      </c>
      <c r="C3692" s="1" t="n">
        <v>45760</v>
      </c>
      <c r="D3692" t="inlineStr">
        <is>
          <t>VÄSTERBOTTENS LÄN</t>
        </is>
      </c>
      <c r="E3692" t="inlineStr">
        <is>
          <t>SKELLEFTEÅ</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62023-2024</t>
        </is>
      </c>
      <c r="B3693" s="1" t="n">
        <v>45656</v>
      </c>
      <c r="C3693" s="1" t="n">
        <v>45760</v>
      </c>
      <c r="D3693" t="inlineStr">
        <is>
          <t>VÄSTERBOTTENS LÄN</t>
        </is>
      </c>
      <c r="E3693" t="inlineStr">
        <is>
          <t>SKELLEFTEÅ</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62064-2024</t>
        </is>
      </c>
      <c r="B3694" s="1" t="n">
        <v>45656</v>
      </c>
      <c r="C3694" s="1" t="n">
        <v>45760</v>
      </c>
      <c r="D3694" t="inlineStr">
        <is>
          <t>VÄSTERBOTTENS LÄN</t>
        </is>
      </c>
      <c r="E3694" t="inlineStr">
        <is>
          <t>SKELLEFTEÅ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62060-2024</t>
        </is>
      </c>
      <c r="B3695" s="1" t="n">
        <v>45656</v>
      </c>
      <c r="C3695" s="1" t="n">
        <v>45760</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62066-2024</t>
        </is>
      </c>
      <c r="B3696" s="1" t="n">
        <v>45656</v>
      </c>
      <c r="C3696" s="1" t="n">
        <v>45760</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62058-2024</t>
        </is>
      </c>
      <c r="B3697" s="1" t="n">
        <v>45656</v>
      </c>
      <c r="C3697" s="1" t="n">
        <v>45760</v>
      </c>
      <c r="D3697" t="inlineStr">
        <is>
          <t>VÄSTERBOTTENS LÄN</t>
        </is>
      </c>
      <c r="E3697" t="inlineStr">
        <is>
          <t>SKELLEFTEÅ</t>
        </is>
      </c>
      <c r="F3697" t="inlineStr">
        <is>
          <t>Sveaskog</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277-2025</t>
        </is>
      </c>
      <c r="B3698" s="1" t="n">
        <v>45660</v>
      </c>
      <c r="C3698" s="1" t="n">
        <v>45760</v>
      </c>
      <c r="D3698" t="inlineStr">
        <is>
          <t>VÄSTERBOTTENS LÄN</t>
        </is>
      </c>
      <c r="E3698" t="inlineStr">
        <is>
          <t>SKELLEFTEÅ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544-2025</t>
        </is>
      </c>
      <c r="B3699" s="1" t="n">
        <v>45660</v>
      </c>
      <c r="C3699" s="1" t="n">
        <v>45760</v>
      </c>
      <c r="D3699" t="inlineStr">
        <is>
          <t>VÄSTERBOTTENS LÄN</t>
        </is>
      </c>
      <c r="E3699" t="inlineStr">
        <is>
          <t>SKELLEFTEÅ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274-2025</t>
        </is>
      </c>
      <c r="B3700" s="1" t="n">
        <v>45660</v>
      </c>
      <c r="C3700" s="1" t="n">
        <v>45760</v>
      </c>
      <c r="D3700" t="inlineStr">
        <is>
          <t>VÄSTERBOTTENS LÄN</t>
        </is>
      </c>
      <c r="E3700" t="inlineStr">
        <is>
          <t>SKELLEFTEÅ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560-2025</t>
        </is>
      </c>
      <c r="B3701" s="1" t="n">
        <v>45660</v>
      </c>
      <c r="C3701" s="1" t="n">
        <v>45760</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573-2025</t>
        </is>
      </c>
      <c r="B3702" s="1" t="n">
        <v>45660</v>
      </c>
      <c r="C3702" s="1" t="n">
        <v>45760</v>
      </c>
      <c r="D3702" t="inlineStr">
        <is>
          <t>VÄSTERBOTTENS LÄN</t>
        </is>
      </c>
      <c r="E3702" t="inlineStr">
        <is>
          <t>SKELLEFTEÅ</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642-2025</t>
        </is>
      </c>
      <c r="B3703" s="1" t="n">
        <v>45660</v>
      </c>
      <c r="C3703" s="1" t="n">
        <v>45760</v>
      </c>
      <c r="D3703" t="inlineStr">
        <is>
          <t>VÄSTERBOTTENS LÄN</t>
        </is>
      </c>
      <c r="E3703" t="inlineStr">
        <is>
          <t>SKELLEFTEÅ</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580-2025</t>
        </is>
      </c>
      <c r="B3704" s="1" t="n">
        <v>45660</v>
      </c>
      <c r="C3704" s="1" t="n">
        <v>45760</v>
      </c>
      <c r="D3704" t="inlineStr">
        <is>
          <t>VÄSTERBOTTENS LÄN</t>
        </is>
      </c>
      <c r="E3704" t="inlineStr">
        <is>
          <t>SKELLEFTEÅ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275-2025</t>
        </is>
      </c>
      <c r="B3705" s="1" t="n">
        <v>45660</v>
      </c>
      <c r="C3705" s="1" t="n">
        <v>45760</v>
      </c>
      <c r="D3705" t="inlineStr">
        <is>
          <t>VÄSTERBOTTENS LÄN</t>
        </is>
      </c>
      <c r="E3705" t="inlineStr">
        <is>
          <t>SKELLEFTEÅ</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901-2025</t>
        </is>
      </c>
      <c r="B3706" s="1" t="n">
        <v>45664</v>
      </c>
      <c r="C3706" s="1" t="n">
        <v>45760</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713-2025</t>
        </is>
      </c>
      <c r="B3707" s="1" t="n">
        <v>45664</v>
      </c>
      <c r="C3707" s="1" t="n">
        <v>45760</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641-2025</t>
        </is>
      </c>
      <c r="B3708" s="1" t="n">
        <v>45664</v>
      </c>
      <c r="C3708" s="1" t="n">
        <v>45760</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1004-2025</t>
        </is>
      </c>
      <c r="B3709" s="1" t="n">
        <v>45665</v>
      </c>
      <c r="C3709" s="1" t="n">
        <v>45760</v>
      </c>
      <c r="D3709" t="inlineStr">
        <is>
          <t>VÄSTERBOTTENS LÄN</t>
        </is>
      </c>
      <c r="E3709" t="inlineStr">
        <is>
          <t>SKELLEFTEÅ</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1022-2025</t>
        </is>
      </c>
      <c r="B3710" s="1" t="n">
        <v>45665</v>
      </c>
      <c r="C3710" s="1" t="n">
        <v>45760</v>
      </c>
      <c r="D3710" t="inlineStr">
        <is>
          <t>VÄSTERBOTTENS LÄN</t>
        </is>
      </c>
      <c r="E3710" t="inlineStr">
        <is>
          <t>SKELLEFTEÅ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862-2025</t>
        </is>
      </c>
      <c r="B3711" s="1" t="n">
        <v>45665</v>
      </c>
      <c r="C3711" s="1" t="n">
        <v>45760</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714-2025</t>
        </is>
      </c>
      <c r="B3712" s="1" t="n">
        <v>45665</v>
      </c>
      <c r="C3712" s="1" t="n">
        <v>45760</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867-2025</t>
        </is>
      </c>
      <c r="B3713" s="1" t="n">
        <v>45665</v>
      </c>
      <c r="C3713" s="1" t="n">
        <v>45760</v>
      </c>
      <c r="D3713" t="inlineStr">
        <is>
          <t>VÄSTERBOTTENS LÄN</t>
        </is>
      </c>
      <c r="E3713" t="inlineStr">
        <is>
          <t>SKELLEFTEÅ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908-2025</t>
        </is>
      </c>
      <c r="B3714" s="1" t="n">
        <v>45665</v>
      </c>
      <c r="C3714" s="1" t="n">
        <v>45760</v>
      </c>
      <c r="D3714" t="inlineStr">
        <is>
          <t>VÄSTERBOTTENS LÄN</t>
        </is>
      </c>
      <c r="E3714" t="inlineStr">
        <is>
          <t>SKELLEFTEÅ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787-2025</t>
        </is>
      </c>
      <c r="B3715" s="1" t="n">
        <v>45665</v>
      </c>
      <c r="C3715" s="1" t="n">
        <v>45760</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1025-2025</t>
        </is>
      </c>
      <c r="B3716" s="1" t="n">
        <v>45665</v>
      </c>
      <c r="C3716" s="1" t="n">
        <v>45760</v>
      </c>
      <c r="D3716" t="inlineStr">
        <is>
          <t>VÄSTERBOTTENS LÄN</t>
        </is>
      </c>
      <c r="E3716" t="inlineStr">
        <is>
          <t>SKELLEFTEÅ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1328-2025</t>
        </is>
      </c>
      <c r="B3717" s="1" t="n">
        <v>45666</v>
      </c>
      <c r="C3717" s="1" t="n">
        <v>45760</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951-2025</t>
        </is>
      </c>
      <c r="B3718" s="1" t="n">
        <v>45666</v>
      </c>
      <c r="C3718" s="1" t="n">
        <v>45760</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1336-2025</t>
        </is>
      </c>
      <c r="B3719" s="1" t="n">
        <v>45666</v>
      </c>
      <c r="C3719" s="1" t="n">
        <v>45760</v>
      </c>
      <c r="D3719" t="inlineStr">
        <is>
          <t>VÄSTERBOTTENS LÄN</t>
        </is>
      </c>
      <c r="E3719" t="inlineStr">
        <is>
          <t>SKELLEFTEÅ</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1113-2025</t>
        </is>
      </c>
      <c r="B3720" s="1" t="n">
        <v>45666</v>
      </c>
      <c r="C3720" s="1" t="n">
        <v>45760</v>
      </c>
      <c r="D3720" t="inlineStr">
        <is>
          <t>VÄSTERBOTTENS LÄN</t>
        </is>
      </c>
      <c r="E3720" t="inlineStr">
        <is>
          <t>SKELLEFTEÅ</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964-2025</t>
        </is>
      </c>
      <c r="B3721" s="1" t="n">
        <v>45666</v>
      </c>
      <c r="C3721" s="1" t="n">
        <v>45760</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948-2025</t>
        </is>
      </c>
      <c r="B3722" s="1" t="n">
        <v>45666</v>
      </c>
      <c r="C3722" s="1" t="n">
        <v>45760</v>
      </c>
      <c r="D3722" t="inlineStr">
        <is>
          <t>VÄSTERBOTTENS LÄN</t>
        </is>
      </c>
      <c r="E3722" t="inlineStr">
        <is>
          <t>SKELLEFTEÅ</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1244-2025</t>
        </is>
      </c>
      <c r="B3723" s="1" t="n">
        <v>45667</v>
      </c>
      <c r="C3723" s="1" t="n">
        <v>45760</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1233-2025</t>
        </is>
      </c>
      <c r="B3724" s="1" t="n">
        <v>45667</v>
      </c>
      <c r="C3724" s="1" t="n">
        <v>45760</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1249-2025</t>
        </is>
      </c>
      <c r="B3725" s="1" t="n">
        <v>45667</v>
      </c>
      <c r="C3725" s="1" t="n">
        <v>45760</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1253-2025</t>
        </is>
      </c>
      <c r="B3726" s="1" t="n">
        <v>45667</v>
      </c>
      <c r="C3726" s="1" t="n">
        <v>45760</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1251-2025</t>
        </is>
      </c>
      <c r="B3727" s="1" t="n">
        <v>45667</v>
      </c>
      <c r="C3727" s="1" t="n">
        <v>45760</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1278-2025</t>
        </is>
      </c>
      <c r="B3728" s="1" t="n">
        <v>45667</v>
      </c>
      <c r="C3728" s="1" t="n">
        <v>45760</v>
      </c>
      <c r="D3728" t="inlineStr">
        <is>
          <t>VÄSTERBOTTENS LÄN</t>
        </is>
      </c>
      <c r="E3728" t="inlineStr">
        <is>
          <t>SKELLEFTEÅ</t>
        </is>
      </c>
      <c r="F3728" t="inlineStr">
        <is>
          <t>Holmen skog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1404-2025</t>
        </is>
      </c>
      <c r="B3729" s="1" t="n">
        <v>45667</v>
      </c>
      <c r="C3729" s="1" t="n">
        <v>45760</v>
      </c>
      <c r="D3729" t="inlineStr">
        <is>
          <t>VÄSTERBOTTENS LÄN</t>
        </is>
      </c>
      <c r="E3729" t="inlineStr">
        <is>
          <t>SKELLEFTEÅ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1362-2025</t>
        </is>
      </c>
      <c r="B3730" s="1" t="n">
        <v>45667</v>
      </c>
      <c r="C3730" s="1" t="n">
        <v>45760</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1402-2025</t>
        </is>
      </c>
      <c r="B3731" s="1" t="n">
        <v>45667</v>
      </c>
      <c r="C3731" s="1" t="n">
        <v>45760</v>
      </c>
      <c r="D3731" t="inlineStr">
        <is>
          <t>VÄSTERBOTTENS LÄN</t>
        </is>
      </c>
      <c r="E3731" t="inlineStr">
        <is>
          <t>SKELLEFTEÅ</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1367-2025</t>
        </is>
      </c>
      <c r="B3732" s="1" t="n">
        <v>45667</v>
      </c>
      <c r="C3732" s="1" t="n">
        <v>45760</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1246-2025</t>
        </is>
      </c>
      <c r="B3733" s="1" t="n">
        <v>45667</v>
      </c>
      <c r="C3733" s="1" t="n">
        <v>45760</v>
      </c>
      <c r="D3733" t="inlineStr">
        <is>
          <t>VÄSTERBOTTENS LÄN</t>
        </is>
      </c>
      <c r="E3733" t="inlineStr">
        <is>
          <t>SKELLEFTEÅ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1321-2025</t>
        </is>
      </c>
      <c r="B3734" s="1" t="n">
        <v>45667</v>
      </c>
      <c r="C3734" s="1" t="n">
        <v>45760</v>
      </c>
      <c r="D3734" t="inlineStr">
        <is>
          <t>VÄSTERBOTTENS LÄN</t>
        </is>
      </c>
      <c r="E3734" t="inlineStr">
        <is>
          <t>SKELLEFTEÅ</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1610-2025</t>
        </is>
      </c>
      <c r="B3735" s="1" t="n">
        <v>45668</v>
      </c>
      <c r="C3735" s="1" t="n">
        <v>45760</v>
      </c>
      <c r="D3735" t="inlineStr">
        <is>
          <t>VÄSTERBOTTENS LÄN</t>
        </is>
      </c>
      <c r="E3735" t="inlineStr">
        <is>
          <t>SKELLEFTEÅ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1667-2025</t>
        </is>
      </c>
      <c r="B3736" s="1" t="n">
        <v>45670</v>
      </c>
      <c r="C3736" s="1" t="n">
        <v>45760</v>
      </c>
      <c r="D3736" t="inlineStr">
        <is>
          <t>VÄSTERBOTTENS LÄN</t>
        </is>
      </c>
      <c r="E3736" t="inlineStr">
        <is>
          <t>SKELLEFTEÅ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1627-2025</t>
        </is>
      </c>
      <c r="B3737" s="1" t="n">
        <v>45670</v>
      </c>
      <c r="C3737" s="1" t="n">
        <v>45760</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1577-2025</t>
        </is>
      </c>
      <c r="B3738" s="1" t="n">
        <v>45670</v>
      </c>
      <c r="C3738" s="1" t="n">
        <v>45760</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45760</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1980-2025</t>
        </is>
      </c>
      <c r="B3740" s="1" t="n">
        <v>45671</v>
      </c>
      <c r="C3740" s="1" t="n">
        <v>45760</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1959-2025</t>
        </is>
      </c>
      <c r="B3741" s="1" t="n">
        <v>45671</v>
      </c>
      <c r="C3741" s="1" t="n">
        <v>45760</v>
      </c>
      <c r="D3741" t="inlineStr">
        <is>
          <t>VÄSTERBOTTENS LÄN</t>
        </is>
      </c>
      <c r="E3741" t="inlineStr">
        <is>
          <t>SKELLEFTEÅ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1955-2025</t>
        </is>
      </c>
      <c r="B3742" s="1" t="n">
        <v>45671</v>
      </c>
      <c r="C3742" s="1" t="n">
        <v>45760</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1987-2025</t>
        </is>
      </c>
      <c r="B3743" s="1" t="n">
        <v>45671</v>
      </c>
      <c r="C3743" s="1" t="n">
        <v>45760</v>
      </c>
      <c r="D3743" t="inlineStr">
        <is>
          <t>VÄSTERBOTTENS LÄN</t>
        </is>
      </c>
      <c r="E3743" t="inlineStr">
        <is>
          <t>SKELLEFTEÅ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1966-2025</t>
        </is>
      </c>
      <c r="B3744" s="1" t="n">
        <v>45671</v>
      </c>
      <c r="C3744" s="1" t="n">
        <v>45760</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1936-2025</t>
        </is>
      </c>
      <c r="B3745" s="1" t="n">
        <v>45671</v>
      </c>
      <c r="C3745" s="1" t="n">
        <v>45760</v>
      </c>
      <c r="D3745" t="inlineStr">
        <is>
          <t>VÄSTERBOTTENS LÄN</t>
        </is>
      </c>
      <c r="E3745" t="inlineStr">
        <is>
          <t>SKELLEFTEÅ</t>
        </is>
      </c>
      <c r="G3745" t="n">
        <v>21.5</v>
      </c>
      <c r="H3745" t="n">
        <v>0</v>
      </c>
      <c r="I3745" t="n">
        <v>0</v>
      </c>
      <c r="J3745" t="n">
        <v>0</v>
      </c>
      <c r="K3745" t="n">
        <v>0</v>
      </c>
      <c r="L3745" t="n">
        <v>0</v>
      </c>
      <c r="M3745" t="n">
        <v>0</v>
      </c>
      <c r="N3745" t="n">
        <v>0</v>
      </c>
      <c r="O3745" t="n">
        <v>0</v>
      </c>
      <c r="P3745" t="n">
        <v>0</v>
      </c>
      <c r="Q3745" t="n">
        <v>0</v>
      </c>
      <c r="R3745" s="2" t="inlineStr"/>
    </row>
    <row r="3746" ht="15" customHeight="1">
      <c r="A3746" t="inlineStr">
        <is>
          <t>A 1746-2025</t>
        </is>
      </c>
      <c r="B3746" s="1" t="n">
        <v>45671</v>
      </c>
      <c r="C3746" s="1" t="n">
        <v>45760</v>
      </c>
      <c r="D3746" t="inlineStr">
        <is>
          <t>VÄSTERBOTTENS LÄN</t>
        </is>
      </c>
      <c r="E3746" t="inlineStr">
        <is>
          <t>SKELLEFTEÅ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1791-2025</t>
        </is>
      </c>
      <c r="B3747" s="1" t="n">
        <v>45671</v>
      </c>
      <c r="C3747" s="1" t="n">
        <v>45760</v>
      </c>
      <c r="D3747" t="inlineStr">
        <is>
          <t>VÄSTERBOTTENS LÄN</t>
        </is>
      </c>
      <c r="E3747" t="inlineStr">
        <is>
          <t>SKELLEFTEÅ</t>
        </is>
      </c>
      <c r="F3747" t="inlineStr">
        <is>
          <t>Holmen skog AB</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1904-2025</t>
        </is>
      </c>
      <c r="B3748" s="1" t="n">
        <v>45671</v>
      </c>
      <c r="C3748" s="1" t="n">
        <v>45760</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1964-2025</t>
        </is>
      </c>
      <c r="B3749" s="1" t="n">
        <v>45672</v>
      </c>
      <c r="C3749" s="1" t="n">
        <v>45760</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2070-2025</t>
        </is>
      </c>
      <c r="B3750" s="1" t="n">
        <v>45672</v>
      </c>
      <c r="C3750" s="1" t="n">
        <v>45760</v>
      </c>
      <c r="D3750" t="inlineStr">
        <is>
          <t>VÄSTERBOTTENS LÄN</t>
        </is>
      </c>
      <c r="E3750" t="inlineStr">
        <is>
          <t>SKELLEFTEÅ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2019-2025</t>
        </is>
      </c>
      <c r="B3751" s="1" t="n">
        <v>45672</v>
      </c>
      <c r="C3751" s="1" t="n">
        <v>45760</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1946-2025</t>
        </is>
      </c>
      <c r="B3752" s="1" t="n">
        <v>45672</v>
      </c>
      <c r="C3752" s="1" t="n">
        <v>45760</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2087-2025</t>
        </is>
      </c>
      <c r="B3753" s="1" t="n">
        <v>45672</v>
      </c>
      <c r="C3753" s="1" t="n">
        <v>45760</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2171-2025</t>
        </is>
      </c>
      <c r="B3754" s="1" t="n">
        <v>45673</v>
      </c>
      <c r="C3754" s="1" t="n">
        <v>45760</v>
      </c>
      <c r="D3754" t="inlineStr">
        <is>
          <t>VÄSTERBOTTENS LÄN</t>
        </is>
      </c>
      <c r="E3754" t="inlineStr">
        <is>
          <t>SKELLEFTEÅ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2279-2025</t>
        </is>
      </c>
      <c r="B3755" s="1" t="n">
        <v>45673</v>
      </c>
      <c r="C3755" s="1" t="n">
        <v>45760</v>
      </c>
      <c r="D3755" t="inlineStr">
        <is>
          <t>VÄSTERBOTTENS LÄN</t>
        </is>
      </c>
      <c r="E3755" t="inlineStr">
        <is>
          <t>SKELLEFTEÅ</t>
        </is>
      </c>
      <c r="F3755" t="inlineStr">
        <is>
          <t>Holmen skog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2354-2025</t>
        </is>
      </c>
      <c r="B3756" s="1" t="n">
        <v>45673</v>
      </c>
      <c r="C3756" s="1" t="n">
        <v>45760</v>
      </c>
      <c r="D3756" t="inlineStr">
        <is>
          <t>VÄSTERBOTTENS LÄN</t>
        </is>
      </c>
      <c r="E3756" t="inlineStr">
        <is>
          <t>SKELLEFTEÅ</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2308-2025</t>
        </is>
      </c>
      <c r="B3757" s="1" t="n">
        <v>45673</v>
      </c>
      <c r="C3757" s="1" t="n">
        <v>45760</v>
      </c>
      <c r="D3757" t="inlineStr">
        <is>
          <t>VÄSTERBOTTENS LÄN</t>
        </is>
      </c>
      <c r="E3757" t="inlineStr">
        <is>
          <t>SKELLEFTEÅ</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2454-2025</t>
        </is>
      </c>
      <c r="B3758" s="1" t="n">
        <v>45673</v>
      </c>
      <c r="C3758" s="1" t="n">
        <v>45760</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2326-2025</t>
        </is>
      </c>
      <c r="B3759" s="1" t="n">
        <v>45673</v>
      </c>
      <c r="C3759" s="1" t="n">
        <v>45760</v>
      </c>
      <c r="D3759" t="inlineStr">
        <is>
          <t>VÄSTERBOTTENS LÄN</t>
        </is>
      </c>
      <c r="E3759" t="inlineStr">
        <is>
          <t>SKELLEFTEÅ</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2355-2025</t>
        </is>
      </c>
      <c r="B3760" s="1" t="n">
        <v>45673</v>
      </c>
      <c r="C3760" s="1" t="n">
        <v>45760</v>
      </c>
      <c r="D3760" t="inlineStr">
        <is>
          <t>VÄSTERBOTTENS LÄN</t>
        </is>
      </c>
      <c r="E3760" t="inlineStr">
        <is>
          <t>SKELLEFTEÅ</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2383-2025</t>
        </is>
      </c>
      <c r="B3761" s="1" t="n">
        <v>45674</v>
      </c>
      <c r="C3761" s="1" t="n">
        <v>45760</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2602-2025</t>
        </is>
      </c>
      <c r="B3762" s="1" t="n">
        <v>45674</v>
      </c>
      <c r="C3762" s="1" t="n">
        <v>45760</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2548-2025</t>
        </is>
      </c>
      <c r="B3763" s="1" t="n">
        <v>45674</v>
      </c>
      <c r="C3763" s="1" t="n">
        <v>45760</v>
      </c>
      <c r="D3763" t="inlineStr">
        <is>
          <t>VÄSTERBOTTENS LÄN</t>
        </is>
      </c>
      <c r="E3763" t="inlineStr">
        <is>
          <t>SKELLEFTEÅ</t>
        </is>
      </c>
      <c r="F3763" t="inlineStr">
        <is>
          <t>Kommuner</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2519-2025</t>
        </is>
      </c>
      <c r="B3764" s="1" t="n">
        <v>45674</v>
      </c>
      <c r="C3764" s="1" t="n">
        <v>45760</v>
      </c>
      <c r="D3764" t="inlineStr">
        <is>
          <t>VÄSTERBOTTENS LÄN</t>
        </is>
      </c>
      <c r="E3764" t="inlineStr">
        <is>
          <t>SKELLEFTEÅ</t>
        </is>
      </c>
      <c r="F3764" t="inlineStr">
        <is>
          <t>Kommuner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2522-2025</t>
        </is>
      </c>
      <c r="B3765" s="1" t="n">
        <v>45674</v>
      </c>
      <c r="C3765" s="1" t="n">
        <v>45760</v>
      </c>
      <c r="D3765" t="inlineStr">
        <is>
          <t>VÄSTERBOTTENS LÄN</t>
        </is>
      </c>
      <c r="E3765" t="inlineStr">
        <is>
          <t>SKELLEFTEÅ</t>
        </is>
      </c>
      <c r="F3765" t="inlineStr">
        <is>
          <t>Kommuner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2393-2025</t>
        </is>
      </c>
      <c r="B3766" s="1" t="n">
        <v>45674</v>
      </c>
      <c r="C3766" s="1" t="n">
        <v>45760</v>
      </c>
      <c r="D3766" t="inlineStr">
        <is>
          <t>VÄSTERBOTTENS LÄN</t>
        </is>
      </c>
      <c r="E3766" t="inlineStr">
        <is>
          <t>SKELLEFTEÅ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2811-2025</t>
        </is>
      </c>
      <c r="B3767" s="1" t="n">
        <v>45677</v>
      </c>
      <c r="C3767" s="1" t="n">
        <v>45760</v>
      </c>
      <c r="D3767" t="inlineStr">
        <is>
          <t>VÄSTERBOTTENS LÄN</t>
        </is>
      </c>
      <c r="E3767" t="inlineStr">
        <is>
          <t>SKELLEFTEÅ</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3084-2025</t>
        </is>
      </c>
      <c r="B3768" s="1" t="n">
        <v>45678</v>
      </c>
      <c r="C3768" s="1" t="n">
        <v>45760</v>
      </c>
      <c r="D3768" t="inlineStr">
        <is>
          <t>VÄSTERBOTTENS LÄN</t>
        </is>
      </c>
      <c r="E3768" t="inlineStr">
        <is>
          <t>SKELLEFTEÅ</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2949-2025</t>
        </is>
      </c>
      <c r="B3769" s="1" t="n">
        <v>45678</v>
      </c>
      <c r="C3769" s="1" t="n">
        <v>45760</v>
      </c>
      <c r="D3769" t="inlineStr">
        <is>
          <t>VÄSTERBOTTENS LÄN</t>
        </is>
      </c>
      <c r="E3769" t="inlineStr">
        <is>
          <t>SKELLEFTEÅ</t>
        </is>
      </c>
      <c r="F3769" t="inlineStr">
        <is>
          <t>Holmen skog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2966-2025</t>
        </is>
      </c>
      <c r="B3770" s="1" t="n">
        <v>45678</v>
      </c>
      <c r="C3770" s="1" t="n">
        <v>45760</v>
      </c>
      <c r="D3770" t="inlineStr">
        <is>
          <t>VÄSTERBOTTENS LÄN</t>
        </is>
      </c>
      <c r="E3770" t="inlineStr">
        <is>
          <t>SKELLEFTEÅ</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3026-2025</t>
        </is>
      </c>
      <c r="B3771" s="1" t="n">
        <v>45678</v>
      </c>
      <c r="C3771" s="1" t="n">
        <v>45760</v>
      </c>
      <c r="D3771" t="inlineStr">
        <is>
          <t>VÄSTERBOTTENS LÄN</t>
        </is>
      </c>
      <c r="E3771" t="inlineStr">
        <is>
          <t>SKELLEFTEÅ</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2967-2025</t>
        </is>
      </c>
      <c r="B3772" s="1" t="n">
        <v>45678</v>
      </c>
      <c r="C3772" s="1" t="n">
        <v>45760</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2963-2025</t>
        </is>
      </c>
      <c r="B3773" s="1" t="n">
        <v>45678</v>
      </c>
      <c r="C3773" s="1" t="n">
        <v>45760</v>
      </c>
      <c r="D3773" t="inlineStr">
        <is>
          <t>VÄSTERBOTTENS LÄN</t>
        </is>
      </c>
      <c r="E3773" t="inlineStr">
        <is>
          <t>SKELLEFTEÅ</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3153-2025</t>
        </is>
      </c>
      <c r="B3774" s="1" t="n">
        <v>45679</v>
      </c>
      <c r="C3774" s="1" t="n">
        <v>45760</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3193-2025</t>
        </is>
      </c>
      <c r="B3775" s="1" t="n">
        <v>45679</v>
      </c>
      <c r="C3775" s="1" t="n">
        <v>45760</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3164-2025</t>
        </is>
      </c>
      <c r="B3776" s="1" t="n">
        <v>45679</v>
      </c>
      <c r="C3776" s="1" t="n">
        <v>45760</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3209-2025</t>
        </is>
      </c>
      <c r="B3777" s="1" t="n">
        <v>45679</v>
      </c>
      <c r="C3777" s="1" t="n">
        <v>45760</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3370-2025</t>
        </is>
      </c>
      <c r="B3778" s="1" t="n">
        <v>45679</v>
      </c>
      <c r="C3778" s="1" t="n">
        <v>45760</v>
      </c>
      <c r="D3778" t="inlineStr">
        <is>
          <t>VÄSTERBOTTENS LÄN</t>
        </is>
      </c>
      <c r="E3778" t="inlineStr">
        <is>
          <t>SKELLEFTEÅ</t>
        </is>
      </c>
      <c r="G3778" t="n">
        <v>15.7</v>
      </c>
      <c r="H3778" t="n">
        <v>0</v>
      </c>
      <c r="I3778" t="n">
        <v>0</v>
      </c>
      <c r="J3778" t="n">
        <v>0</v>
      </c>
      <c r="K3778" t="n">
        <v>0</v>
      </c>
      <c r="L3778" t="n">
        <v>0</v>
      </c>
      <c r="M3778" t="n">
        <v>0</v>
      </c>
      <c r="N3778" t="n">
        <v>0</v>
      </c>
      <c r="O3778" t="n">
        <v>0</v>
      </c>
      <c r="P3778" t="n">
        <v>0</v>
      </c>
      <c r="Q3778" t="n">
        <v>0</v>
      </c>
      <c r="R3778" s="2" t="inlineStr"/>
    </row>
    <row r="3779" ht="15" customHeight="1">
      <c r="A3779" t="inlineStr">
        <is>
          <t>A 3373-2025</t>
        </is>
      </c>
      <c r="B3779" s="1" t="n">
        <v>45680</v>
      </c>
      <c r="C3779" s="1" t="n">
        <v>45760</v>
      </c>
      <c r="D3779" t="inlineStr">
        <is>
          <t>VÄSTERBOTTENS LÄN</t>
        </is>
      </c>
      <c r="E3779" t="inlineStr">
        <is>
          <t>SKELLEFTEÅ</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3708-2025</t>
        </is>
      </c>
      <c r="B3780" s="1" t="n">
        <v>45681</v>
      </c>
      <c r="C3780" s="1" t="n">
        <v>45760</v>
      </c>
      <c r="D3780" t="inlineStr">
        <is>
          <t>VÄSTERBOTTENS LÄN</t>
        </is>
      </c>
      <c r="E3780" t="inlineStr">
        <is>
          <t>SKELLEFTEÅ</t>
        </is>
      </c>
      <c r="G3780" t="n">
        <v>14.7</v>
      </c>
      <c r="H3780" t="n">
        <v>0</v>
      </c>
      <c r="I3780" t="n">
        <v>0</v>
      </c>
      <c r="J3780" t="n">
        <v>0</v>
      </c>
      <c r="K3780" t="n">
        <v>0</v>
      </c>
      <c r="L3780" t="n">
        <v>0</v>
      </c>
      <c r="M3780" t="n">
        <v>0</v>
      </c>
      <c r="N3780" t="n">
        <v>0</v>
      </c>
      <c r="O3780" t="n">
        <v>0</v>
      </c>
      <c r="P3780" t="n">
        <v>0</v>
      </c>
      <c r="Q3780" t="n">
        <v>0</v>
      </c>
      <c r="R3780" s="2" t="inlineStr"/>
    </row>
    <row r="3781" ht="15" customHeight="1">
      <c r="A3781" t="inlineStr">
        <is>
          <t>A 3674-2025</t>
        </is>
      </c>
      <c r="B3781" s="1" t="n">
        <v>45681</v>
      </c>
      <c r="C3781" s="1" t="n">
        <v>45760</v>
      </c>
      <c r="D3781" t="inlineStr">
        <is>
          <t>VÄSTERBOTTENS LÄN</t>
        </is>
      </c>
      <c r="E3781" t="inlineStr">
        <is>
          <t>SKELLEFTEÅ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3626-2025</t>
        </is>
      </c>
      <c r="B3782" s="1" t="n">
        <v>45681</v>
      </c>
      <c r="C3782" s="1" t="n">
        <v>45760</v>
      </c>
      <c r="D3782" t="inlineStr">
        <is>
          <t>VÄSTERBOTTENS LÄN</t>
        </is>
      </c>
      <c r="E3782" t="inlineStr">
        <is>
          <t>SKELLEFTEÅ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3843-2025</t>
        </is>
      </c>
      <c r="B3783" s="1" t="n">
        <v>45683</v>
      </c>
      <c r="C3783" s="1" t="n">
        <v>45760</v>
      </c>
      <c r="D3783" t="inlineStr">
        <is>
          <t>VÄSTERBOTTENS LÄN</t>
        </is>
      </c>
      <c r="E3783" t="inlineStr">
        <is>
          <t>SKELLEFTEÅ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3844-2025</t>
        </is>
      </c>
      <c r="B3784" s="1" t="n">
        <v>45683</v>
      </c>
      <c r="C3784" s="1" t="n">
        <v>45760</v>
      </c>
      <c r="D3784" t="inlineStr">
        <is>
          <t>VÄSTERBOTTENS LÄN</t>
        </is>
      </c>
      <c r="E3784" t="inlineStr">
        <is>
          <t>SKELLEFTEÅ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3889-2025</t>
        </is>
      </c>
      <c r="B3785" s="1" t="n">
        <v>45684</v>
      </c>
      <c r="C3785" s="1" t="n">
        <v>45760</v>
      </c>
      <c r="D3785" t="inlineStr">
        <is>
          <t>VÄSTERBOTTENS LÄN</t>
        </is>
      </c>
      <c r="E3785" t="inlineStr">
        <is>
          <t>SKELLEFTEÅ</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3892-2025</t>
        </is>
      </c>
      <c r="B3786" s="1" t="n">
        <v>45684</v>
      </c>
      <c r="C3786" s="1" t="n">
        <v>45760</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3883-2025</t>
        </is>
      </c>
      <c r="B3787" s="1" t="n">
        <v>45684</v>
      </c>
      <c r="C3787" s="1" t="n">
        <v>45760</v>
      </c>
      <c r="D3787" t="inlineStr">
        <is>
          <t>VÄSTERBOTTENS LÄN</t>
        </is>
      </c>
      <c r="E3787" t="inlineStr">
        <is>
          <t>SKELLEFTEÅ</t>
        </is>
      </c>
      <c r="G3787" t="n">
        <v>27.6</v>
      </c>
      <c r="H3787" t="n">
        <v>0</v>
      </c>
      <c r="I3787" t="n">
        <v>0</v>
      </c>
      <c r="J3787" t="n">
        <v>0</v>
      </c>
      <c r="K3787" t="n">
        <v>0</v>
      </c>
      <c r="L3787" t="n">
        <v>0</v>
      </c>
      <c r="M3787" t="n">
        <v>0</v>
      </c>
      <c r="N3787" t="n">
        <v>0</v>
      </c>
      <c r="O3787" t="n">
        <v>0</v>
      </c>
      <c r="P3787" t="n">
        <v>0</v>
      </c>
      <c r="Q3787" t="n">
        <v>0</v>
      </c>
      <c r="R3787" s="2" t="inlineStr"/>
    </row>
    <row r="3788" ht="15" customHeight="1">
      <c r="A3788" t="inlineStr">
        <is>
          <t>A 4167-2025</t>
        </is>
      </c>
      <c r="B3788" s="1" t="n">
        <v>45685</v>
      </c>
      <c r="C3788" s="1" t="n">
        <v>45760</v>
      </c>
      <c r="D3788" t="inlineStr">
        <is>
          <t>VÄSTERBOTTENS LÄN</t>
        </is>
      </c>
      <c r="E3788" t="inlineStr">
        <is>
          <t>SKELLEFTEÅ</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4184-2025</t>
        </is>
      </c>
      <c r="B3789" s="1" t="n">
        <v>45685</v>
      </c>
      <c r="C3789" s="1" t="n">
        <v>45760</v>
      </c>
      <c r="D3789" t="inlineStr">
        <is>
          <t>VÄSTERBOTTENS LÄN</t>
        </is>
      </c>
      <c r="E3789" t="inlineStr">
        <is>
          <t>SKELLEFTEÅ</t>
        </is>
      </c>
      <c r="F3789" t="inlineStr">
        <is>
          <t>Holmen skog AB</t>
        </is>
      </c>
      <c r="G3789" t="n">
        <v>15.3</v>
      </c>
      <c r="H3789" t="n">
        <v>0</v>
      </c>
      <c r="I3789" t="n">
        <v>0</v>
      </c>
      <c r="J3789" t="n">
        <v>0</v>
      </c>
      <c r="K3789" t="n">
        <v>0</v>
      </c>
      <c r="L3789" t="n">
        <v>0</v>
      </c>
      <c r="M3789" t="n">
        <v>0</v>
      </c>
      <c r="N3789" t="n">
        <v>0</v>
      </c>
      <c r="O3789" t="n">
        <v>0</v>
      </c>
      <c r="P3789" t="n">
        <v>0</v>
      </c>
      <c r="Q3789" t="n">
        <v>0</v>
      </c>
      <c r="R3789" s="2" t="inlineStr"/>
    </row>
    <row r="3790" ht="15" customHeight="1">
      <c r="A3790" t="inlineStr">
        <is>
          <t>A 4508-2025</t>
        </is>
      </c>
      <c r="B3790" s="1" t="n">
        <v>45686</v>
      </c>
      <c r="C3790" s="1" t="n">
        <v>45760</v>
      </c>
      <c r="D3790" t="inlineStr">
        <is>
          <t>VÄSTERBOTTENS LÄN</t>
        </is>
      </c>
      <c r="E3790" t="inlineStr">
        <is>
          <t>SKELLEFTEÅ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4510-2025</t>
        </is>
      </c>
      <c r="B3791" s="1" t="n">
        <v>45686</v>
      </c>
      <c r="C3791" s="1" t="n">
        <v>45760</v>
      </c>
      <c r="D3791" t="inlineStr">
        <is>
          <t>VÄSTERBOTTENS LÄN</t>
        </is>
      </c>
      <c r="E3791" t="inlineStr">
        <is>
          <t>SKELLEFTEÅ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4507-2025</t>
        </is>
      </c>
      <c r="B3792" s="1" t="n">
        <v>45686</v>
      </c>
      <c r="C3792" s="1" t="n">
        <v>45760</v>
      </c>
      <c r="D3792" t="inlineStr">
        <is>
          <t>VÄSTERBOTTENS LÄN</t>
        </is>
      </c>
      <c r="E3792" t="inlineStr">
        <is>
          <t>SKELLEFTEÅ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4509-2025</t>
        </is>
      </c>
      <c r="B3793" s="1" t="n">
        <v>45686</v>
      </c>
      <c r="C3793" s="1" t="n">
        <v>45760</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4403-2025</t>
        </is>
      </c>
      <c r="B3794" s="1" t="n">
        <v>45686</v>
      </c>
      <c r="C3794" s="1" t="n">
        <v>45760</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4387-2025</t>
        </is>
      </c>
      <c r="B3795" s="1" t="n">
        <v>45686</v>
      </c>
      <c r="C3795" s="1" t="n">
        <v>45760</v>
      </c>
      <c r="D3795" t="inlineStr">
        <is>
          <t>VÄSTERBOTTENS LÄN</t>
        </is>
      </c>
      <c r="E3795" t="inlineStr">
        <is>
          <t>SKELLEFTEÅ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4626-2025</t>
        </is>
      </c>
      <c r="B3796" s="1" t="n">
        <v>45687</v>
      </c>
      <c r="C3796" s="1" t="n">
        <v>45760</v>
      </c>
      <c r="D3796" t="inlineStr">
        <is>
          <t>VÄSTERBOTTENS LÄN</t>
        </is>
      </c>
      <c r="E3796" t="inlineStr">
        <is>
          <t>SKELLEFTEÅ</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4638-2025</t>
        </is>
      </c>
      <c r="B3797" s="1" t="n">
        <v>45687</v>
      </c>
      <c r="C3797" s="1" t="n">
        <v>45760</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4604-2025</t>
        </is>
      </c>
      <c r="B3798" s="1" t="n">
        <v>45687</v>
      </c>
      <c r="C3798" s="1" t="n">
        <v>45760</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4620-2025</t>
        </is>
      </c>
      <c r="B3799" s="1" t="n">
        <v>45687</v>
      </c>
      <c r="C3799" s="1" t="n">
        <v>45760</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4645-2025</t>
        </is>
      </c>
      <c r="B3800" s="1" t="n">
        <v>45687</v>
      </c>
      <c r="C3800" s="1" t="n">
        <v>45760</v>
      </c>
      <c r="D3800" t="inlineStr">
        <is>
          <t>VÄSTERBOTTENS LÄN</t>
        </is>
      </c>
      <c r="E3800" t="inlineStr">
        <is>
          <t>SKELLEFTEÅ</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4923-2025</t>
        </is>
      </c>
      <c r="B3801" s="1" t="n">
        <v>45688</v>
      </c>
      <c r="C3801" s="1" t="n">
        <v>45760</v>
      </c>
      <c r="D3801" t="inlineStr">
        <is>
          <t>VÄSTERBOTTENS LÄN</t>
        </is>
      </c>
      <c r="E3801" t="inlineStr">
        <is>
          <t>SKELLEFTEÅ</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4700-2025</t>
        </is>
      </c>
      <c r="B3802" s="1" t="n">
        <v>45688</v>
      </c>
      <c r="C3802" s="1" t="n">
        <v>45760</v>
      </c>
      <c r="D3802" t="inlineStr">
        <is>
          <t>VÄSTERBOTTENS LÄN</t>
        </is>
      </c>
      <c r="E3802" t="inlineStr">
        <is>
          <t>SKELLEFTEÅ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4696-2025</t>
        </is>
      </c>
      <c r="B3803" s="1" t="n">
        <v>45688</v>
      </c>
      <c r="C3803" s="1" t="n">
        <v>45760</v>
      </c>
      <c r="D3803" t="inlineStr">
        <is>
          <t>VÄSTERBOTTENS LÄN</t>
        </is>
      </c>
      <c r="E3803" t="inlineStr">
        <is>
          <t>SKELLEFTEÅ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4959-2025</t>
        </is>
      </c>
      <c r="B3804" s="1" t="n">
        <v>45689</v>
      </c>
      <c r="C3804" s="1" t="n">
        <v>45760</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4958-2025</t>
        </is>
      </c>
      <c r="B3805" s="1" t="n">
        <v>45689</v>
      </c>
      <c r="C3805" s="1" t="n">
        <v>45760</v>
      </c>
      <c r="D3805" t="inlineStr">
        <is>
          <t>VÄSTERBOTTENS LÄN</t>
        </is>
      </c>
      <c r="E3805" t="inlineStr">
        <is>
          <t>SKELLEFTEÅ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4956-2025</t>
        </is>
      </c>
      <c r="B3806" s="1" t="n">
        <v>45689</v>
      </c>
      <c r="C3806" s="1" t="n">
        <v>45760</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4972-2025</t>
        </is>
      </c>
      <c r="B3807" s="1" t="n">
        <v>45690</v>
      </c>
      <c r="C3807" s="1" t="n">
        <v>45760</v>
      </c>
      <c r="D3807" t="inlineStr">
        <is>
          <t>VÄSTERBOTTENS LÄN</t>
        </is>
      </c>
      <c r="E3807" t="inlineStr">
        <is>
          <t>SKELLEFTEÅ</t>
        </is>
      </c>
      <c r="F3807" t="inlineStr">
        <is>
          <t>Sveaskog</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45760</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5133-2025</t>
        </is>
      </c>
      <c r="B3809" s="1" t="n">
        <v>45691</v>
      </c>
      <c r="C3809" s="1" t="n">
        <v>45760</v>
      </c>
      <c r="D3809" t="inlineStr">
        <is>
          <t>VÄSTERBOTTENS LÄN</t>
        </is>
      </c>
      <c r="E3809" t="inlineStr">
        <is>
          <t>SKELLEFTEÅ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45760</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5186-2025</t>
        </is>
      </c>
      <c r="B3811" s="1" t="n">
        <v>45691</v>
      </c>
      <c r="C3811" s="1" t="n">
        <v>45760</v>
      </c>
      <c r="D3811" t="inlineStr">
        <is>
          <t>VÄSTERBOTTENS LÄN</t>
        </is>
      </c>
      <c r="E3811" t="inlineStr">
        <is>
          <t>SKELLEFTEÅ</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5011-2025</t>
        </is>
      </c>
      <c r="B3812" s="1" t="n">
        <v>45691</v>
      </c>
      <c r="C3812" s="1" t="n">
        <v>45760</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5367-2025</t>
        </is>
      </c>
      <c r="B3813" s="1" t="n">
        <v>45692</v>
      </c>
      <c r="C3813" s="1" t="n">
        <v>45760</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5374-2025</t>
        </is>
      </c>
      <c r="B3814" s="1" t="n">
        <v>45692</v>
      </c>
      <c r="C3814" s="1" t="n">
        <v>45760</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5563-2025</t>
        </is>
      </c>
      <c r="B3815" s="1" t="n">
        <v>45693</v>
      </c>
      <c r="C3815" s="1" t="n">
        <v>45760</v>
      </c>
      <c r="D3815" t="inlineStr">
        <is>
          <t>VÄSTERBOTTENS LÄN</t>
        </is>
      </c>
      <c r="E3815" t="inlineStr">
        <is>
          <t>SKELLEFTEÅ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5475-2025</t>
        </is>
      </c>
      <c r="B3816" s="1" t="n">
        <v>45693</v>
      </c>
      <c r="C3816" s="1" t="n">
        <v>45760</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45760</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5783-2025</t>
        </is>
      </c>
      <c r="B3818" s="1" t="n">
        <v>45694</v>
      </c>
      <c r="C3818" s="1" t="n">
        <v>45760</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45760</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5828-2025</t>
        </is>
      </c>
      <c r="B3820" s="1" t="n">
        <v>45694</v>
      </c>
      <c r="C3820" s="1" t="n">
        <v>45760</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45760</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5826-2025</t>
        </is>
      </c>
      <c r="B3822" s="1" t="n">
        <v>45694</v>
      </c>
      <c r="C3822" s="1" t="n">
        <v>45760</v>
      </c>
      <c r="D3822" t="inlineStr">
        <is>
          <t>VÄSTERBOTTENS LÄN</t>
        </is>
      </c>
      <c r="E3822" t="inlineStr">
        <is>
          <t>SKELLEFTEÅ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5830-2025</t>
        </is>
      </c>
      <c r="B3823" s="1" t="n">
        <v>45694</v>
      </c>
      <c r="C3823" s="1" t="n">
        <v>45760</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5829-2025</t>
        </is>
      </c>
      <c r="B3824" s="1" t="n">
        <v>45694</v>
      </c>
      <c r="C3824" s="1" t="n">
        <v>45760</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5876-2025</t>
        </is>
      </c>
      <c r="B3825" s="1" t="n">
        <v>45694</v>
      </c>
      <c r="C3825" s="1" t="n">
        <v>45760</v>
      </c>
      <c r="D3825" t="inlineStr">
        <is>
          <t>VÄSTERBOTTENS LÄN</t>
        </is>
      </c>
      <c r="E3825" t="inlineStr">
        <is>
          <t>SKELLEFTEÅ</t>
        </is>
      </c>
      <c r="G3825" t="n">
        <v>60.7</v>
      </c>
      <c r="H3825" t="n">
        <v>0</v>
      </c>
      <c r="I3825" t="n">
        <v>0</v>
      </c>
      <c r="J3825" t="n">
        <v>0</v>
      </c>
      <c r="K3825" t="n">
        <v>0</v>
      </c>
      <c r="L3825" t="n">
        <v>0</v>
      </c>
      <c r="M3825" t="n">
        <v>0</v>
      </c>
      <c r="N3825" t="n">
        <v>0</v>
      </c>
      <c r="O3825" t="n">
        <v>0</v>
      </c>
      <c r="P3825" t="n">
        <v>0</v>
      </c>
      <c r="Q3825" t="n">
        <v>0</v>
      </c>
      <c r="R3825" s="2" t="inlineStr"/>
    </row>
    <row r="3826" ht="15" customHeight="1">
      <c r="A3826" t="inlineStr">
        <is>
          <t>A 5985-2025</t>
        </is>
      </c>
      <c r="B3826" s="1" t="n">
        <v>45695</v>
      </c>
      <c r="C3826" s="1" t="n">
        <v>45760</v>
      </c>
      <c r="D3826" t="inlineStr">
        <is>
          <t>VÄSTERBOTTENS LÄN</t>
        </is>
      </c>
      <c r="E3826" t="inlineStr">
        <is>
          <t>SKELLEFTEÅ</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45760</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45760</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5927-2025</t>
        </is>
      </c>
      <c r="B3829" s="1" t="n">
        <v>45695</v>
      </c>
      <c r="C3829" s="1" t="n">
        <v>45760</v>
      </c>
      <c r="D3829" t="inlineStr">
        <is>
          <t>VÄSTERBOTTENS LÄN</t>
        </is>
      </c>
      <c r="E3829" t="inlineStr">
        <is>
          <t>SKELLEFTEÅ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6007-2025</t>
        </is>
      </c>
      <c r="B3830" s="1" t="n">
        <v>45695</v>
      </c>
      <c r="C3830" s="1" t="n">
        <v>45760</v>
      </c>
      <c r="D3830" t="inlineStr">
        <is>
          <t>VÄSTERBOTTENS LÄN</t>
        </is>
      </c>
      <c r="E3830" t="inlineStr">
        <is>
          <t>SKELLEFTEÅ</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6018-2025</t>
        </is>
      </c>
      <c r="B3831" s="1" t="n">
        <v>45695</v>
      </c>
      <c r="C3831" s="1" t="n">
        <v>45760</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6168-2025</t>
        </is>
      </c>
      <c r="B3832" s="1" t="n">
        <v>45695</v>
      </c>
      <c r="C3832" s="1" t="n">
        <v>45760</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6286-2025</t>
        </is>
      </c>
      <c r="B3833" s="1" t="n">
        <v>45698</v>
      </c>
      <c r="C3833" s="1" t="n">
        <v>45760</v>
      </c>
      <c r="D3833" t="inlineStr">
        <is>
          <t>VÄSTERBOTTENS LÄN</t>
        </is>
      </c>
      <c r="E3833" t="inlineStr">
        <is>
          <t>SKELLEFTEÅ</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6443-2025</t>
        </is>
      </c>
      <c r="B3834" s="1" t="n">
        <v>45699</v>
      </c>
      <c r="C3834" s="1" t="n">
        <v>45760</v>
      </c>
      <c r="D3834" t="inlineStr">
        <is>
          <t>VÄSTERBOTTENS LÄN</t>
        </is>
      </c>
      <c r="E3834" t="inlineStr">
        <is>
          <t>SKELLEFTEÅ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6357-2025</t>
        </is>
      </c>
      <c r="B3835" s="1" t="n">
        <v>45699</v>
      </c>
      <c r="C3835" s="1" t="n">
        <v>45760</v>
      </c>
      <c r="D3835" t="inlineStr">
        <is>
          <t>VÄSTERBOTTENS LÄN</t>
        </is>
      </c>
      <c r="E3835" t="inlineStr">
        <is>
          <t>SKELLEFTEÅ</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45760</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45760</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45760</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45760</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6899-2025</t>
        </is>
      </c>
      <c r="B3840" s="1" t="n">
        <v>45701</v>
      </c>
      <c r="C3840" s="1" t="n">
        <v>45760</v>
      </c>
      <c r="D3840" t="inlineStr">
        <is>
          <t>VÄSTERBOTTENS LÄN</t>
        </is>
      </c>
      <c r="E3840" t="inlineStr">
        <is>
          <t>SKELLEFTEÅ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7025-2025</t>
        </is>
      </c>
      <c r="B3841" s="1" t="n">
        <v>45701</v>
      </c>
      <c r="C3841" s="1" t="n">
        <v>45760</v>
      </c>
      <c r="D3841" t="inlineStr">
        <is>
          <t>VÄSTERBOTTENS LÄN</t>
        </is>
      </c>
      <c r="E3841" t="inlineStr">
        <is>
          <t>SKELLEFTEÅ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7295-2025</t>
        </is>
      </c>
      <c r="B3842" s="1" t="n">
        <v>45702</v>
      </c>
      <c r="C3842" s="1" t="n">
        <v>45760</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7815-2025</t>
        </is>
      </c>
      <c r="B3843" s="1" t="n">
        <v>45706</v>
      </c>
      <c r="C3843" s="1" t="n">
        <v>45760</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7816-2025</t>
        </is>
      </c>
      <c r="B3844" s="1" t="n">
        <v>45706</v>
      </c>
      <c r="C3844" s="1" t="n">
        <v>45760</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8090-2025</t>
        </is>
      </c>
      <c r="B3845" s="1" t="n">
        <v>45707</v>
      </c>
      <c r="C3845" s="1" t="n">
        <v>45760</v>
      </c>
      <c r="D3845" t="inlineStr">
        <is>
          <t>VÄSTERBOTTENS LÄN</t>
        </is>
      </c>
      <c r="E3845" t="inlineStr">
        <is>
          <t>SKELLEFTEÅ</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7916-2025</t>
        </is>
      </c>
      <c r="B3846" s="1" t="n">
        <v>45707</v>
      </c>
      <c r="C3846" s="1" t="n">
        <v>45760</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8010-2025</t>
        </is>
      </c>
      <c r="B3847" s="1" t="n">
        <v>45707</v>
      </c>
      <c r="C3847" s="1" t="n">
        <v>45760</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8013-2025</t>
        </is>
      </c>
      <c r="B3848" s="1" t="n">
        <v>45707</v>
      </c>
      <c r="C3848" s="1" t="n">
        <v>45760</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7981-2025</t>
        </is>
      </c>
      <c r="B3849" s="1" t="n">
        <v>45707</v>
      </c>
      <c r="C3849" s="1" t="n">
        <v>45760</v>
      </c>
      <c r="D3849" t="inlineStr">
        <is>
          <t>VÄSTERBOTTENS LÄN</t>
        </is>
      </c>
      <c r="E3849" t="inlineStr">
        <is>
          <t>SKELLEFTEÅ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7991-2025</t>
        </is>
      </c>
      <c r="B3850" s="1" t="n">
        <v>45707</v>
      </c>
      <c r="C3850" s="1" t="n">
        <v>45760</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45760</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45760</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45760</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45760</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8301-2025</t>
        </is>
      </c>
      <c r="B3855" s="1" t="n">
        <v>45708</v>
      </c>
      <c r="C3855" s="1" t="n">
        <v>45760</v>
      </c>
      <c r="D3855" t="inlineStr">
        <is>
          <t>VÄSTERBOTTENS LÄN</t>
        </is>
      </c>
      <c r="E3855" t="inlineStr">
        <is>
          <t>SKELLEFTEÅ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8141-2025</t>
        </is>
      </c>
      <c r="B3856" s="1" t="n">
        <v>45708</v>
      </c>
      <c r="C3856" s="1" t="n">
        <v>45760</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8240-2025</t>
        </is>
      </c>
      <c r="B3857" s="1" t="n">
        <v>45708</v>
      </c>
      <c r="C3857" s="1" t="n">
        <v>45760</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8144-2025</t>
        </is>
      </c>
      <c r="B3858" s="1" t="n">
        <v>45708</v>
      </c>
      <c r="C3858" s="1" t="n">
        <v>45760</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8140-2025</t>
        </is>
      </c>
      <c r="B3859" s="1" t="n">
        <v>45708</v>
      </c>
      <c r="C3859" s="1" t="n">
        <v>45760</v>
      </c>
      <c r="D3859" t="inlineStr">
        <is>
          <t>VÄSTERBOTTENS LÄN</t>
        </is>
      </c>
      <c r="E3859" t="inlineStr">
        <is>
          <t>SKELLEFTEÅ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45760</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45760</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8442-2025</t>
        </is>
      </c>
      <c r="B3862" s="1" t="n">
        <v>45709</v>
      </c>
      <c r="C3862" s="1" t="n">
        <v>45760</v>
      </c>
      <c r="D3862" t="inlineStr">
        <is>
          <t>VÄSTERBOTTENS LÄN</t>
        </is>
      </c>
      <c r="E3862" t="inlineStr">
        <is>
          <t>SKELLEFTEÅ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8412-2025</t>
        </is>
      </c>
      <c r="B3863" s="1" t="n">
        <v>45709</v>
      </c>
      <c r="C3863" s="1" t="n">
        <v>45760</v>
      </c>
      <c r="D3863" t="inlineStr">
        <is>
          <t>VÄSTERBOTTENS LÄN</t>
        </is>
      </c>
      <c r="E3863" t="inlineStr">
        <is>
          <t>SKELLEFTEÅ</t>
        </is>
      </c>
      <c r="F3863" t="inlineStr">
        <is>
          <t>Holmen skog AB</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8397-2025</t>
        </is>
      </c>
      <c r="B3864" s="1" t="n">
        <v>45709</v>
      </c>
      <c r="C3864" s="1" t="n">
        <v>45760</v>
      </c>
      <c r="D3864" t="inlineStr">
        <is>
          <t>VÄSTERBOTTENS LÄN</t>
        </is>
      </c>
      <c r="E3864" t="inlineStr">
        <is>
          <t>SKELLEFTEÅ</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45760</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8644-2025</t>
        </is>
      </c>
      <c r="B3866" s="1" t="n">
        <v>45712</v>
      </c>
      <c r="C3866" s="1" t="n">
        <v>45760</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45760</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45760</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45760</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8689-2025</t>
        </is>
      </c>
      <c r="B3870" s="1" t="n">
        <v>45712</v>
      </c>
      <c r="C3870" s="1" t="n">
        <v>45760</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8669-2025</t>
        </is>
      </c>
      <c r="B3871" s="1" t="n">
        <v>45712</v>
      </c>
      <c r="C3871" s="1" t="n">
        <v>45760</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45760</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45760</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8887-2025</t>
        </is>
      </c>
      <c r="B3874" s="1" t="n">
        <v>45713</v>
      </c>
      <c r="C3874" s="1" t="n">
        <v>45760</v>
      </c>
      <c r="D3874" t="inlineStr">
        <is>
          <t>VÄSTERBOTTENS LÄN</t>
        </is>
      </c>
      <c r="E3874" t="inlineStr">
        <is>
          <t>SKELLEFTEÅ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8927-2025</t>
        </is>
      </c>
      <c r="B3875" s="1" t="n">
        <v>45713</v>
      </c>
      <c r="C3875" s="1" t="n">
        <v>45760</v>
      </c>
      <c r="D3875" t="inlineStr">
        <is>
          <t>VÄSTERBOTTENS LÄN</t>
        </is>
      </c>
      <c r="E3875" t="inlineStr">
        <is>
          <t>SKELLEFTEÅ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9183-2025</t>
        </is>
      </c>
      <c r="B3876" s="1" t="n">
        <v>45714</v>
      </c>
      <c r="C3876" s="1" t="n">
        <v>45760</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45760</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9448-2025</t>
        </is>
      </c>
      <c r="B3878" s="1" t="n">
        <v>45715</v>
      </c>
      <c r="C3878" s="1" t="n">
        <v>45760</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9441-2025</t>
        </is>
      </c>
      <c r="B3879" s="1" t="n">
        <v>45715</v>
      </c>
      <c r="C3879" s="1" t="n">
        <v>45760</v>
      </c>
      <c r="D3879" t="inlineStr">
        <is>
          <t>VÄSTERBOTTENS LÄN</t>
        </is>
      </c>
      <c r="E3879" t="inlineStr">
        <is>
          <t>SKELLEFTEÅ</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9383-2025</t>
        </is>
      </c>
      <c r="B3880" s="1" t="n">
        <v>45715</v>
      </c>
      <c r="C3880" s="1" t="n">
        <v>45760</v>
      </c>
      <c r="D3880" t="inlineStr">
        <is>
          <t>VÄSTERBOTTENS LÄN</t>
        </is>
      </c>
      <c r="E3880" t="inlineStr">
        <is>
          <t>SKELLEFTEÅ</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9432-2025</t>
        </is>
      </c>
      <c r="B3881" s="1" t="n">
        <v>45715</v>
      </c>
      <c r="C3881" s="1" t="n">
        <v>45760</v>
      </c>
      <c r="D3881" t="inlineStr">
        <is>
          <t>VÄSTERBOTTENS LÄN</t>
        </is>
      </c>
      <c r="E3881" t="inlineStr">
        <is>
          <t>SKELLEFTEÅ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45760</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45760</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45760</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45760</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9694-2025</t>
        </is>
      </c>
      <c r="B3886" s="1" t="n">
        <v>45716</v>
      </c>
      <c r="C3886" s="1" t="n">
        <v>45760</v>
      </c>
      <c r="D3886" t="inlineStr">
        <is>
          <t>VÄSTERBOTTENS LÄN</t>
        </is>
      </c>
      <c r="E3886" t="inlineStr">
        <is>
          <t>SKELLEFTEÅ</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9838-2025</t>
        </is>
      </c>
      <c r="B3887" s="1" t="n">
        <v>45716</v>
      </c>
      <c r="C3887" s="1" t="n">
        <v>45760</v>
      </c>
      <c r="D3887" t="inlineStr">
        <is>
          <t>VÄSTERBOTTENS LÄN</t>
        </is>
      </c>
      <c r="E3887" t="inlineStr">
        <is>
          <t>SKELLEFTEÅ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45760</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45760</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10074-2025</t>
        </is>
      </c>
      <c r="B3890" s="1" t="n">
        <v>45719</v>
      </c>
      <c r="C3890" s="1" t="n">
        <v>45760</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10079-2025</t>
        </is>
      </c>
      <c r="B3891" s="1" t="n">
        <v>45719</v>
      </c>
      <c r="C3891" s="1" t="n">
        <v>45760</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10287-2025</t>
        </is>
      </c>
      <c r="B3892" s="1" t="n">
        <v>45720</v>
      </c>
      <c r="C3892" s="1" t="n">
        <v>45760</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10278-2025</t>
        </is>
      </c>
      <c r="B3893" s="1" t="n">
        <v>45720</v>
      </c>
      <c r="C3893" s="1" t="n">
        <v>45760</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10601-2025</t>
        </is>
      </c>
      <c r="B3894" s="1" t="n">
        <v>45721</v>
      </c>
      <c r="C3894" s="1" t="n">
        <v>45760</v>
      </c>
      <c r="D3894" t="inlineStr">
        <is>
          <t>VÄSTERBOTTENS LÄN</t>
        </is>
      </c>
      <c r="E3894" t="inlineStr">
        <is>
          <t>SKELLEFTEÅ</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10903-2025</t>
        </is>
      </c>
      <c r="B3895" s="1" t="n">
        <v>45722</v>
      </c>
      <c r="C3895" s="1" t="n">
        <v>45760</v>
      </c>
      <c r="D3895" t="inlineStr">
        <is>
          <t>VÄSTERBOTTENS LÄN</t>
        </is>
      </c>
      <c r="E3895" t="inlineStr">
        <is>
          <t>SKELLEFTEÅ</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10841-2025</t>
        </is>
      </c>
      <c r="B3896" s="1" t="n">
        <v>45722</v>
      </c>
      <c r="C3896" s="1" t="n">
        <v>45760</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45760</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10986-2025</t>
        </is>
      </c>
      <c r="B3898" s="1" t="n">
        <v>45723</v>
      </c>
      <c r="C3898" s="1" t="n">
        <v>45760</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10978-2025</t>
        </is>
      </c>
      <c r="B3899" s="1" t="n">
        <v>45723</v>
      </c>
      <c r="C3899" s="1" t="n">
        <v>45760</v>
      </c>
      <c r="D3899" t="inlineStr">
        <is>
          <t>VÄSTERBOTTENS LÄN</t>
        </is>
      </c>
      <c r="E3899" t="inlineStr">
        <is>
          <t>SKELLEFTEÅ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10977-2025</t>
        </is>
      </c>
      <c r="B3900" s="1" t="n">
        <v>45723</v>
      </c>
      <c r="C3900" s="1" t="n">
        <v>45760</v>
      </c>
      <c r="D3900" t="inlineStr">
        <is>
          <t>VÄSTERBOTTENS LÄN</t>
        </is>
      </c>
      <c r="E3900" t="inlineStr">
        <is>
          <t>SKELLEFTEÅ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10975-2025</t>
        </is>
      </c>
      <c r="B3901" s="1" t="n">
        <v>45723</v>
      </c>
      <c r="C3901" s="1" t="n">
        <v>45760</v>
      </c>
      <c r="D3901" t="inlineStr">
        <is>
          <t>VÄSTERBOTTENS LÄN</t>
        </is>
      </c>
      <c r="E3901" t="inlineStr">
        <is>
          <t>SKELLEFTEÅ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11278-2025</t>
        </is>
      </c>
      <c r="B3902" s="1" t="n">
        <v>45726</v>
      </c>
      <c r="C3902" s="1" t="n">
        <v>45760</v>
      </c>
      <c r="D3902" t="inlineStr">
        <is>
          <t>VÄSTERBOTTENS LÄN</t>
        </is>
      </c>
      <c r="E3902" t="inlineStr">
        <is>
          <t>SKELLEFTEÅ</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11314-2025</t>
        </is>
      </c>
      <c r="B3903" s="1" t="n">
        <v>45726</v>
      </c>
      <c r="C3903" s="1" t="n">
        <v>45760</v>
      </c>
      <c r="D3903" t="inlineStr">
        <is>
          <t>VÄSTERBOTTENS LÄN</t>
        </is>
      </c>
      <c r="E3903" t="inlineStr">
        <is>
          <t>SKELLEFTEÅ</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11318-2025</t>
        </is>
      </c>
      <c r="B3904" s="1" t="n">
        <v>45726</v>
      </c>
      <c r="C3904" s="1" t="n">
        <v>45760</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11391-2025</t>
        </is>
      </c>
      <c r="B3905" s="1" t="n">
        <v>45726</v>
      </c>
      <c r="C3905" s="1" t="n">
        <v>45760</v>
      </c>
      <c r="D3905" t="inlineStr">
        <is>
          <t>VÄSTERBOTTENS LÄN</t>
        </is>
      </c>
      <c r="E3905" t="inlineStr">
        <is>
          <t>SKELLEFTEÅ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11254-2025</t>
        </is>
      </c>
      <c r="B3906" s="1" t="n">
        <v>45726</v>
      </c>
      <c r="C3906" s="1" t="n">
        <v>45760</v>
      </c>
      <c r="D3906" t="inlineStr">
        <is>
          <t>VÄSTERBOTTENS LÄN</t>
        </is>
      </c>
      <c r="E3906" t="inlineStr">
        <is>
          <t>SKELLEFTEÅ</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11644-2025</t>
        </is>
      </c>
      <c r="B3907" s="1" t="n">
        <v>45727</v>
      </c>
      <c r="C3907" s="1" t="n">
        <v>45760</v>
      </c>
      <c r="D3907" t="inlineStr">
        <is>
          <t>VÄSTERBOTTENS LÄN</t>
        </is>
      </c>
      <c r="E3907" t="inlineStr">
        <is>
          <t>SKELLEFTEÅ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11843-2025</t>
        </is>
      </c>
      <c r="B3908" s="1" t="n">
        <v>45728</v>
      </c>
      <c r="C3908" s="1" t="n">
        <v>45760</v>
      </c>
      <c r="D3908" t="inlineStr">
        <is>
          <t>VÄSTERBOTTENS LÄN</t>
        </is>
      </c>
      <c r="E3908" t="inlineStr">
        <is>
          <t>SKELLEFTEÅ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45760</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11851-2025</t>
        </is>
      </c>
      <c r="B3910" s="1" t="n">
        <v>45728</v>
      </c>
      <c r="C3910" s="1" t="n">
        <v>45760</v>
      </c>
      <c r="D3910" t="inlineStr">
        <is>
          <t>VÄSTERBOTTENS LÄN</t>
        </is>
      </c>
      <c r="E3910" t="inlineStr">
        <is>
          <t>SKELLEFTEÅ</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45760</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11884-2025</t>
        </is>
      </c>
      <c r="B3912" s="1" t="n">
        <v>45728</v>
      </c>
      <c r="C3912" s="1" t="n">
        <v>45760</v>
      </c>
      <c r="D3912" t="inlineStr">
        <is>
          <t>VÄSTERBOTTENS LÄN</t>
        </is>
      </c>
      <c r="E3912" t="inlineStr">
        <is>
          <t>SKELLEFTEÅ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11994-2025</t>
        </is>
      </c>
      <c r="B3913" s="1" t="n">
        <v>45728</v>
      </c>
      <c r="C3913" s="1" t="n">
        <v>45760</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11907-2025</t>
        </is>
      </c>
      <c r="B3914" s="1" t="n">
        <v>45728</v>
      </c>
      <c r="C3914" s="1" t="n">
        <v>45760</v>
      </c>
      <c r="D3914" t="inlineStr">
        <is>
          <t>VÄSTERBOTTENS LÄN</t>
        </is>
      </c>
      <c r="E3914" t="inlineStr">
        <is>
          <t>SKELLEFTEÅ</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11956-2025</t>
        </is>
      </c>
      <c r="B3915" s="1" t="n">
        <v>45728</v>
      </c>
      <c r="C3915" s="1" t="n">
        <v>45760</v>
      </c>
      <c r="D3915" t="inlineStr">
        <is>
          <t>VÄSTERBOTTENS LÄN</t>
        </is>
      </c>
      <c r="E3915" t="inlineStr">
        <is>
          <t>SKELLEFTEÅ</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45760</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12090-2025</t>
        </is>
      </c>
      <c r="B3917" s="1" t="n">
        <v>45729</v>
      </c>
      <c r="C3917" s="1" t="n">
        <v>45760</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12256-2025</t>
        </is>
      </c>
      <c r="B3918" s="1" t="n">
        <v>45729</v>
      </c>
      <c r="C3918" s="1" t="n">
        <v>45760</v>
      </c>
      <c r="D3918" t="inlineStr">
        <is>
          <t>VÄSTERBOTTENS LÄN</t>
        </is>
      </c>
      <c r="E3918" t="inlineStr">
        <is>
          <t>SKELLEFTEÅ</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45760</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45760</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45760</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12320-2025</t>
        </is>
      </c>
      <c r="B3922" s="1" t="n">
        <v>45730</v>
      </c>
      <c r="C3922" s="1" t="n">
        <v>45760</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45760</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45760</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12694-2025</t>
        </is>
      </c>
      <c r="B3925" s="1" t="n">
        <v>45733</v>
      </c>
      <c r="C3925" s="1" t="n">
        <v>45760</v>
      </c>
      <c r="D3925" t="inlineStr">
        <is>
          <t>VÄSTERBOTTENS LÄN</t>
        </is>
      </c>
      <c r="E3925" t="inlineStr">
        <is>
          <t>SKELLEFTEÅ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12645-2025</t>
        </is>
      </c>
      <c r="B3926" s="1" t="n">
        <v>45733</v>
      </c>
      <c r="C3926" s="1" t="n">
        <v>45760</v>
      </c>
      <c r="D3926" t="inlineStr">
        <is>
          <t>VÄSTERBOTTENS LÄN</t>
        </is>
      </c>
      <c r="E3926" t="inlineStr">
        <is>
          <t>SKELLEFTEÅ</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12842-2025</t>
        </is>
      </c>
      <c r="B3927" s="1" t="n">
        <v>45733</v>
      </c>
      <c r="C3927" s="1" t="n">
        <v>45760</v>
      </c>
      <c r="D3927" t="inlineStr">
        <is>
          <t>VÄSTERBOTTENS LÄN</t>
        </is>
      </c>
      <c r="E3927" t="inlineStr">
        <is>
          <t>SKELLEFTEÅ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12855-2025</t>
        </is>
      </c>
      <c r="B3928" s="1" t="n">
        <v>45733</v>
      </c>
      <c r="C3928" s="1" t="n">
        <v>45760</v>
      </c>
      <c r="D3928" t="inlineStr">
        <is>
          <t>VÄSTERBOTTENS LÄN</t>
        </is>
      </c>
      <c r="E3928" t="inlineStr">
        <is>
          <t>SKELLEFTEÅ</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12712-2025</t>
        </is>
      </c>
      <c r="B3929" s="1" t="n">
        <v>45733</v>
      </c>
      <c r="C3929" s="1" t="n">
        <v>45760</v>
      </c>
      <c r="D3929" t="inlineStr">
        <is>
          <t>VÄSTERBOTTENS LÄN</t>
        </is>
      </c>
      <c r="E3929" t="inlineStr">
        <is>
          <t>SKELLEFTEÅ</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12862-2025</t>
        </is>
      </c>
      <c r="B3930" s="1" t="n">
        <v>45733</v>
      </c>
      <c r="C3930" s="1" t="n">
        <v>45760</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12713-2025</t>
        </is>
      </c>
      <c r="B3931" s="1" t="n">
        <v>45733</v>
      </c>
      <c r="C3931" s="1" t="n">
        <v>45760</v>
      </c>
      <c r="D3931" t="inlineStr">
        <is>
          <t>VÄSTERBOTTENS LÄN</t>
        </is>
      </c>
      <c r="E3931" t="inlineStr">
        <is>
          <t>SKELLEFTEÅ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12873-2025</t>
        </is>
      </c>
      <c r="B3932" s="1" t="n">
        <v>45733</v>
      </c>
      <c r="C3932" s="1" t="n">
        <v>45760</v>
      </c>
      <c r="D3932" t="inlineStr">
        <is>
          <t>VÄSTERBOTTENS LÄN</t>
        </is>
      </c>
      <c r="E3932" t="inlineStr">
        <is>
          <t>SKELLEFTEÅ</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45760</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12939-2025</t>
        </is>
      </c>
      <c r="B3934" s="1" t="n">
        <v>45734</v>
      </c>
      <c r="C3934" s="1" t="n">
        <v>45760</v>
      </c>
      <c r="D3934" t="inlineStr">
        <is>
          <t>VÄSTERBOTTENS LÄN</t>
        </is>
      </c>
      <c r="E3934" t="inlineStr">
        <is>
          <t>SKELLEFTEÅ</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13186-2025</t>
        </is>
      </c>
      <c r="B3935" s="1" t="n">
        <v>45735</v>
      </c>
      <c r="C3935" s="1" t="n">
        <v>45760</v>
      </c>
      <c r="D3935" t="inlineStr">
        <is>
          <t>VÄSTERBOTTENS LÄN</t>
        </is>
      </c>
      <c r="E3935" t="inlineStr">
        <is>
          <t>SKELLEFTEÅ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13203-2025</t>
        </is>
      </c>
      <c r="B3936" s="1" t="n">
        <v>45735</v>
      </c>
      <c r="C3936" s="1" t="n">
        <v>45760</v>
      </c>
      <c r="D3936" t="inlineStr">
        <is>
          <t>VÄSTERBOTTENS LÄN</t>
        </is>
      </c>
      <c r="E3936" t="inlineStr">
        <is>
          <t>SKELLEFTEÅ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13225-2025</t>
        </is>
      </c>
      <c r="B3937" s="1" t="n">
        <v>45735</v>
      </c>
      <c r="C3937" s="1" t="n">
        <v>45760</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13207-2025</t>
        </is>
      </c>
      <c r="B3938" s="1" t="n">
        <v>45735</v>
      </c>
      <c r="C3938" s="1" t="n">
        <v>45760</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13487-2025</t>
        </is>
      </c>
      <c r="B3939" s="1" t="n">
        <v>45736</v>
      </c>
      <c r="C3939" s="1" t="n">
        <v>45760</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13569-2025</t>
        </is>
      </c>
      <c r="B3940" s="1" t="n">
        <v>45736</v>
      </c>
      <c r="C3940" s="1" t="n">
        <v>45760</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13478-2025</t>
        </is>
      </c>
      <c r="B3941" s="1" t="n">
        <v>45736</v>
      </c>
      <c r="C3941" s="1" t="n">
        <v>45760</v>
      </c>
      <c r="D3941" t="inlineStr">
        <is>
          <t>VÄSTERBOTTENS LÄN</t>
        </is>
      </c>
      <c r="E3941" t="inlineStr">
        <is>
          <t>SKELLEFTEÅ</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13493-2025</t>
        </is>
      </c>
      <c r="B3942" s="1" t="n">
        <v>45736</v>
      </c>
      <c r="C3942" s="1" t="n">
        <v>45760</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13649-2025</t>
        </is>
      </c>
      <c r="B3943" s="1" t="n">
        <v>45736</v>
      </c>
      <c r="C3943" s="1" t="n">
        <v>45760</v>
      </c>
      <c r="D3943" t="inlineStr">
        <is>
          <t>VÄSTERBOTTENS LÄN</t>
        </is>
      </c>
      <c r="E3943" t="inlineStr">
        <is>
          <t>SKELLEFTEÅ</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13541-2025</t>
        </is>
      </c>
      <c r="B3944" s="1" t="n">
        <v>45736</v>
      </c>
      <c r="C3944" s="1" t="n">
        <v>45760</v>
      </c>
      <c r="D3944" t="inlineStr">
        <is>
          <t>VÄSTERBOTTENS LÄN</t>
        </is>
      </c>
      <c r="E3944" t="inlineStr">
        <is>
          <t>SKELLEFTEÅ</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14016-2025</t>
        </is>
      </c>
      <c r="B3945" s="1" t="n">
        <v>45740</v>
      </c>
      <c r="C3945" s="1" t="n">
        <v>45760</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14013-2025</t>
        </is>
      </c>
      <c r="B3946" s="1" t="n">
        <v>45740</v>
      </c>
      <c r="C3946" s="1" t="n">
        <v>45760</v>
      </c>
      <c r="D3946" t="inlineStr">
        <is>
          <t>VÄSTERBOTTENS LÄN</t>
        </is>
      </c>
      <c r="E3946" t="inlineStr">
        <is>
          <t>SKELLEFTEÅ</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14238-2025</t>
        </is>
      </c>
      <c r="B3947" s="1" t="n">
        <v>45740</v>
      </c>
      <c r="C3947" s="1" t="n">
        <v>45760</v>
      </c>
      <c r="D3947" t="inlineStr">
        <is>
          <t>VÄSTERBOTTENS LÄN</t>
        </is>
      </c>
      <c r="E3947" t="inlineStr">
        <is>
          <t>SKELLEFTEÅ</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14308-2025</t>
        </is>
      </c>
      <c r="B3948" s="1" t="n">
        <v>45740</v>
      </c>
      <c r="C3948" s="1" t="n">
        <v>45760</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14384-2025</t>
        </is>
      </c>
      <c r="B3949" s="1" t="n">
        <v>45741</v>
      </c>
      <c r="C3949" s="1" t="n">
        <v>45760</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14385-2025</t>
        </is>
      </c>
      <c r="B3950" s="1" t="n">
        <v>45741</v>
      </c>
      <c r="C3950" s="1" t="n">
        <v>45760</v>
      </c>
      <c r="D3950" t="inlineStr">
        <is>
          <t>VÄSTERBOTTENS LÄN</t>
        </is>
      </c>
      <c r="E3950" t="inlineStr">
        <is>
          <t>SKELLEFTEÅ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14386-2025</t>
        </is>
      </c>
      <c r="B3951" s="1" t="n">
        <v>45741</v>
      </c>
      <c r="C3951" s="1" t="n">
        <v>45760</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14347-2025</t>
        </is>
      </c>
      <c r="B3952" s="1" t="n">
        <v>45741</v>
      </c>
      <c r="C3952" s="1" t="n">
        <v>45760</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14394-2025</t>
        </is>
      </c>
      <c r="B3953" s="1" t="n">
        <v>45741</v>
      </c>
      <c r="C3953" s="1" t="n">
        <v>45760</v>
      </c>
      <c r="D3953" t="inlineStr">
        <is>
          <t>VÄSTERBOTTENS LÄN</t>
        </is>
      </c>
      <c r="E3953" t="inlineStr">
        <is>
          <t>SKELLEFTEÅ</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14346-2025</t>
        </is>
      </c>
      <c r="B3954" s="1" t="n">
        <v>45741</v>
      </c>
      <c r="C3954" s="1" t="n">
        <v>45760</v>
      </c>
      <c r="D3954" t="inlineStr">
        <is>
          <t>VÄSTERBOTTENS LÄN</t>
        </is>
      </c>
      <c r="E3954" t="inlineStr">
        <is>
          <t>SKELLEFTEÅ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14774-2025</t>
        </is>
      </c>
      <c r="B3955" s="1" t="n">
        <v>45742</v>
      </c>
      <c r="C3955" s="1" t="n">
        <v>45760</v>
      </c>
      <c r="D3955" t="inlineStr">
        <is>
          <t>VÄSTERBOTTENS LÄN</t>
        </is>
      </c>
      <c r="E3955" t="inlineStr">
        <is>
          <t>SKELLEFTEÅ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14846-2025</t>
        </is>
      </c>
      <c r="B3956" s="1" t="n">
        <v>45743</v>
      </c>
      <c r="C3956" s="1" t="n">
        <v>45760</v>
      </c>
      <c r="D3956" t="inlineStr">
        <is>
          <t>VÄSTERBOTTENS LÄN</t>
        </is>
      </c>
      <c r="E3956" t="inlineStr">
        <is>
          <t>SKELLEFTEÅ</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15116-2025</t>
        </is>
      </c>
      <c r="B3957" s="1" t="n">
        <v>45744</v>
      </c>
      <c r="C3957" s="1" t="n">
        <v>45760</v>
      </c>
      <c r="D3957" t="inlineStr">
        <is>
          <t>VÄSTERBOTTENS LÄN</t>
        </is>
      </c>
      <c r="E3957" t="inlineStr">
        <is>
          <t>SKELLEFTEÅ</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15138-2025</t>
        </is>
      </c>
      <c r="B3958" s="1" t="n">
        <v>45744</v>
      </c>
      <c r="C3958" s="1" t="n">
        <v>45760</v>
      </c>
      <c r="D3958" t="inlineStr">
        <is>
          <t>VÄSTERBOTTENS LÄN</t>
        </is>
      </c>
      <c r="E3958" t="inlineStr">
        <is>
          <t>SKELLEFTEÅ</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15218-2025</t>
        </is>
      </c>
      <c r="B3959" s="1" t="n">
        <v>45744</v>
      </c>
      <c r="C3959" s="1" t="n">
        <v>45760</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15225-2025</t>
        </is>
      </c>
      <c r="B3960" s="1" t="n">
        <v>45744</v>
      </c>
      <c r="C3960" s="1" t="n">
        <v>45760</v>
      </c>
      <c r="D3960" t="inlineStr">
        <is>
          <t>VÄSTERBOTTENS LÄN</t>
        </is>
      </c>
      <c r="E3960" t="inlineStr">
        <is>
          <t>SKELLEFTEÅ</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15245-2025</t>
        </is>
      </c>
      <c r="B3961" s="1" t="n">
        <v>45744</v>
      </c>
      <c r="C3961" s="1" t="n">
        <v>45760</v>
      </c>
      <c r="D3961" t="inlineStr">
        <is>
          <t>VÄSTERBOTTENS LÄN</t>
        </is>
      </c>
      <c r="E3961" t="inlineStr">
        <is>
          <t>SKELLEFTEÅ</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15137-2025</t>
        </is>
      </c>
      <c r="B3962" s="1" t="n">
        <v>45744</v>
      </c>
      <c r="C3962" s="1" t="n">
        <v>45760</v>
      </c>
      <c r="D3962" t="inlineStr">
        <is>
          <t>VÄSTERBOTTENS LÄN</t>
        </is>
      </c>
      <c r="E3962" t="inlineStr">
        <is>
          <t>SKELLEFTEÅ</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15089-2025</t>
        </is>
      </c>
      <c r="B3963" s="1" t="n">
        <v>45744</v>
      </c>
      <c r="C3963" s="1" t="n">
        <v>45760</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15136-2025</t>
        </is>
      </c>
      <c r="B3964" s="1" t="n">
        <v>45744</v>
      </c>
      <c r="C3964" s="1" t="n">
        <v>45760</v>
      </c>
      <c r="D3964" t="inlineStr">
        <is>
          <t>VÄSTERBOTTENS LÄN</t>
        </is>
      </c>
      <c r="E3964" t="inlineStr">
        <is>
          <t>SKELLEFTEÅ</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15301-2025</t>
        </is>
      </c>
      <c r="B3965" s="1" t="n">
        <v>45746</v>
      </c>
      <c r="C3965" s="1" t="n">
        <v>45760</v>
      </c>
      <c r="D3965" t="inlineStr">
        <is>
          <t>VÄSTERBOTTENS LÄN</t>
        </is>
      </c>
      <c r="E3965" t="inlineStr">
        <is>
          <t>SKELLEFTEÅ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15461-2025</t>
        </is>
      </c>
      <c r="B3966" s="1" t="n">
        <v>45747</v>
      </c>
      <c r="C3966" s="1" t="n">
        <v>45760</v>
      </c>
      <c r="D3966" t="inlineStr">
        <is>
          <t>VÄSTERBOTTENS LÄN</t>
        </is>
      </c>
      <c r="E3966" t="inlineStr">
        <is>
          <t>SKELLEFTEÅ</t>
        </is>
      </c>
      <c r="F3966" t="inlineStr">
        <is>
          <t>Holmen skog AB</t>
        </is>
      </c>
      <c r="G3966" t="n">
        <v>9.800000000000001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15360-2025</t>
        </is>
      </c>
      <c r="B3967" s="1" t="n">
        <v>45747</v>
      </c>
      <c r="C3967" s="1" t="n">
        <v>45760</v>
      </c>
      <c r="D3967" t="inlineStr">
        <is>
          <t>VÄSTERBOTTENS LÄN</t>
        </is>
      </c>
      <c r="E3967" t="inlineStr">
        <is>
          <t>SKELLEFTEÅ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15542-2025</t>
        </is>
      </c>
      <c r="B3968" s="1" t="n">
        <v>45747</v>
      </c>
      <c r="C3968" s="1" t="n">
        <v>45760</v>
      </c>
      <c r="D3968" t="inlineStr">
        <is>
          <t>VÄSTERBOTTENS LÄN</t>
        </is>
      </c>
      <c r="E3968" t="inlineStr">
        <is>
          <t>SKELLEFTEÅ</t>
        </is>
      </c>
      <c r="F3968" t="inlineStr">
        <is>
          <t>Övriga Aktiebolag</t>
        </is>
      </c>
      <c r="G3968" t="n">
        <v>11.6</v>
      </c>
      <c r="H3968" t="n">
        <v>0</v>
      </c>
      <c r="I3968" t="n">
        <v>0</v>
      </c>
      <c r="J3968" t="n">
        <v>0</v>
      </c>
      <c r="K3968" t="n">
        <v>0</v>
      </c>
      <c r="L3968" t="n">
        <v>0</v>
      </c>
      <c r="M3968" t="n">
        <v>0</v>
      </c>
      <c r="N3968" t="n">
        <v>0</v>
      </c>
      <c r="O3968" t="n">
        <v>0</v>
      </c>
      <c r="P3968" t="n">
        <v>0</v>
      </c>
      <c r="Q3968" t="n">
        <v>0</v>
      </c>
      <c r="R3968" s="2" t="inlineStr"/>
    </row>
    <row r="3969" ht="15" customHeight="1">
      <c r="A3969" t="inlineStr">
        <is>
          <t>A 15745-2025</t>
        </is>
      </c>
      <c r="B3969" s="1" t="n">
        <v>45748</v>
      </c>
      <c r="C3969" s="1" t="n">
        <v>45760</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16186-2025</t>
        </is>
      </c>
      <c r="B3970" s="1" t="n">
        <v>45749</v>
      </c>
      <c r="C3970" s="1" t="n">
        <v>45760</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16251-2025</t>
        </is>
      </c>
      <c r="B3971" s="1" t="n">
        <v>45750</v>
      </c>
      <c r="C3971" s="1" t="n">
        <v>45760</v>
      </c>
      <c r="D3971" t="inlineStr">
        <is>
          <t>VÄSTERBOTTENS LÄN</t>
        </is>
      </c>
      <c r="E3971" t="inlineStr">
        <is>
          <t>SKELLEFTEÅ</t>
        </is>
      </c>
      <c r="F3971" t="inlineStr">
        <is>
          <t>Kommuner</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16202-2025</t>
        </is>
      </c>
      <c r="B3972" s="1" t="n">
        <v>45750</v>
      </c>
      <c r="C3972" s="1" t="n">
        <v>45760</v>
      </c>
      <c r="D3972" t="inlineStr">
        <is>
          <t>VÄSTERBOTTENS LÄN</t>
        </is>
      </c>
      <c r="E3972" t="inlineStr">
        <is>
          <t>SKELLEFTEÅ</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16201-2025</t>
        </is>
      </c>
      <c r="B3973" s="1" t="n">
        <v>45750</v>
      </c>
      <c r="C3973" s="1" t="n">
        <v>45760</v>
      </c>
      <c r="D3973" t="inlineStr">
        <is>
          <t>VÄSTERBOTTENS LÄN</t>
        </is>
      </c>
      <c r="E3973" t="inlineStr">
        <is>
          <t>SKELLEFTEÅ</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16249-2025</t>
        </is>
      </c>
      <c r="B3974" s="1" t="n">
        <v>45750</v>
      </c>
      <c r="C3974" s="1" t="n">
        <v>45760</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16248-2025</t>
        </is>
      </c>
      <c r="B3975" s="1" t="n">
        <v>45750</v>
      </c>
      <c r="C3975" s="1" t="n">
        <v>45760</v>
      </c>
      <c r="D3975" t="inlineStr">
        <is>
          <t>VÄSTERBOTTENS LÄN</t>
        </is>
      </c>
      <c r="E3975" t="inlineStr">
        <is>
          <t>SKELLEFTEÅ</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16226-2025</t>
        </is>
      </c>
      <c r="B3976" s="1" t="n">
        <v>45750</v>
      </c>
      <c r="C3976" s="1" t="n">
        <v>45760</v>
      </c>
      <c r="D3976" t="inlineStr">
        <is>
          <t>VÄSTERBOTTENS LÄN</t>
        </is>
      </c>
      <c r="E3976" t="inlineStr">
        <is>
          <t>SKELLEFTEÅ</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16236-2025</t>
        </is>
      </c>
      <c r="B3977" s="1" t="n">
        <v>45750</v>
      </c>
      <c r="C3977" s="1" t="n">
        <v>45760</v>
      </c>
      <c r="D3977" t="inlineStr">
        <is>
          <t>VÄSTERBOTTENS LÄN</t>
        </is>
      </c>
      <c r="E3977" t="inlineStr">
        <is>
          <t>SKELLEFTEÅ</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16461-2025</t>
        </is>
      </c>
      <c r="B3978" s="1" t="n">
        <v>45750</v>
      </c>
      <c r="C3978" s="1" t="n">
        <v>45760</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16443-2025</t>
        </is>
      </c>
      <c r="B3979" s="1" t="n">
        <v>45750</v>
      </c>
      <c r="C3979" s="1" t="n">
        <v>45760</v>
      </c>
      <c r="D3979" t="inlineStr">
        <is>
          <t>VÄSTERBOTTENS LÄN</t>
        </is>
      </c>
      <c r="E3979" t="inlineStr">
        <is>
          <t>SKELLEFTEÅ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16190-2025</t>
        </is>
      </c>
      <c r="B3980" s="1" t="n">
        <v>45750</v>
      </c>
      <c r="C3980" s="1" t="n">
        <v>45760</v>
      </c>
      <c r="D3980" t="inlineStr">
        <is>
          <t>VÄSTERBOTTENS LÄN</t>
        </is>
      </c>
      <c r="E3980" t="inlineStr">
        <is>
          <t>SKELLEFTEÅ</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16219-2025</t>
        </is>
      </c>
      <c r="B3981" s="1" t="n">
        <v>45750</v>
      </c>
      <c r="C3981" s="1" t="n">
        <v>45760</v>
      </c>
      <c r="D3981" t="inlineStr">
        <is>
          <t>VÄSTERBOTTENS LÄN</t>
        </is>
      </c>
      <c r="E3981" t="inlineStr">
        <is>
          <t>SKELLEFTEÅ</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16257-2025</t>
        </is>
      </c>
      <c r="B3982" s="1" t="n">
        <v>45750</v>
      </c>
      <c r="C3982" s="1" t="n">
        <v>45760</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16261-2025</t>
        </is>
      </c>
      <c r="B3983" s="1" t="n">
        <v>45750</v>
      </c>
      <c r="C3983" s="1" t="n">
        <v>45760</v>
      </c>
      <c r="D3983" t="inlineStr">
        <is>
          <t>VÄSTERBOTTENS LÄN</t>
        </is>
      </c>
      <c r="E3983" t="inlineStr">
        <is>
          <t>SKELLEFTEÅ</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16156-2025</t>
        </is>
      </c>
      <c r="B3984" s="1" t="n">
        <v>45750</v>
      </c>
      <c r="C3984" s="1" t="n">
        <v>45760</v>
      </c>
      <c r="D3984" t="inlineStr">
        <is>
          <t>VÄSTERBOTTENS LÄN</t>
        </is>
      </c>
      <c r="E3984" t="inlineStr">
        <is>
          <t>SKELLEFTEÅ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16457-2025</t>
        </is>
      </c>
      <c r="B3985" s="1" t="n">
        <v>45750</v>
      </c>
      <c r="C3985" s="1" t="n">
        <v>45760</v>
      </c>
      <c r="D3985" t="inlineStr">
        <is>
          <t>VÄSTERBOTTENS LÄN</t>
        </is>
      </c>
      <c r="E3985" t="inlineStr">
        <is>
          <t>SKELLEFTEÅ</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16130-2025</t>
        </is>
      </c>
      <c r="B3986" s="1" t="n">
        <v>45750</v>
      </c>
      <c r="C3986" s="1" t="n">
        <v>45760</v>
      </c>
      <c r="D3986" t="inlineStr">
        <is>
          <t>VÄSTERBOTTENS LÄN</t>
        </is>
      </c>
      <c r="E3986" t="inlineStr">
        <is>
          <t>SKELLEFTEÅ</t>
        </is>
      </c>
      <c r="G3986" t="n">
        <v>21.9</v>
      </c>
      <c r="H3986" t="n">
        <v>0</v>
      </c>
      <c r="I3986" t="n">
        <v>0</v>
      </c>
      <c r="J3986" t="n">
        <v>0</v>
      </c>
      <c r="K3986" t="n">
        <v>0</v>
      </c>
      <c r="L3986" t="n">
        <v>0</v>
      </c>
      <c r="M3986" t="n">
        <v>0</v>
      </c>
      <c r="N3986" t="n">
        <v>0</v>
      </c>
      <c r="O3986" t="n">
        <v>0</v>
      </c>
      <c r="P3986" t="n">
        <v>0</v>
      </c>
      <c r="Q3986" t="n">
        <v>0</v>
      </c>
      <c r="R3986" s="2" t="inlineStr"/>
    </row>
    <row r="3987" ht="15" customHeight="1">
      <c r="A3987" t="inlineStr">
        <is>
          <t>A 16706-2025</t>
        </is>
      </c>
      <c r="B3987" s="1" t="n">
        <v>45751</v>
      </c>
      <c r="C3987" s="1" t="n">
        <v>45760</v>
      </c>
      <c r="D3987" t="inlineStr">
        <is>
          <t>VÄSTERBOTTENS LÄN</t>
        </is>
      </c>
      <c r="E3987" t="inlineStr">
        <is>
          <t>SKELLEFTEÅ</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16403-2025</t>
        </is>
      </c>
      <c r="B3988" s="1" t="n">
        <v>45751</v>
      </c>
      <c r="C3988" s="1" t="n">
        <v>45760</v>
      </c>
      <c r="D3988" t="inlineStr">
        <is>
          <t>VÄSTERBOTTENS LÄN</t>
        </is>
      </c>
      <c r="E3988" t="inlineStr">
        <is>
          <t>SKELLEFTEÅ</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16409-2025</t>
        </is>
      </c>
      <c r="B3989" s="1" t="n">
        <v>45751</v>
      </c>
      <c r="C3989" s="1" t="n">
        <v>45760</v>
      </c>
      <c r="D3989" t="inlineStr">
        <is>
          <t>VÄSTERBOTTENS LÄN</t>
        </is>
      </c>
      <c r="E3989" t="inlineStr">
        <is>
          <t>SKELLEFTEÅ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16539-2025</t>
        </is>
      </c>
      <c r="B3990" s="1" t="n">
        <v>45751</v>
      </c>
      <c r="C3990" s="1" t="n">
        <v>45760</v>
      </c>
      <c r="D3990" t="inlineStr">
        <is>
          <t>VÄSTERBOTTENS LÄN</t>
        </is>
      </c>
      <c r="E3990" t="inlineStr">
        <is>
          <t>SKELLEFTEÅ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16900-2025</t>
        </is>
      </c>
      <c r="B3991" s="1" t="n">
        <v>45751</v>
      </c>
      <c r="C3991" s="1" t="n">
        <v>45760</v>
      </c>
      <c r="D3991" t="inlineStr">
        <is>
          <t>VÄSTERBOTTENS LÄN</t>
        </is>
      </c>
      <c r="E3991" t="inlineStr">
        <is>
          <t>SKELLEFTEÅ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16899-2025</t>
        </is>
      </c>
      <c r="B3992" s="1" t="n">
        <v>45751</v>
      </c>
      <c r="C3992" s="1" t="n">
        <v>45760</v>
      </c>
      <c r="D3992" t="inlineStr">
        <is>
          <t>VÄSTERBOTTENS LÄN</t>
        </is>
      </c>
      <c r="E3992" t="inlineStr">
        <is>
          <t>SKELLEFTEÅ</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16410-2025</t>
        </is>
      </c>
      <c r="B3993" s="1" t="n">
        <v>45751</v>
      </c>
      <c r="C3993" s="1" t="n">
        <v>45760</v>
      </c>
      <c r="D3993" t="inlineStr">
        <is>
          <t>VÄSTERBOTTENS LÄN</t>
        </is>
      </c>
      <c r="E3993" t="inlineStr">
        <is>
          <t>SKELLEFTEÅ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16415-2025</t>
        </is>
      </c>
      <c r="B3994" s="1" t="n">
        <v>45751</v>
      </c>
      <c r="C3994" s="1" t="n">
        <v>45760</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16416-2025</t>
        </is>
      </c>
      <c r="B3995" s="1" t="n">
        <v>45751</v>
      </c>
      <c r="C3995" s="1" t="n">
        <v>45760</v>
      </c>
      <c r="D3995" t="inlineStr">
        <is>
          <t>VÄSTERBOTTENS LÄN</t>
        </is>
      </c>
      <c r="E3995" t="inlineStr">
        <is>
          <t>SKELLEFTEÅ</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16707-2025</t>
        </is>
      </c>
      <c r="B3996" s="1" t="n">
        <v>45751</v>
      </c>
      <c r="C3996" s="1" t="n">
        <v>45760</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16708-2025</t>
        </is>
      </c>
      <c r="B3997" s="1" t="n">
        <v>45751</v>
      </c>
      <c r="C3997" s="1" t="n">
        <v>45760</v>
      </c>
      <c r="D3997" t="inlineStr">
        <is>
          <t>VÄSTERBOTTENS LÄN</t>
        </is>
      </c>
      <c r="E3997" t="inlineStr">
        <is>
          <t>SKELLEFTEÅ</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45760</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16355-2025</t>
        </is>
      </c>
      <c r="B3999" s="1" t="n">
        <v>45751</v>
      </c>
      <c r="C3999" s="1" t="n">
        <v>45760</v>
      </c>
      <c r="D3999" t="inlineStr">
        <is>
          <t>VÄSTERBOTTENS LÄN</t>
        </is>
      </c>
      <c r="E3999" t="inlineStr">
        <is>
          <t>SKELLEFTEÅ</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16604-2025</t>
        </is>
      </c>
      <c r="B4000" s="1" t="n">
        <v>45753</v>
      </c>
      <c r="C4000" s="1" t="n">
        <v>45760</v>
      </c>
      <c r="D4000" t="inlineStr">
        <is>
          <t>VÄSTERBOTTENS LÄN</t>
        </is>
      </c>
      <c r="E4000" t="inlineStr">
        <is>
          <t>SKELLEFTEÅ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16602-2025</t>
        </is>
      </c>
      <c r="B4001" s="1" t="n">
        <v>45753</v>
      </c>
      <c r="C4001" s="1" t="n">
        <v>45760</v>
      </c>
      <c r="D4001" t="inlineStr">
        <is>
          <t>VÄSTERBOTTENS LÄN</t>
        </is>
      </c>
      <c r="E4001" t="inlineStr">
        <is>
          <t>SKELLEFTEÅ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17010-2025</t>
        </is>
      </c>
      <c r="B4002" s="1" t="n">
        <v>45754</v>
      </c>
      <c r="C4002" s="1" t="n">
        <v>45760</v>
      </c>
      <c r="D4002" t="inlineStr">
        <is>
          <t>VÄSTERBOTTENS LÄN</t>
        </is>
      </c>
      <c r="E4002" t="inlineStr">
        <is>
          <t>SKELLEFTEÅ</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16760-2025</t>
        </is>
      </c>
      <c r="B4003" s="1" t="n">
        <v>45754</v>
      </c>
      <c r="C4003" s="1" t="n">
        <v>45760</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16856-2025</t>
        </is>
      </c>
      <c r="B4004" s="1" t="n">
        <v>45754</v>
      </c>
      <c r="C4004" s="1" t="n">
        <v>45760</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16642-2025</t>
        </is>
      </c>
      <c r="B4005" s="1" t="n">
        <v>45754</v>
      </c>
      <c r="C4005" s="1" t="n">
        <v>45760</v>
      </c>
      <c r="D4005" t="inlineStr">
        <is>
          <t>VÄSTERBOTTENS LÄN</t>
        </is>
      </c>
      <c r="E4005" t="inlineStr">
        <is>
          <t>SKELLEFTEÅ</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16663-2025</t>
        </is>
      </c>
      <c r="B4006" s="1" t="n">
        <v>45754</v>
      </c>
      <c r="C4006" s="1" t="n">
        <v>45760</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16672-2025</t>
        </is>
      </c>
      <c r="B4007" s="1" t="n">
        <v>45754</v>
      </c>
      <c r="C4007" s="1" t="n">
        <v>45760</v>
      </c>
      <c r="D4007" t="inlineStr">
        <is>
          <t>VÄSTERBOTTENS LÄN</t>
        </is>
      </c>
      <c r="E4007" t="inlineStr">
        <is>
          <t>SKELLEFTEÅ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16971-2025</t>
        </is>
      </c>
      <c r="B4008" s="1" t="n">
        <v>45755</v>
      </c>
      <c r="C4008" s="1" t="n">
        <v>45760</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17134-2025</t>
        </is>
      </c>
      <c r="B4009" s="1" t="n">
        <v>45755</v>
      </c>
      <c r="C4009" s="1" t="n">
        <v>45760</v>
      </c>
      <c r="D4009" t="inlineStr">
        <is>
          <t>VÄSTERBOTTENS LÄN</t>
        </is>
      </c>
      <c r="E4009" t="inlineStr">
        <is>
          <t>SKELLEFTEÅ</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17005-2025</t>
        </is>
      </c>
      <c r="B4010" s="1" t="n">
        <v>45755</v>
      </c>
      <c r="C4010" s="1" t="n">
        <v>45760</v>
      </c>
      <c r="D4010" t="inlineStr">
        <is>
          <t>VÄSTERBOTTENS LÄN</t>
        </is>
      </c>
      <c r="E4010" t="inlineStr">
        <is>
          <t>SKELLEFTEÅ</t>
        </is>
      </c>
      <c r="G4010" t="n">
        <v>15.4</v>
      </c>
      <c r="H4010" t="n">
        <v>0</v>
      </c>
      <c r="I4010" t="n">
        <v>0</v>
      </c>
      <c r="J4010" t="n">
        <v>0</v>
      </c>
      <c r="K4010" t="n">
        <v>0</v>
      </c>
      <c r="L4010" t="n">
        <v>0</v>
      </c>
      <c r="M4010" t="n">
        <v>0</v>
      </c>
      <c r="N4010" t="n">
        <v>0</v>
      </c>
      <c r="O4010" t="n">
        <v>0</v>
      </c>
      <c r="P4010" t="n">
        <v>0</v>
      </c>
      <c r="Q4010" t="n">
        <v>0</v>
      </c>
      <c r="R4010" s="2" t="inlineStr"/>
    </row>
    <row r="4011" ht="15" customHeight="1">
      <c r="A4011" t="inlineStr">
        <is>
          <t>A 17008-2025</t>
        </is>
      </c>
      <c r="B4011" s="1" t="n">
        <v>45755</v>
      </c>
      <c r="C4011" s="1" t="n">
        <v>45760</v>
      </c>
      <c r="D4011" t="inlineStr">
        <is>
          <t>VÄSTERBOTTENS LÄN</t>
        </is>
      </c>
      <c r="E4011" t="inlineStr">
        <is>
          <t>SKELLEFTEÅ</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17015-2025</t>
        </is>
      </c>
      <c r="B4012" s="1" t="n">
        <v>45755</v>
      </c>
      <c r="C4012" s="1" t="n">
        <v>45760</v>
      </c>
      <c r="D4012" t="inlineStr">
        <is>
          <t>VÄSTERBOTTENS LÄN</t>
        </is>
      </c>
      <c r="E4012" t="inlineStr">
        <is>
          <t>SKELLEFTEÅ</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17168-2025</t>
        </is>
      </c>
      <c r="B4013" s="1" t="n">
        <v>45755</v>
      </c>
      <c r="C4013" s="1" t="n">
        <v>45760</v>
      </c>
      <c r="D4013" t="inlineStr">
        <is>
          <t>VÄSTERBOTTENS LÄN</t>
        </is>
      </c>
      <c r="E4013" t="inlineStr">
        <is>
          <t>SKELLEFTEÅ</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17173-2025</t>
        </is>
      </c>
      <c r="B4014" s="1" t="n">
        <v>45756</v>
      </c>
      <c r="C4014" s="1" t="n">
        <v>45760</v>
      </c>
      <c r="D4014" t="inlineStr">
        <is>
          <t>VÄSTERBOTTENS LÄN</t>
        </is>
      </c>
      <c r="E4014" t="inlineStr">
        <is>
          <t>SKELLEFTEÅ</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17160-2025</t>
        </is>
      </c>
      <c r="B4015" s="1" t="n">
        <v>45756</v>
      </c>
      <c r="C4015" s="1" t="n">
        <v>45760</v>
      </c>
      <c r="D4015" t="inlineStr">
        <is>
          <t>VÄSTERBOTTENS LÄN</t>
        </is>
      </c>
      <c r="E4015" t="inlineStr">
        <is>
          <t>SKELLEFTEÅ</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17162-2025</t>
        </is>
      </c>
      <c r="B4016" s="1" t="n">
        <v>45756</v>
      </c>
      <c r="C4016" s="1" t="n">
        <v>45760</v>
      </c>
      <c r="D4016" t="inlineStr">
        <is>
          <t>VÄSTERBOTTENS LÄN</t>
        </is>
      </c>
      <c r="E4016" t="inlineStr">
        <is>
          <t>SKELLEFTEÅ</t>
        </is>
      </c>
      <c r="G4016" t="n">
        <v>23.9</v>
      </c>
      <c r="H4016" t="n">
        <v>0</v>
      </c>
      <c r="I4016" t="n">
        <v>0</v>
      </c>
      <c r="J4016" t="n">
        <v>0</v>
      </c>
      <c r="K4016" t="n">
        <v>0</v>
      </c>
      <c r="L4016" t="n">
        <v>0</v>
      </c>
      <c r="M4016" t="n">
        <v>0</v>
      </c>
      <c r="N4016" t="n">
        <v>0</v>
      </c>
      <c r="O4016" t="n">
        <v>0</v>
      </c>
      <c r="P4016" t="n">
        <v>0</v>
      </c>
      <c r="Q4016" t="n">
        <v>0</v>
      </c>
      <c r="R4016" s="2" t="inlineStr"/>
    </row>
    <row r="4017" ht="15" customHeight="1">
      <c r="A4017" t="inlineStr">
        <is>
          <t>A 17182-2025</t>
        </is>
      </c>
      <c r="B4017" s="1" t="n">
        <v>45756</v>
      </c>
      <c r="C4017" s="1" t="n">
        <v>45760</v>
      </c>
      <c r="D4017" t="inlineStr">
        <is>
          <t>VÄSTERBOTTENS LÄN</t>
        </is>
      </c>
      <c r="E4017" t="inlineStr">
        <is>
          <t>SKELLEFTEÅ</t>
        </is>
      </c>
      <c r="F4017" t="inlineStr">
        <is>
          <t>Holmen skog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17154-2025</t>
        </is>
      </c>
      <c r="B4018" s="1" t="n">
        <v>45756</v>
      </c>
      <c r="C4018" s="1" t="n">
        <v>45760</v>
      </c>
      <c r="D4018" t="inlineStr">
        <is>
          <t>VÄSTERBOTTENS LÄN</t>
        </is>
      </c>
      <c r="E4018" t="inlineStr">
        <is>
          <t>SKELLEFTEÅ</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17628-2025</t>
        </is>
      </c>
      <c r="B4019" s="1" t="n">
        <v>45758</v>
      </c>
      <c r="C4019" s="1" t="n">
        <v>45760</v>
      </c>
      <c r="D4019" t="inlineStr">
        <is>
          <t>VÄSTERBOTTENS LÄN</t>
        </is>
      </c>
      <c r="E4019" t="inlineStr">
        <is>
          <t>SKELLEFTEÅ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17561-2025</t>
        </is>
      </c>
      <c r="B4020" s="1" t="n">
        <v>45757</v>
      </c>
      <c r="C4020" s="1" t="n">
        <v>45760</v>
      </c>
      <c r="D4020" t="inlineStr">
        <is>
          <t>VÄSTERBOTTENS LÄN</t>
        </is>
      </c>
      <c r="E4020" t="inlineStr">
        <is>
          <t>SKELLEFTEÅ</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17874-2025</t>
        </is>
      </c>
      <c r="B4021" s="1" t="n">
        <v>45758</v>
      </c>
      <c r="C4021" s="1" t="n">
        <v>45760</v>
      </c>
      <c r="D4021" t="inlineStr">
        <is>
          <t>VÄSTERBOTTENS LÄN</t>
        </is>
      </c>
      <c r="E4021" t="inlineStr">
        <is>
          <t>SKELLEFTEÅ</t>
        </is>
      </c>
      <c r="G4021" t="n">
        <v>7.2</v>
      </c>
      <c r="H4021" t="n">
        <v>0</v>
      </c>
      <c r="I4021" t="n">
        <v>0</v>
      </c>
      <c r="J4021" t="n">
        <v>0</v>
      </c>
      <c r="K4021" t="n">
        <v>0</v>
      </c>
      <c r="L4021" t="n">
        <v>0</v>
      </c>
      <c r="M4021" t="n">
        <v>0</v>
      </c>
      <c r="N4021" t="n">
        <v>0</v>
      </c>
      <c r="O4021" t="n">
        <v>0</v>
      </c>
      <c r="P4021" t="n">
        <v>0</v>
      </c>
      <c r="Q4021" t="n">
        <v>0</v>
      </c>
      <c r="R4021" s="2" t="inlineStr"/>
    </row>
    <row r="4022">
      <c r="A4022" t="inlineStr">
        <is>
          <t>A 17859-2025</t>
        </is>
      </c>
      <c r="B4022" s="1" t="n">
        <v>45758</v>
      </c>
      <c r="C4022" s="1" t="n">
        <v>45760</v>
      </c>
      <c r="D4022" t="inlineStr">
        <is>
          <t>VÄSTERBOTTENS LÄN</t>
        </is>
      </c>
      <c r="E4022" t="inlineStr">
        <is>
          <t>SKELLEFTEÅ</t>
        </is>
      </c>
      <c r="G4022" t="n">
        <v>3.9</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2025-04-13T17:06:08Z</dcterms:created>
  <dcterms:modified xmlns:dcterms="http://purl.org/dc/terms/" xmlns:xsi="http://www.w3.org/2001/XMLSchema-instance" xsi:type="dcterms:W3CDTF">2025-04-13T17:06:12Z</dcterms:modified>
</cp:coreProperties>
</file>