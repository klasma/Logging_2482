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45641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45641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45641</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45641</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45641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45641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45641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45641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45641</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45641</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45641</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45641</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45641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45641</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45641</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45641</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45641</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45641</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45641</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45641</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45641</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45641</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45641</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45641</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45641</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45641</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45641</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45641</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45641</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45641</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45641</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45641</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45641</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45641</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45641</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45641</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45641</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45641</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45641</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45641</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45641</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45641</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45641</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45641</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45641</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45641</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45641</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45641</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45641</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45641</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45641</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45641</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45641</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45641</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45641</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45641</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45641</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45641</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45641</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45641</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45641</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45641</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45641</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45641</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45641</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45641</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45641</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45641</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45641</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45641</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45641</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45641</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45641</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45641</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45641</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45641</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45641</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45641</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45641</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45641</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45641</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45641</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45641</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45641</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45641</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45641</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45641</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45641</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45641</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45641</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45641</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55242-2024</t>
        </is>
      </c>
      <c r="B93" s="1" t="n">
        <v>45620</v>
      </c>
      <c r="C93" s="1" t="n">
        <v>45641</v>
      </c>
      <c r="D93" t="inlineStr">
        <is>
          <t>VÄSTERBOTTENS LÄN</t>
        </is>
      </c>
      <c r="E93" t="inlineStr">
        <is>
          <t>SKELLEFTEÅ</t>
        </is>
      </c>
      <c r="G93" t="n">
        <v>3.4</v>
      </c>
      <c r="H93" t="n">
        <v>0</v>
      </c>
      <c r="I93" t="n">
        <v>0</v>
      </c>
      <c r="J93" t="n">
        <v>3</v>
      </c>
      <c r="K93" t="n">
        <v>1</v>
      </c>
      <c r="L93" t="n">
        <v>0</v>
      </c>
      <c r="M93" t="n">
        <v>0</v>
      </c>
      <c r="N93" t="n">
        <v>0</v>
      </c>
      <c r="O93" t="n">
        <v>4</v>
      </c>
      <c r="P93" t="n">
        <v>1</v>
      </c>
      <c r="Q93" t="n">
        <v>4</v>
      </c>
      <c r="R93" s="2" t="inlineStr">
        <is>
          <t>Ostticka
Garnlav
Granticka
Ullticka</t>
        </is>
      </c>
      <c r="S93">
        <f>HYPERLINK("https://klasma.github.io/Logging_2482/artfynd/A 55242-2024 artfynd.xlsx", "A 55242-2024")</f>
        <v/>
      </c>
      <c r="T93">
        <f>HYPERLINK("https://klasma.github.io/Logging_2482/kartor/A 55242-2024 karta.png", "A 55242-2024")</f>
        <v/>
      </c>
      <c r="V93">
        <f>HYPERLINK("https://klasma.github.io/Logging_2482/klagomål/A 55242-2024 FSC-klagomål.docx", "A 55242-2024")</f>
        <v/>
      </c>
      <c r="W93">
        <f>HYPERLINK("https://klasma.github.io/Logging_2482/klagomålsmail/A 55242-2024 FSC-klagomål mail.docx", "A 55242-2024")</f>
        <v/>
      </c>
      <c r="X93">
        <f>HYPERLINK("https://klasma.github.io/Logging_2482/tillsyn/A 55242-2024 tillsynsbegäran.docx", "A 55242-2024")</f>
        <v/>
      </c>
      <c r="Y93">
        <f>HYPERLINK("https://klasma.github.io/Logging_2482/tillsynsmail/A 55242-2024 tillsynsbegäran mail.docx", "A 55242-2024")</f>
        <v/>
      </c>
    </row>
    <row r="94" ht="15" customHeight="1">
      <c r="A94" t="inlineStr">
        <is>
          <t>A 55235-2024</t>
        </is>
      </c>
      <c r="B94" s="1" t="n">
        <v>45620</v>
      </c>
      <c r="C94" s="1" t="n">
        <v>45641</v>
      </c>
      <c r="D94" t="inlineStr">
        <is>
          <t>VÄSTERBOTTENS LÄN</t>
        </is>
      </c>
      <c r="E94" t="inlineStr">
        <is>
          <t>SKELLEFTEÅ</t>
        </is>
      </c>
      <c r="G94" t="n">
        <v>0.9</v>
      </c>
      <c r="H94" t="n">
        <v>1</v>
      </c>
      <c r="I94" t="n">
        <v>1</v>
      </c>
      <c r="J94" t="n">
        <v>2</v>
      </c>
      <c r="K94" t="n">
        <v>1</v>
      </c>
      <c r="L94" t="n">
        <v>0</v>
      </c>
      <c r="M94" t="n">
        <v>0</v>
      </c>
      <c r="N94" t="n">
        <v>0</v>
      </c>
      <c r="O94" t="n">
        <v>3</v>
      </c>
      <c r="P94" t="n">
        <v>1</v>
      </c>
      <c r="Q94" t="n">
        <v>4</v>
      </c>
      <c r="R94" s="2" t="inlineStr">
        <is>
          <t>Doftticka
Barkporlav
Lunglav
Bårdlav</t>
        </is>
      </c>
      <c r="S94">
        <f>HYPERLINK("https://klasma.github.io/Logging_2482/artfynd/A 55235-2024 artfynd.xlsx", "A 55235-2024")</f>
        <v/>
      </c>
      <c r="T94">
        <f>HYPERLINK("https://klasma.github.io/Logging_2482/kartor/A 55235-2024 karta.png", "A 55235-2024")</f>
        <v/>
      </c>
      <c r="V94">
        <f>HYPERLINK("https://klasma.github.io/Logging_2482/klagomål/A 55235-2024 FSC-klagomål.docx", "A 55235-2024")</f>
        <v/>
      </c>
      <c r="W94">
        <f>HYPERLINK("https://klasma.github.io/Logging_2482/klagomålsmail/A 55235-2024 FSC-klagomål mail.docx", "A 55235-2024")</f>
        <v/>
      </c>
      <c r="X94">
        <f>HYPERLINK("https://klasma.github.io/Logging_2482/tillsyn/A 55235-2024 tillsynsbegäran.docx", "A 55235-2024")</f>
        <v/>
      </c>
      <c r="Y94">
        <f>HYPERLINK("https://klasma.github.io/Logging_2482/tillsynsmail/A 55235-2024 tillsynsbegäran mail.docx", "A 55235-2024")</f>
        <v/>
      </c>
    </row>
    <row r="95" ht="15" customHeight="1">
      <c r="A95" t="inlineStr">
        <is>
          <t>A 56462-2024</t>
        </is>
      </c>
      <c r="B95" s="1" t="n">
        <v>45625</v>
      </c>
      <c r="C95" s="1" t="n">
        <v>45641</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45641</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45641</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45641</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45641</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45641</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45641</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45641</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45641</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45641</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45641</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45641</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45641</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45641</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45641</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45641</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45641</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45641</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45641</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45641</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45641</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45641</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45641</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45641</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45641</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45641</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45641</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45641</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45641</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45641</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45641</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45641</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45641</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45641</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45641</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45641</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45641</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45641</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45641</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45641</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45641</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45641</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45641</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45641</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45641</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45641</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45641</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45641</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45641</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45641</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45641</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45641</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45641</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45641</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45641</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45641</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45641</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45641</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45641</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45641</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45641</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45641</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45641</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45641</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45641</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45641</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45641</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45641</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45641</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45641</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45641</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45641</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45641</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45641</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45641</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45641</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45641</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45641</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45641</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45641</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45641</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45641</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45641</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45641</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45641</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45641</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45641</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45641</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45641</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45641</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45641</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45641</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45641</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45641</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45641</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45641</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45641</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45641</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45641</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45641</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45641</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45641</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45641</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45641</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45641</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45641</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45641</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45641</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45641</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45641</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45641</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45641</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45641</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45641</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45641</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45641</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45641</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45641</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45641</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45641</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45641</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45641</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45641</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45641</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45641</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45641</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45641</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45641</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45641</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45641</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45641</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45641</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45641</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45641</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45641</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45641</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45641</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45641</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45641</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45641</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45641</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45641</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45641</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45641</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57520-2024</t>
        </is>
      </c>
      <c r="B239" s="1" t="n">
        <v>45630</v>
      </c>
      <c r="C239" s="1" t="n">
        <v>45641</v>
      </c>
      <c r="D239" t="inlineStr">
        <is>
          <t>VÄSTERBOTTENS LÄN</t>
        </is>
      </c>
      <c r="E239" t="inlineStr">
        <is>
          <t>SKELLEFTEÅ</t>
        </is>
      </c>
      <c r="G239" t="n">
        <v>1.5</v>
      </c>
      <c r="H239" t="n">
        <v>0</v>
      </c>
      <c r="I239" t="n">
        <v>0</v>
      </c>
      <c r="J239" t="n">
        <v>1</v>
      </c>
      <c r="K239" t="n">
        <v>0</v>
      </c>
      <c r="L239" t="n">
        <v>0</v>
      </c>
      <c r="M239" t="n">
        <v>0</v>
      </c>
      <c r="N239" t="n">
        <v>0</v>
      </c>
      <c r="O239" t="n">
        <v>1</v>
      </c>
      <c r="P239" t="n">
        <v>0</v>
      </c>
      <c r="Q239" t="n">
        <v>1</v>
      </c>
      <c r="R239" s="2" t="inlineStr">
        <is>
          <t>Harticka</t>
        </is>
      </c>
      <c r="S239">
        <f>HYPERLINK("https://klasma.github.io/Logging_2482/artfynd/A 57520-2024 artfynd.xlsx", "A 57520-2024")</f>
        <v/>
      </c>
      <c r="T239">
        <f>HYPERLINK("https://klasma.github.io/Logging_2482/kartor/A 57520-2024 karta.png", "A 57520-2024")</f>
        <v/>
      </c>
      <c r="V239">
        <f>HYPERLINK("https://klasma.github.io/Logging_2482/klagomål/A 57520-2024 FSC-klagomål.docx", "A 57520-2024")</f>
        <v/>
      </c>
      <c r="W239">
        <f>HYPERLINK("https://klasma.github.io/Logging_2482/klagomålsmail/A 57520-2024 FSC-klagomål mail.docx", "A 57520-2024")</f>
        <v/>
      </c>
      <c r="X239">
        <f>HYPERLINK("https://klasma.github.io/Logging_2482/tillsyn/A 57520-2024 tillsynsbegäran.docx", "A 57520-2024")</f>
        <v/>
      </c>
      <c r="Y239">
        <f>HYPERLINK("https://klasma.github.io/Logging_2482/tillsynsmail/A 57520-2024 tillsynsbegäran mail.docx", "A 57520-2024")</f>
        <v/>
      </c>
    </row>
    <row r="240" ht="15" customHeight="1">
      <c r="A240" t="inlineStr">
        <is>
          <t>A 57568-2024</t>
        </is>
      </c>
      <c r="B240" s="1" t="n">
        <v>45630</v>
      </c>
      <c r="C240" s="1" t="n">
        <v>45641</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59709-2024</t>
        </is>
      </c>
      <c r="B241" s="1" t="n">
        <v>45639</v>
      </c>
      <c r="C241" s="1" t="n">
        <v>45641</v>
      </c>
      <c r="D241" t="inlineStr">
        <is>
          <t>VÄSTERBOTTENS LÄN</t>
        </is>
      </c>
      <c r="E241" t="inlineStr">
        <is>
          <t>SKELLEFTEÅ</t>
        </is>
      </c>
      <c r="G241" t="n">
        <v>2.7</v>
      </c>
      <c r="H241" t="n">
        <v>1</v>
      </c>
      <c r="I241" t="n">
        <v>0</v>
      </c>
      <c r="J241" t="n">
        <v>1</v>
      </c>
      <c r="K241" t="n">
        <v>0</v>
      </c>
      <c r="L241" t="n">
        <v>0</v>
      </c>
      <c r="M241" t="n">
        <v>0</v>
      </c>
      <c r="N241" t="n">
        <v>0</v>
      </c>
      <c r="O241" t="n">
        <v>1</v>
      </c>
      <c r="P241" t="n">
        <v>0</v>
      </c>
      <c r="Q241" t="n">
        <v>1</v>
      </c>
      <c r="R241" s="2" t="inlineStr">
        <is>
          <t>Spillkråka</t>
        </is>
      </c>
      <c r="S241">
        <f>HYPERLINK("https://klasma.github.io/Logging_2482/artfynd/A 59709-2024 artfynd.xlsx", "A 59709-2024")</f>
        <v/>
      </c>
      <c r="T241">
        <f>HYPERLINK("https://klasma.github.io/Logging_2482/kartor/A 59709-2024 karta.png", "A 59709-2024")</f>
        <v/>
      </c>
      <c r="V241">
        <f>HYPERLINK("https://klasma.github.io/Logging_2482/klagomål/A 59709-2024 FSC-klagomål.docx", "A 59709-2024")</f>
        <v/>
      </c>
      <c r="W241">
        <f>HYPERLINK("https://klasma.github.io/Logging_2482/klagomålsmail/A 59709-2024 FSC-klagomål mail.docx", "A 59709-2024")</f>
        <v/>
      </c>
      <c r="X241">
        <f>HYPERLINK("https://klasma.github.io/Logging_2482/tillsyn/A 59709-2024 tillsynsbegäran.docx", "A 59709-2024")</f>
        <v/>
      </c>
      <c r="Y241">
        <f>HYPERLINK("https://klasma.github.io/Logging_2482/tillsynsmail/A 59709-2024 tillsynsbegäran mail.docx", "A 59709-2024")</f>
        <v/>
      </c>
      <c r="Z241">
        <f>HYPERLINK("https://klasma.github.io/Logging_2482/fåglar/A 59709-2024 prioriterade fågelarter.docx", "A 59709-2024")</f>
        <v/>
      </c>
    </row>
    <row r="242" ht="15" customHeight="1">
      <c r="A242" t="inlineStr">
        <is>
          <t>A 18072-2019</t>
        </is>
      </c>
      <c r="B242" s="1" t="n">
        <v>43557</v>
      </c>
      <c r="C242" s="1" t="n">
        <v>45641</v>
      </c>
      <c r="D242" t="inlineStr">
        <is>
          <t>VÄSTERBOTTENS LÄN</t>
        </is>
      </c>
      <c r="E242" t="inlineStr">
        <is>
          <t>SKELLEFTEÅ</t>
        </is>
      </c>
      <c r="F242" t="inlineStr">
        <is>
          <t>SCA</t>
        </is>
      </c>
      <c r="G242" t="n">
        <v>1.8</v>
      </c>
      <c r="H242" t="n">
        <v>0</v>
      </c>
      <c r="I242" t="n">
        <v>0</v>
      </c>
      <c r="J242" t="n">
        <v>0</v>
      </c>
      <c r="K242" t="n">
        <v>0</v>
      </c>
      <c r="L242" t="n">
        <v>0</v>
      </c>
      <c r="M242" t="n">
        <v>0</v>
      </c>
      <c r="N242" t="n">
        <v>0</v>
      </c>
      <c r="O242" t="n">
        <v>0</v>
      </c>
      <c r="P242" t="n">
        <v>0</v>
      </c>
      <c r="Q242" t="n">
        <v>0</v>
      </c>
      <c r="R242" s="2" t="inlineStr"/>
    </row>
    <row r="243" ht="15" customHeight="1">
      <c r="A243" t="inlineStr">
        <is>
          <t>A 18271-2019</t>
        </is>
      </c>
      <c r="B243" s="1" t="n">
        <v>43557</v>
      </c>
      <c r="C243" s="1" t="n">
        <v>45641</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18073-2019</t>
        </is>
      </c>
      <c r="B244" s="1" t="n">
        <v>43557</v>
      </c>
      <c r="C244" s="1" t="n">
        <v>45641</v>
      </c>
      <c r="D244" t="inlineStr">
        <is>
          <t>VÄSTERBOTTENS LÄN</t>
        </is>
      </c>
      <c r="E244" t="inlineStr">
        <is>
          <t>SKELLEFTEÅ</t>
        </is>
      </c>
      <c r="F244" t="inlineStr">
        <is>
          <t>SCA</t>
        </is>
      </c>
      <c r="G244" t="n">
        <v>3.2</v>
      </c>
      <c r="H244" t="n">
        <v>0</v>
      </c>
      <c r="I244" t="n">
        <v>0</v>
      </c>
      <c r="J244" t="n">
        <v>0</v>
      </c>
      <c r="K244" t="n">
        <v>0</v>
      </c>
      <c r="L244" t="n">
        <v>0</v>
      </c>
      <c r="M244" t="n">
        <v>0</v>
      </c>
      <c r="N244" t="n">
        <v>0</v>
      </c>
      <c r="O244" t="n">
        <v>0</v>
      </c>
      <c r="P244" t="n">
        <v>0</v>
      </c>
      <c r="Q244" t="n">
        <v>0</v>
      </c>
      <c r="R244" s="2" t="inlineStr"/>
    </row>
    <row r="245" ht="15" customHeight="1">
      <c r="A245" t="inlineStr">
        <is>
          <t>A 18201-2019</t>
        </is>
      </c>
      <c r="B245" s="1" t="n">
        <v>43558</v>
      </c>
      <c r="C245" s="1" t="n">
        <v>45641</v>
      </c>
      <c r="D245" t="inlineStr">
        <is>
          <t>VÄSTERBOTTENS LÄN</t>
        </is>
      </c>
      <c r="E245" t="inlineStr">
        <is>
          <t>SKELLEFTEÅ</t>
        </is>
      </c>
      <c r="G245" t="n">
        <v>2.5</v>
      </c>
      <c r="H245" t="n">
        <v>0</v>
      </c>
      <c r="I245" t="n">
        <v>0</v>
      </c>
      <c r="J245" t="n">
        <v>0</v>
      </c>
      <c r="K245" t="n">
        <v>0</v>
      </c>
      <c r="L245" t="n">
        <v>0</v>
      </c>
      <c r="M245" t="n">
        <v>0</v>
      </c>
      <c r="N245" t="n">
        <v>0</v>
      </c>
      <c r="O245" t="n">
        <v>0</v>
      </c>
      <c r="P245" t="n">
        <v>0</v>
      </c>
      <c r="Q245" t="n">
        <v>0</v>
      </c>
      <c r="R245" s="2" t="inlineStr"/>
    </row>
    <row r="246" ht="15" customHeight="1">
      <c r="A246" t="inlineStr">
        <is>
          <t>A 18202-2019</t>
        </is>
      </c>
      <c r="B246" s="1" t="n">
        <v>43558</v>
      </c>
      <c r="C246" s="1" t="n">
        <v>45641</v>
      </c>
      <c r="D246" t="inlineStr">
        <is>
          <t>VÄSTERBOTTENS LÄN</t>
        </is>
      </c>
      <c r="E246" t="inlineStr">
        <is>
          <t>SKELLEFTEÅ</t>
        </is>
      </c>
      <c r="G246" t="n">
        <v>0.8</v>
      </c>
      <c r="H246" t="n">
        <v>0</v>
      </c>
      <c r="I246" t="n">
        <v>0</v>
      </c>
      <c r="J246" t="n">
        <v>0</v>
      </c>
      <c r="K246" t="n">
        <v>0</v>
      </c>
      <c r="L246" t="n">
        <v>0</v>
      </c>
      <c r="M246" t="n">
        <v>0</v>
      </c>
      <c r="N246" t="n">
        <v>0</v>
      </c>
      <c r="O246" t="n">
        <v>0</v>
      </c>
      <c r="P246" t="n">
        <v>0</v>
      </c>
      <c r="Q246" t="n">
        <v>0</v>
      </c>
      <c r="R246" s="2" t="inlineStr"/>
    </row>
    <row r="247" ht="15" customHeight="1">
      <c r="A247" t="inlineStr">
        <is>
          <t>A 18137-2019</t>
        </is>
      </c>
      <c r="B247" s="1" t="n">
        <v>43558</v>
      </c>
      <c r="C247" s="1" t="n">
        <v>45641</v>
      </c>
      <c r="D247" t="inlineStr">
        <is>
          <t>VÄSTERBOTTENS LÄN</t>
        </is>
      </c>
      <c r="E247" t="inlineStr">
        <is>
          <t>SKELLEFTEÅ</t>
        </is>
      </c>
      <c r="G247" t="n">
        <v>10</v>
      </c>
      <c r="H247" t="n">
        <v>0</v>
      </c>
      <c r="I247" t="n">
        <v>0</v>
      </c>
      <c r="J247" t="n">
        <v>0</v>
      </c>
      <c r="K247" t="n">
        <v>0</v>
      </c>
      <c r="L247" t="n">
        <v>0</v>
      </c>
      <c r="M247" t="n">
        <v>0</v>
      </c>
      <c r="N247" t="n">
        <v>0</v>
      </c>
      <c r="O247" t="n">
        <v>0</v>
      </c>
      <c r="P247" t="n">
        <v>0</v>
      </c>
      <c r="Q247" t="n">
        <v>0</v>
      </c>
      <c r="R247" s="2" t="inlineStr"/>
    </row>
    <row r="248" ht="15" customHeight="1">
      <c r="A248" t="inlineStr">
        <is>
          <t>A 18714-2019</t>
        </is>
      </c>
      <c r="B248" s="1" t="n">
        <v>43560</v>
      </c>
      <c r="C248" s="1" t="n">
        <v>45641</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18712-2019</t>
        </is>
      </c>
      <c r="B249" s="1" t="n">
        <v>43560</v>
      </c>
      <c r="C249" s="1" t="n">
        <v>45641</v>
      </c>
      <c r="D249" t="inlineStr">
        <is>
          <t>VÄSTERBOTTENS LÄN</t>
        </is>
      </c>
      <c r="E249" t="inlineStr">
        <is>
          <t>SKELLEFTEÅ</t>
        </is>
      </c>
      <c r="F249" t="inlineStr">
        <is>
          <t>Övriga Aktiebolag</t>
        </is>
      </c>
      <c r="G249" t="n">
        <v>2.2</v>
      </c>
      <c r="H249" t="n">
        <v>0</v>
      </c>
      <c r="I249" t="n">
        <v>0</v>
      </c>
      <c r="J249" t="n">
        <v>0</v>
      </c>
      <c r="K249" t="n">
        <v>0</v>
      </c>
      <c r="L249" t="n">
        <v>0</v>
      </c>
      <c r="M249" t="n">
        <v>0</v>
      </c>
      <c r="N249" t="n">
        <v>0</v>
      </c>
      <c r="O249" t="n">
        <v>0</v>
      </c>
      <c r="P249" t="n">
        <v>0</v>
      </c>
      <c r="Q249" t="n">
        <v>0</v>
      </c>
      <c r="R249" s="2" t="inlineStr"/>
    </row>
    <row r="250" ht="15" customHeight="1">
      <c r="A250" t="inlineStr">
        <is>
          <t>A 19101-2019</t>
        </is>
      </c>
      <c r="B250" s="1" t="n">
        <v>43563</v>
      </c>
      <c r="C250" s="1" t="n">
        <v>45641</v>
      </c>
      <c r="D250" t="inlineStr">
        <is>
          <t>VÄSTERBOTTENS LÄN</t>
        </is>
      </c>
      <c r="E250" t="inlineStr">
        <is>
          <t>SKELLEFTEÅ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19059-2019</t>
        </is>
      </c>
      <c r="B251" s="1" t="n">
        <v>43563</v>
      </c>
      <c r="C251" s="1" t="n">
        <v>45641</v>
      </c>
      <c r="D251" t="inlineStr">
        <is>
          <t>VÄSTERBOTTENS LÄN</t>
        </is>
      </c>
      <c r="E251" t="inlineStr">
        <is>
          <t>SKELLEFTEÅ</t>
        </is>
      </c>
      <c r="G251" t="n">
        <v>2.5</v>
      </c>
      <c r="H251" t="n">
        <v>0</v>
      </c>
      <c r="I251" t="n">
        <v>0</v>
      </c>
      <c r="J251" t="n">
        <v>0</v>
      </c>
      <c r="K251" t="n">
        <v>0</v>
      </c>
      <c r="L251" t="n">
        <v>0</v>
      </c>
      <c r="M251" t="n">
        <v>0</v>
      </c>
      <c r="N251" t="n">
        <v>0</v>
      </c>
      <c r="O251" t="n">
        <v>0</v>
      </c>
      <c r="P251" t="n">
        <v>0</v>
      </c>
      <c r="Q251" t="n">
        <v>0</v>
      </c>
      <c r="R251" s="2" t="inlineStr"/>
    </row>
    <row r="252" ht="15" customHeight="1">
      <c r="A252" t="inlineStr">
        <is>
          <t>A 19382-2019</t>
        </is>
      </c>
      <c r="B252" s="1" t="n">
        <v>43565</v>
      </c>
      <c r="C252" s="1" t="n">
        <v>45641</v>
      </c>
      <c r="D252" t="inlineStr">
        <is>
          <t>VÄSTERBOTTENS LÄN</t>
        </is>
      </c>
      <c r="E252" t="inlineStr">
        <is>
          <t>SKELLEFTEÅ</t>
        </is>
      </c>
      <c r="G252" t="n">
        <v>0.6</v>
      </c>
      <c r="H252" t="n">
        <v>0</v>
      </c>
      <c r="I252" t="n">
        <v>0</v>
      </c>
      <c r="J252" t="n">
        <v>0</v>
      </c>
      <c r="K252" t="n">
        <v>0</v>
      </c>
      <c r="L252" t="n">
        <v>0</v>
      </c>
      <c r="M252" t="n">
        <v>0</v>
      </c>
      <c r="N252" t="n">
        <v>0</v>
      </c>
      <c r="O252" t="n">
        <v>0</v>
      </c>
      <c r="P252" t="n">
        <v>0</v>
      </c>
      <c r="Q252" t="n">
        <v>0</v>
      </c>
      <c r="R252" s="2" t="inlineStr"/>
    </row>
    <row r="253" ht="15" customHeight="1">
      <c r="A253" t="inlineStr">
        <is>
          <t>A 19530-2019</t>
        </is>
      </c>
      <c r="B253" s="1" t="n">
        <v>43565</v>
      </c>
      <c r="C253" s="1" t="n">
        <v>45641</v>
      </c>
      <c r="D253" t="inlineStr">
        <is>
          <t>VÄSTERBOTTENS LÄN</t>
        </is>
      </c>
      <c r="E253" t="inlineStr">
        <is>
          <t>SKELLEFTEÅ</t>
        </is>
      </c>
      <c r="G253" t="n">
        <v>8</v>
      </c>
      <c r="H253" t="n">
        <v>0</v>
      </c>
      <c r="I253" t="n">
        <v>0</v>
      </c>
      <c r="J253" t="n">
        <v>0</v>
      </c>
      <c r="K253" t="n">
        <v>0</v>
      </c>
      <c r="L253" t="n">
        <v>0</v>
      </c>
      <c r="M253" t="n">
        <v>0</v>
      </c>
      <c r="N253" t="n">
        <v>0</v>
      </c>
      <c r="O253" t="n">
        <v>0</v>
      </c>
      <c r="P253" t="n">
        <v>0</v>
      </c>
      <c r="Q253" t="n">
        <v>0</v>
      </c>
      <c r="R253" s="2" t="inlineStr"/>
    </row>
    <row r="254" ht="15" customHeight="1">
      <c r="A254" t="inlineStr">
        <is>
          <t>A 20163-2019</t>
        </is>
      </c>
      <c r="B254" s="1" t="n">
        <v>43567</v>
      </c>
      <c r="C254" s="1" t="n">
        <v>45641</v>
      </c>
      <c r="D254" t="inlineStr">
        <is>
          <t>VÄSTERBOTTENS LÄN</t>
        </is>
      </c>
      <c r="E254" t="inlineStr">
        <is>
          <t>SKELLEFTEÅ</t>
        </is>
      </c>
      <c r="G254" t="n">
        <v>1.3</v>
      </c>
      <c r="H254" t="n">
        <v>0</v>
      </c>
      <c r="I254" t="n">
        <v>0</v>
      </c>
      <c r="J254" t="n">
        <v>0</v>
      </c>
      <c r="K254" t="n">
        <v>0</v>
      </c>
      <c r="L254" t="n">
        <v>0</v>
      </c>
      <c r="M254" t="n">
        <v>0</v>
      </c>
      <c r="N254" t="n">
        <v>0</v>
      </c>
      <c r="O254" t="n">
        <v>0</v>
      </c>
      <c r="P254" t="n">
        <v>0</v>
      </c>
      <c r="Q254" t="n">
        <v>0</v>
      </c>
      <c r="R254" s="2" t="inlineStr"/>
    </row>
    <row r="255" ht="15" customHeight="1">
      <c r="A255" t="inlineStr">
        <is>
          <t>A 20428-2019</t>
        </is>
      </c>
      <c r="B255" s="1" t="n">
        <v>43571</v>
      </c>
      <c r="C255" s="1" t="n">
        <v>45641</v>
      </c>
      <c r="D255" t="inlineStr">
        <is>
          <t>VÄSTERBOTTENS LÄN</t>
        </is>
      </c>
      <c r="E255" t="inlineStr">
        <is>
          <t>SKELLEFTEÅ</t>
        </is>
      </c>
      <c r="G255" t="n">
        <v>0.8</v>
      </c>
      <c r="H255" t="n">
        <v>0</v>
      </c>
      <c r="I255" t="n">
        <v>0</v>
      </c>
      <c r="J255" t="n">
        <v>0</v>
      </c>
      <c r="K255" t="n">
        <v>0</v>
      </c>
      <c r="L255" t="n">
        <v>0</v>
      </c>
      <c r="M255" t="n">
        <v>0</v>
      </c>
      <c r="N255" t="n">
        <v>0</v>
      </c>
      <c r="O255" t="n">
        <v>0</v>
      </c>
      <c r="P255" t="n">
        <v>0</v>
      </c>
      <c r="Q255" t="n">
        <v>0</v>
      </c>
      <c r="R255" s="2" t="inlineStr"/>
    </row>
    <row r="256" ht="15" customHeight="1">
      <c r="A256" t="inlineStr">
        <is>
          <t>A 20584-2019</t>
        </is>
      </c>
      <c r="B256" s="1" t="n">
        <v>43572</v>
      </c>
      <c r="C256" s="1" t="n">
        <v>45641</v>
      </c>
      <c r="D256" t="inlineStr">
        <is>
          <t>VÄSTERBOTTENS LÄN</t>
        </is>
      </c>
      <c r="E256" t="inlineStr">
        <is>
          <t>SKELLEFTEÅ</t>
        </is>
      </c>
      <c r="F256" t="inlineStr">
        <is>
          <t>Kommuner</t>
        </is>
      </c>
      <c r="G256" t="n">
        <v>6.3</v>
      </c>
      <c r="H256" t="n">
        <v>0</v>
      </c>
      <c r="I256" t="n">
        <v>0</v>
      </c>
      <c r="J256" t="n">
        <v>0</v>
      </c>
      <c r="K256" t="n">
        <v>0</v>
      </c>
      <c r="L256" t="n">
        <v>0</v>
      </c>
      <c r="M256" t="n">
        <v>0</v>
      </c>
      <c r="N256" t="n">
        <v>0</v>
      </c>
      <c r="O256" t="n">
        <v>0</v>
      </c>
      <c r="P256" t="n">
        <v>0</v>
      </c>
      <c r="Q256" t="n">
        <v>0</v>
      </c>
      <c r="R256" s="2" t="inlineStr"/>
    </row>
    <row r="257" ht="15" customHeight="1">
      <c r="A257" t="inlineStr">
        <is>
          <t>A 20668-2019</t>
        </is>
      </c>
      <c r="B257" s="1" t="n">
        <v>43572</v>
      </c>
      <c r="C257" s="1" t="n">
        <v>45641</v>
      </c>
      <c r="D257" t="inlineStr">
        <is>
          <t>VÄSTERBOTTENS LÄN</t>
        </is>
      </c>
      <c r="E257" t="inlineStr">
        <is>
          <t>SKELLEFTEÅ</t>
        </is>
      </c>
      <c r="G257" t="n">
        <v>1</v>
      </c>
      <c r="H257" t="n">
        <v>0</v>
      </c>
      <c r="I257" t="n">
        <v>0</v>
      </c>
      <c r="J257" t="n">
        <v>0</v>
      </c>
      <c r="K257" t="n">
        <v>0</v>
      </c>
      <c r="L257" t="n">
        <v>0</v>
      </c>
      <c r="M257" t="n">
        <v>0</v>
      </c>
      <c r="N257" t="n">
        <v>0</v>
      </c>
      <c r="O257" t="n">
        <v>0</v>
      </c>
      <c r="P257" t="n">
        <v>0</v>
      </c>
      <c r="Q257" t="n">
        <v>0</v>
      </c>
      <c r="R257" s="2" t="inlineStr"/>
    </row>
    <row r="258" ht="15" customHeight="1">
      <c r="A258" t="inlineStr">
        <is>
          <t>A 21553-2019</t>
        </is>
      </c>
      <c r="B258" s="1" t="n">
        <v>43580</v>
      </c>
      <c r="C258" s="1" t="n">
        <v>45641</v>
      </c>
      <c r="D258" t="inlineStr">
        <is>
          <t>VÄSTERBOTTENS LÄN</t>
        </is>
      </c>
      <c r="E258" t="inlineStr">
        <is>
          <t>SKELLEFTEÅ</t>
        </is>
      </c>
      <c r="G258" t="n">
        <v>1.4</v>
      </c>
      <c r="H258" t="n">
        <v>0</v>
      </c>
      <c r="I258" t="n">
        <v>0</v>
      </c>
      <c r="J258" t="n">
        <v>0</v>
      </c>
      <c r="K258" t="n">
        <v>0</v>
      </c>
      <c r="L258" t="n">
        <v>0</v>
      </c>
      <c r="M258" t="n">
        <v>0</v>
      </c>
      <c r="N258" t="n">
        <v>0</v>
      </c>
      <c r="O258" t="n">
        <v>0</v>
      </c>
      <c r="P258" t="n">
        <v>0</v>
      </c>
      <c r="Q258" t="n">
        <v>0</v>
      </c>
      <c r="R258" s="2" t="inlineStr"/>
    </row>
    <row r="259" ht="15" customHeight="1">
      <c r="A259" t="inlineStr">
        <is>
          <t>A 21583-2019</t>
        </is>
      </c>
      <c r="B259" s="1" t="n">
        <v>43580</v>
      </c>
      <c r="C259" s="1" t="n">
        <v>45641</v>
      </c>
      <c r="D259" t="inlineStr">
        <is>
          <t>VÄSTERBOTTENS LÄN</t>
        </is>
      </c>
      <c r="E259" t="inlineStr">
        <is>
          <t>SKELLEFTEÅ</t>
        </is>
      </c>
      <c r="G259" t="n">
        <v>3.4</v>
      </c>
      <c r="H259" t="n">
        <v>0</v>
      </c>
      <c r="I259" t="n">
        <v>0</v>
      </c>
      <c r="J259" t="n">
        <v>0</v>
      </c>
      <c r="K259" t="n">
        <v>0</v>
      </c>
      <c r="L259" t="n">
        <v>0</v>
      </c>
      <c r="M259" t="n">
        <v>0</v>
      </c>
      <c r="N259" t="n">
        <v>0</v>
      </c>
      <c r="O259" t="n">
        <v>0</v>
      </c>
      <c r="P259" t="n">
        <v>0</v>
      </c>
      <c r="Q259" t="n">
        <v>0</v>
      </c>
      <c r="R259" s="2" t="inlineStr"/>
    </row>
    <row r="260" ht="15" customHeight="1">
      <c r="A260" t="inlineStr">
        <is>
          <t>A 22580-2019</t>
        </is>
      </c>
      <c r="B260" s="1" t="n">
        <v>43587</v>
      </c>
      <c r="C260" s="1" t="n">
        <v>45641</v>
      </c>
      <c r="D260" t="inlineStr">
        <is>
          <t>VÄSTERBOTTENS LÄN</t>
        </is>
      </c>
      <c r="E260" t="inlineStr">
        <is>
          <t>SKELLEFTEÅ</t>
        </is>
      </c>
      <c r="G260" t="n">
        <v>3</v>
      </c>
      <c r="H260" t="n">
        <v>0</v>
      </c>
      <c r="I260" t="n">
        <v>0</v>
      </c>
      <c r="J260" t="n">
        <v>0</v>
      </c>
      <c r="K260" t="n">
        <v>0</v>
      </c>
      <c r="L260" t="n">
        <v>0</v>
      </c>
      <c r="M260" t="n">
        <v>0</v>
      </c>
      <c r="N260" t="n">
        <v>0</v>
      </c>
      <c r="O260" t="n">
        <v>0</v>
      </c>
      <c r="P260" t="n">
        <v>0</v>
      </c>
      <c r="Q260" t="n">
        <v>0</v>
      </c>
      <c r="R260" s="2" t="inlineStr"/>
    </row>
    <row r="261" ht="15" customHeight="1">
      <c r="A261" t="inlineStr">
        <is>
          <t>A 23436-2019</t>
        </is>
      </c>
      <c r="B261" s="1" t="n">
        <v>43592</v>
      </c>
      <c r="C261" s="1" t="n">
        <v>45641</v>
      </c>
      <c r="D261" t="inlineStr">
        <is>
          <t>VÄSTERBOTTENS LÄN</t>
        </is>
      </c>
      <c r="E261" t="inlineStr">
        <is>
          <t>SKELLEFTEÅ</t>
        </is>
      </c>
      <c r="G261" t="n">
        <v>13</v>
      </c>
      <c r="H261" t="n">
        <v>0</v>
      </c>
      <c r="I261" t="n">
        <v>0</v>
      </c>
      <c r="J261" t="n">
        <v>0</v>
      </c>
      <c r="K261" t="n">
        <v>0</v>
      </c>
      <c r="L261" t="n">
        <v>0</v>
      </c>
      <c r="M261" t="n">
        <v>0</v>
      </c>
      <c r="N261" t="n">
        <v>0</v>
      </c>
      <c r="O261" t="n">
        <v>0</v>
      </c>
      <c r="P261" t="n">
        <v>0</v>
      </c>
      <c r="Q261" t="n">
        <v>0</v>
      </c>
      <c r="R261" s="2" t="inlineStr"/>
    </row>
    <row r="262" ht="15" customHeight="1">
      <c r="A262" t="inlineStr">
        <is>
          <t>A 23396-2019</t>
        </is>
      </c>
      <c r="B262" s="1" t="n">
        <v>43592</v>
      </c>
      <c r="C262" s="1" t="n">
        <v>45641</v>
      </c>
      <c r="D262" t="inlineStr">
        <is>
          <t>VÄSTERBOTTENS LÄN</t>
        </is>
      </c>
      <c r="E262" t="inlineStr">
        <is>
          <t>SKELLEFTEÅ</t>
        </is>
      </c>
      <c r="G262" t="n">
        <v>5.1</v>
      </c>
      <c r="H262" t="n">
        <v>0</v>
      </c>
      <c r="I262" t="n">
        <v>0</v>
      </c>
      <c r="J262" t="n">
        <v>0</v>
      </c>
      <c r="K262" t="n">
        <v>0</v>
      </c>
      <c r="L262" t="n">
        <v>0</v>
      </c>
      <c r="M262" t="n">
        <v>0</v>
      </c>
      <c r="N262" t="n">
        <v>0</v>
      </c>
      <c r="O262" t="n">
        <v>0</v>
      </c>
      <c r="P262" t="n">
        <v>0</v>
      </c>
      <c r="Q262" t="n">
        <v>0</v>
      </c>
      <c r="R262" s="2" t="inlineStr"/>
    </row>
    <row r="263" ht="15" customHeight="1">
      <c r="A263" t="inlineStr">
        <is>
          <t>A 24063-2019</t>
        </is>
      </c>
      <c r="B263" s="1" t="n">
        <v>43598</v>
      </c>
      <c r="C263" s="1" t="n">
        <v>45641</v>
      </c>
      <c r="D263" t="inlineStr">
        <is>
          <t>VÄSTERBOTTENS LÄN</t>
        </is>
      </c>
      <c r="E263" t="inlineStr">
        <is>
          <t>SKELLEFTEÅ</t>
        </is>
      </c>
      <c r="G263" t="n">
        <v>1.3</v>
      </c>
      <c r="H263" t="n">
        <v>0</v>
      </c>
      <c r="I263" t="n">
        <v>0</v>
      </c>
      <c r="J263" t="n">
        <v>0</v>
      </c>
      <c r="K263" t="n">
        <v>0</v>
      </c>
      <c r="L263" t="n">
        <v>0</v>
      </c>
      <c r="M263" t="n">
        <v>0</v>
      </c>
      <c r="N263" t="n">
        <v>0</v>
      </c>
      <c r="O263" t="n">
        <v>0</v>
      </c>
      <c r="P263" t="n">
        <v>0</v>
      </c>
      <c r="Q263" t="n">
        <v>0</v>
      </c>
      <c r="R263" s="2" t="inlineStr"/>
    </row>
    <row r="264" ht="15" customHeight="1">
      <c r="A264" t="inlineStr">
        <is>
          <t>A 24164-2019</t>
        </is>
      </c>
      <c r="B264" s="1" t="n">
        <v>43598</v>
      </c>
      <c r="C264" s="1" t="n">
        <v>45641</v>
      </c>
      <c r="D264" t="inlineStr">
        <is>
          <t>VÄSTERBOTTENS LÄN</t>
        </is>
      </c>
      <c r="E264" t="inlineStr">
        <is>
          <t>SKELLEFTEÅ</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24210-2019</t>
        </is>
      </c>
      <c r="B265" s="1" t="n">
        <v>43599</v>
      </c>
      <c r="C265" s="1" t="n">
        <v>45641</v>
      </c>
      <c r="D265" t="inlineStr">
        <is>
          <t>VÄSTERBOTTENS LÄN</t>
        </is>
      </c>
      <c r="E265" t="inlineStr">
        <is>
          <t>SKELLEFTEÅ</t>
        </is>
      </c>
      <c r="G265" t="n">
        <v>3.4</v>
      </c>
      <c r="H265" t="n">
        <v>0</v>
      </c>
      <c r="I265" t="n">
        <v>0</v>
      </c>
      <c r="J265" t="n">
        <v>0</v>
      </c>
      <c r="K265" t="n">
        <v>0</v>
      </c>
      <c r="L265" t="n">
        <v>0</v>
      </c>
      <c r="M265" t="n">
        <v>0</v>
      </c>
      <c r="N265" t="n">
        <v>0</v>
      </c>
      <c r="O265" t="n">
        <v>0</v>
      </c>
      <c r="P265" t="n">
        <v>0</v>
      </c>
      <c r="Q265" t="n">
        <v>0</v>
      </c>
      <c r="R265" s="2" t="inlineStr"/>
    </row>
    <row r="266" ht="15" customHeight="1">
      <c r="A266" t="inlineStr">
        <is>
          <t>A 26115-2019</t>
        </is>
      </c>
      <c r="B266" s="1" t="n">
        <v>43605</v>
      </c>
      <c r="C266" s="1" t="n">
        <v>45641</v>
      </c>
      <c r="D266" t="inlineStr">
        <is>
          <t>VÄSTERBOTTENS LÄN</t>
        </is>
      </c>
      <c r="E266" t="inlineStr">
        <is>
          <t>SKELLEFTEÅ</t>
        </is>
      </c>
      <c r="G266" t="n">
        <v>1.7</v>
      </c>
      <c r="H266" t="n">
        <v>0</v>
      </c>
      <c r="I266" t="n">
        <v>0</v>
      </c>
      <c r="J266" t="n">
        <v>0</v>
      </c>
      <c r="K266" t="n">
        <v>0</v>
      </c>
      <c r="L266" t="n">
        <v>0</v>
      </c>
      <c r="M266" t="n">
        <v>0</v>
      </c>
      <c r="N266" t="n">
        <v>0</v>
      </c>
      <c r="O266" t="n">
        <v>0</v>
      </c>
      <c r="P266" t="n">
        <v>0</v>
      </c>
      <c r="Q266" t="n">
        <v>0</v>
      </c>
      <c r="R266" s="2" t="inlineStr"/>
    </row>
    <row r="267" ht="15" customHeight="1">
      <c r="A267" t="inlineStr">
        <is>
          <t>A 26174-2019</t>
        </is>
      </c>
      <c r="B267" s="1" t="n">
        <v>43605</v>
      </c>
      <c r="C267" s="1" t="n">
        <v>45641</v>
      </c>
      <c r="D267" t="inlineStr">
        <is>
          <t>VÄSTERBOTTENS LÄN</t>
        </is>
      </c>
      <c r="E267" t="inlineStr">
        <is>
          <t>SKELLEFTEÅ</t>
        </is>
      </c>
      <c r="G267" t="n">
        <v>4.3</v>
      </c>
      <c r="H267" t="n">
        <v>0</v>
      </c>
      <c r="I267" t="n">
        <v>0</v>
      </c>
      <c r="J267" t="n">
        <v>0</v>
      </c>
      <c r="K267" t="n">
        <v>0</v>
      </c>
      <c r="L267" t="n">
        <v>0</v>
      </c>
      <c r="M267" t="n">
        <v>0</v>
      </c>
      <c r="N267" t="n">
        <v>0</v>
      </c>
      <c r="O267" t="n">
        <v>0</v>
      </c>
      <c r="P267" t="n">
        <v>0</v>
      </c>
      <c r="Q267" t="n">
        <v>0</v>
      </c>
      <c r="R267" s="2" t="inlineStr"/>
    </row>
    <row r="268" ht="15" customHeight="1">
      <c r="A268" t="inlineStr">
        <is>
          <t>A 26039-2019</t>
        </is>
      </c>
      <c r="B268" s="1" t="n">
        <v>43609</v>
      </c>
      <c r="C268" s="1" t="n">
        <v>45641</v>
      </c>
      <c r="D268" t="inlineStr">
        <is>
          <t>VÄSTERBOTTENS LÄN</t>
        </is>
      </c>
      <c r="E268" t="inlineStr">
        <is>
          <t>SKELLEFTEÅ</t>
        </is>
      </c>
      <c r="G268" t="n">
        <v>3.4</v>
      </c>
      <c r="H268" t="n">
        <v>0</v>
      </c>
      <c r="I268" t="n">
        <v>0</v>
      </c>
      <c r="J268" t="n">
        <v>0</v>
      </c>
      <c r="K268" t="n">
        <v>0</v>
      </c>
      <c r="L268" t="n">
        <v>0</v>
      </c>
      <c r="M268" t="n">
        <v>0</v>
      </c>
      <c r="N268" t="n">
        <v>0</v>
      </c>
      <c r="O268" t="n">
        <v>0</v>
      </c>
      <c r="P268" t="n">
        <v>0</v>
      </c>
      <c r="Q268" t="n">
        <v>0</v>
      </c>
      <c r="R268" s="2" t="inlineStr"/>
    </row>
    <row r="269" ht="15" customHeight="1">
      <c r="A269" t="inlineStr">
        <is>
          <t>A 26148-2019</t>
        </is>
      </c>
      <c r="B269" s="1" t="n">
        <v>43609</v>
      </c>
      <c r="C269" s="1" t="n">
        <v>45641</v>
      </c>
      <c r="D269" t="inlineStr">
        <is>
          <t>VÄSTERBOTTENS LÄN</t>
        </is>
      </c>
      <c r="E269" t="inlineStr">
        <is>
          <t>SKELLEFTEÅ</t>
        </is>
      </c>
      <c r="G269" t="n">
        <v>4.5</v>
      </c>
      <c r="H269" t="n">
        <v>0</v>
      </c>
      <c r="I269" t="n">
        <v>0</v>
      </c>
      <c r="J269" t="n">
        <v>0</v>
      </c>
      <c r="K269" t="n">
        <v>0</v>
      </c>
      <c r="L269" t="n">
        <v>0</v>
      </c>
      <c r="M269" t="n">
        <v>0</v>
      </c>
      <c r="N269" t="n">
        <v>0</v>
      </c>
      <c r="O269" t="n">
        <v>0</v>
      </c>
      <c r="P269" t="n">
        <v>0</v>
      </c>
      <c r="Q269" t="n">
        <v>0</v>
      </c>
      <c r="R269" s="2" t="inlineStr"/>
    </row>
    <row r="270" ht="15" customHeight="1">
      <c r="A270" t="inlineStr">
        <is>
          <t>A 26180-2019</t>
        </is>
      </c>
      <c r="B270" s="1" t="n">
        <v>43609</v>
      </c>
      <c r="C270" s="1" t="n">
        <v>45641</v>
      </c>
      <c r="D270" t="inlineStr">
        <is>
          <t>VÄSTERBOTTENS LÄN</t>
        </is>
      </c>
      <c r="E270" t="inlineStr">
        <is>
          <t>SKELLEFTEÅ</t>
        </is>
      </c>
      <c r="G270" t="n">
        <v>6</v>
      </c>
      <c r="H270" t="n">
        <v>0</v>
      </c>
      <c r="I270" t="n">
        <v>0</v>
      </c>
      <c r="J270" t="n">
        <v>0</v>
      </c>
      <c r="K270" t="n">
        <v>0</v>
      </c>
      <c r="L270" t="n">
        <v>0</v>
      </c>
      <c r="M270" t="n">
        <v>0</v>
      </c>
      <c r="N270" t="n">
        <v>0</v>
      </c>
      <c r="O270" t="n">
        <v>0</v>
      </c>
      <c r="P270" t="n">
        <v>0</v>
      </c>
      <c r="Q270" t="n">
        <v>0</v>
      </c>
      <c r="R270" s="2" t="inlineStr"/>
    </row>
    <row r="271" ht="15" customHeight="1">
      <c r="A271" t="inlineStr">
        <is>
          <t>A 26075-2019</t>
        </is>
      </c>
      <c r="B271" s="1" t="n">
        <v>43609</v>
      </c>
      <c r="C271" s="1" t="n">
        <v>45641</v>
      </c>
      <c r="D271" t="inlineStr">
        <is>
          <t>VÄSTERBOTTENS LÄN</t>
        </is>
      </c>
      <c r="E271" t="inlineStr">
        <is>
          <t>SKELLEFTEÅ</t>
        </is>
      </c>
      <c r="G271" t="n">
        <v>1.4</v>
      </c>
      <c r="H271" t="n">
        <v>0</v>
      </c>
      <c r="I271" t="n">
        <v>0</v>
      </c>
      <c r="J271" t="n">
        <v>0</v>
      </c>
      <c r="K271" t="n">
        <v>0</v>
      </c>
      <c r="L271" t="n">
        <v>0</v>
      </c>
      <c r="M271" t="n">
        <v>0</v>
      </c>
      <c r="N271" t="n">
        <v>0</v>
      </c>
      <c r="O271" t="n">
        <v>0</v>
      </c>
      <c r="P271" t="n">
        <v>0</v>
      </c>
      <c r="Q271" t="n">
        <v>0</v>
      </c>
      <c r="R271" s="2" t="inlineStr"/>
    </row>
    <row r="272" ht="15" customHeight="1">
      <c r="A272" t="inlineStr">
        <is>
          <t>A 26859-2019</t>
        </is>
      </c>
      <c r="B272" s="1" t="n">
        <v>43613</v>
      </c>
      <c r="C272" s="1" t="n">
        <v>45641</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28114-2019</t>
        </is>
      </c>
      <c r="B273" s="1" t="n">
        <v>43613</v>
      </c>
      <c r="C273" s="1" t="n">
        <v>45641</v>
      </c>
      <c r="D273" t="inlineStr">
        <is>
          <t>VÄSTERBOTTENS LÄN</t>
        </is>
      </c>
      <c r="E273" t="inlineStr">
        <is>
          <t>SKELLEFTEÅ</t>
        </is>
      </c>
      <c r="G273" t="n">
        <v>4.4</v>
      </c>
      <c r="H273" t="n">
        <v>0</v>
      </c>
      <c r="I273" t="n">
        <v>0</v>
      </c>
      <c r="J273" t="n">
        <v>0</v>
      </c>
      <c r="K273" t="n">
        <v>0</v>
      </c>
      <c r="L273" t="n">
        <v>0</v>
      </c>
      <c r="M273" t="n">
        <v>0</v>
      </c>
      <c r="N273" t="n">
        <v>0</v>
      </c>
      <c r="O273" t="n">
        <v>0</v>
      </c>
      <c r="P273" t="n">
        <v>0</v>
      </c>
      <c r="Q273" t="n">
        <v>0</v>
      </c>
      <c r="R273" s="2" t="inlineStr"/>
    </row>
    <row r="274" ht="15" customHeight="1">
      <c r="A274" t="inlineStr">
        <is>
          <t>A 26907-2019</t>
        </is>
      </c>
      <c r="B274" s="1" t="n">
        <v>43613</v>
      </c>
      <c r="C274" s="1" t="n">
        <v>45641</v>
      </c>
      <c r="D274" t="inlineStr">
        <is>
          <t>VÄSTERBOTTENS LÄN</t>
        </is>
      </c>
      <c r="E274" t="inlineStr">
        <is>
          <t>SKELLEFTEÅ</t>
        </is>
      </c>
      <c r="G274" t="n">
        <v>0.3</v>
      </c>
      <c r="H274" t="n">
        <v>0</v>
      </c>
      <c r="I274" t="n">
        <v>0</v>
      </c>
      <c r="J274" t="n">
        <v>0</v>
      </c>
      <c r="K274" t="n">
        <v>0</v>
      </c>
      <c r="L274" t="n">
        <v>0</v>
      </c>
      <c r="M274" t="n">
        <v>0</v>
      </c>
      <c r="N274" t="n">
        <v>0</v>
      </c>
      <c r="O274" t="n">
        <v>0</v>
      </c>
      <c r="P274" t="n">
        <v>0</v>
      </c>
      <c r="Q274" t="n">
        <v>0</v>
      </c>
      <c r="R274" s="2" t="inlineStr"/>
    </row>
    <row r="275" ht="15" customHeight="1">
      <c r="A275" t="inlineStr">
        <is>
          <t>A 28920-2019</t>
        </is>
      </c>
      <c r="B275" s="1" t="n">
        <v>43619</v>
      </c>
      <c r="C275" s="1" t="n">
        <v>45641</v>
      </c>
      <c r="D275" t="inlineStr">
        <is>
          <t>VÄSTERBOTTENS LÄN</t>
        </is>
      </c>
      <c r="E275" t="inlineStr">
        <is>
          <t>SKELLEFTEÅ</t>
        </is>
      </c>
      <c r="G275" t="n">
        <v>8.1</v>
      </c>
      <c r="H275" t="n">
        <v>0</v>
      </c>
      <c r="I275" t="n">
        <v>0</v>
      </c>
      <c r="J275" t="n">
        <v>0</v>
      </c>
      <c r="K275" t="n">
        <v>0</v>
      </c>
      <c r="L275" t="n">
        <v>0</v>
      </c>
      <c r="M275" t="n">
        <v>0</v>
      </c>
      <c r="N275" t="n">
        <v>0</v>
      </c>
      <c r="O275" t="n">
        <v>0</v>
      </c>
      <c r="P275" t="n">
        <v>0</v>
      </c>
      <c r="Q275" t="n">
        <v>0</v>
      </c>
      <c r="R275" s="2" t="inlineStr"/>
    </row>
    <row r="276" ht="15" customHeight="1">
      <c r="A276" t="inlineStr">
        <is>
          <t>A 28983-2019</t>
        </is>
      </c>
      <c r="B276" s="1" t="n">
        <v>43620</v>
      </c>
      <c r="C276" s="1" t="n">
        <v>45641</v>
      </c>
      <c r="D276" t="inlineStr">
        <is>
          <t>VÄSTERBOTTENS LÄN</t>
        </is>
      </c>
      <c r="E276" t="inlineStr">
        <is>
          <t>SKELLEFTEÅ</t>
        </is>
      </c>
      <c r="G276" t="n">
        <v>5.2</v>
      </c>
      <c r="H276" t="n">
        <v>0</v>
      </c>
      <c r="I276" t="n">
        <v>0</v>
      </c>
      <c r="J276" t="n">
        <v>0</v>
      </c>
      <c r="K276" t="n">
        <v>0</v>
      </c>
      <c r="L276" t="n">
        <v>0</v>
      </c>
      <c r="M276" t="n">
        <v>0</v>
      </c>
      <c r="N276" t="n">
        <v>0</v>
      </c>
      <c r="O276" t="n">
        <v>0</v>
      </c>
      <c r="P276" t="n">
        <v>0</v>
      </c>
      <c r="Q276" t="n">
        <v>0</v>
      </c>
      <c r="R276" s="2" t="inlineStr"/>
    </row>
    <row r="277" ht="15" customHeight="1">
      <c r="A277" t="inlineStr">
        <is>
          <t>A 29034-2019</t>
        </is>
      </c>
      <c r="B277" s="1" t="n">
        <v>43620</v>
      </c>
      <c r="C277" s="1" t="n">
        <v>45641</v>
      </c>
      <c r="D277" t="inlineStr">
        <is>
          <t>VÄSTERBOTTENS LÄN</t>
        </is>
      </c>
      <c r="E277" t="inlineStr">
        <is>
          <t>SKELLEFTEÅ</t>
        </is>
      </c>
      <c r="G277" t="n">
        <v>5.9</v>
      </c>
      <c r="H277" t="n">
        <v>0</v>
      </c>
      <c r="I277" t="n">
        <v>0</v>
      </c>
      <c r="J277" t="n">
        <v>0</v>
      </c>
      <c r="K277" t="n">
        <v>0</v>
      </c>
      <c r="L277" t="n">
        <v>0</v>
      </c>
      <c r="M277" t="n">
        <v>0</v>
      </c>
      <c r="N277" t="n">
        <v>0</v>
      </c>
      <c r="O277" t="n">
        <v>0</v>
      </c>
      <c r="P277" t="n">
        <v>0</v>
      </c>
      <c r="Q277" t="n">
        <v>0</v>
      </c>
      <c r="R277" s="2" t="inlineStr"/>
    </row>
    <row r="278" ht="15" customHeight="1">
      <c r="A278" t="inlineStr">
        <is>
          <t>A 28979-2019</t>
        </is>
      </c>
      <c r="B278" s="1" t="n">
        <v>43620</v>
      </c>
      <c r="C278" s="1" t="n">
        <v>45641</v>
      </c>
      <c r="D278" t="inlineStr">
        <is>
          <t>VÄSTERBOTTENS LÄN</t>
        </is>
      </c>
      <c r="E278" t="inlineStr">
        <is>
          <t>SKELLEFTEÅ</t>
        </is>
      </c>
      <c r="G278" t="n">
        <v>4.6</v>
      </c>
      <c r="H278" t="n">
        <v>0</v>
      </c>
      <c r="I278" t="n">
        <v>0</v>
      </c>
      <c r="J278" t="n">
        <v>0</v>
      </c>
      <c r="K278" t="n">
        <v>0</v>
      </c>
      <c r="L278" t="n">
        <v>0</v>
      </c>
      <c r="M278" t="n">
        <v>0</v>
      </c>
      <c r="N278" t="n">
        <v>0</v>
      </c>
      <c r="O278" t="n">
        <v>0</v>
      </c>
      <c r="P278" t="n">
        <v>0</v>
      </c>
      <c r="Q278" t="n">
        <v>0</v>
      </c>
      <c r="R278" s="2" t="inlineStr"/>
    </row>
    <row r="279" ht="15" customHeight="1">
      <c r="A279" t="inlineStr">
        <is>
          <t>A 28211-2019</t>
        </is>
      </c>
      <c r="B279" s="1" t="n">
        <v>43621</v>
      </c>
      <c r="C279" s="1" t="n">
        <v>45641</v>
      </c>
      <c r="D279" t="inlineStr">
        <is>
          <t>VÄSTERBOTTENS LÄN</t>
        </is>
      </c>
      <c r="E279" t="inlineStr">
        <is>
          <t>SKELLEFTEÅ</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28612-2019</t>
        </is>
      </c>
      <c r="B280" s="1" t="n">
        <v>43626</v>
      </c>
      <c r="C280" s="1" t="n">
        <v>45641</v>
      </c>
      <c r="D280" t="inlineStr">
        <is>
          <t>VÄSTERBOTTENS LÄN</t>
        </is>
      </c>
      <c r="E280" t="inlineStr">
        <is>
          <t>SKELLEFTEÅ</t>
        </is>
      </c>
      <c r="G280" t="n">
        <v>6.7</v>
      </c>
      <c r="H280" t="n">
        <v>0</v>
      </c>
      <c r="I280" t="n">
        <v>0</v>
      </c>
      <c r="J280" t="n">
        <v>0</v>
      </c>
      <c r="K280" t="n">
        <v>0</v>
      </c>
      <c r="L280" t="n">
        <v>0</v>
      </c>
      <c r="M280" t="n">
        <v>0</v>
      </c>
      <c r="N280" t="n">
        <v>0</v>
      </c>
      <c r="O280" t="n">
        <v>0</v>
      </c>
      <c r="P280" t="n">
        <v>0</v>
      </c>
      <c r="Q280" t="n">
        <v>0</v>
      </c>
      <c r="R280" s="2" t="inlineStr"/>
    </row>
    <row r="281" ht="15" customHeight="1">
      <c r="A281" t="inlineStr">
        <is>
          <t>A 28777-2019</t>
        </is>
      </c>
      <c r="B281" s="1" t="n">
        <v>43627</v>
      </c>
      <c r="C281" s="1" t="n">
        <v>45641</v>
      </c>
      <c r="D281" t="inlineStr">
        <is>
          <t>VÄSTERBOTTENS LÄN</t>
        </is>
      </c>
      <c r="E281" t="inlineStr">
        <is>
          <t>SKELLEFTEÅ</t>
        </is>
      </c>
      <c r="G281" t="n">
        <v>5</v>
      </c>
      <c r="H281" t="n">
        <v>0</v>
      </c>
      <c r="I281" t="n">
        <v>0</v>
      </c>
      <c r="J281" t="n">
        <v>0</v>
      </c>
      <c r="K281" t="n">
        <v>0</v>
      </c>
      <c r="L281" t="n">
        <v>0</v>
      </c>
      <c r="M281" t="n">
        <v>0</v>
      </c>
      <c r="N281" t="n">
        <v>0</v>
      </c>
      <c r="O281" t="n">
        <v>0</v>
      </c>
      <c r="P281" t="n">
        <v>0</v>
      </c>
      <c r="Q281" t="n">
        <v>0</v>
      </c>
      <c r="R281" s="2" t="inlineStr"/>
    </row>
    <row r="282" ht="15" customHeight="1">
      <c r="A282" t="inlineStr">
        <is>
          <t>A 29053-2019</t>
        </is>
      </c>
      <c r="B282" s="1" t="n">
        <v>43628</v>
      </c>
      <c r="C282" s="1" t="n">
        <v>45641</v>
      </c>
      <c r="D282" t="inlineStr">
        <is>
          <t>VÄSTERBOTTENS LÄN</t>
        </is>
      </c>
      <c r="E282" t="inlineStr">
        <is>
          <t>SKELLEFTEÅ</t>
        </is>
      </c>
      <c r="G282" t="n">
        <v>8.6</v>
      </c>
      <c r="H282" t="n">
        <v>0</v>
      </c>
      <c r="I282" t="n">
        <v>0</v>
      </c>
      <c r="J282" t="n">
        <v>0</v>
      </c>
      <c r="K282" t="n">
        <v>0</v>
      </c>
      <c r="L282" t="n">
        <v>0</v>
      </c>
      <c r="M282" t="n">
        <v>0</v>
      </c>
      <c r="N282" t="n">
        <v>0</v>
      </c>
      <c r="O282" t="n">
        <v>0</v>
      </c>
      <c r="P282" t="n">
        <v>0</v>
      </c>
      <c r="Q282" t="n">
        <v>0</v>
      </c>
      <c r="R282" s="2" t="inlineStr"/>
    </row>
    <row r="283" ht="15" customHeight="1">
      <c r="A283" t="inlineStr">
        <is>
          <t>A 29321-2019</t>
        </is>
      </c>
      <c r="B283" s="1" t="n">
        <v>43629</v>
      </c>
      <c r="C283" s="1" t="n">
        <v>45641</v>
      </c>
      <c r="D283" t="inlineStr">
        <is>
          <t>VÄSTERBOTTENS LÄN</t>
        </is>
      </c>
      <c r="E283" t="inlineStr">
        <is>
          <t>SKELLEFTEÅ</t>
        </is>
      </c>
      <c r="F283" t="inlineStr">
        <is>
          <t>Holmen skog AB</t>
        </is>
      </c>
      <c r="G283" t="n">
        <v>12.6</v>
      </c>
      <c r="H283" t="n">
        <v>0</v>
      </c>
      <c r="I283" t="n">
        <v>0</v>
      </c>
      <c r="J283" t="n">
        <v>0</v>
      </c>
      <c r="K283" t="n">
        <v>0</v>
      </c>
      <c r="L283" t="n">
        <v>0</v>
      </c>
      <c r="M283" t="n">
        <v>0</v>
      </c>
      <c r="N283" t="n">
        <v>0</v>
      </c>
      <c r="O283" t="n">
        <v>0</v>
      </c>
      <c r="P283" t="n">
        <v>0</v>
      </c>
      <c r="Q283" t="n">
        <v>0</v>
      </c>
      <c r="R283" s="2" t="inlineStr"/>
    </row>
    <row r="284" ht="15" customHeight="1">
      <c r="A284" t="inlineStr">
        <is>
          <t>A 29383-2019</t>
        </is>
      </c>
      <c r="B284" s="1" t="n">
        <v>43629</v>
      </c>
      <c r="C284" s="1" t="n">
        <v>45641</v>
      </c>
      <c r="D284" t="inlineStr">
        <is>
          <t>VÄSTERBOTTENS LÄN</t>
        </is>
      </c>
      <c r="E284" t="inlineStr">
        <is>
          <t>SKELLEFTEÅ</t>
        </is>
      </c>
      <c r="F284" t="inlineStr">
        <is>
          <t>Holmen skog AB</t>
        </is>
      </c>
      <c r="G284" t="n">
        <v>6.5</v>
      </c>
      <c r="H284" t="n">
        <v>0</v>
      </c>
      <c r="I284" t="n">
        <v>0</v>
      </c>
      <c r="J284" t="n">
        <v>0</v>
      </c>
      <c r="K284" t="n">
        <v>0</v>
      </c>
      <c r="L284" t="n">
        <v>0</v>
      </c>
      <c r="M284" t="n">
        <v>0</v>
      </c>
      <c r="N284" t="n">
        <v>0</v>
      </c>
      <c r="O284" t="n">
        <v>0</v>
      </c>
      <c r="P284" t="n">
        <v>0</v>
      </c>
      <c r="Q284" t="n">
        <v>0</v>
      </c>
      <c r="R284" s="2" t="inlineStr"/>
    </row>
    <row r="285" ht="15" customHeight="1">
      <c r="A285" t="inlineStr">
        <is>
          <t>A 30559-2019</t>
        </is>
      </c>
      <c r="B285" s="1" t="n">
        <v>43634</v>
      </c>
      <c r="C285" s="1" t="n">
        <v>45641</v>
      </c>
      <c r="D285" t="inlineStr">
        <is>
          <t>VÄSTERBOTTENS LÄN</t>
        </is>
      </c>
      <c r="E285" t="inlineStr">
        <is>
          <t>SKELLEFTEÅ</t>
        </is>
      </c>
      <c r="G285" t="n">
        <v>4.6</v>
      </c>
      <c r="H285" t="n">
        <v>0</v>
      </c>
      <c r="I285" t="n">
        <v>0</v>
      </c>
      <c r="J285" t="n">
        <v>0</v>
      </c>
      <c r="K285" t="n">
        <v>0</v>
      </c>
      <c r="L285" t="n">
        <v>0</v>
      </c>
      <c r="M285" t="n">
        <v>0</v>
      </c>
      <c r="N285" t="n">
        <v>0</v>
      </c>
      <c r="O285" t="n">
        <v>0</v>
      </c>
      <c r="P285" t="n">
        <v>0</v>
      </c>
      <c r="Q285" t="n">
        <v>0</v>
      </c>
      <c r="R285" s="2" t="inlineStr"/>
    </row>
    <row r="286" ht="15" customHeight="1">
      <c r="A286" t="inlineStr">
        <is>
          <t>A 30452-2019</t>
        </is>
      </c>
      <c r="B286" s="1" t="n">
        <v>43635</v>
      </c>
      <c r="C286" s="1" t="n">
        <v>45641</v>
      </c>
      <c r="D286" t="inlineStr">
        <is>
          <t>VÄSTERBOTTENS LÄN</t>
        </is>
      </c>
      <c r="E286" t="inlineStr">
        <is>
          <t>SKELLEFTEÅ</t>
        </is>
      </c>
      <c r="G286" t="n">
        <v>1.1</v>
      </c>
      <c r="H286" t="n">
        <v>0</v>
      </c>
      <c r="I286" t="n">
        <v>0</v>
      </c>
      <c r="J286" t="n">
        <v>0</v>
      </c>
      <c r="K286" t="n">
        <v>0</v>
      </c>
      <c r="L286" t="n">
        <v>0</v>
      </c>
      <c r="M286" t="n">
        <v>0</v>
      </c>
      <c r="N286" t="n">
        <v>0</v>
      </c>
      <c r="O286" t="n">
        <v>0</v>
      </c>
      <c r="P286" t="n">
        <v>0</v>
      </c>
      <c r="Q286" t="n">
        <v>0</v>
      </c>
      <c r="R286" s="2" t="inlineStr"/>
    </row>
    <row r="287" ht="15" customHeight="1">
      <c r="A287" t="inlineStr">
        <is>
          <t>A 30754-2019</t>
        </is>
      </c>
      <c r="B287" s="1" t="n">
        <v>43636</v>
      </c>
      <c r="C287" s="1" t="n">
        <v>45641</v>
      </c>
      <c r="D287" t="inlineStr">
        <is>
          <t>VÄSTERBOTTENS LÄN</t>
        </is>
      </c>
      <c r="E287" t="inlineStr">
        <is>
          <t>SKELLEFTEÅ</t>
        </is>
      </c>
      <c r="F287" t="inlineStr">
        <is>
          <t>Holmen skog AB</t>
        </is>
      </c>
      <c r="G287" t="n">
        <v>9.4</v>
      </c>
      <c r="H287" t="n">
        <v>0</v>
      </c>
      <c r="I287" t="n">
        <v>0</v>
      </c>
      <c r="J287" t="n">
        <v>0</v>
      </c>
      <c r="K287" t="n">
        <v>0</v>
      </c>
      <c r="L287" t="n">
        <v>0</v>
      </c>
      <c r="M287" t="n">
        <v>0</v>
      </c>
      <c r="N287" t="n">
        <v>0</v>
      </c>
      <c r="O287" t="n">
        <v>0</v>
      </c>
      <c r="P287" t="n">
        <v>0</v>
      </c>
      <c r="Q287" t="n">
        <v>0</v>
      </c>
      <c r="R287" s="2" t="inlineStr"/>
    </row>
    <row r="288" ht="15" customHeight="1">
      <c r="A288" t="inlineStr">
        <is>
          <t>A 30804-2019</t>
        </is>
      </c>
      <c r="B288" s="1" t="n">
        <v>43636</v>
      </c>
      <c r="C288" s="1" t="n">
        <v>45641</v>
      </c>
      <c r="D288" t="inlineStr">
        <is>
          <t>VÄSTERBOTTENS LÄN</t>
        </is>
      </c>
      <c r="E288" t="inlineStr">
        <is>
          <t>SKELLEFTEÅ</t>
        </is>
      </c>
      <c r="F288" t="inlineStr">
        <is>
          <t>Holmen skog AB</t>
        </is>
      </c>
      <c r="G288" t="n">
        <v>3.9</v>
      </c>
      <c r="H288" t="n">
        <v>0</v>
      </c>
      <c r="I288" t="n">
        <v>0</v>
      </c>
      <c r="J288" t="n">
        <v>0</v>
      </c>
      <c r="K288" t="n">
        <v>0</v>
      </c>
      <c r="L288" t="n">
        <v>0</v>
      </c>
      <c r="M288" t="n">
        <v>0</v>
      </c>
      <c r="N288" t="n">
        <v>0</v>
      </c>
      <c r="O288" t="n">
        <v>0</v>
      </c>
      <c r="P288" t="n">
        <v>0</v>
      </c>
      <c r="Q288" t="n">
        <v>0</v>
      </c>
      <c r="R288" s="2" t="inlineStr"/>
    </row>
    <row r="289" ht="15" customHeight="1">
      <c r="A289" t="inlineStr">
        <is>
          <t>A 31012-2019</t>
        </is>
      </c>
      <c r="B289" s="1" t="n">
        <v>43640</v>
      </c>
      <c r="C289" s="1" t="n">
        <v>45641</v>
      </c>
      <c r="D289" t="inlineStr">
        <is>
          <t>VÄSTERBOTTENS LÄN</t>
        </is>
      </c>
      <c r="E289" t="inlineStr">
        <is>
          <t>SKELLEFTEÅ</t>
        </is>
      </c>
      <c r="F289" t="inlineStr">
        <is>
          <t>Holmen skog AB</t>
        </is>
      </c>
      <c r="G289" t="n">
        <v>6.3</v>
      </c>
      <c r="H289" t="n">
        <v>0</v>
      </c>
      <c r="I289" t="n">
        <v>0</v>
      </c>
      <c r="J289" t="n">
        <v>0</v>
      </c>
      <c r="K289" t="n">
        <v>0</v>
      </c>
      <c r="L289" t="n">
        <v>0</v>
      </c>
      <c r="M289" t="n">
        <v>0</v>
      </c>
      <c r="N289" t="n">
        <v>0</v>
      </c>
      <c r="O289" t="n">
        <v>0</v>
      </c>
      <c r="P289" t="n">
        <v>0</v>
      </c>
      <c r="Q289" t="n">
        <v>0</v>
      </c>
      <c r="R289" s="2" t="inlineStr"/>
      <c r="U289">
        <f>HYPERLINK("https://klasma.github.io/Logging_2482/knärot/A 31012-2019 karta knärot.png", "A 31012-2019")</f>
        <v/>
      </c>
      <c r="V289">
        <f>HYPERLINK("https://klasma.github.io/Logging_2482/klagomål/A 31012-2019 FSC-klagomål.docx", "A 31012-2019")</f>
        <v/>
      </c>
      <c r="W289">
        <f>HYPERLINK("https://klasma.github.io/Logging_2482/klagomålsmail/A 31012-2019 FSC-klagomål mail.docx", "A 31012-2019")</f>
        <v/>
      </c>
      <c r="X289">
        <f>HYPERLINK("https://klasma.github.io/Logging_2482/tillsyn/A 31012-2019 tillsynsbegäran.docx", "A 31012-2019")</f>
        <v/>
      </c>
      <c r="Y289">
        <f>HYPERLINK("https://klasma.github.io/Logging_2482/tillsynsmail/A 31012-2019 tillsynsbegäran mail.docx", "A 31012-2019")</f>
        <v/>
      </c>
    </row>
    <row r="290" ht="15" customHeight="1">
      <c r="A290" t="inlineStr">
        <is>
          <t>A 31500-2019</t>
        </is>
      </c>
      <c r="B290" s="1" t="n">
        <v>43641</v>
      </c>
      <c r="C290" s="1" t="n">
        <v>45641</v>
      </c>
      <c r="D290" t="inlineStr">
        <is>
          <t>VÄSTERBOTTENS LÄN</t>
        </is>
      </c>
      <c r="E290" t="inlineStr">
        <is>
          <t>SKELLEFTEÅ</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31322-2019</t>
        </is>
      </c>
      <c r="B291" s="1" t="n">
        <v>43641</v>
      </c>
      <c r="C291" s="1" t="n">
        <v>45641</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31629-2019</t>
        </is>
      </c>
      <c r="B292" s="1" t="n">
        <v>43642</v>
      </c>
      <c r="C292" s="1" t="n">
        <v>45641</v>
      </c>
      <c r="D292" t="inlineStr">
        <is>
          <t>VÄSTERBOTTENS LÄN</t>
        </is>
      </c>
      <c r="E292" t="inlineStr">
        <is>
          <t>SKELLEFTEÅ</t>
        </is>
      </c>
      <c r="F292" t="inlineStr">
        <is>
          <t>Holmen skog AB</t>
        </is>
      </c>
      <c r="G292" t="n">
        <v>6.6</v>
      </c>
      <c r="H292" t="n">
        <v>0</v>
      </c>
      <c r="I292" t="n">
        <v>0</v>
      </c>
      <c r="J292" t="n">
        <v>0</v>
      </c>
      <c r="K292" t="n">
        <v>0</v>
      </c>
      <c r="L292" t="n">
        <v>0</v>
      </c>
      <c r="M292" t="n">
        <v>0</v>
      </c>
      <c r="N292" t="n">
        <v>0</v>
      </c>
      <c r="O292" t="n">
        <v>0</v>
      </c>
      <c r="P292" t="n">
        <v>0</v>
      </c>
      <c r="Q292" t="n">
        <v>0</v>
      </c>
      <c r="R292" s="2" t="inlineStr"/>
    </row>
    <row r="293" ht="15" customHeight="1">
      <c r="A293" t="inlineStr">
        <is>
          <t>A 32239-2019</t>
        </is>
      </c>
      <c r="B293" s="1" t="n">
        <v>43644</v>
      </c>
      <c r="C293" s="1" t="n">
        <v>45641</v>
      </c>
      <c r="D293" t="inlineStr">
        <is>
          <t>VÄSTERBOTTENS LÄN</t>
        </is>
      </c>
      <c r="E293" t="inlineStr">
        <is>
          <t>SKELLEFTEÅ</t>
        </is>
      </c>
      <c r="F293" t="inlineStr">
        <is>
          <t>Kyrkan</t>
        </is>
      </c>
      <c r="G293" t="n">
        <v>5.2</v>
      </c>
      <c r="H293" t="n">
        <v>0</v>
      </c>
      <c r="I293" t="n">
        <v>0</v>
      </c>
      <c r="J293" t="n">
        <v>0</v>
      </c>
      <c r="K293" t="n">
        <v>0</v>
      </c>
      <c r="L293" t="n">
        <v>0</v>
      </c>
      <c r="M293" t="n">
        <v>0</v>
      </c>
      <c r="N293" t="n">
        <v>0</v>
      </c>
      <c r="O293" t="n">
        <v>0</v>
      </c>
      <c r="P293" t="n">
        <v>0</v>
      </c>
      <c r="Q293" t="n">
        <v>0</v>
      </c>
      <c r="R293" s="2" t="inlineStr"/>
    </row>
    <row r="294" ht="15" customHeight="1">
      <c r="A294" t="inlineStr">
        <is>
          <t>A 32343-2019</t>
        </is>
      </c>
      <c r="B294" s="1" t="n">
        <v>43644</v>
      </c>
      <c r="C294" s="1" t="n">
        <v>45641</v>
      </c>
      <c r="D294" t="inlineStr">
        <is>
          <t>VÄSTERBOTTENS LÄN</t>
        </is>
      </c>
      <c r="E294" t="inlineStr">
        <is>
          <t>SKELLEFTEÅ</t>
        </is>
      </c>
      <c r="F294" t="inlineStr">
        <is>
          <t>Holmen skog AB</t>
        </is>
      </c>
      <c r="G294" t="n">
        <v>12.8</v>
      </c>
      <c r="H294" t="n">
        <v>0</v>
      </c>
      <c r="I294" t="n">
        <v>0</v>
      </c>
      <c r="J294" t="n">
        <v>0</v>
      </c>
      <c r="K294" t="n">
        <v>0</v>
      </c>
      <c r="L294" t="n">
        <v>0</v>
      </c>
      <c r="M294" t="n">
        <v>0</v>
      </c>
      <c r="N294" t="n">
        <v>0</v>
      </c>
      <c r="O294" t="n">
        <v>0</v>
      </c>
      <c r="P294" t="n">
        <v>0</v>
      </c>
      <c r="Q294" t="n">
        <v>0</v>
      </c>
      <c r="R294" s="2" t="inlineStr"/>
    </row>
    <row r="295" ht="15" customHeight="1">
      <c r="A295" t="inlineStr">
        <is>
          <t>A 32606-2019</t>
        </is>
      </c>
      <c r="B295" s="1" t="n">
        <v>43647</v>
      </c>
      <c r="C295" s="1" t="n">
        <v>45641</v>
      </c>
      <c r="D295" t="inlineStr">
        <is>
          <t>VÄSTERBOTTENS LÄN</t>
        </is>
      </c>
      <c r="E295" t="inlineStr">
        <is>
          <t>SKELLEFTEÅ</t>
        </is>
      </c>
      <c r="F295" t="inlineStr">
        <is>
          <t>Holmen skog AB</t>
        </is>
      </c>
      <c r="G295" t="n">
        <v>7.3</v>
      </c>
      <c r="H295" t="n">
        <v>0</v>
      </c>
      <c r="I295" t="n">
        <v>0</v>
      </c>
      <c r="J295" t="n">
        <v>0</v>
      </c>
      <c r="K295" t="n">
        <v>0</v>
      </c>
      <c r="L295" t="n">
        <v>0</v>
      </c>
      <c r="M295" t="n">
        <v>0</v>
      </c>
      <c r="N295" t="n">
        <v>0</v>
      </c>
      <c r="O295" t="n">
        <v>0</v>
      </c>
      <c r="P295" t="n">
        <v>0</v>
      </c>
      <c r="Q295" t="n">
        <v>0</v>
      </c>
      <c r="R295" s="2" t="inlineStr"/>
    </row>
    <row r="296" ht="15" customHeight="1">
      <c r="A296" t="inlineStr">
        <is>
          <t>A 34575-2019</t>
        </is>
      </c>
      <c r="B296" s="1" t="n">
        <v>43647</v>
      </c>
      <c r="C296" s="1" t="n">
        <v>45641</v>
      </c>
      <c r="D296" t="inlineStr">
        <is>
          <t>VÄSTERBOTTENS LÄN</t>
        </is>
      </c>
      <c r="E296" t="inlineStr">
        <is>
          <t>SKELLEFTEÅ</t>
        </is>
      </c>
      <c r="G296" t="n">
        <v>1.8</v>
      </c>
      <c r="H296" t="n">
        <v>0</v>
      </c>
      <c r="I296" t="n">
        <v>0</v>
      </c>
      <c r="J296" t="n">
        <v>0</v>
      </c>
      <c r="K296" t="n">
        <v>0</v>
      </c>
      <c r="L296" t="n">
        <v>0</v>
      </c>
      <c r="M296" t="n">
        <v>0</v>
      </c>
      <c r="N296" t="n">
        <v>0</v>
      </c>
      <c r="O296" t="n">
        <v>0</v>
      </c>
      <c r="P296" t="n">
        <v>0</v>
      </c>
      <c r="Q296" t="n">
        <v>0</v>
      </c>
      <c r="R296" s="2" t="inlineStr"/>
    </row>
    <row r="297" ht="15" customHeight="1">
      <c r="A297" t="inlineStr">
        <is>
          <t>A 34645-2019</t>
        </is>
      </c>
      <c r="B297" s="1" t="n">
        <v>43647</v>
      </c>
      <c r="C297" s="1" t="n">
        <v>45641</v>
      </c>
      <c r="D297" t="inlineStr">
        <is>
          <t>VÄSTERBOTTENS LÄN</t>
        </is>
      </c>
      <c r="E297" t="inlineStr">
        <is>
          <t>SKELLEFTEÅ</t>
        </is>
      </c>
      <c r="G297" t="n">
        <v>2</v>
      </c>
      <c r="H297" t="n">
        <v>0</v>
      </c>
      <c r="I297" t="n">
        <v>0</v>
      </c>
      <c r="J297" t="n">
        <v>0</v>
      </c>
      <c r="K297" t="n">
        <v>0</v>
      </c>
      <c r="L297" t="n">
        <v>0</v>
      </c>
      <c r="M297" t="n">
        <v>0</v>
      </c>
      <c r="N297" t="n">
        <v>0</v>
      </c>
      <c r="O297" t="n">
        <v>0</v>
      </c>
      <c r="P297" t="n">
        <v>0</v>
      </c>
      <c r="Q297" t="n">
        <v>0</v>
      </c>
      <c r="R297" s="2" t="inlineStr"/>
    </row>
    <row r="298" ht="15" customHeight="1">
      <c r="A298" t="inlineStr">
        <is>
          <t>A 32679-2019</t>
        </is>
      </c>
      <c r="B298" s="1" t="n">
        <v>43647</v>
      </c>
      <c r="C298" s="1" t="n">
        <v>45641</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34627-2019</t>
        </is>
      </c>
      <c r="B299" s="1" t="n">
        <v>43647</v>
      </c>
      <c r="C299" s="1" t="n">
        <v>45641</v>
      </c>
      <c r="D299" t="inlineStr">
        <is>
          <t>VÄSTERBOTTENS LÄN</t>
        </is>
      </c>
      <c r="E299" t="inlineStr">
        <is>
          <t>SKELLEFTEÅ</t>
        </is>
      </c>
      <c r="G299" t="n">
        <v>11.6</v>
      </c>
      <c r="H299" t="n">
        <v>0</v>
      </c>
      <c r="I299" t="n">
        <v>0</v>
      </c>
      <c r="J299" t="n">
        <v>0</v>
      </c>
      <c r="K299" t="n">
        <v>0</v>
      </c>
      <c r="L299" t="n">
        <v>0</v>
      </c>
      <c r="M299" t="n">
        <v>0</v>
      </c>
      <c r="N299" t="n">
        <v>0</v>
      </c>
      <c r="O299" t="n">
        <v>0</v>
      </c>
      <c r="P299" t="n">
        <v>0</v>
      </c>
      <c r="Q299" t="n">
        <v>0</v>
      </c>
      <c r="R299" s="2" t="inlineStr"/>
    </row>
    <row r="300" ht="15" customHeight="1">
      <c r="A300" t="inlineStr">
        <is>
          <t>A 32772-2019</t>
        </is>
      </c>
      <c r="B300" s="1" t="n">
        <v>43648</v>
      </c>
      <c r="C300" s="1" t="n">
        <v>45641</v>
      </c>
      <c r="D300" t="inlineStr">
        <is>
          <t>VÄSTERBOTTENS LÄN</t>
        </is>
      </c>
      <c r="E300" t="inlineStr">
        <is>
          <t>SKELLEFTEÅ</t>
        </is>
      </c>
      <c r="G300" t="n">
        <v>2.3</v>
      </c>
      <c r="H300" t="n">
        <v>0</v>
      </c>
      <c r="I300" t="n">
        <v>0</v>
      </c>
      <c r="J300" t="n">
        <v>0</v>
      </c>
      <c r="K300" t="n">
        <v>0</v>
      </c>
      <c r="L300" t="n">
        <v>0</v>
      </c>
      <c r="M300" t="n">
        <v>0</v>
      </c>
      <c r="N300" t="n">
        <v>0</v>
      </c>
      <c r="O300" t="n">
        <v>0</v>
      </c>
      <c r="P300" t="n">
        <v>0</v>
      </c>
      <c r="Q300" t="n">
        <v>0</v>
      </c>
      <c r="R300" s="2" t="inlineStr"/>
    </row>
    <row r="301" ht="15" customHeight="1">
      <c r="A301" t="inlineStr">
        <is>
          <t>A 32866-2019</t>
        </is>
      </c>
      <c r="B301" s="1" t="n">
        <v>43648</v>
      </c>
      <c r="C301" s="1" t="n">
        <v>45641</v>
      </c>
      <c r="D301" t="inlineStr">
        <is>
          <t>VÄSTERBOTTENS LÄN</t>
        </is>
      </c>
      <c r="E301" t="inlineStr">
        <is>
          <t>SKELLEFTEÅ</t>
        </is>
      </c>
      <c r="G301" t="n">
        <v>5.7</v>
      </c>
      <c r="H301" t="n">
        <v>0</v>
      </c>
      <c r="I301" t="n">
        <v>0</v>
      </c>
      <c r="J301" t="n">
        <v>0</v>
      </c>
      <c r="K301" t="n">
        <v>0</v>
      </c>
      <c r="L301" t="n">
        <v>0</v>
      </c>
      <c r="M301" t="n">
        <v>0</v>
      </c>
      <c r="N301" t="n">
        <v>0</v>
      </c>
      <c r="O301" t="n">
        <v>0</v>
      </c>
      <c r="P301" t="n">
        <v>0</v>
      </c>
      <c r="Q301" t="n">
        <v>0</v>
      </c>
      <c r="R301" s="2" t="inlineStr"/>
    </row>
    <row r="302" ht="15" customHeight="1">
      <c r="A302" t="inlineStr">
        <is>
          <t>A 34685-2019</t>
        </is>
      </c>
      <c r="B302" s="1" t="n">
        <v>43648</v>
      </c>
      <c r="C302" s="1" t="n">
        <v>45641</v>
      </c>
      <c r="D302" t="inlineStr">
        <is>
          <t>VÄSTERBOTTENS LÄN</t>
        </is>
      </c>
      <c r="E302" t="inlineStr">
        <is>
          <t>SKELLEFTEÅ</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33063-2019</t>
        </is>
      </c>
      <c r="B303" s="1" t="n">
        <v>43649</v>
      </c>
      <c r="C303" s="1" t="n">
        <v>45641</v>
      </c>
      <c r="D303" t="inlineStr">
        <is>
          <t>VÄSTERBOTTENS LÄN</t>
        </is>
      </c>
      <c r="E303" t="inlineStr">
        <is>
          <t>SKELLEFTEÅ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33058-2019</t>
        </is>
      </c>
      <c r="B304" s="1" t="n">
        <v>43649</v>
      </c>
      <c r="C304" s="1" t="n">
        <v>45641</v>
      </c>
      <c r="D304" t="inlineStr">
        <is>
          <t>VÄSTERBOTTENS LÄN</t>
        </is>
      </c>
      <c r="E304" t="inlineStr">
        <is>
          <t>SKELLEFTEÅ</t>
        </is>
      </c>
      <c r="G304" t="n">
        <v>2.7</v>
      </c>
      <c r="H304" t="n">
        <v>0</v>
      </c>
      <c r="I304" t="n">
        <v>0</v>
      </c>
      <c r="J304" t="n">
        <v>0</v>
      </c>
      <c r="K304" t="n">
        <v>0</v>
      </c>
      <c r="L304" t="n">
        <v>0</v>
      </c>
      <c r="M304" t="n">
        <v>0</v>
      </c>
      <c r="N304" t="n">
        <v>0</v>
      </c>
      <c r="O304" t="n">
        <v>0</v>
      </c>
      <c r="P304" t="n">
        <v>0</v>
      </c>
      <c r="Q304" t="n">
        <v>0</v>
      </c>
      <c r="R304" s="2" t="inlineStr"/>
    </row>
    <row r="305" ht="15" customHeight="1">
      <c r="A305" t="inlineStr">
        <is>
          <t>A 34894-2019</t>
        </is>
      </c>
      <c r="B305" s="1" t="n">
        <v>43649</v>
      </c>
      <c r="C305" s="1" t="n">
        <v>45641</v>
      </c>
      <c r="D305" t="inlineStr">
        <is>
          <t>VÄSTERBOTTENS LÄN</t>
        </is>
      </c>
      <c r="E305" t="inlineStr">
        <is>
          <t>SKELLEFTEÅ</t>
        </is>
      </c>
      <c r="G305" t="n">
        <v>20.4</v>
      </c>
      <c r="H305" t="n">
        <v>0</v>
      </c>
      <c r="I305" t="n">
        <v>0</v>
      </c>
      <c r="J305" t="n">
        <v>0</v>
      </c>
      <c r="K305" t="n">
        <v>0</v>
      </c>
      <c r="L305" t="n">
        <v>0</v>
      </c>
      <c r="M305" t="n">
        <v>0</v>
      </c>
      <c r="N305" t="n">
        <v>0</v>
      </c>
      <c r="O305" t="n">
        <v>0</v>
      </c>
      <c r="P305" t="n">
        <v>0</v>
      </c>
      <c r="Q305" t="n">
        <v>0</v>
      </c>
      <c r="R305" s="2" t="inlineStr"/>
    </row>
    <row r="306" ht="15" customHeight="1">
      <c r="A306" t="inlineStr">
        <is>
          <t>A 33193-2019</t>
        </is>
      </c>
      <c r="B306" s="1" t="n">
        <v>43649</v>
      </c>
      <c r="C306" s="1" t="n">
        <v>45641</v>
      </c>
      <c r="D306" t="inlineStr">
        <is>
          <t>VÄSTERBOTTENS LÄN</t>
        </is>
      </c>
      <c r="E306" t="inlineStr">
        <is>
          <t>SKELLEFTEÅ</t>
        </is>
      </c>
      <c r="G306" t="n">
        <v>3.1</v>
      </c>
      <c r="H306" t="n">
        <v>0</v>
      </c>
      <c r="I306" t="n">
        <v>0</v>
      </c>
      <c r="J306" t="n">
        <v>0</v>
      </c>
      <c r="K306" t="n">
        <v>0</v>
      </c>
      <c r="L306" t="n">
        <v>0</v>
      </c>
      <c r="M306" t="n">
        <v>0</v>
      </c>
      <c r="N306" t="n">
        <v>0</v>
      </c>
      <c r="O306" t="n">
        <v>0</v>
      </c>
      <c r="P306" t="n">
        <v>0</v>
      </c>
      <c r="Q306" t="n">
        <v>0</v>
      </c>
      <c r="R306" s="2" t="inlineStr"/>
    </row>
    <row r="307" ht="15" customHeight="1">
      <c r="A307" t="inlineStr">
        <is>
          <t>A 34906-2019</t>
        </is>
      </c>
      <c r="B307" s="1" t="n">
        <v>43649</v>
      </c>
      <c r="C307" s="1" t="n">
        <v>45641</v>
      </c>
      <c r="D307" t="inlineStr">
        <is>
          <t>VÄSTERBOTTENS LÄN</t>
        </is>
      </c>
      <c r="E307" t="inlineStr">
        <is>
          <t>SKELLEFTEÅ</t>
        </is>
      </c>
      <c r="G307" t="n">
        <v>1.1</v>
      </c>
      <c r="H307" t="n">
        <v>0</v>
      </c>
      <c r="I307" t="n">
        <v>0</v>
      </c>
      <c r="J307" t="n">
        <v>0</v>
      </c>
      <c r="K307" t="n">
        <v>0</v>
      </c>
      <c r="L307" t="n">
        <v>0</v>
      </c>
      <c r="M307" t="n">
        <v>0</v>
      </c>
      <c r="N307" t="n">
        <v>0</v>
      </c>
      <c r="O307" t="n">
        <v>0</v>
      </c>
      <c r="P307" t="n">
        <v>0</v>
      </c>
      <c r="Q307" t="n">
        <v>0</v>
      </c>
      <c r="R307" s="2" t="inlineStr"/>
    </row>
    <row r="308" ht="15" customHeight="1">
      <c r="A308" t="inlineStr">
        <is>
          <t>A 35229-2019</t>
        </is>
      </c>
      <c r="B308" s="1" t="n">
        <v>43650</v>
      </c>
      <c r="C308" s="1" t="n">
        <v>45641</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35445-2019</t>
        </is>
      </c>
      <c r="B309" s="1" t="n">
        <v>43651</v>
      </c>
      <c r="C309" s="1" t="n">
        <v>45641</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35452-2019</t>
        </is>
      </c>
      <c r="B310" s="1" t="n">
        <v>43651</v>
      </c>
      <c r="C310" s="1" t="n">
        <v>45641</v>
      </c>
      <c r="D310" t="inlineStr">
        <is>
          <t>VÄSTERBOTTENS LÄN</t>
        </is>
      </c>
      <c r="E310" t="inlineStr">
        <is>
          <t>SKELLEFTEÅ</t>
        </is>
      </c>
      <c r="G310" t="n">
        <v>1.6</v>
      </c>
      <c r="H310" t="n">
        <v>0</v>
      </c>
      <c r="I310" t="n">
        <v>0</v>
      </c>
      <c r="J310" t="n">
        <v>0</v>
      </c>
      <c r="K310" t="n">
        <v>0</v>
      </c>
      <c r="L310" t="n">
        <v>0</v>
      </c>
      <c r="M310" t="n">
        <v>0</v>
      </c>
      <c r="N310" t="n">
        <v>0</v>
      </c>
      <c r="O310" t="n">
        <v>0</v>
      </c>
      <c r="P310" t="n">
        <v>0</v>
      </c>
      <c r="Q310" t="n">
        <v>0</v>
      </c>
      <c r="R310" s="2" t="inlineStr"/>
    </row>
    <row r="311" ht="15" customHeight="1">
      <c r="A311" t="inlineStr">
        <is>
          <t>A 33888-2019</t>
        </is>
      </c>
      <c r="B311" s="1" t="n">
        <v>43653</v>
      </c>
      <c r="C311" s="1" t="n">
        <v>45641</v>
      </c>
      <c r="D311" t="inlineStr">
        <is>
          <t>VÄSTERBOTTENS LÄN</t>
        </is>
      </c>
      <c r="E311" t="inlineStr">
        <is>
          <t>SKELLEFTEÅ</t>
        </is>
      </c>
      <c r="G311" t="n">
        <v>1.5</v>
      </c>
      <c r="H311" t="n">
        <v>0</v>
      </c>
      <c r="I311" t="n">
        <v>0</v>
      </c>
      <c r="J311" t="n">
        <v>0</v>
      </c>
      <c r="K311" t="n">
        <v>0</v>
      </c>
      <c r="L311" t="n">
        <v>0</v>
      </c>
      <c r="M311" t="n">
        <v>0</v>
      </c>
      <c r="N311" t="n">
        <v>0</v>
      </c>
      <c r="O311" t="n">
        <v>0</v>
      </c>
      <c r="P311" t="n">
        <v>0</v>
      </c>
      <c r="Q311" t="n">
        <v>0</v>
      </c>
      <c r="R311" s="2" t="inlineStr"/>
    </row>
    <row r="312" ht="15" customHeight="1">
      <c r="A312" t="inlineStr">
        <is>
          <t>A 34089-2019</t>
        </is>
      </c>
      <c r="B312" s="1" t="n">
        <v>43654</v>
      </c>
      <c r="C312" s="1" t="n">
        <v>45641</v>
      </c>
      <c r="D312" t="inlineStr">
        <is>
          <t>VÄSTERBOTTENS LÄN</t>
        </is>
      </c>
      <c r="E312" t="inlineStr">
        <is>
          <t>SKELLEFTEÅ</t>
        </is>
      </c>
      <c r="F312" t="inlineStr">
        <is>
          <t>Holmen skog AB</t>
        </is>
      </c>
      <c r="G312" t="n">
        <v>20.9</v>
      </c>
      <c r="H312" t="n">
        <v>0</v>
      </c>
      <c r="I312" t="n">
        <v>0</v>
      </c>
      <c r="J312" t="n">
        <v>0</v>
      </c>
      <c r="K312" t="n">
        <v>0</v>
      </c>
      <c r="L312" t="n">
        <v>0</v>
      </c>
      <c r="M312" t="n">
        <v>0</v>
      </c>
      <c r="N312" t="n">
        <v>0</v>
      </c>
      <c r="O312" t="n">
        <v>0</v>
      </c>
      <c r="P312" t="n">
        <v>0</v>
      </c>
      <c r="Q312" t="n">
        <v>0</v>
      </c>
      <c r="R312" s="2" t="inlineStr"/>
    </row>
    <row r="313" ht="15" customHeight="1">
      <c r="A313" t="inlineStr">
        <is>
          <t>A 34253-2019</t>
        </is>
      </c>
      <c r="B313" s="1" t="n">
        <v>43655</v>
      </c>
      <c r="C313" s="1" t="n">
        <v>45641</v>
      </c>
      <c r="D313" t="inlineStr">
        <is>
          <t>VÄSTERBOTTENS LÄN</t>
        </is>
      </c>
      <c r="E313" t="inlineStr">
        <is>
          <t>SKELLEFTEÅ</t>
        </is>
      </c>
      <c r="F313" t="inlineStr">
        <is>
          <t>Holmen skog AB</t>
        </is>
      </c>
      <c r="G313" t="n">
        <v>18.9</v>
      </c>
      <c r="H313" t="n">
        <v>0</v>
      </c>
      <c r="I313" t="n">
        <v>0</v>
      </c>
      <c r="J313" t="n">
        <v>0</v>
      </c>
      <c r="K313" t="n">
        <v>0</v>
      </c>
      <c r="L313" t="n">
        <v>0</v>
      </c>
      <c r="M313" t="n">
        <v>0</v>
      </c>
      <c r="N313" t="n">
        <v>0</v>
      </c>
      <c r="O313" t="n">
        <v>0</v>
      </c>
      <c r="P313" t="n">
        <v>0</v>
      </c>
      <c r="Q313" t="n">
        <v>0</v>
      </c>
      <c r="R313" s="2" t="inlineStr"/>
    </row>
    <row r="314" ht="15" customHeight="1">
      <c r="A314" t="inlineStr">
        <is>
          <t>A 34939-2019</t>
        </is>
      </c>
      <c r="B314" s="1" t="n">
        <v>43658</v>
      </c>
      <c r="C314" s="1" t="n">
        <v>45641</v>
      </c>
      <c r="D314" t="inlineStr">
        <is>
          <t>VÄSTERBOTTENS LÄN</t>
        </is>
      </c>
      <c r="E314" t="inlineStr">
        <is>
          <t>SKELLEFTEÅ</t>
        </is>
      </c>
      <c r="G314" t="n">
        <v>0.8</v>
      </c>
      <c r="H314" t="n">
        <v>0</v>
      </c>
      <c r="I314" t="n">
        <v>0</v>
      </c>
      <c r="J314" t="n">
        <v>0</v>
      </c>
      <c r="K314" t="n">
        <v>0</v>
      </c>
      <c r="L314" t="n">
        <v>0</v>
      </c>
      <c r="M314" t="n">
        <v>0</v>
      </c>
      <c r="N314" t="n">
        <v>0</v>
      </c>
      <c r="O314" t="n">
        <v>0</v>
      </c>
      <c r="P314" t="n">
        <v>0</v>
      </c>
      <c r="Q314" t="n">
        <v>0</v>
      </c>
      <c r="R314" s="2" t="inlineStr"/>
    </row>
    <row r="315" ht="15" customHeight="1">
      <c r="A315" t="inlineStr">
        <is>
          <t>A 34997-2019</t>
        </is>
      </c>
      <c r="B315" s="1" t="n">
        <v>43660</v>
      </c>
      <c r="C315" s="1" t="n">
        <v>45641</v>
      </c>
      <c r="D315" t="inlineStr">
        <is>
          <t>VÄSTERBOTTENS LÄN</t>
        </is>
      </c>
      <c r="E315" t="inlineStr">
        <is>
          <t>SKELLEFTEÅ</t>
        </is>
      </c>
      <c r="F315" t="inlineStr">
        <is>
          <t>Sveaskog</t>
        </is>
      </c>
      <c r="G315" t="n">
        <v>11.1</v>
      </c>
      <c r="H315" t="n">
        <v>0</v>
      </c>
      <c r="I315" t="n">
        <v>0</v>
      </c>
      <c r="J315" t="n">
        <v>0</v>
      </c>
      <c r="K315" t="n">
        <v>0</v>
      </c>
      <c r="L315" t="n">
        <v>0</v>
      </c>
      <c r="M315" t="n">
        <v>0</v>
      </c>
      <c r="N315" t="n">
        <v>0</v>
      </c>
      <c r="O315" t="n">
        <v>0</v>
      </c>
      <c r="P315" t="n">
        <v>0</v>
      </c>
      <c r="Q315" t="n">
        <v>0</v>
      </c>
      <c r="R315" s="2" t="inlineStr"/>
    </row>
    <row r="316" ht="15" customHeight="1">
      <c r="A316" t="inlineStr">
        <is>
          <t>A 35084-2019</t>
        </is>
      </c>
      <c r="B316" s="1" t="n">
        <v>43661</v>
      </c>
      <c r="C316" s="1" t="n">
        <v>45641</v>
      </c>
      <c r="D316" t="inlineStr">
        <is>
          <t>VÄSTERBOTTENS LÄN</t>
        </is>
      </c>
      <c r="E316" t="inlineStr">
        <is>
          <t>SKELLEFTEÅ</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35075-2019</t>
        </is>
      </c>
      <c r="B317" s="1" t="n">
        <v>43661</v>
      </c>
      <c r="C317" s="1" t="n">
        <v>45641</v>
      </c>
      <c r="D317" t="inlineStr">
        <is>
          <t>VÄSTERBOTTENS LÄN</t>
        </is>
      </c>
      <c r="E317" t="inlineStr">
        <is>
          <t>SKELLEFTEÅ</t>
        </is>
      </c>
      <c r="G317" t="n">
        <v>1.3</v>
      </c>
      <c r="H317" t="n">
        <v>0</v>
      </c>
      <c r="I317" t="n">
        <v>0</v>
      </c>
      <c r="J317" t="n">
        <v>0</v>
      </c>
      <c r="K317" t="n">
        <v>0</v>
      </c>
      <c r="L317" t="n">
        <v>0</v>
      </c>
      <c r="M317" t="n">
        <v>0</v>
      </c>
      <c r="N317" t="n">
        <v>0</v>
      </c>
      <c r="O317" t="n">
        <v>0</v>
      </c>
      <c r="P317" t="n">
        <v>0</v>
      </c>
      <c r="Q317" t="n">
        <v>0</v>
      </c>
      <c r="R317" s="2" t="inlineStr"/>
    </row>
    <row r="318" ht="15" customHeight="1">
      <c r="A318" t="inlineStr">
        <is>
          <t>A 35104-2019</t>
        </is>
      </c>
      <c r="B318" s="1" t="n">
        <v>43661</v>
      </c>
      <c r="C318" s="1" t="n">
        <v>45641</v>
      </c>
      <c r="D318" t="inlineStr">
        <is>
          <t>VÄSTERBOTTENS LÄN</t>
        </is>
      </c>
      <c r="E318" t="inlineStr">
        <is>
          <t>SKELLEFTEÅ</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35120-2019</t>
        </is>
      </c>
      <c r="B319" s="1" t="n">
        <v>43661</v>
      </c>
      <c r="C319" s="1" t="n">
        <v>45641</v>
      </c>
      <c r="D319" t="inlineStr">
        <is>
          <t>VÄSTERBOTTENS LÄN</t>
        </is>
      </c>
      <c r="E319" t="inlineStr">
        <is>
          <t>SKELLEFTEÅ</t>
        </is>
      </c>
      <c r="F319" t="inlineStr">
        <is>
          <t>Sveaskog</t>
        </is>
      </c>
      <c r="G319" t="n">
        <v>7.1</v>
      </c>
      <c r="H319" t="n">
        <v>0</v>
      </c>
      <c r="I319" t="n">
        <v>0</v>
      </c>
      <c r="J319" t="n">
        <v>0</v>
      </c>
      <c r="K319" t="n">
        <v>0</v>
      </c>
      <c r="L319" t="n">
        <v>0</v>
      </c>
      <c r="M319" t="n">
        <v>0</v>
      </c>
      <c r="N319" t="n">
        <v>0</v>
      </c>
      <c r="O319" t="n">
        <v>0</v>
      </c>
      <c r="P319" t="n">
        <v>0</v>
      </c>
      <c r="Q319" t="n">
        <v>0</v>
      </c>
      <c r="R319" s="2" t="inlineStr"/>
    </row>
    <row r="320" ht="15" customHeight="1">
      <c r="A320" t="inlineStr">
        <is>
          <t>A 35073-2019</t>
        </is>
      </c>
      <c r="B320" s="1" t="n">
        <v>43661</v>
      </c>
      <c r="C320" s="1" t="n">
        <v>45641</v>
      </c>
      <c r="D320" t="inlineStr">
        <is>
          <t>VÄSTERBOTTENS LÄN</t>
        </is>
      </c>
      <c r="E320" t="inlineStr">
        <is>
          <t>SKELLEFTEÅ</t>
        </is>
      </c>
      <c r="F320" t="inlineStr">
        <is>
          <t>Sveaskog</t>
        </is>
      </c>
      <c r="G320" t="n">
        <v>4.2</v>
      </c>
      <c r="H320" t="n">
        <v>0</v>
      </c>
      <c r="I320" t="n">
        <v>0</v>
      </c>
      <c r="J320" t="n">
        <v>0</v>
      </c>
      <c r="K320" t="n">
        <v>0</v>
      </c>
      <c r="L320" t="n">
        <v>0</v>
      </c>
      <c r="M320" t="n">
        <v>0</v>
      </c>
      <c r="N320" t="n">
        <v>0</v>
      </c>
      <c r="O320" t="n">
        <v>0</v>
      </c>
      <c r="P320" t="n">
        <v>0</v>
      </c>
      <c r="Q320" t="n">
        <v>0</v>
      </c>
      <c r="R320" s="2" t="inlineStr"/>
    </row>
    <row r="321" ht="15" customHeight="1">
      <c r="A321" t="inlineStr">
        <is>
          <t>A 35080-2019</t>
        </is>
      </c>
      <c r="B321" s="1" t="n">
        <v>43661</v>
      </c>
      <c r="C321" s="1" t="n">
        <v>45641</v>
      </c>
      <c r="D321" t="inlineStr">
        <is>
          <t>VÄSTERBOTTENS LÄN</t>
        </is>
      </c>
      <c r="E321" t="inlineStr">
        <is>
          <t>SKELLEFTEÅ</t>
        </is>
      </c>
      <c r="G321" t="n">
        <v>2.5</v>
      </c>
      <c r="H321" t="n">
        <v>0</v>
      </c>
      <c r="I321" t="n">
        <v>0</v>
      </c>
      <c r="J321" t="n">
        <v>0</v>
      </c>
      <c r="K321" t="n">
        <v>0</v>
      </c>
      <c r="L321" t="n">
        <v>0</v>
      </c>
      <c r="M321" t="n">
        <v>0</v>
      </c>
      <c r="N321" t="n">
        <v>0</v>
      </c>
      <c r="O321" t="n">
        <v>0</v>
      </c>
      <c r="P321" t="n">
        <v>0</v>
      </c>
      <c r="Q321" t="n">
        <v>0</v>
      </c>
      <c r="R321" s="2" t="inlineStr"/>
    </row>
    <row r="322" ht="15" customHeight="1">
      <c r="A322" t="inlineStr">
        <is>
          <t>A 35121-2019</t>
        </is>
      </c>
      <c r="B322" s="1" t="n">
        <v>43661</v>
      </c>
      <c r="C322" s="1" t="n">
        <v>45641</v>
      </c>
      <c r="D322" t="inlineStr">
        <is>
          <t>VÄSTERBOTTENS LÄN</t>
        </is>
      </c>
      <c r="E322" t="inlineStr">
        <is>
          <t>SKELLEFTEÅ</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35024-2019</t>
        </is>
      </c>
      <c r="B323" s="1" t="n">
        <v>43661</v>
      </c>
      <c r="C323" s="1" t="n">
        <v>45641</v>
      </c>
      <c r="D323" t="inlineStr">
        <is>
          <t>VÄSTERBOTTENS LÄN</t>
        </is>
      </c>
      <c r="E323" t="inlineStr">
        <is>
          <t>SKELLEFTEÅ</t>
        </is>
      </c>
      <c r="G323" t="n">
        <v>5.3</v>
      </c>
      <c r="H323" t="n">
        <v>0</v>
      </c>
      <c r="I323" t="n">
        <v>0</v>
      </c>
      <c r="J323" t="n">
        <v>0</v>
      </c>
      <c r="K323" t="n">
        <v>0</v>
      </c>
      <c r="L323" t="n">
        <v>0</v>
      </c>
      <c r="M323" t="n">
        <v>0</v>
      </c>
      <c r="N323" t="n">
        <v>0</v>
      </c>
      <c r="O323" t="n">
        <v>0</v>
      </c>
      <c r="P323" t="n">
        <v>0</v>
      </c>
      <c r="Q323" t="n">
        <v>0</v>
      </c>
      <c r="R323" s="2" t="inlineStr"/>
    </row>
    <row r="324" ht="15" customHeight="1">
      <c r="A324" t="inlineStr">
        <is>
          <t>A 35363-2019</t>
        </is>
      </c>
      <c r="B324" s="1" t="n">
        <v>43663</v>
      </c>
      <c r="C324" s="1" t="n">
        <v>45641</v>
      </c>
      <c r="D324" t="inlineStr">
        <is>
          <t>VÄSTERBOTTENS LÄN</t>
        </is>
      </c>
      <c r="E324" t="inlineStr">
        <is>
          <t>SKELLEFTEÅ</t>
        </is>
      </c>
      <c r="F324" t="inlineStr">
        <is>
          <t>Sveaskog</t>
        </is>
      </c>
      <c r="G324" t="n">
        <v>3.3</v>
      </c>
      <c r="H324" t="n">
        <v>0</v>
      </c>
      <c r="I324" t="n">
        <v>0</v>
      </c>
      <c r="J324" t="n">
        <v>0</v>
      </c>
      <c r="K324" t="n">
        <v>0</v>
      </c>
      <c r="L324" t="n">
        <v>0</v>
      </c>
      <c r="M324" t="n">
        <v>0</v>
      </c>
      <c r="N324" t="n">
        <v>0</v>
      </c>
      <c r="O324" t="n">
        <v>0</v>
      </c>
      <c r="P324" t="n">
        <v>0</v>
      </c>
      <c r="Q324" t="n">
        <v>0</v>
      </c>
      <c r="R324" s="2" t="inlineStr"/>
    </row>
    <row r="325" ht="15" customHeight="1">
      <c r="A325" t="inlineStr">
        <is>
          <t>A 35786-2019</t>
        </is>
      </c>
      <c r="B325" s="1" t="n">
        <v>43665</v>
      </c>
      <c r="C325" s="1" t="n">
        <v>45641</v>
      </c>
      <c r="D325" t="inlineStr">
        <is>
          <t>VÄSTERBOTTENS LÄN</t>
        </is>
      </c>
      <c r="E325" t="inlineStr">
        <is>
          <t>SKELLEFTEÅ</t>
        </is>
      </c>
      <c r="F325" t="inlineStr">
        <is>
          <t>Holmen skog AB</t>
        </is>
      </c>
      <c r="G325" t="n">
        <v>1.4</v>
      </c>
      <c r="H325" t="n">
        <v>0</v>
      </c>
      <c r="I325" t="n">
        <v>0</v>
      </c>
      <c r="J325" t="n">
        <v>0</v>
      </c>
      <c r="K325" t="n">
        <v>0</v>
      </c>
      <c r="L325" t="n">
        <v>0</v>
      </c>
      <c r="M325" t="n">
        <v>0</v>
      </c>
      <c r="N325" t="n">
        <v>0</v>
      </c>
      <c r="O325" t="n">
        <v>0</v>
      </c>
      <c r="P325" t="n">
        <v>0</v>
      </c>
      <c r="Q325" t="n">
        <v>0</v>
      </c>
      <c r="R325" s="2" t="inlineStr"/>
    </row>
    <row r="326" ht="15" customHeight="1">
      <c r="A326" t="inlineStr">
        <is>
          <t>A 36996-2019</t>
        </is>
      </c>
      <c r="B326" s="1" t="n">
        <v>43676</v>
      </c>
      <c r="C326" s="1" t="n">
        <v>45641</v>
      </c>
      <c r="D326" t="inlineStr">
        <is>
          <t>VÄSTERBOTTENS LÄN</t>
        </is>
      </c>
      <c r="E326" t="inlineStr">
        <is>
          <t>SKELLEFTEÅ</t>
        </is>
      </c>
      <c r="F326" t="inlineStr">
        <is>
          <t>Holmen skog AB</t>
        </is>
      </c>
      <c r="G326" t="n">
        <v>2.4</v>
      </c>
      <c r="H326" t="n">
        <v>0</v>
      </c>
      <c r="I326" t="n">
        <v>0</v>
      </c>
      <c r="J326" t="n">
        <v>0</v>
      </c>
      <c r="K326" t="n">
        <v>0</v>
      </c>
      <c r="L326" t="n">
        <v>0</v>
      </c>
      <c r="M326" t="n">
        <v>0</v>
      </c>
      <c r="N326" t="n">
        <v>0</v>
      </c>
      <c r="O326" t="n">
        <v>0</v>
      </c>
      <c r="P326" t="n">
        <v>0</v>
      </c>
      <c r="Q326" t="n">
        <v>0</v>
      </c>
      <c r="R326" s="2" t="inlineStr"/>
    </row>
    <row r="327" ht="15" customHeight="1">
      <c r="A327" t="inlineStr">
        <is>
          <t>A 38674-2019</t>
        </is>
      </c>
      <c r="B327" s="1" t="n">
        <v>43684</v>
      </c>
      <c r="C327" s="1" t="n">
        <v>45641</v>
      </c>
      <c r="D327" t="inlineStr">
        <is>
          <t>VÄSTERBOTTENS LÄN</t>
        </is>
      </c>
      <c r="E327" t="inlineStr">
        <is>
          <t>SKELLEFTEÅ</t>
        </is>
      </c>
      <c r="G327" t="n">
        <v>1.5</v>
      </c>
      <c r="H327" t="n">
        <v>0</v>
      </c>
      <c r="I327" t="n">
        <v>0</v>
      </c>
      <c r="J327" t="n">
        <v>0</v>
      </c>
      <c r="K327" t="n">
        <v>0</v>
      </c>
      <c r="L327" t="n">
        <v>0</v>
      </c>
      <c r="M327" t="n">
        <v>0</v>
      </c>
      <c r="N327" t="n">
        <v>0</v>
      </c>
      <c r="O327" t="n">
        <v>0</v>
      </c>
      <c r="P327" t="n">
        <v>0</v>
      </c>
      <c r="Q327" t="n">
        <v>0</v>
      </c>
      <c r="R327" s="2" t="inlineStr"/>
    </row>
    <row r="328" ht="15" customHeight="1">
      <c r="A328" t="inlineStr">
        <is>
          <t>A 38797-2019</t>
        </is>
      </c>
      <c r="B328" s="1" t="n">
        <v>43688</v>
      </c>
      <c r="C328" s="1" t="n">
        <v>45641</v>
      </c>
      <c r="D328" t="inlineStr">
        <is>
          <t>VÄSTERBOTTENS LÄN</t>
        </is>
      </c>
      <c r="E328" t="inlineStr">
        <is>
          <t>SKELLEFTEÅ</t>
        </is>
      </c>
      <c r="G328" t="n">
        <v>2.1</v>
      </c>
      <c r="H328" t="n">
        <v>0</v>
      </c>
      <c r="I328" t="n">
        <v>0</v>
      </c>
      <c r="J328" t="n">
        <v>0</v>
      </c>
      <c r="K328" t="n">
        <v>0</v>
      </c>
      <c r="L328" t="n">
        <v>0</v>
      </c>
      <c r="M328" t="n">
        <v>0</v>
      </c>
      <c r="N328" t="n">
        <v>0</v>
      </c>
      <c r="O328" t="n">
        <v>0</v>
      </c>
      <c r="P328" t="n">
        <v>0</v>
      </c>
      <c r="Q328" t="n">
        <v>0</v>
      </c>
      <c r="R328" s="2" t="inlineStr"/>
    </row>
    <row r="329" ht="15" customHeight="1">
      <c r="A329" t="inlineStr">
        <is>
          <t>A 39106-2019</t>
        </is>
      </c>
      <c r="B329" s="1" t="n">
        <v>43689</v>
      </c>
      <c r="C329" s="1" t="n">
        <v>45641</v>
      </c>
      <c r="D329" t="inlineStr">
        <is>
          <t>VÄSTERBOTTENS LÄN</t>
        </is>
      </c>
      <c r="E329" t="inlineStr">
        <is>
          <t>SKELLEFTEÅ</t>
        </is>
      </c>
      <c r="F329" t="inlineStr">
        <is>
          <t>Holmen skog AB</t>
        </is>
      </c>
      <c r="G329" t="n">
        <v>5.6</v>
      </c>
      <c r="H329" t="n">
        <v>0</v>
      </c>
      <c r="I329" t="n">
        <v>0</v>
      </c>
      <c r="J329" t="n">
        <v>0</v>
      </c>
      <c r="K329" t="n">
        <v>0</v>
      </c>
      <c r="L329" t="n">
        <v>0</v>
      </c>
      <c r="M329" t="n">
        <v>0</v>
      </c>
      <c r="N329" t="n">
        <v>0</v>
      </c>
      <c r="O329" t="n">
        <v>0</v>
      </c>
      <c r="P329" t="n">
        <v>0</v>
      </c>
      <c r="Q329" t="n">
        <v>0</v>
      </c>
      <c r="R329" s="2" t="inlineStr"/>
    </row>
    <row r="330" ht="15" customHeight="1">
      <c r="A330" t="inlineStr">
        <is>
          <t>A 38973-2019</t>
        </is>
      </c>
      <c r="B330" s="1" t="n">
        <v>43689</v>
      </c>
      <c r="C330" s="1" t="n">
        <v>45641</v>
      </c>
      <c r="D330" t="inlineStr">
        <is>
          <t>VÄSTERBOTTENS LÄN</t>
        </is>
      </c>
      <c r="E330" t="inlineStr">
        <is>
          <t>SKELLEFTEÅ</t>
        </is>
      </c>
      <c r="F330" t="inlineStr">
        <is>
          <t>Holmen skog AB</t>
        </is>
      </c>
      <c r="G330" t="n">
        <v>2.3</v>
      </c>
      <c r="H330" t="n">
        <v>0</v>
      </c>
      <c r="I330" t="n">
        <v>0</v>
      </c>
      <c r="J330" t="n">
        <v>0</v>
      </c>
      <c r="K330" t="n">
        <v>0</v>
      </c>
      <c r="L330" t="n">
        <v>0</v>
      </c>
      <c r="M330" t="n">
        <v>0</v>
      </c>
      <c r="N330" t="n">
        <v>0</v>
      </c>
      <c r="O330" t="n">
        <v>0</v>
      </c>
      <c r="P330" t="n">
        <v>0</v>
      </c>
      <c r="Q330" t="n">
        <v>0</v>
      </c>
      <c r="R330" s="2" t="inlineStr"/>
    </row>
    <row r="331" ht="15" customHeight="1">
      <c r="A331" t="inlineStr">
        <is>
          <t>A 40562-2019</t>
        </is>
      </c>
      <c r="B331" s="1" t="n">
        <v>43696</v>
      </c>
      <c r="C331" s="1" t="n">
        <v>45641</v>
      </c>
      <c r="D331" t="inlineStr">
        <is>
          <t>VÄSTERBOTTENS LÄN</t>
        </is>
      </c>
      <c r="E331" t="inlineStr">
        <is>
          <t>SKELLEFTEÅ</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41585-2019</t>
        </is>
      </c>
      <c r="B332" s="1" t="n">
        <v>43696</v>
      </c>
      <c r="C332" s="1" t="n">
        <v>45641</v>
      </c>
      <c r="D332" t="inlineStr">
        <is>
          <t>VÄSTERBOTTENS LÄN</t>
        </is>
      </c>
      <c r="E332" t="inlineStr">
        <is>
          <t>SKELLEFTEÅ</t>
        </is>
      </c>
      <c r="G332" t="n">
        <v>1.5</v>
      </c>
      <c r="H332" t="n">
        <v>0</v>
      </c>
      <c r="I332" t="n">
        <v>0</v>
      </c>
      <c r="J332" t="n">
        <v>0</v>
      </c>
      <c r="K332" t="n">
        <v>0</v>
      </c>
      <c r="L332" t="n">
        <v>0</v>
      </c>
      <c r="M332" t="n">
        <v>0</v>
      </c>
      <c r="N332" t="n">
        <v>0</v>
      </c>
      <c r="O332" t="n">
        <v>0</v>
      </c>
      <c r="P332" t="n">
        <v>0</v>
      </c>
      <c r="Q332" t="n">
        <v>0</v>
      </c>
      <c r="R332" s="2" t="inlineStr"/>
    </row>
    <row r="333" ht="15" customHeight="1">
      <c r="A333" t="inlineStr">
        <is>
          <t>A 41648-2019</t>
        </is>
      </c>
      <c r="B333" s="1" t="n">
        <v>43696</v>
      </c>
      <c r="C333" s="1" t="n">
        <v>45641</v>
      </c>
      <c r="D333" t="inlineStr">
        <is>
          <t>VÄSTERBOTTENS LÄN</t>
        </is>
      </c>
      <c r="E333" t="inlineStr">
        <is>
          <t>SKELLEFTEÅ</t>
        </is>
      </c>
      <c r="G333" t="n">
        <v>2.9</v>
      </c>
      <c r="H333" t="n">
        <v>0</v>
      </c>
      <c r="I333" t="n">
        <v>0</v>
      </c>
      <c r="J333" t="n">
        <v>0</v>
      </c>
      <c r="K333" t="n">
        <v>0</v>
      </c>
      <c r="L333" t="n">
        <v>0</v>
      </c>
      <c r="M333" t="n">
        <v>0</v>
      </c>
      <c r="N333" t="n">
        <v>0</v>
      </c>
      <c r="O333" t="n">
        <v>0</v>
      </c>
      <c r="P333" t="n">
        <v>0</v>
      </c>
      <c r="Q333" t="n">
        <v>0</v>
      </c>
      <c r="R333" s="2" t="inlineStr"/>
    </row>
    <row r="334" ht="15" customHeight="1">
      <c r="A334" t="inlineStr">
        <is>
          <t>A 41557-2019</t>
        </is>
      </c>
      <c r="B334" s="1" t="n">
        <v>43696</v>
      </c>
      <c r="C334" s="1" t="n">
        <v>45641</v>
      </c>
      <c r="D334" t="inlineStr">
        <is>
          <t>VÄSTERBOTTENS LÄN</t>
        </is>
      </c>
      <c r="E334" t="inlineStr">
        <is>
          <t>SKELLEFTEÅ</t>
        </is>
      </c>
      <c r="G334" t="n">
        <v>5.9</v>
      </c>
      <c r="H334" t="n">
        <v>0</v>
      </c>
      <c r="I334" t="n">
        <v>0</v>
      </c>
      <c r="J334" t="n">
        <v>0</v>
      </c>
      <c r="K334" t="n">
        <v>0</v>
      </c>
      <c r="L334" t="n">
        <v>0</v>
      </c>
      <c r="M334" t="n">
        <v>0</v>
      </c>
      <c r="N334" t="n">
        <v>0</v>
      </c>
      <c r="O334" t="n">
        <v>0</v>
      </c>
      <c r="P334" t="n">
        <v>0</v>
      </c>
      <c r="Q334" t="n">
        <v>0</v>
      </c>
      <c r="R334" s="2" t="inlineStr"/>
    </row>
    <row r="335" ht="15" customHeight="1">
      <c r="A335" t="inlineStr">
        <is>
          <t>A 40744-2019</t>
        </is>
      </c>
      <c r="B335" s="1" t="n">
        <v>43697</v>
      </c>
      <c r="C335" s="1" t="n">
        <v>45641</v>
      </c>
      <c r="D335" t="inlineStr">
        <is>
          <t>VÄSTERBOTTENS LÄN</t>
        </is>
      </c>
      <c r="E335" t="inlineStr">
        <is>
          <t>SKELLEFTEÅ</t>
        </is>
      </c>
      <c r="G335" t="n">
        <v>36.9</v>
      </c>
      <c r="H335" t="n">
        <v>0</v>
      </c>
      <c r="I335" t="n">
        <v>0</v>
      </c>
      <c r="J335" t="n">
        <v>0</v>
      </c>
      <c r="K335" t="n">
        <v>0</v>
      </c>
      <c r="L335" t="n">
        <v>0</v>
      </c>
      <c r="M335" t="n">
        <v>0</v>
      </c>
      <c r="N335" t="n">
        <v>0</v>
      </c>
      <c r="O335" t="n">
        <v>0</v>
      </c>
      <c r="P335" t="n">
        <v>0</v>
      </c>
      <c r="Q335" t="n">
        <v>0</v>
      </c>
      <c r="R335" s="2" t="inlineStr"/>
    </row>
    <row r="336" ht="15" customHeight="1">
      <c r="A336" t="inlineStr">
        <is>
          <t>A 40727-2019</t>
        </is>
      </c>
      <c r="B336" s="1" t="n">
        <v>43697</v>
      </c>
      <c r="C336" s="1" t="n">
        <v>45641</v>
      </c>
      <c r="D336" t="inlineStr">
        <is>
          <t>VÄSTERBOTTENS LÄN</t>
        </is>
      </c>
      <c r="E336" t="inlineStr">
        <is>
          <t>SKELLEFTEÅ</t>
        </is>
      </c>
      <c r="G336" t="n">
        <v>1.1</v>
      </c>
      <c r="H336" t="n">
        <v>0</v>
      </c>
      <c r="I336" t="n">
        <v>0</v>
      </c>
      <c r="J336" t="n">
        <v>0</v>
      </c>
      <c r="K336" t="n">
        <v>0</v>
      </c>
      <c r="L336" t="n">
        <v>0</v>
      </c>
      <c r="M336" t="n">
        <v>0</v>
      </c>
      <c r="N336" t="n">
        <v>0</v>
      </c>
      <c r="O336" t="n">
        <v>0</v>
      </c>
      <c r="P336" t="n">
        <v>0</v>
      </c>
      <c r="Q336" t="n">
        <v>0</v>
      </c>
      <c r="R336" s="2" t="inlineStr"/>
    </row>
    <row r="337" ht="15" customHeight="1">
      <c r="A337" t="inlineStr">
        <is>
          <t>A 41980-2019</t>
        </is>
      </c>
      <c r="B337" s="1" t="n">
        <v>43700</v>
      </c>
      <c r="C337" s="1" t="n">
        <v>45641</v>
      </c>
      <c r="D337" t="inlineStr">
        <is>
          <t>VÄSTERBOTTENS LÄN</t>
        </is>
      </c>
      <c r="E337" t="inlineStr">
        <is>
          <t>SKELLEFTEÅ</t>
        </is>
      </c>
      <c r="F337" t="inlineStr">
        <is>
          <t>Holmen skog AB</t>
        </is>
      </c>
      <c r="G337" t="n">
        <v>2.2</v>
      </c>
      <c r="H337" t="n">
        <v>0</v>
      </c>
      <c r="I337" t="n">
        <v>0</v>
      </c>
      <c r="J337" t="n">
        <v>0</v>
      </c>
      <c r="K337" t="n">
        <v>0</v>
      </c>
      <c r="L337" t="n">
        <v>0</v>
      </c>
      <c r="M337" t="n">
        <v>0</v>
      </c>
      <c r="N337" t="n">
        <v>0</v>
      </c>
      <c r="O337" t="n">
        <v>0</v>
      </c>
      <c r="P337" t="n">
        <v>0</v>
      </c>
      <c r="Q337" t="n">
        <v>0</v>
      </c>
      <c r="R337" s="2" t="inlineStr"/>
    </row>
    <row r="338" ht="15" customHeight="1">
      <c r="A338" t="inlineStr">
        <is>
          <t>A 41826-2019</t>
        </is>
      </c>
      <c r="B338" s="1" t="n">
        <v>43700</v>
      </c>
      <c r="C338" s="1" t="n">
        <v>45641</v>
      </c>
      <c r="D338" t="inlineStr">
        <is>
          <t>VÄSTERBOTTENS LÄN</t>
        </is>
      </c>
      <c r="E338" t="inlineStr">
        <is>
          <t>SKELLEFTEÅ</t>
        </is>
      </c>
      <c r="F338" t="inlineStr">
        <is>
          <t>Holmen skog AB</t>
        </is>
      </c>
      <c r="G338" t="n">
        <v>4.9</v>
      </c>
      <c r="H338" t="n">
        <v>0</v>
      </c>
      <c r="I338" t="n">
        <v>0</v>
      </c>
      <c r="J338" t="n">
        <v>0</v>
      </c>
      <c r="K338" t="n">
        <v>0</v>
      </c>
      <c r="L338" t="n">
        <v>0</v>
      </c>
      <c r="M338" t="n">
        <v>0</v>
      </c>
      <c r="N338" t="n">
        <v>0</v>
      </c>
      <c r="O338" t="n">
        <v>0</v>
      </c>
      <c r="P338" t="n">
        <v>0</v>
      </c>
      <c r="Q338" t="n">
        <v>0</v>
      </c>
      <c r="R338" s="2" t="inlineStr"/>
    </row>
    <row r="339" ht="15" customHeight="1">
      <c r="A339" t="inlineStr">
        <is>
          <t>A 42319-2019</t>
        </is>
      </c>
      <c r="B339" s="1" t="n">
        <v>43703</v>
      </c>
      <c r="C339" s="1" t="n">
        <v>45641</v>
      </c>
      <c r="D339" t="inlineStr">
        <is>
          <t>VÄSTERBOTTENS LÄN</t>
        </is>
      </c>
      <c r="E339" t="inlineStr">
        <is>
          <t>SKELLEFTEÅ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42435-2019</t>
        </is>
      </c>
      <c r="B340" s="1" t="n">
        <v>43704</v>
      </c>
      <c r="C340" s="1" t="n">
        <v>45641</v>
      </c>
      <c r="D340" t="inlineStr">
        <is>
          <t>VÄSTERBOTTENS LÄN</t>
        </is>
      </c>
      <c r="E340" t="inlineStr">
        <is>
          <t>SKELLEFTEÅ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42651-2019</t>
        </is>
      </c>
      <c r="B341" s="1" t="n">
        <v>43704</v>
      </c>
      <c r="C341" s="1" t="n">
        <v>45641</v>
      </c>
      <c r="D341" t="inlineStr">
        <is>
          <t>VÄSTERBOTTENS LÄN</t>
        </is>
      </c>
      <c r="E341" t="inlineStr">
        <is>
          <t>SKELLEFTEÅ</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44461-2019</t>
        </is>
      </c>
      <c r="B342" s="1" t="n">
        <v>43705</v>
      </c>
      <c r="C342" s="1" t="n">
        <v>45641</v>
      </c>
      <c r="D342" t="inlineStr">
        <is>
          <t>VÄSTERBOTTENS LÄN</t>
        </is>
      </c>
      <c r="E342" t="inlineStr">
        <is>
          <t>SKELLEFTEÅ</t>
        </is>
      </c>
      <c r="G342" t="n">
        <v>1.7</v>
      </c>
      <c r="H342" t="n">
        <v>0</v>
      </c>
      <c r="I342" t="n">
        <v>0</v>
      </c>
      <c r="J342" t="n">
        <v>0</v>
      </c>
      <c r="K342" t="n">
        <v>0</v>
      </c>
      <c r="L342" t="n">
        <v>0</v>
      </c>
      <c r="M342" t="n">
        <v>0</v>
      </c>
      <c r="N342" t="n">
        <v>0</v>
      </c>
      <c r="O342" t="n">
        <v>0</v>
      </c>
      <c r="P342" t="n">
        <v>0</v>
      </c>
      <c r="Q342" t="n">
        <v>0</v>
      </c>
      <c r="R342" s="2" t="inlineStr"/>
    </row>
    <row r="343" ht="15" customHeight="1">
      <c r="A343" t="inlineStr">
        <is>
          <t>A 44486-2019</t>
        </is>
      </c>
      <c r="B343" s="1" t="n">
        <v>43706</v>
      </c>
      <c r="C343" s="1" t="n">
        <v>45641</v>
      </c>
      <c r="D343" t="inlineStr">
        <is>
          <t>VÄSTERBOTTENS LÄN</t>
        </is>
      </c>
      <c r="E343" t="inlineStr">
        <is>
          <t>SKELLEFTEÅ</t>
        </is>
      </c>
      <c r="G343" t="n">
        <v>2.6</v>
      </c>
      <c r="H343" t="n">
        <v>0</v>
      </c>
      <c r="I343" t="n">
        <v>0</v>
      </c>
      <c r="J343" t="n">
        <v>0</v>
      </c>
      <c r="K343" t="n">
        <v>0</v>
      </c>
      <c r="L343" t="n">
        <v>0</v>
      </c>
      <c r="M343" t="n">
        <v>0</v>
      </c>
      <c r="N343" t="n">
        <v>0</v>
      </c>
      <c r="O343" t="n">
        <v>0</v>
      </c>
      <c r="P343" t="n">
        <v>0</v>
      </c>
      <c r="Q343" t="n">
        <v>0</v>
      </c>
      <c r="R343" s="2" t="inlineStr"/>
    </row>
    <row r="344" ht="15" customHeight="1">
      <c r="A344" t="inlineStr">
        <is>
          <t>A 43638-2019</t>
        </is>
      </c>
      <c r="B344" s="1" t="n">
        <v>43707</v>
      </c>
      <c r="C344" s="1" t="n">
        <v>45641</v>
      </c>
      <c r="D344" t="inlineStr">
        <is>
          <t>VÄSTERBOTTENS LÄN</t>
        </is>
      </c>
      <c r="E344" t="inlineStr">
        <is>
          <t>SKELLEFTEÅ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43842-2019</t>
        </is>
      </c>
      <c r="B345" s="1" t="n">
        <v>43707</v>
      </c>
      <c r="C345" s="1" t="n">
        <v>45641</v>
      </c>
      <c r="D345" t="inlineStr">
        <is>
          <t>VÄSTERBOTTENS LÄN</t>
        </is>
      </c>
      <c r="E345" t="inlineStr">
        <is>
          <t>SKELLEFTEÅ</t>
        </is>
      </c>
      <c r="F345" t="inlineStr">
        <is>
          <t>Sveaskog</t>
        </is>
      </c>
      <c r="G345" t="n">
        <v>7.3</v>
      </c>
      <c r="H345" t="n">
        <v>0</v>
      </c>
      <c r="I345" t="n">
        <v>0</v>
      </c>
      <c r="J345" t="n">
        <v>0</v>
      </c>
      <c r="K345" t="n">
        <v>0</v>
      </c>
      <c r="L345" t="n">
        <v>0</v>
      </c>
      <c r="M345" t="n">
        <v>0</v>
      </c>
      <c r="N345" t="n">
        <v>0</v>
      </c>
      <c r="O345" t="n">
        <v>0</v>
      </c>
      <c r="P345" t="n">
        <v>0</v>
      </c>
      <c r="Q345" t="n">
        <v>0</v>
      </c>
      <c r="R345" s="2" t="inlineStr"/>
    </row>
    <row r="346" ht="15" customHeight="1">
      <c r="A346" t="inlineStr">
        <is>
          <t>A 43648-2019</t>
        </is>
      </c>
      <c r="B346" s="1" t="n">
        <v>43707</v>
      </c>
      <c r="C346" s="1" t="n">
        <v>45641</v>
      </c>
      <c r="D346" t="inlineStr">
        <is>
          <t>VÄSTERBOTTENS LÄN</t>
        </is>
      </c>
      <c r="E346" t="inlineStr">
        <is>
          <t>SKELLEFTEÅ</t>
        </is>
      </c>
      <c r="F346" t="inlineStr">
        <is>
          <t>Holmen skog AB</t>
        </is>
      </c>
      <c r="G346" t="n">
        <v>1.9</v>
      </c>
      <c r="H346" t="n">
        <v>0</v>
      </c>
      <c r="I346" t="n">
        <v>0</v>
      </c>
      <c r="J346" t="n">
        <v>0</v>
      </c>
      <c r="K346" t="n">
        <v>0</v>
      </c>
      <c r="L346" t="n">
        <v>0</v>
      </c>
      <c r="M346" t="n">
        <v>0</v>
      </c>
      <c r="N346" t="n">
        <v>0</v>
      </c>
      <c r="O346" t="n">
        <v>0</v>
      </c>
      <c r="P346" t="n">
        <v>0</v>
      </c>
      <c r="Q346" t="n">
        <v>0</v>
      </c>
      <c r="R346" s="2" t="inlineStr"/>
    </row>
    <row r="347" ht="15" customHeight="1">
      <c r="A347" t="inlineStr">
        <is>
          <t>A 43845-2019</t>
        </is>
      </c>
      <c r="B347" s="1" t="n">
        <v>43707</v>
      </c>
      <c r="C347" s="1" t="n">
        <v>45641</v>
      </c>
      <c r="D347" t="inlineStr">
        <is>
          <t>VÄSTERBOTTENS LÄN</t>
        </is>
      </c>
      <c r="E347" t="inlineStr">
        <is>
          <t>SKELLEFTEÅ</t>
        </is>
      </c>
      <c r="F347" t="inlineStr">
        <is>
          <t>Sveaskog</t>
        </is>
      </c>
      <c r="G347" t="n">
        <v>11.6</v>
      </c>
      <c r="H347" t="n">
        <v>0</v>
      </c>
      <c r="I347" t="n">
        <v>0</v>
      </c>
      <c r="J347" t="n">
        <v>0</v>
      </c>
      <c r="K347" t="n">
        <v>0</v>
      </c>
      <c r="L347" t="n">
        <v>0</v>
      </c>
      <c r="M347" t="n">
        <v>0</v>
      </c>
      <c r="N347" t="n">
        <v>0</v>
      </c>
      <c r="O347" t="n">
        <v>0</v>
      </c>
      <c r="P347" t="n">
        <v>0</v>
      </c>
      <c r="Q347" t="n">
        <v>0</v>
      </c>
      <c r="R347" s="2" t="inlineStr"/>
    </row>
    <row r="348" ht="15" customHeight="1">
      <c r="A348" t="inlineStr">
        <is>
          <t>A 45296-2019</t>
        </is>
      </c>
      <c r="B348" s="1" t="n">
        <v>43707</v>
      </c>
      <c r="C348" s="1" t="n">
        <v>45641</v>
      </c>
      <c r="D348" t="inlineStr">
        <is>
          <t>VÄSTERBOTTENS LÄN</t>
        </is>
      </c>
      <c r="E348" t="inlineStr">
        <is>
          <t>SKELLEFTEÅ</t>
        </is>
      </c>
      <c r="G348" t="n">
        <v>5</v>
      </c>
      <c r="H348" t="n">
        <v>0</v>
      </c>
      <c r="I348" t="n">
        <v>0</v>
      </c>
      <c r="J348" t="n">
        <v>0</v>
      </c>
      <c r="K348" t="n">
        <v>0</v>
      </c>
      <c r="L348" t="n">
        <v>0</v>
      </c>
      <c r="M348" t="n">
        <v>0</v>
      </c>
      <c r="N348" t="n">
        <v>0</v>
      </c>
      <c r="O348" t="n">
        <v>0</v>
      </c>
      <c r="P348" t="n">
        <v>0</v>
      </c>
      <c r="Q348" t="n">
        <v>0</v>
      </c>
      <c r="R348" s="2" t="inlineStr"/>
    </row>
    <row r="349" ht="15" customHeight="1">
      <c r="A349" t="inlineStr">
        <is>
          <t>A 44007-2019</t>
        </is>
      </c>
      <c r="B349" s="1" t="n">
        <v>43709</v>
      </c>
      <c r="C349" s="1" t="n">
        <v>45641</v>
      </c>
      <c r="D349" t="inlineStr">
        <is>
          <t>VÄSTERBOTTENS LÄN</t>
        </is>
      </c>
      <c r="E349" t="inlineStr">
        <is>
          <t>SKELLEFTEÅ</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44204-2019</t>
        </is>
      </c>
      <c r="B350" s="1" t="n">
        <v>43710</v>
      </c>
      <c r="C350" s="1" t="n">
        <v>45641</v>
      </c>
      <c r="D350" t="inlineStr">
        <is>
          <t>VÄSTERBOTTENS LÄN</t>
        </is>
      </c>
      <c r="E350" t="inlineStr">
        <is>
          <t>SKELLEFTEÅ</t>
        </is>
      </c>
      <c r="G350" t="n">
        <v>5.2</v>
      </c>
      <c r="H350" t="n">
        <v>0</v>
      </c>
      <c r="I350" t="n">
        <v>0</v>
      </c>
      <c r="J350" t="n">
        <v>0</v>
      </c>
      <c r="K350" t="n">
        <v>0</v>
      </c>
      <c r="L350" t="n">
        <v>0</v>
      </c>
      <c r="M350" t="n">
        <v>0</v>
      </c>
      <c r="N350" t="n">
        <v>0</v>
      </c>
      <c r="O350" t="n">
        <v>0</v>
      </c>
      <c r="P350" t="n">
        <v>0</v>
      </c>
      <c r="Q350" t="n">
        <v>0</v>
      </c>
      <c r="R350" s="2" t="inlineStr"/>
    </row>
    <row r="351" ht="15" customHeight="1">
      <c r="A351" t="inlineStr">
        <is>
          <t>A 44348-2019</t>
        </is>
      </c>
      <c r="B351" s="1" t="n">
        <v>43711</v>
      </c>
      <c r="C351" s="1" t="n">
        <v>45641</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46412-2019</t>
        </is>
      </c>
      <c r="B352" s="1" t="n">
        <v>43714</v>
      </c>
      <c r="C352" s="1" t="n">
        <v>45641</v>
      </c>
      <c r="D352" t="inlineStr">
        <is>
          <t>VÄSTERBOTTENS LÄN</t>
        </is>
      </c>
      <c r="E352" t="inlineStr">
        <is>
          <t>SKELLEFTEÅ</t>
        </is>
      </c>
      <c r="G352" t="n">
        <v>3.9</v>
      </c>
      <c r="H352" t="n">
        <v>0</v>
      </c>
      <c r="I352" t="n">
        <v>0</v>
      </c>
      <c r="J352" t="n">
        <v>0</v>
      </c>
      <c r="K352" t="n">
        <v>0</v>
      </c>
      <c r="L352" t="n">
        <v>0</v>
      </c>
      <c r="M352" t="n">
        <v>0</v>
      </c>
      <c r="N352" t="n">
        <v>0</v>
      </c>
      <c r="O352" t="n">
        <v>0</v>
      </c>
      <c r="P352" t="n">
        <v>0</v>
      </c>
      <c r="Q352" t="n">
        <v>0</v>
      </c>
      <c r="R352" s="2" t="inlineStr"/>
    </row>
    <row r="353" ht="15" customHeight="1">
      <c r="A353" t="inlineStr">
        <is>
          <t>A 46227-2019</t>
        </is>
      </c>
      <c r="B353" s="1" t="n">
        <v>43714</v>
      </c>
      <c r="C353" s="1" t="n">
        <v>45641</v>
      </c>
      <c r="D353" t="inlineStr">
        <is>
          <t>VÄSTERBOTTENS LÄN</t>
        </is>
      </c>
      <c r="E353" t="inlineStr">
        <is>
          <t>SKELLEFTEÅ</t>
        </is>
      </c>
      <c r="G353" t="n">
        <v>4.3</v>
      </c>
      <c r="H353" t="n">
        <v>0</v>
      </c>
      <c r="I353" t="n">
        <v>0</v>
      </c>
      <c r="J353" t="n">
        <v>0</v>
      </c>
      <c r="K353" t="n">
        <v>0</v>
      </c>
      <c r="L353" t="n">
        <v>0</v>
      </c>
      <c r="M353" t="n">
        <v>0</v>
      </c>
      <c r="N353" t="n">
        <v>0</v>
      </c>
      <c r="O353" t="n">
        <v>0</v>
      </c>
      <c r="P353" t="n">
        <v>0</v>
      </c>
      <c r="Q353" t="n">
        <v>0</v>
      </c>
      <c r="R353" s="2" t="inlineStr"/>
    </row>
    <row r="354" ht="15" customHeight="1">
      <c r="A354" t="inlineStr">
        <is>
          <t>A 46367-2019</t>
        </is>
      </c>
      <c r="B354" s="1" t="n">
        <v>43718</v>
      </c>
      <c r="C354" s="1" t="n">
        <v>45641</v>
      </c>
      <c r="D354" t="inlineStr">
        <is>
          <t>VÄSTERBOTTENS LÄN</t>
        </is>
      </c>
      <c r="E354" t="inlineStr">
        <is>
          <t>SKELLEFTEÅ</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46355-2019</t>
        </is>
      </c>
      <c r="B355" s="1" t="n">
        <v>43718</v>
      </c>
      <c r="C355" s="1" t="n">
        <v>45641</v>
      </c>
      <c r="D355" t="inlineStr">
        <is>
          <t>VÄSTERBOTTENS LÄN</t>
        </is>
      </c>
      <c r="E355" t="inlineStr">
        <is>
          <t>SKELLEFTEÅ</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46368-2019</t>
        </is>
      </c>
      <c r="B356" s="1" t="n">
        <v>43718</v>
      </c>
      <c r="C356" s="1" t="n">
        <v>45641</v>
      </c>
      <c r="D356" t="inlineStr">
        <is>
          <t>VÄSTERBOTTENS LÄN</t>
        </is>
      </c>
      <c r="E356" t="inlineStr">
        <is>
          <t>SKELLEFTEÅ</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46952-2019</t>
        </is>
      </c>
      <c r="B357" s="1" t="n">
        <v>43720</v>
      </c>
      <c r="C357" s="1" t="n">
        <v>45641</v>
      </c>
      <c r="D357" t="inlineStr">
        <is>
          <t>VÄSTERBOTTENS LÄN</t>
        </is>
      </c>
      <c r="E357" t="inlineStr">
        <is>
          <t>SKELLEFTEÅ</t>
        </is>
      </c>
      <c r="F357" t="inlineStr">
        <is>
          <t>Holmen skog AB</t>
        </is>
      </c>
      <c r="G357" t="n">
        <v>10.8</v>
      </c>
      <c r="H357" t="n">
        <v>0</v>
      </c>
      <c r="I357" t="n">
        <v>0</v>
      </c>
      <c r="J357" t="n">
        <v>0</v>
      </c>
      <c r="K357" t="n">
        <v>0</v>
      </c>
      <c r="L357" t="n">
        <v>0</v>
      </c>
      <c r="M357" t="n">
        <v>0</v>
      </c>
      <c r="N357" t="n">
        <v>0</v>
      </c>
      <c r="O357" t="n">
        <v>0</v>
      </c>
      <c r="P357" t="n">
        <v>0</v>
      </c>
      <c r="Q357" t="n">
        <v>0</v>
      </c>
      <c r="R357" s="2" t="inlineStr"/>
    </row>
    <row r="358" ht="15" customHeight="1">
      <c r="A358" t="inlineStr">
        <is>
          <t>A 46968-2019</t>
        </is>
      </c>
      <c r="B358" s="1" t="n">
        <v>43720</v>
      </c>
      <c r="C358" s="1" t="n">
        <v>45641</v>
      </c>
      <c r="D358" t="inlineStr">
        <is>
          <t>VÄSTERBOTTENS LÄN</t>
        </is>
      </c>
      <c r="E358" t="inlineStr">
        <is>
          <t>SKELLEFTEÅ</t>
        </is>
      </c>
      <c r="G358" t="n">
        <v>0.8</v>
      </c>
      <c r="H358" t="n">
        <v>0</v>
      </c>
      <c r="I358" t="n">
        <v>0</v>
      </c>
      <c r="J358" t="n">
        <v>0</v>
      </c>
      <c r="K358" t="n">
        <v>0</v>
      </c>
      <c r="L358" t="n">
        <v>0</v>
      </c>
      <c r="M358" t="n">
        <v>0</v>
      </c>
      <c r="N358" t="n">
        <v>0</v>
      </c>
      <c r="O358" t="n">
        <v>0</v>
      </c>
      <c r="P358" t="n">
        <v>0</v>
      </c>
      <c r="Q358" t="n">
        <v>0</v>
      </c>
      <c r="R358" s="2" t="inlineStr"/>
    </row>
    <row r="359" ht="15" customHeight="1">
      <c r="A359" t="inlineStr">
        <is>
          <t>A 46946-2019</t>
        </is>
      </c>
      <c r="B359" s="1" t="n">
        <v>43720</v>
      </c>
      <c r="C359" s="1" t="n">
        <v>45641</v>
      </c>
      <c r="D359" t="inlineStr">
        <is>
          <t>VÄSTERBOTTENS LÄN</t>
        </is>
      </c>
      <c r="E359" t="inlineStr">
        <is>
          <t>SKELLEFTEÅ</t>
        </is>
      </c>
      <c r="F359" t="inlineStr">
        <is>
          <t>Holmen skog AB</t>
        </is>
      </c>
      <c r="G359" t="n">
        <v>13.2</v>
      </c>
      <c r="H359" t="n">
        <v>0</v>
      </c>
      <c r="I359" t="n">
        <v>0</v>
      </c>
      <c r="J359" t="n">
        <v>0</v>
      </c>
      <c r="K359" t="n">
        <v>0</v>
      </c>
      <c r="L359" t="n">
        <v>0</v>
      </c>
      <c r="M359" t="n">
        <v>0</v>
      </c>
      <c r="N359" t="n">
        <v>0</v>
      </c>
      <c r="O359" t="n">
        <v>0</v>
      </c>
      <c r="P359" t="n">
        <v>0</v>
      </c>
      <c r="Q359" t="n">
        <v>0</v>
      </c>
      <c r="R359" s="2" t="inlineStr"/>
    </row>
    <row r="360" ht="15" customHeight="1">
      <c r="A360" t="inlineStr">
        <is>
          <t>A 47224-2019</t>
        </is>
      </c>
      <c r="B360" s="1" t="n">
        <v>43720</v>
      </c>
      <c r="C360" s="1" t="n">
        <v>45641</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47091-2019</t>
        </is>
      </c>
      <c r="B361" s="1" t="n">
        <v>43720</v>
      </c>
      <c r="C361" s="1" t="n">
        <v>45641</v>
      </c>
      <c r="D361" t="inlineStr">
        <is>
          <t>VÄSTERBOTTENS LÄN</t>
        </is>
      </c>
      <c r="E361" t="inlineStr">
        <is>
          <t>SKELLEFTEÅ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47452-2019</t>
        </is>
      </c>
      <c r="B362" s="1" t="n">
        <v>43721</v>
      </c>
      <c r="C362" s="1" t="n">
        <v>45641</v>
      </c>
      <c r="D362" t="inlineStr">
        <is>
          <t>VÄSTERBOTTENS LÄN</t>
        </is>
      </c>
      <c r="E362" t="inlineStr">
        <is>
          <t>SKELLEFTEÅ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47460-2019</t>
        </is>
      </c>
      <c r="B363" s="1" t="n">
        <v>43721</v>
      </c>
      <c r="C363" s="1" t="n">
        <v>45641</v>
      </c>
      <c r="D363" t="inlineStr">
        <is>
          <t>VÄSTERBOTTENS LÄN</t>
        </is>
      </c>
      <c r="E363" t="inlineStr">
        <is>
          <t>SKELLEFTEÅ</t>
        </is>
      </c>
      <c r="G363" t="n">
        <v>1.1</v>
      </c>
      <c r="H363" t="n">
        <v>0</v>
      </c>
      <c r="I363" t="n">
        <v>0</v>
      </c>
      <c r="J363" t="n">
        <v>0</v>
      </c>
      <c r="K363" t="n">
        <v>0</v>
      </c>
      <c r="L363" t="n">
        <v>0</v>
      </c>
      <c r="M363" t="n">
        <v>0</v>
      </c>
      <c r="N363" t="n">
        <v>0</v>
      </c>
      <c r="O363" t="n">
        <v>0</v>
      </c>
      <c r="P363" t="n">
        <v>0</v>
      </c>
      <c r="Q363" t="n">
        <v>0</v>
      </c>
      <c r="R363" s="2" t="inlineStr"/>
    </row>
    <row r="364" ht="15" customHeight="1">
      <c r="A364" t="inlineStr">
        <is>
          <t>A 47535-2019</t>
        </is>
      </c>
      <c r="B364" s="1" t="n">
        <v>43721</v>
      </c>
      <c r="C364" s="1" t="n">
        <v>45641</v>
      </c>
      <c r="D364" t="inlineStr">
        <is>
          <t>VÄSTERBOTTENS LÄN</t>
        </is>
      </c>
      <c r="E364" t="inlineStr">
        <is>
          <t>SKELLEFTEÅ</t>
        </is>
      </c>
      <c r="G364" t="n">
        <v>1.9</v>
      </c>
      <c r="H364" t="n">
        <v>0</v>
      </c>
      <c r="I364" t="n">
        <v>0</v>
      </c>
      <c r="J364" t="n">
        <v>0</v>
      </c>
      <c r="K364" t="n">
        <v>0</v>
      </c>
      <c r="L364" t="n">
        <v>0</v>
      </c>
      <c r="M364" t="n">
        <v>0</v>
      </c>
      <c r="N364" t="n">
        <v>0</v>
      </c>
      <c r="O364" t="n">
        <v>0</v>
      </c>
      <c r="P364" t="n">
        <v>0</v>
      </c>
      <c r="Q364" t="n">
        <v>0</v>
      </c>
      <c r="R364" s="2" t="inlineStr"/>
    </row>
    <row r="365" ht="15" customHeight="1">
      <c r="A365" t="inlineStr">
        <is>
          <t>A 47572-2019</t>
        </is>
      </c>
      <c r="B365" s="1" t="n">
        <v>43724</v>
      </c>
      <c r="C365" s="1" t="n">
        <v>45641</v>
      </c>
      <c r="D365" t="inlineStr">
        <is>
          <t>VÄSTERBOTTENS LÄN</t>
        </is>
      </c>
      <c r="E365" t="inlineStr">
        <is>
          <t>SKELLEFTEÅ</t>
        </is>
      </c>
      <c r="G365" t="n">
        <v>3.6</v>
      </c>
      <c r="H365" t="n">
        <v>0</v>
      </c>
      <c r="I365" t="n">
        <v>0</v>
      </c>
      <c r="J365" t="n">
        <v>0</v>
      </c>
      <c r="K365" t="n">
        <v>0</v>
      </c>
      <c r="L365" t="n">
        <v>0</v>
      </c>
      <c r="M365" t="n">
        <v>0</v>
      </c>
      <c r="N365" t="n">
        <v>0</v>
      </c>
      <c r="O365" t="n">
        <v>0</v>
      </c>
      <c r="P365" t="n">
        <v>0</v>
      </c>
      <c r="Q365" t="n">
        <v>0</v>
      </c>
      <c r="R365" s="2" t="inlineStr"/>
    </row>
    <row r="366" ht="15" customHeight="1">
      <c r="A366" t="inlineStr">
        <is>
          <t>A 47643-2019</t>
        </is>
      </c>
      <c r="B366" s="1" t="n">
        <v>43724</v>
      </c>
      <c r="C366" s="1" t="n">
        <v>45641</v>
      </c>
      <c r="D366" t="inlineStr">
        <is>
          <t>VÄSTERBOTTENS LÄN</t>
        </is>
      </c>
      <c r="E366" t="inlineStr">
        <is>
          <t>SKELLEFTEÅ</t>
        </is>
      </c>
      <c r="G366" t="n">
        <v>3.5</v>
      </c>
      <c r="H366" t="n">
        <v>0</v>
      </c>
      <c r="I366" t="n">
        <v>0</v>
      </c>
      <c r="J366" t="n">
        <v>0</v>
      </c>
      <c r="K366" t="n">
        <v>0</v>
      </c>
      <c r="L366" t="n">
        <v>0</v>
      </c>
      <c r="M366" t="n">
        <v>0</v>
      </c>
      <c r="N366" t="n">
        <v>0</v>
      </c>
      <c r="O366" t="n">
        <v>0</v>
      </c>
      <c r="P366" t="n">
        <v>0</v>
      </c>
      <c r="Q366" t="n">
        <v>0</v>
      </c>
      <c r="R366" s="2" t="inlineStr"/>
    </row>
    <row r="367" ht="15" customHeight="1">
      <c r="A367" t="inlineStr">
        <is>
          <t>A 48592-2019</t>
        </is>
      </c>
      <c r="B367" s="1" t="n">
        <v>43727</v>
      </c>
      <c r="C367" s="1" t="n">
        <v>45641</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48786-2019</t>
        </is>
      </c>
      <c r="B368" s="1" t="n">
        <v>43727</v>
      </c>
      <c r="C368" s="1" t="n">
        <v>45641</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48957-2019</t>
        </is>
      </c>
      <c r="B369" s="1" t="n">
        <v>43728</v>
      </c>
      <c r="C369" s="1" t="n">
        <v>45641</v>
      </c>
      <c r="D369" t="inlineStr">
        <is>
          <t>VÄSTERBOTTENS LÄN</t>
        </is>
      </c>
      <c r="E369" t="inlineStr">
        <is>
          <t>SKELLEFTEÅ</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49617-2019</t>
        </is>
      </c>
      <c r="B370" s="1" t="n">
        <v>43728</v>
      </c>
      <c r="C370" s="1" t="n">
        <v>45641</v>
      </c>
      <c r="D370" t="inlineStr">
        <is>
          <t>VÄSTERBOTTENS LÄN</t>
        </is>
      </c>
      <c r="E370" t="inlineStr">
        <is>
          <t>SKELLEFTEÅ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49464-2019</t>
        </is>
      </c>
      <c r="B371" s="1" t="n">
        <v>43728</v>
      </c>
      <c r="C371" s="1" t="n">
        <v>45641</v>
      </c>
      <c r="D371" t="inlineStr">
        <is>
          <t>VÄSTERBOTTENS LÄN</t>
        </is>
      </c>
      <c r="E371" t="inlineStr">
        <is>
          <t>SKELLEFTEÅ</t>
        </is>
      </c>
      <c r="G371" t="n">
        <v>7.1</v>
      </c>
      <c r="H371" t="n">
        <v>0</v>
      </c>
      <c r="I371" t="n">
        <v>0</v>
      </c>
      <c r="J371" t="n">
        <v>0</v>
      </c>
      <c r="K371" t="n">
        <v>0</v>
      </c>
      <c r="L371" t="n">
        <v>0</v>
      </c>
      <c r="M371" t="n">
        <v>0</v>
      </c>
      <c r="N371" t="n">
        <v>0</v>
      </c>
      <c r="O371" t="n">
        <v>0</v>
      </c>
      <c r="P371" t="n">
        <v>0</v>
      </c>
      <c r="Q371" t="n">
        <v>0</v>
      </c>
      <c r="R371" s="2" t="inlineStr"/>
    </row>
    <row r="372" ht="15" customHeight="1">
      <c r="A372" t="inlineStr">
        <is>
          <t>A 49712-2019</t>
        </is>
      </c>
      <c r="B372" s="1" t="n">
        <v>43728</v>
      </c>
      <c r="C372" s="1" t="n">
        <v>45641</v>
      </c>
      <c r="D372" t="inlineStr">
        <is>
          <t>VÄSTERBOTTENS LÄN</t>
        </is>
      </c>
      <c r="E372" t="inlineStr">
        <is>
          <t>SKELLEFTEÅ</t>
        </is>
      </c>
      <c r="G372" t="n">
        <v>4.2</v>
      </c>
      <c r="H372" t="n">
        <v>0</v>
      </c>
      <c r="I372" t="n">
        <v>0</v>
      </c>
      <c r="J372" t="n">
        <v>0</v>
      </c>
      <c r="K372" t="n">
        <v>0</v>
      </c>
      <c r="L372" t="n">
        <v>0</v>
      </c>
      <c r="M372" t="n">
        <v>0</v>
      </c>
      <c r="N372" t="n">
        <v>0</v>
      </c>
      <c r="O372" t="n">
        <v>0</v>
      </c>
      <c r="P372" t="n">
        <v>0</v>
      </c>
      <c r="Q372" t="n">
        <v>0</v>
      </c>
      <c r="R372" s="2" t="inlineStr"/>
    </row>
    <row r="373" ht="15" customHeight="1">
      <c r="A373" t="inlineStr">
        <is>
          <t>A 49005-2019</t>
        </is>
      </c>
      <c r="B373" s="1" t="n">
        <v>43730</v>
      </c>
      <c r="C373" s="1" t="n">
        <v>45641</v>
      </c>
      <c r="D373" t="inlineStr">
        <is>
          <t>VÄSTERBOTTENS LÄN</t>
        </is>
      </c>
      <c r="E373" t="inlineStr">
        <is>
          <t>SKELLEFTEÅ</t>
        </is>
      </c>
      <c r="F373" t="inlineStr">
        <is>
          <t>Holmen skog AB</t>
        </is>
      </c>
      <c r="G373" t="n">
        <v>5.5</v>
      </c>
      <c r="H373" t="n">
        <v>0</v>
      </c>
      <c r="I373" t="n">
        <v>0</v>
      </c>
      <c r="J373" t="n">
        <v>0</v>
      </c>
      <c r="K373" t="n">
        <v>0</v>
      </c>
      <c r="L373" t="n">
        <v>0</v>
      </c>
      <c r="M373" t="n">
        <v>0</v>
      </c>
      <c r="N373" t="n">
        <v>0</v>
      </c>
      <c r="O373" t="n">
        <v>0</v>
      </c>
      <c r="P373" t="n">
        <v>0</v>
      </c>
      <c r="Q373" t="n">
        <v>0</v>
      </c>
      <c r="R373" s="2" t="inlineStr"/>
    </row>
    <row r="374" ht="15" customHeight="1">
      <c r="A374" t="inlineStr">
        <is>
          <t>A 49327-2019</t>
        </is>
      </c>
      <c r="B374" s="1" t="n">
        <v>43731</v>
      </c>
      <c r="C374" s="1" t="n">
        <v>45641</v>
      </c>
      <c r="D374" t="inlineStr">
        <is>
          <t>VÄSTERBOTTENS LÄN</t>
        </is>
      </c>
      <c r="E374" t="inlineStr">
        <is>
          <t>SKELLEFTEÅ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49282-2019</t>
        </is>
      </c>
      <c r="B375" s="1" t="n">
        <v>43731</v>
      </c>
      <c r="C375" s="1" t="n">
        <v>45641</v>
      </c>
      <c r="D375" t="inlineStr">
        <is>
          <t>VÄSTERBOTTENS LÄN</t>
        </is>
      </c>
      <c r="E375" t="inlineStr">
        <is>
          <t>SKELLEFTEÅ</t>
        </is>
      </c>
      <c r="F375" t="inlineStr">
        <is>
          <t>Kommuner</t>
        </is>
      </c>
      <c r="G375" t="n">
        <v>0.9</v>
      </c>
      <c r="H375" t="n">
        <v>0</v>
      </c>
      <c r="I375" t="n">
        <v>0</v>
      </c>
      <c r="J375" t="n">
        <v>0</v>
      </c>
      <c r="K375" t="n">
        <v>0</v>
      </c>
      <c r="L375" t="n">
        <v>0</v>
      </c>
      <c r="M375" t="n">
        <v>0</v>
      </c>
      <c r="N375" t="n">
        <v>0</v>
      </c>
      <c r="O375" t="n">
        <v>0</v>
      </c>
      <c r="P375" t="n">
        <v>0</v>
      </c>
      <c r="Q375" t="n">
        <v>0</v>
      </c>
      <c r="R375" s="2" t="inlineStr"/>
    </row>
    <row r="376" ht="15" customHeight="1">
      <c r="A376" t="inlineStr">
        <is>
          <t>A 49312-2019</t>
        </is>
      </c>
      <c r="B376" s="1" t="n">
        <v>43731</v>
      </c>
      <c r="C376" s="1" t="n">
        <v>45641</v>
      </c>
      <c r="D376" t="inlineStr">
        <is>
          <t>VÄSTERBOTTENS LÄN</t>
        </is>
      </c>
      <c r="E376" t="inlineStr">
        <is>
          <t>SKELLEFTEÅ</t>
        </is>
      </c>
      <c r="G376" t="n">
        <v>1.8</v>
      </c>
      <c r="H376" t="n">
        <v>0</v>
      </c>
      <c r="I376" t="n">
        <v>0</v>
      </c>
      <c r="J376" t="n">
        <v>0</v>
      </c>
      <c r="K376" t="n">
        <v>0</v>
      </c>
      <c r="L376" t="n">
        <v>0</v>
      </c>
      <c r="M376" t="n">
        <v>0</v>
      </c>
      <c r="N376" t="n">
        <v>0</v>
      </c>
      <c r="O376" t="n">
        <v>0</v>
      </c>
      <c r="P376" t="n">
        <v>0</v>
      </c>
      <c r="Q376" t="n">
        <v>0</v>
      </c>
      <c r="R376" s="2" t="inlineStr"/>
    </row>
    <row r="377" ht="15" customHeight="1">
      <c r="A377" t="inlineStr">
        <is>
          <t>A 49792-2019</t>
        </is>
      </c>
      <c r="B377" s="1" t="n">
        <v>43733</v>
      </c>
      <c r="C377" s="1" t="n">
        <v>45641</v>
      </c>
      <c r="D377" t="inlineStr">
        <is>
          <t>VÄSTERBOTTENS LÄN</t>
        </is>
      </c>
      <c r="E377" t="inlineStr">
        <is>
          <t>SKELLEFTEÅ</t>
        </is>
      </c>
      <c r="F377" t="inlineStr">
        <is>
          <t>Sveaskog</t>
        </is>
      </c>
      <c r="G377" t="n">
        <v>6.2</v>
      </c>
      <c r="H377" t="n">
        <v>0</v>
      </c>
      <c r="I377" t="n">
        <v>0</v>
      </c>
      <c r="J377" t="n">
        <v>0</v>
      </c>
      <c r="K377" t="n">
        <v>0</v>
      </c>
      <c r="L377" t="n">
        <v>0</v>
      </c>
      <c r="M377" t="n">
        <v>0</v>
      </c>
      <c r="N377" t="n">
        <v>0</v>
      </c>
      <c r="O377" t="n">
        <v>0</v>
      </c>
      <c r="P377" t="n">
        <v>0</v>
      </c>
      <c r="Q377" t="n">
        <v>0</v>
      </c>
      <c r="R377" s="2" t="inlineStr"/>
    </row>
    <row r="378" ht="15" customHeight="1">
      <c r="A378" t="inlineStr">
        <is>
          <t>A 49793-2019</t>
        </is>
      </c>
      <c r="B378" s="1" t="n">
        <v>43733</v>
      </c>
      <c r="C378" s="1" t="n">
        <v>45641</v>
      </c>
      <c r="D378" t="inlineStr">
        <is>
          <t>VÄSTERBOTTENS LÄN</t>
        </is>
      </c>
      <c r="E378" t="inlineStr">
        <is>
          <t>SKELLEFTEÅ</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50518-2019</t>
        </is>
      </c>
      <c r="B379" s="1" t="n">
        <v>43733</v>
      </c>
      <c r="C379" s="1" t="n">
        <v>45641</v>
      </c>
      <c r="D379" t="inlineStr">
        <is>
          <t>VÄSTERBOTTENS LÄN</t>
        </is>
      </c>
      <c r="E379" t="inlineStr">
        <is>
          <t>SKELLEFTEÅ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50515-2019</t>
        </is>
      </c>
      <c r="B380" s="1" t="n">
        <v>43733</v>
      </c>
      <c r="C380" s="1" t="n">
        <v>45641</v>
      </c>
      <c r="D380" t="inlineStr">
        <is>
          <t>VÄSTERBOTTENS LÄN</t>
        </is>
      </c>
      <c r="E380" t="inlineStr">
        <is>
          <t>SKELLEFTEÅ</t>
        </is>
      </c>
      <c r="G380" t="n">
        <v>3.1</v>
      </c>
      <c r="H380" t="n">
        <v>0</v>
      </c>
      <c r="I380" t="n">
        <v>0</v>
      </c>
      <c r="J380" t="n">
        <v>0</v>
      </c>
      <c r="K380" t="n">
        <v>0</v>
      </c>
      <c r="L380" t="n">
        <v>0</v>
      </c>
      <c r="M380" t="n">
        <v>0</v>
      </c>
      <c r="N380" t="n">
        <v>0</v>
      </c>
      <c r="O380" t="n">
        <v>0</v>
      </c>
      <c r="P380" t="n">
        <v>0</v>
      </c>
      <c r="Q380" t="n">
        <v>0</v>
      </c>
      <c r="R380" s="2" t="inlineStr"/>
    </row>
    <row r="381" ht="15" customHeight="1">
      <c r="A381" t="inlineStr">
        <is>
          <t>A 50572-2019</t>
        </is>
      </c>
      <c r="B381" s="1" t="n">
        <v>43735</v>
      </c>
      <c r="C381" s="1" t="n">
        <v>45641</v>
      </c>
      <c r="D381" t="inlineStr">
        <is>
          <t>VÄSTERBOTTENS LÄN</t>
        </is>
      </c>
      <c r="E381" t="inlineStr">
        <is>
          <t>SKELLEFTEÅ</t>
        </is>
      </c>
      <c r="F381" t="inlineStr">
        <is>
          <t>Sveaskog</t>
        </is>
      </c>
      <c r="G381" t="n">
        <v>12.1</v>
      </c>
      <c r="H381" t="n">
        <v>0</v>
      </c>
      <c r="I381" t="n">
        <v>0</v>
      </c>
      <c r="J381" t="n">
        <v>0</v>
      </c>
      <c r="K381" t="n">
        <v>0</v>
      </c>
      <c r="L381" t="n">
        <v>0</v>
      </c>
      <c r="M381" t="n">
        <v>0</v>
      </c>
      <c r="N381" t="n">
        <v>0</v>
      </c>
      <c r="O381" t="n">
        <v>0</v>
      </c>
      <c r="P381" t="n">
        <v>0</v>
      </c>
      <c r="Q381" t="n">
        <v>0</v>
      </c>
      <c r="R381" s="2" t="inlineStr"/>
    </row>
    <row r="382" ht="15" customHeight="1">
      <c r="A382" t="inlineStr">
        <is>
          <t>A 50568-2019</t>
        </is>
      </c>
      <c r="B382" s="1" t="n">
        <v>43735</v>
      </c>
      <c r="C382" s="1" t="n">
        <v>45641</v>
      </c>
      <c r="D382" t="inlineStr">
        <is>
          <t>VÄSTERBOTTENS LÄN</t>
        </is>
      </c>
      <c r="E382" t="inlineStr">
        <is>
          <t>SKELLEFTEÅ</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50574-2019</t>
        </is>
      </c>
      <c r="B383" s="1" t="n">
        <v>43735</v>
      </c>
      <c r="C383" s="1" t="n">
        <v>45641</v>
      </c>
      <c r="D383" t="inlineStr">
        <is>
          <t>VÄSTERBOTTENS LÄN</t>
        </is>
      </c>
      <c r="E383" t="inlineStr">
        <is>
          <t>SKELLEFTEÅ</t>
        </is>
      </c>
      <c r="F383" t="inlineStr">
        <is>
          <t>Sveaskog</t>
        </is>
      </c>
      <c r="G383" t="n">
        <v>7.8</v>
      </c>
      <c r="H383" t="n">
        <v>0</v>
      </c>
      <c r="I383" t="n">
        <v>0</v>
      </c>
      <c r="J383" t="n">
        <v>0</v>
      </c>
      <c r="K383" t="n">
        <v>0</v>
      </c>
      <c r="L383" t="n">
        <v>0</v>
      </c>
      <c r="M383" t="n">
        <v>0</v>
      </c>
      <c r="N383" t="n">
        <v>0</v>
      </c>
      <c r="O383" t="n">
        <v>0</v>
      </c>
      <c r="P383" t="n">
        <v>0</v>
      </c>
      <c r="Q383" t="n">
        <v>0</v>
      </c>
      <c r="R383" s="2" t="inlineStr"/>
    </row>
    <row r="384" ht="15" customHeight="1">
      <c r="A384" t="inlineStr">
        <is>
          <t>A 50576-2019</t>
        </is>
      </c>
      <c r="B384" s="1" t="n">
        <v>43735</v>
      </c>
      <c r="C384" s="1" t="n">
        <v>45641</v>
      </c>
      <c r="D384" t="inlineStr">
        <is>
          <t>VÄSTERBOTTENS LÄN</t>
        </is>
      </c>
      <c r="E384" t="inlineStr">
        <is>
          <t>SKELLEFTEÅ</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53194-2019</t>
        </is>
      </c>
      <c r="B385" s="1" t="n">
        <v>43735</v>
      </c>
      <c r="C385" s="1" t="n">
        <v>45641</v>
      </c>
      <c r="D385" t="inlineStr">
        <is>
          <t>VÄSTERBOTTENS LÄN</t>
        </is>
      </c>
      <c r="E385" t="inlineStr">
        <is>
          <t>SKELLEFTEÅ</t>
        </is>
      </c>
      <c r="G385" t="n">
        <v>5.2</v>
      </c>
      <c r="H385" t="n">
        <v>0</v>
      </c>
      <c r="I385" t="n">
        <v>0</v>
      </c>
      <c r="J385" t="n">
        <v>0</v>
      </c>
      <c r="K385" t="n">
        <v>0</v>
      </c>
      <c r="L385" t="n">
        <v>0</v>
      </c>
      <c r="M385" t="n">
        <v>0</v>
      </c>
      <c r="N385" t="n">
        <v>0</v>
      </c>
      <c r="O385" t="n">
        <v>0</v>
      </c>
      <c r="P385" t="n">
        <v>0</v>
      </c>
      <c r="Q385" t="n">
        <v>0</v>
      </c>
      <c r="R385" s="2" t="inlineStr"/>
    </row>
    <row r="386" ht="15" customHeight="1">
      <c r="A386" t="inlineStr">
        <is>
          <t>A 50872-2019</t>
        </is>
      </c>
      <c r="B386" s="1" t="n">
        <v>43738</v>
      </c>
      <c r="C386" s="1" t="n">
        <v>45641</v>
      </c>
      <c r="D386" t="inlineStr">
        <is>
          <t>VÄSTERBOTTENS LÄN</t>
        </is>
      </c>
      <c r="E386" t="inlineStr">
        <is>
          <t>SKELLEFTEÅ</t>
        </is>
      </c>
      <c r="F386" t="inlineStr">
        <is>
          <t>Holmen skog AB</t>
        </is>
      </c>
      <c r="G386" t="n">
        <v>11.5</v>
      </c>
      <c r="H386" t="n">
        <v>0</v>
      </c>
      <c r="I386" t="n">
        <v>0</v>
      </c>
      <c r="J386" t="n">
        <v>0</v>
      </c>
      <c r="K386" t="n">
        <v>0</v>
      </c>
      <c r="L386" t="n">
        <v>0</v>
      </c>
      <c r="M386" t="n">
        <v>0</v>
      </c>
      <c r="N386" t="n">
        <v>0</v>
      </c>
      <c r="O386" t="n">
        <v>0</v>
      </c>
      <c r="P386" t="n">
        <v>0</v>
      </c>
      <c r="Q386" t="n">
        <v>0</v>
      </c>
      <c r="R386" s="2" t="inlineStr"/>
    </row>
    <row r="387" ht="15" customHeight="1">
      <c r="A387" t="inlineStr">
        <is>
          <t>A 53311-2019</t>
        </is>
      </c>
      <c r="B387" s="1" t="n">
        <v>43740</v>
      </c>
      <c r="C387" s="1" t="n">
        <v>45641</v>
      </c>
      <c r="D387" t="inlineStr">
        <is>
          <t>VÄSTERBOTTENS LÄN</t>
        </is>
      </c>
      <c r="E387" t="inlineStr">
        <is>
          <t>SKELLEFTEÅ</t>
        </is>
      </c>
      <c r="G387" t="n">
        <v>0.6</v>
      </c>
      <c r="H387" t="n">
        <v>0</v>
      </c>
      <c r="I387" t="n">
        <v>0</v>
      </c>
      <c r="J387" t="n">
        <v>0</v>
      </c>
      <c r="K387" t="n">
        <v>0</v>
      </c>
      <c r="L387" t="n">
        <v>0</v>
      </c>
      <c r="M387" t="n">
        <v>0</v>
      </c>
      <c r="N387" t="n">
        <v>0</v>
      </c>
      <c r="O387" t="n">
        <v>0</v>
      </c>
      <c r="P387" t="n">
        <v>0</v>
      </c>
      <c r="Q387" t="n">
        <v>0</v>
      </c>
      <c r="R387" s="2" t="inlineStr"/>
    </row>
    <row r="388" ht="15" customHeight="1">
      <c r="A388" t="inlineStr">
        <is>
          <t>A 53557-2019</t>
        </is>
      </c>
      <c r="B388" s="1" t="n">
        <v>43740</v>
      </c>
      <c r="C388" s="1" t="n">
        <v>45641</v>
      </c>
      <c r="D388" t="inlineStr">
        <is>
          <t>VÄSTERBOTTENS LÄN</t>
        </is>
      </c>
      <c r="E388" t="inlineStr">
        <is>
          <t>SKELLEFTEÅ</t>
        </is>
      </c>
      <c r="G388" t="n">
        <v>2.8</v>
      </c>
      <c r="H388" t="n">
        <v>0</v>
      </c>
      <c r="I388" t="n">
        <v>0</v>
      </c>
      <c r="J388" t="n">
        <v>0</v>
      </c>
      <c r="K388" t="n">
        <v>0</v>
      </c>
      <c r="L388" t="n">
        <v>0</v>
      </c>
      <c r="M388" t="n">
        <v>0</v>
      </c>
      <c r="N388" t="n">
        <v>0</v>
      </c>
      <c r="O388" t="n">
        <v>0</v>
      </c>
      <c r="P388" t="n">
        <v>0</v>
      </c>
      <c r="Q388" t="n">
        <v>0</v>
      </c>
      <c r="R388" s="2" t="inlineStr"/>
    </row>
    <row r="389" ht="15" customHeight="1">
      <c r="A389" t="inlineStr">
        <is>
          <t>A 54004-2019</t>
        </is>
      </c>
      <c r="B389" s="1" t="n">
        <v>43742</v>
      </c>
      <c r="C389" s="1" t="n">
        <v>45641</v>
      </c>
      <c r="D389" t="inlineStr">
        <is>
          <t>VÄSTERBOTTENS LÄN</t>
        </is>
      </c>
      <c r="E389" t="inlineStr">
        <is>
          <t>SKELLEFTEÅ</t>
        </is>
      </c>
      <c r="G389" t="n">
        <v>2.2</v>
      </c>
      <c r="H389" t="n">
        <v>0</v>
      </c>
      <c r="I389" t="n">
        <v>0</v>
      </c>
      <c r="J389" t="n">
        <v>0</v>
      </c>
      <c r="K389" t="n">
        <v>0</v>
      </c>
      <c r="L389" t="n">
        <v>0</v>
      </c>
      <c r="M389" t="n">
        <v>0</v>
      </c>
      <c r="N389" t="n">
        <v>0</v>
      </c>
      <c r="O389" t="n">
        <v>0</v>
      </c>
      <c r="P389" t="n">
        <v>0</v>
      </c>
      <c r="Q389" t="n">
        <v>0</v>
      </c>
      <c r="R389" s="2" t="inlineStr"/>
    </row>
    <row r="390" ht="15" customHeight="1">
      <c r="A390" t="inlineStr">
        <is>
          <t>A 52019-2019</t>
        </is>
      </c>
      <c r="B390" s="1" t="n">
        <v>43742</v>
      </c>
      <c r="C390" s="1" t="n">
        <v>45641</v>
      </c>
      <c r="D390" t="inlineStr">
        <is>
          <t>VÄSTERBOTTENS LÄN</t>
        </is>
      </c>
      <c r="E390" t="inlineStr">
        <is>
          <t>SKELLEFTEÅ</t>
        </is>
      </c>
      <c r="G390" t="n">
        <v>1.2</v>
      </c>
      <c r="H390" t="n">
        <v>0</v>
      </c>
      <c r="I390" t="n">
        <v>0</v>
      </c>
      <c r="J390" t="n">
        <v>0</v>
      </c>
      <c r="K390" t="n">
        <v>0</v>
      </c>
      <c r="L390" t="n">
        <v>0</v>
      </c>
      <c r="M390" t="n">
        <v>0</v>
      </c>
      <c r="N390" t="n">
        <v>0</v>
      </c>
      <c r="O390" t="n">
        <v>0</v>
      </c>
      <c r="P390" t="n">
        <v>0</v>
      </c>
      <c r="Q390" t="n">
        <v>0</v>
      </c>
      <c r="R390" s="2" t="inlineStr"/>
    </row>
    <row r="391" ht="15" customHeight="1">
      <c r="A391" t="inlineStr">
        <is>
          <t>A 53980-2019</t>
        </is>
      </c>
      <c r="B391" s="1" t="n">
        <v>43742</v>
      </c>
      <c r="C391" s="1" t="n">
        <v>45641</v>
      </c>
      <c r="D391" t="inlineStr">
        <is>
          <t>VÄSTERBOTTENS LÄN</t>
        </is>
      </c>
      <c r="E391" t="inlineStr">
        <is>
          <t>SKELLEFTEÅ</t>
        </is>
      </c>
      <c r="G391" t="n">
        <v>2.3</v>
      </c>
      <c r="H391" t="n">
        <v>0</v>
      </c>
      <c r="I391" t="n">
        <v>0</v>
      </c>
      <c r="J391" t="n">
        <v>0</v>
      </c>
      <c r="K391" t="n">
        <v>0</v>
      </c>
      <c r="L391" t="n">
        <v>0</v>
      </c>
      <c r="M391" t="n">
        <v>0</v>
      </c>
      <c r="N391" t="n">
        <v>0</v>
      </c>
      <c r="O391" t="n">
        <v>0</v>
      </c>
      <c r="P391" t="n">
        <v>0</v>
      </c>
      <c r="Q391" t="n">
        <v>0</v>
      </c>
      <c r="R391" s="2" t="inlineStr"/>
    </row>
    <row r="392" ht="15" customHeight="1">
      <c r="A392" t="inlineStr">
        <is>
          <t>A 52469-2019</t>
        </is>
      </c>
      <c r="B392" s="1" t="n">
        <v>43745</v>
      </c>
      <c r="C392" s="1" t="n">
        <v>45641</v>
      </c>
      <c r="D392" t="inlineStr">
        <is>
          <t>VÄSTERBOTTENS LÄN</t>
        </is>
      </c>
      <c r="E392" t="inlineStr">
        <is>
          <t>SKELLEFTEÅ</t>
        </is>
      </c>
      <c r="G392" t="n">
        <v>7.3</v>
      </c>
      <c r="H392" t="n">
        <v>0</v>
      </c>
      <c r="I392" t="n">
        <v>0</v>
      </c>
      <c r="J392" t="n">
        <v>0</v>
      </c>
      <c r="K392" t="n">
        <v>0</v>
      </c>
      <c r="L392" t="n">
        <v>0</v>
      </c>
      <c r="M392" t="n">
        <v>0</v>
      </c>
      <c r="N392" t="n">
        <v>0</v>
      </c>
      <c r="O392" t="n">
        <v>0</v>
      </c>
      <c r="P392" t="n">
        <v>0</v>
      </c>
      <c r="Q392" t="n">
        <v>0</v>
      </c>
      <c r="R392" s="2" t="inlineStr"/>
    </row>
    <row r="393" ht="15" customHeight="1">
      <c r="A393" t="inlineStr">
        <is>
          <t>A 52506-2019</t>
        </is>
      </c>
      <c r="B393" s="1" t="n">
        <v>43745</v>
      </c>
      <c r="C393" s="1" t="n">
        <v>45641</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52471-2019</t>
        </is>
      </c>
      <c r="B394" s="1" t="n">
        <v>43745</v>
      </c>
      <c r="C394" s="1" t="n">
        <v>45641</v>
      </c>
      <c r="D394" t="inlineStr">
        <is>
          <t>VÄSTERBOTTENS LÄN</t>
        </is>
      </c>
      <c r="E394" t="inlineStr">
        <is>
          <t>SKELLEFTEÅ</t>
        </is>
      </c>
      <c r="G394" t="n">
        <v>7.8</v>
      </c>
      <c r="H394" t="n">
        <v>0</v>
      </c>
      <c r="I394" t="n">
        <v>0</v>
      </c>
      <c r="J394" t="n">
        <v>0</v>
      </c>
      <c r="K394" t="n">
        <v>0</v>
      </c>
      <c r="L394" t="n">
        <v>0</v>
      </c>
      <c r="M394" t="n">
        <v>0</v>
      </c>
      <c r="N394" t="n">
        <v>0</v>
      </c>
      <c r="O394" t="n">
        <v>0</v>
      </c>
      <c r="P394" t="n">
        <v>0</v>
      </c>
      <c r="Q394" t="n">
        <v>0</v>
      </c>
      <c r="R394" s="2" t="inlineStr"/>
    </row>
    <row r="395" ht="15" customHeight="1">
      <c r="A395" t="inlineStr">
        <is>
          <t>A 52484-2019</t>
        </is>
      </c>
      <c r="B395" s="1" t="n">
        <v>43745</v>
      </c>
      <c r="C395" s="1" t="n">
        <v>45641</v>
      </c>
      <c r="D395" t="inlineStr">
        <is>
          <t>VÄSTERBOTTENS LÄN</t>
        </is>
      </c>
      <c r="E395" t="inlineStr">
        <is>
          <t>SKELLEFTEÅ</t>
        </is>
      </c>
      <c r="G395" t="n">
        <v>9</v>
      </c>
      <c r="H395" t="n">
        <v>0</v>
      </c>
      <c r="I395" t="n">
        <v>0</v>
      </c>
      <c r="J395" t="n">
        <v>0</v>
      </c>
      <c r="K395" t="n">
        <v>0</v>
      </c>
      <c r="L395" t="n">
        <v>0</v>
      </c>
      <c r="M395" t="n">
        <v>0</v>
      </c>
      <c r="N395" t="n">
        <v>0</v>
      </c>
      <c r="O395" t="n">
        <v>0</v>
      </c>
      <c r="P395" t="n">
        <v>0</v>
      </c>
      <c r="Q395" t="n">
        <v>0</v>
      </c>
      <c r="R395" s="2" t="inlineStr"/>
    </row>
    <row r="396" ht="15" customHeight="1">
      <c r="A396" t="inlineStr">
        <is>
          <t>A 52546-2019</t>
        </is>
      </c>
      <c r="B396" s="1" t="n">
        <v>43745</v>
      </c>
      <c r="C396" s="1" t="n">
        <v>45641</v>
      </c>
      <c r="D396" t="inlineStr">
        <is>
          <t>VÄSTERBOTTENS LÄN</t>
        </is>
      </c>
      <c r="E396" t="inlineStr">
        <is>
          <t>SKELLEFTEÅ</t>
        </is>
      </c>
      <c r="G396" t="n">
        <v>4</v>
      </c>
      <c r="H396" t="n">
        <v>0</v>
      </c>
      <c r="I396" t="n">
        <v>0</v>
      </c>
      <c r="J396" t="n">
        <v>0</v>
      </c>
      <c r="K396" t="n">
        <v>0</v>
      </c>
      <c r="L396" t="n">
        <v>0</v>
      </c>
      <c r="M396" t="n">
        <v>0</v>
      </c>
      <c r="N396" t="n">
        <v>0</v>
      </c>
      <c r="O396" t="n">
        <v>0</v>
      </c>
      <c r="P396" t="n">
        <v>0</v>
      </c>
      <c r="Q396" t="n">
        <v>0</v>
      </c>
      <c r="R396" s="2" t="inlineStr"/>
    </row>
    <row r="397" ht="15" customHeight="1">
      <c r="A397" t="inlineStr">
        <is>
          <t>A 52953-2019</t>
        </is>
      </c>
      <c r="B397" s="1" t="n">
        <v>43747</v>
      </c>
      <c r="C397" s="1" t="n">
        <v>45641</v>
      </c>
      <c r="D397" t="inlineStr">
        <is>
          <t>VÄSTERBOTTENS LÄN</t>
        </is>
      </c>
      <c r="E397" t="inlineStr">
        <is>
          <t>SKELLEFTEÅ</t>
        </is>
      </c>
      <c r="G397" t="n">
        <v>5.6</v>
      </c>
      <c r="H397" t="n">
        <v>0</v>
      </c>
      <c r="I397" t="n">
        <v>0</v>
      </c>
      <c r="J397" t="n">
        <v>0</v>
      </c>
      <c r="K397" t="n">
        <v>0</v>
      </c>
      <c r="L397" t="n">
        <v>0</v>
      </c>
      <c r="M397" t="n">
        <v>0</v>
      </c>
      <c r="N397" t="n">
        <v>0</v>
      </c>
      <c r="O397" t="n">
        <v>0</v>
      </c>
      <c r="P397" t="n">
        <v>0</v>
      </c>
      <c r="Q397" t="n">
        <v>0</v>
      </c>
      <c r="R397" s="2" t="inlineStr"/>
    </row>
    <row r="398" ht="15" customHeight="1">
      <c r="A398" t="inlineStr">
        <is>
          <t>A 54742-2019</t>
        </is>
      </c>
      <c r="B398" s="1" t="n">
        <v>43748</v>
      </c>
      <c r="C398" s="1" t="n">
        <v>45641</v>
      </c>
      <c r="D398" t="inlineStr">
        <is>
          <t>VÄSTERBOTTENS LÄN</t>
        </is>
      </c>
      <c r="E398" t="inlineStr">
        <is>
          <t>SKELLEFTEÅ</t>
        </is>
      </c>
      <c r="G398" t="n">
        <v>1.1</v>
      </c>
      <c r="H398" t="n">
        <v>0</v>
      </c>
      <c r="I398" t="n">
        <v>0</v>
      </c>
      <c r="J398" t="n">
        <v>0</v>
      </c>
      <c r="K398" t="n">
        <v>0</v>
      </c>
      <c r="L398" t="n">
        <v>0</v>
      </c>
      <c r="M398" t="n">
        <v>0</v>
      </c>
      <c r="N398" t="n">
        <v>0</v>
      </c>
      <c r="O398" t="n">
        <v>0</v>
      </c>
      <c r="P398" t="n">
        <v>0</v>
      </c>
      <c r="Q398" t="n">
        <v>0</v>
      </c>
      <c r="R398" s="2" t="inlineStr"/>
    </row>
    <row r="399" ht="15" customHeight="1">
      <c r="A399" t="inlineStr">
        <is>
          <t>A 53584-2019</t>
        </is>
      </c>
      <c r="B399" s="1" t="n">
        <v>43749</v>
      </c>
      <c r="C399" s="1" t="n">
        <v>45641</v>
      </c>
      <c r="D399" t="inlineStr">
        <is>
          <t>VÄSTERBOTTENS LÄN</t>
        </is>
      </c>
      <c r="E399" t="inlineStr">
        <is>
          <t>SKELLEFTEÅ</t>
        </is>
      </c>
      <c r="G399" t="n">
        <v>11.4</v>
      </c>
      <c r="H399" t="n">
        <v>0</v>
      </c>
      <c r="I399" t="n">
        <v>0</v>
      </c>
      <c r="J399" t="n">
        <v>0</v>
      </c>
      <c r="K399" t="n">
        <v>0</v>
      </c>
      <c r="L399" t="n">
        <v>0</v>
      </c>
      <c r="M399" t="n">
        <v>0</v>
      </c>
      <c r="N399" t="n">
        <v>0</v>
      </c>
      <c r="O399" t="n">
        <v>0</v>
      </c>
      <c r="P399" t="n">
        <v>0</v>
      </c>
      <c r="Q399" t="n">
        <v>0</v>
      </c>
      <c r="R399" s="2" t="inlineStr"/>
    </row>
    <row r="400" ht="15" customHeight="1">
      <c r="A400" t="inlineStr">
        <is>
          <t>A 54935-2019</t>
        </is>
      </c>
      <c r="B400" s="1" t="n">
        <v>43749</v>
      </c>
      <c r="C400" s="1" t="n">
        <v>45641</v>
      </c>
      <c r="D400" t="inlineStr">
        <is>
          <t>VÄSTERBOTTENS LÄN</t>
        </is>
      </c>
      <c r="E400" t="inlineStr">
        <is>
          <t>SKELLEFTEÅ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54920-2019</t>
        </is>
      </c>
      <c r="B401" s="1" t="n">
        <v>43749</v>
      </c>
      <c r="C401" s="1" t="n">
        <v>45641</v>
      </c>
      <c r="D401" t="inlineStr">
        <is>
          <t>VÄSTERBOTTENS LÄN</t>
        </is>
      </c>
      <c r="E401" t="inlineStr">
        <is>
          <t>SKELLEFTEÅ</t>
        </is>
      </c>
      <c r="G401" t="n">
        <v>24.3</v>
      </c>
      <c r="H401" t="n">
        <v>0</v>
      </c>
      <c r="I401" t="n">
        <v>0</v>
      </c>
      <c r="J401" t="n">
        <v>0</v>
      </c>
      <c r="K401" t="n">
        <v>0</v>
      </c>
      <c r="L401" t="n">
        <v>0</v>
      </c>
      <c r="M401" t="n">
        <v>0</v>
      </c>
      <c r="N401" t="n">
        <v>0</v>
      </c>
      <c r="O401" t="n">
        <v>0</v>
      </c>
      <c r="P401" t="n">
        <v>0</v>
      </c>
      <c r="Q401" t="n">
        <v>0</v>
      </c>
      <c r="R401" s="2" t="inlineStr"/>
    </row>
    <row r="402" ht="15" customHeight="1">
      <c r="A402" t="inlineStr">
        <is>
          <t>A 54939-2019</t>
        </is>
      </c>
      <c r="B402" s="1" t="n">
        <v>43749</v>
      </c>
      <c r="C402" s="1" t="n">
        <v>45641</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53925-2019</t>
        </is>
      </c>
      <c r="B403" s="1" t="n">
        <v>43752</v>
      </c>
      <c r="C403" s="1" t="n">
        <v>45641</v>
      </c>
      <c r="D403" t="inlineStr">
        <is>
          <t>VÄSTERBOTTENS LÄN</t>
        </is>
      </c>
      <c r="E403" t="inlineStr">
        <is>
          <t>SKELLEFTEÅ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54146-2019</t>
        </is>
      </c>
      <c r="B404" s="1" t="n">
        <v>43753</v>
      </c>
      <c r="C404" s="1" t="n">
        <v>45641</v>
      </c>
      <c r="D404" t="inlineStr">
        <is>
          <t>VÄSTERBOTTENS LÄN</t>
        </is>
      </c>
      <c r="E404" t="inlineStr">
        <is>
          <t>SKELLEFTEÅ</t>
        </is>
      </c>
      <c r="G404" t="n">
        <v>3.7</v>
      </c>
      <c r="H404" t="n">
        <v>0</v>
      </c>
      <c r="I404" t="n">
        <v>0</v>
      </c>
      <c r="J404" t="n">
        <v>0</v>
      </c>
      <c r="K404" t="n">
        <v>0</v>
      </c>
      <c r="L404" t="n">
        <v>0</v>
      </c>
      <c r="M404" t="n">
        <v>0</v>
      </c>
      <c r="N404" t="n">
        <v>0</v>
      </c>
      <c r="O404" t="n">
        <v>0</v>
      </c>
      <c r="P404" t="n">
        <v>0</v>
      </c>
      <c r="Q404" t="n">
        <v>0</v>
      </c>
      <c r="R404" s="2" t="inlineStr"/>
    </row>
    <row r="405" ht="15" customHeight="1">
      <c r="A405" t="inlineStr">
        <is>
          <t>A 54666-2019</t>
        </is>
      </c>
      <c r="B405" s="1" t="n">
        <v>43754</v>
      </c>
      <c r="C405" s="1" t="n">
        <v>45641</v>
      </c>
      <c r="D405" t="inlineStr">
        <is>
          <t>VÄSTERBOTTENS LÄN</t>
        </is>
      </c>
      <c r="E405" t="inlineStr">
        <is>
          <t>SKELLEFTEÅ</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54667-2019</t>
        </is>
      </c>
      <c r="B406" s="1" t="n">
        <v>43754</v>
      </c>
      <c r="C406" s="1" t="n">
        <v>45641</v>
      </c>
      <c r="D406" t="inlineStr">
        <is>
          <t>VÄSTERBOTTENS LÄN</t>
        </is>
      </c>
      <c r="E406" t="inlineStr">
        <is>
          <t>SKELLEFTEÅ</t>
        </is>
      </c>
      <c r="F406" t="inlineStr">
        <is>
          <t>Sveaskog</t>
        </is>
      </c>
      <c r="G406" t="n">
        <v>3.9</v>
      </c>
      <c r="H406" t="n">
        <v>0</v>
      </c>
      <c r="I406" t="n">
        <v>0</v>
      </c>
      <c r="J406" t="n">
        <v>0</v>
      </c>
      <c r="K406" t="n">
        <v>0</v>
      </c>
      <c r="L406" t="n">
        <v>0</v>
      </c>
      <c r="M406" t="n">
        <v>0</v>
      </c>
      <c r="N406" t="n">
        <v>0</v>
      </c>
      <c r="O406" t="n">
        <v>0</v>
      </c>
      <c r="P406" t="n">
        <v>0</v>
      </c>
      <c r="Q406" t="n">
        <v>0</v>
      </c>
      <c r="R406" s="2" t="inlineStr"/>
    </row>
    <row r="407" ht="15" customHeight="1">
      <c r="A407" t="inlineStr">
        <is>
          <t>A 55363-2019</t>
        </is>
      </c>
      <c r="B407" s="1" t="n">
        <v>43756</v>
      </c>
      <c r="C407" s="1" t="n">
        <v>45641</v>
      </c>
      <c r="D407" t="inlineStr">
        <is>
          <t>VÄSTERBOTTENS LÄN</t>
        </is>
      </c>
      <c r="E407" t="inlineStr">
        <is>
          <t>SKELLEFTEÅ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55459-2019</t>
        </is>
      </c>
      <c r="B408" s="1" t="n">
        <v>43759</v>
      </c>
      <c r="C408" s="1" t="n">
        <v>45641</v>
      </c>
      <c r="D408" t="inlineStr">
        <is>
          <t>VÄSTERBOTTENS LÄN</t>
        </is>
      </c>
      <c r="E408" t="inlineStr">
        <is>
          <t>SKELLEFTEÅ</t>
        </is>
      </c>
      <c r="G408" t="n">
        <v>14.5</v>
      </c>
      <c r="H408" t="n">
        <v>0</v>
      </c>
      <c r="I408" t="n">
        <v>0</v>
      </c>
      <c r="J408" t="n">
        <v>0</v>
      </c>
      <c r="K408" t="n">
        <v>0</v>
      </c>
      <c r="L408" t="n">
        <v>0</v>
      </c>
      <c r="M408" t="n">
        <v>0</v>
      </c>
      <c r="N408" t="n">
        <v>0</v>
      </c>
      <c r="O408" t="n">
        <v>0</v>
      </c>
      <c r="P408" t="n">
        <v>0</v>
      </c>
      <c r="Q408" t="n">
        <v>0</v>
      </c>
      <c r="R408" s="2" t="inlineStr"/>
    </row>
    <row r="409" ht="15" customHeight="1">
      <c r="A409" t="inlineStr">
        <is>
          <t>A 55489-2019</t>
        </is>
      </c>
      <c r="B409" s="1" t="n">
        <v>43759</v>
      </c>
      <c r="C409" s="1" t="n">
        <v>45641</v>
      </c>
      <c r="D409" t="inlineStr">
        <is>
          <t>VÄSTERBOTTENS LÄN</t>
        </is>
      </c>
      <c r="E409" t="inlineStr">
        <is>
          <t>SKELLEFTEÅ</t>
        </is>
      </c>
      <c r="G409" t="n">
        <v>2.3</v>
      </c>
      <c r="H409" t="n">
        <v>0</v>
      </c>
      <c r="I409" t="n">
        <v>0</v>
      </c>
      <c r="J409" t="n">
        <v>0</v>
      </c>
      <c r="K409" t="n">
        <v>0</v>
      </c>
      <c r="L409" t="n">
        <v>0</v>
      </c>
      <c r="M409" t="n">
        <v>0</v>
      </c>
      <c r="N409" t="n">
        <v>0</v>
      </c>
      <c r="O409" t="n">
        <v>0</v>
      </c>
      <c r="P409" t="n">
        <v>0</v>
      </c>
      <c r="Q409" t="n">
        <v>0</v>
      </c>
      <c r="R409" s="2" t="inlineStr"/>
    </row>
    <row r="410" ht="15" customHeight="1">
      <c r="A410" t="inlineStr">
        <is>
          <t>A 56284-2019</t>
        </is>
      </c>
      <c r="B410" s="1" t="n">
        <v>43762</v>
      </c>
      <c r="C410" s="1" t="n">
        <v>45641</v>
      </c>
      <c r="D410" t="inlineStr">
        <is>
          <t>VÄSTERBOTTENS LÄN</t>
        </is>
      </c>
      <c r="E410" t="inlineStr">
        <is>
          <t>SKELLEFTEÅ</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56786-2019</t>
        </is>
      </c>
      <c r="B411" s="1" t="n">
        <v>43763</v>
      </c>
      <c r="C411" s="1" t="n">
        <v>45641</v>
      </c>
      <c r="D411" t="inlineStr">
        <is>
          <t>VÄSTERBOTTENS LÄN</t>
        </is>
      </c>
      <c r="E411" t="inlineStr">
        <is>
          <t>SKELLEFTEÅ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56581-2019</t>
        </is>
      </c>
      <c r="B412" s="1" t="n">
        <v>43763</v>
      </c>
      <c r="C412" s="1" t="n">
        <v>45641</v>
      </c>
      <c r="D412" t="inlineStr">
        <is>
          <t>VÄSTERBOTTENS LÄN</t>
        </is>
      </c>
      <c r="E412" t="inlineStr">
        <is>
          <t>SKELLEFTEÅ</t>
        </is>
      </c>
      <c r="F412" t="inlineStr">
        <is>
          <t>Sveaskog</t>
        </is>
      </c>
      <c r="G412" t="n">
        <v>21.4</v>
      </c>
      <c r="H412" t="n">
        <v>0</v>
      </c>
      <c r="I412" t="n">
        <v>0</v>
      </c>
      <c r="J412" t="n">
        <v>0</v>
      </c>
      <c r="K412" t="n">
        <v>0</v>
      </c>
      <c r="L412" t="n">
        <v>0</v>
      </c>
      <c r="M412" t="n">
        <v>0</v>
      </c>
      <c r="N412" t="n">
        <v>0</v>
      </c>
      <c r="O412" t="n">
        <v>0</v>
      </c>
      <c r="P412" t="n">
        <v>0</v>
      </c>
      <c r="Q412" t="n">
        <v>0</v>
      </c>
      <c r="R412" s="2" t="inlineStr"/>
    </row>
    <row r="413" ht="15" customHeight="1">
      <c r="A413" t="inlineStr">
        <is>
          <t>A 57569-2019</t>
        </is>
      </c>
      <c r="B413" s="1" t="n">
        <v>43768</v>
      </c>
      <c r="C413" s="1" t="n">
        <v>45641</v>
      </c>
      <c r="D413" t="inlineStr">
        <is>
          <t>VÄSTERBOTTENS LÄN</t>
        </is>
      </c>
      <c r="E413" t="inlineStr">
        <is>
          <t>SKELLEFTEÅ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57803-2019</t>
        </is>
      </c>
      <c r="B414" s="1" t="n">
        <v>43768</v>
      </c>
      <c r="C414" s="1" t="n">
        <v>45641</v>
      </c>
      <c r="D414" t="inlineStr">
        <is>
          <t>VÄSTERBOTTENS LÄN</t>
        </is>
      </c>
      <c r="E414" t="inlineStr">
        <is>
          <t>SKELLEFTEÅ</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58546-2019</t>
        </is>
      </c>
      <c r="B415" s="1" t="n">
        <v>43773</v>
      </c>
      <c r="C415" s="1" t="n">
        <v>45641</v>
      </c>
      <c r="D415" t="inlineStr">
        <is>
          <t>VÄSTERBOTTENS LÄN</t>
        </is>
      </c>
      <c r="E415" t="inlineStr">
        <is>
          <t>SKELLEFTEÅ</t>
        </is>
      </c>
      <c r="F415" t="inlineStr">
        <is>
          <t>Sveaskog</t>
        </is>
      </c>
      <c r="G415" t="n">
        <v>27.6</v>
      </c>
      <c r="H415" t="n">
        <v>0</v>
      </c>
      <c r="I415" t="n">
        <v>0</v>
      </c>
      <c r="J415" t="n">
        <v>0</v>
      </c>
      <c r="K415" t="n">
        <v>0</v>
      </c>
      <c r="L415" t="n">
        <v>0</v>
      </c>
      <c r="M415" t="n">
        <v>0</v>
      </c>
      <c r="N415" t="n">
        <v>0</v>
      </c>
      <c r="O415" t="n">
        <v>0</v>
      </c>
      <c r="P415" t="n">
        <v>0</v>
      </c>
      <c r="Q415" t="n">
        <v>0</v>
      </c>
      <c r="R415" s="2" t="inlineStr"/>
    </row>
    <row r="416" ht="15" customHeight="1">
      <c r="A416" t="inlineStr">
        <is>
          <t>A 59255-2019</t>
        </is>
      </c>
      <c r="B416" s="1" t="n">
        <v>43773</v>
      </c>
      <c r="C416" s="1" t="n">
        <v>45641</v>
      </c>
      <c r="D416" t="inlineStr">
        <is>
          <t>VÄSTERBOTTENS LÄN</t>
        </is>
      </c>
      <c r="E416" t="inlineStr">
        <is>
          <t>SKELLEFTEÅ</t>
        </is>
      </c>
      <c r="G416" t="n">
        <v>3.7</v>
      </c>
      <c r="H416" t="n">
        <v>0</v>
      </c>
      <c r="I416" t="n">
        <v>0</v>
      </c>
      <c r="J416" t="n">
        <v>0</v>
      </c>
      <c r="K416" t="n">
        <v>0</v>
      </c>
      <c r="L416" t="n">
        <v>0</v>
      </c>
      <c r="M416" t="n">
        <v>0</v>
      </c>
      <c r="N416" t="n">
        <v>0</v>
      </c>
      <c r="O416" t="n">
        <v>0</v>
      </c>
      <c r="P416" t="n">
        <v>0</v>
      </c>
      <c r="Q416" t="n">
        <v>0</v>
      </c>
      <c r="R416" s="2" t="inlineStr"/>
    </row>
    <row r="417" ht="15" customHeight="1">
      <c r="A417" t="inlineStr">
        <is>
          <t>A 58905-2019</t>
        </is>
      </c>
      <c r="B417" s="1" t="n">
        <v>43774</v>
      </c>
      <c r="C417" s="1" t="n">
        <v>45641</v>
      </c>
      <c r="D417" t="inlineStr">
        <is>
          <t>VÄSTERBOTTENS LÄN</t>
        </is>
      </c>
      <c r="E417" t="inlineStr">
        <is>
          <t>SKELLEFTEÅ</t>
        </is>
      </c>
      <c r="F417" t="inlineStr">
        <is>
          <t>Sveaskog</t>
        </is>
      </c>
      <c r="G417" t="n">
        <v>26.4</v>
      </c>
      <c r="H417" t="n">
        <v>0</v>
      </c>
      <c r="I417" t="n">
        <v>0</v>
      </c>
      <c r="J417" t="n">
        <v>0</v>
      </c>
      <c r="K417" t="n">
        <v>0</v>
      </c>
      <c r="L417" t="n">
        <v>0</v>
      </c>
      <c r="M417" t="n">
        <v>0</v>
      </c>
      <c r="N417" t="n">
        <v>0</v>
      </c>
      <c r="O417" t="n">
        <v>0</v>
      </c>
      <c r="P417" t="n">
        <v>0</v>
      </c>
      <c r="Q417" t="n">
        <v>0</v>
      </c>
      <c r="R417" s="2" t="inlineStr"/>
    </row>
    <row r="418" ht="15" customHeight="1">
      <c r="A418" t="inlineStr">
        <is>
          <t>A 58817-2019</t>
        </is>
      </c>
      <c r="B418" s="1" t="n">
        <v>43774</v>
      </c>
      <c r="C418" s="1" t="n">
        <v>45641</v>
      </c>
      <c r="D418" t="inlineStr">
        <is>
          <t>VÄSTERBOTTENS LÄN</t>
        </is>
      </c>
      <c r="E418" t="inlineStr">
        <is>
          <t>SKELLEFTEÅ</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59611-2019</t>
        </is>
      </c>
      <c r="B419" s="1" t="n">
        <v>43774</v>
      </c>
      <c r="C419" s="1" t="n">
        <v>45641</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59344-2019</t>
        </is>
      </c>
      <c r="B420" s="1" t="n">
        <v>43775</v>
      </c>
      <c r="C420" s="1" t="n">
        <v>45641</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60378-2019</t>
        </is>
      </c>
      <c r="B421" s="1" t="n">
        <v>43776</v>
      </c>
      <c r="C421" s="1" t="n">
        <v>45641</v>
      </c>
      <c r="D421" t="inlineStr">
        <is>
          <t>VÄSTERBOTTENS LÄN</t>
        </is>
      </c>
      <c r="E421" t="inlineStr">
        <is>
          <t>SKELLEFTEÅ</t>
        </is>
      </c>
      <c r="G421" t="n">
        <v>4.3</v>
      </c>
      <c r="H421" t="n">
        <v>0</v>
      </c>
      <c r="I421" t="n">
        <v>0</v>
      </c>
      <c r="J421" t="n">
        <v>0</v>
      </c>
      <c r="K421" t="n">
        <v>0</v>
      </c>
      <c r="L421" t="n">
        <v>0</v>
      </c>
      <c r="M421" t="n">
        <v>0</v>
      </c>
      <c r="N421" t="n">
        <v>0</v>
      </c>
      <c r="O421" t="n">
        <v>0</v>
      </c>
      <c r="P421" t="n">
        <v>0</v>
      </c>
      <c r="Q421" t="n">
        <v>0</v>
      </c>
      <c r="R421" s="2" t="inlineStr"/>
    </row>
    <row r="422" ht="15" customHeight="1">
      <c r="A422" t="inlineStr">
        <is>
          <t>A 60289-2019</t>
        </is>
      </c>
      <c r="B422" s="1" t="n">
        <v>43776</v>
      </c>
      <c r="C422" s="1" t="n">
        <v>45641</v>
      </c>
      <c r="D422" t="inlineStr">
        <is>
          <t>VÄSTERBOTTENS LÄN</t>
        </is>
      </c>
      <c r="E422" t="inlineStr">
        <is>
          <t>SKELLEFTEÅ</t>
        </is>
      </c>
      <c r="G422" t="n">
        <v>3.3</v>
      </c>
      <c r="H422" t="n">
        <v>0</v>
      </c>
      <c r="I422" t="n">
        <v>0</v>
      </c>
      <c r="J422" t="n">
        <v>0</v>
      </c>
      <c r="K422" t="n">
        <v>0</v>
      </c>
      <c r="L422" t="n">
        <v>0</v>
      </c>
      <c r="M422" t="n">
        <v>0</v>
      </c>
      <c r="N422" t="n">
        <v>0</v>
      </c>
      <c r="O422" t="n">
        <v>0</v>
      </c>
      <c r="P422" t="n">
        <v>0</v>
      </c>
      <c r="Q422" t="n">
        <v>0</v>
      </c>
      <c r="R422" s="2" t="inlineStr"/>
    </row>
    <row r="423" ht="15" customHeight="1">
      <c r="A423" t="inlineStr">
        <is>
          <t>A 60189-2019</t>
        </is>
      </c>
      <c r="B423" s="1" t="n">
        <v>43780</v>
      </c>
      <c r="C423" s="1" t="n">
        <v>45641</v>
      </c>
      <c r="D423" t="inlineStr">
        <is>
          <t>VÄSTERBOTTENS LÄN</t>
        </is>
      </c>
      <c r="E423" t="inlineStr">
        <is>
          <t>SKELLEFTEÅ</t>
        </is>
      </c>
      <c r="F423" t="inlineStr">
        <is>
          <t>Holmen skog AB</t>
        </is>
      </c>
      <c r="G423" t="n">
        <v>6.3</v>
      </c>
      <c r="H423" t="n">
        <v>0</v>
      </c>
      <c r="I423" t="n">
        <v>0</v>
      </c>
      <c r="J423" t="n">
        <v>0</v>
      </c>
      <c r="K423" t="n">
        <v>0</v>
      </c>
      <c r="L423" t="n">
        <v>0</v>
      </c>
      <c r="M423" t="n">
        <v>0</v>
      </c>
      <c r="N423" t="n">
        <v>0</v>
      </c>
      <c r="O423" t="n">
        <v>0</v>
      </c>
      <c r="P423" t="n">
        <v>0</v>
      </c>
      <c r="Q423" t="n">
        <v>0</v>
      </c>
      <c r="R423" s="2" t="inlineStr"/>
    </row>
    <row r="424" ht="15" customHeight="1">
      <c r="A424" t="inlineStr">
        <is>
          <t>A 60416-2019</t>
        </is>
      </c>
      <c r="B424" s="1" t="n">
        <v>43780</v>
      </c>
      <c r="C424" s="1" t="n">
        <v>45641</v>
      </c>
      <c r="D424" t="inlineStr">
        <is>
          <t>VÄSTERBOTTENS LÄN</t>
        </is>
      </c>
      <c r="E424" t="inlineStr">
        <is>
          <t>SKELLEFTEÅ</t>
        </is>
      </c>
      <c r="G424" t="n">
        <v>5.8</v>
      </c>
      <c r="H424" t="n">
        <v>0</v>
      </c>
      <c r="I424" t="n">
        <v>0</v>
      </c>
      <c r="J424" t="n">
        <v>0</v>
      </c>
      <c r="K424" t="n">
        <v>0</v>
      </c>
      <c r="L424" t="n">
        <v>0</v>
      </c>
      <c r="M424" t="n">
        <v>0</v>
      </c>
      <c r="N424" t="n">
        <v>0</v>
      </c>
      <c r="O424" t="n">
        <v>0</v>
      </c>
      <c r="P424" t="n">
        <v>0</v>
      </c>
      <c r="Q424" t="n">
        <v>0</v>
      </c>
      <c r="R424" s="2" t="inlineStr"/>
    </row>
    <row r="425" ht="15" customHeight="1">
      <c r="A425" t="inlineStr">
        <is>
          <t>A 61929-2019</t>
        </is>
      </c>
      <c r="B425" s="1" t="n">
        <v>43781</v>
      </c>
      <c r="C425" s="1" t="n">
        <v>45641</v>
      </c>
      <c r="D425" t="inlineStr">
        <is>
          <t>VÄSTERBOTTENS LÄN</t>
        </is>
      </c>
      <c r="E425" t="inlineStr">
        <is>
          <t>SKELLEFTEÅ</t>
        </is>
      </c>
      <c r="G425" t="n">
        <v>0.3</v>
      </c>
      <c r="H425" t="n">
        <v>0</v>
      </c>
      <c r="I425" t="n">
        <v>0</v>
      </c>
      <c r="J425" t="n">
        <v>0</v>
      </c>
      <c r="K425" t="n">
        <v>0</v>
      </c>
      <c r="L425" t="n">
        <v>0</v>
      </c>
      <c r="M425" t="n">
        <v>0</v>
      </c>
      <c r="N425" t="n">
        <v>0</v>
      </c>
      <c r="O425" t="n">
        <v>0</v>
      </c>
      <c r="P425" t="n">
        <v>0</v>
      </c>
      <c r="Q425" t="n">
        <v>0</v>
      </c>
      <c r="R425" s="2" t="inlineStr"/>
    </row>
    <row r="426" ht="15" customHeight="1">
      <c r="A426" t="inlineStr">
        <is>
          <t>A 60985-2019</t>
        </is>
      </c>
      <c r="B426" s="1" t="n">
        <v>43782</v>
      </c>
      <c r="C426" s="1" t="n">
        <v>45641</v>
      </c>
      <c r="D426" t="inlineStr">
        <is>
          <t>VÄSTERBOTTENS LÄN</t>
        </is>
      </c>
      <c r="E426" t="inlineStr">
        <is>
          <t>SKELLEFTEÅ</t>
        </is>
      </c>
      <c r="G426" t="n">
        <v>4.7</v>
      </c>
      <c r="H426" t="n">
        <v>0</v>
      </c>
      <c r="I426" t="n">
        <v>0</v>
      </c>
      <c r="J426" t="n">
        <v>0</v>
      </c>
      <c r="K426" t="n">
        <v>0</v>
      </c>
      <c r="L426" t="n">
        <v>0</v>
      </c>
      <c r="M426" t="n">
        <v>0</v>
      </c>
      <c r="N426" t="n">
        <v>0</v>
      </c>
      <c r="O426" t="n">
        <v>0</v>
      </c>
      <c r="P426" t="n">
        <v>0</v>
      </c>
      <c r="Q426" t="n">
        <v>0</v>
      </c>
      <c r="R426" s="2" t="inlineStr"/>
    </row>
    <row r="427" ht="15" customHeight="1">
      <c r="A427" t="inlineStr">
        <is>
          <t>A 61295-2019</t>
        </is>
      </c>
      <c r="B427" s="1" t="n">
        <v>43783</v>
      </c>
      <c r="C427" s="1" t="n">
        <v>45641</v>
      </c>
      <c r="D427" t="inlineStr">
        <is>
          <t>VÄSTERBOTTENS LÄN</t>
        </is>
      </c>
      <c r="E427" t="inlineStr">
        <is>
          <t>SKELLEFTEÅ</t>
        </is>
      </c>
      <c r="F427" t="inlineStr">
        <is>
          <t>Holmen skog AB</t>
        </is>
      </c>
      <c r="G427" t="n">
        <v>11.2</v>
      </c>
      <c r="H427" t="n">
        <v>0</v>
      </c>
      <c r="I427" t="n">
        <v>0</v>
      </c>
      <c r="J427" t="n">
        <v>0</v>
      </c>
      <c r="K427" t="n">
        <v>0</v>
      </c>
      <c r="L427" t="n">
        <v>0</v>
      </c>
      <c r="M427" t="n">
        <v>0</v>
      </c>
      <c r="N427" t="n">
        <v>0</v>
      </c>
      <c r="O427" t="n">
        <v>0</v>
      </c>
      <c r="P427" t="n">
        <v>0</v>
      </c>
      <c r="Q427" t="n">
        <v>0</v>
      </c>
      <c r="R427" s="2" t="inlineStr"/>
    </row>
    <row r="428" ht="15" customHeight="1">
      <c r="A428" t="inlineStr">
        <is>
          <t>A 61468-2019</t>
        </is>
      </c>
      <c r="B428" s="1" t="n">
        <v>43783</v>
      </c>
      <c r="C428" s="1" t="n">
        <v>45641</v>
      </c>
      <c r="D428" t="inlineStr">
        <is>
          <t>VÄSTERBOTTENS LÄN</t>
        </is>
      </c>
      <c r="E428" t="inlineStr">
        <is>
          <t>SKELLEFTEÅ</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62584-2019</t>
        </is>
      </c>
      <c r="B429" s="1" t="n">
        <v>43784</v>
      </c>
      <c r="C429" s="1" t="n">
        <v>45641</v>
      </c>
      <c r="D429" t="inlineStr">
        <is>
          <t>VÄSTERBOTTENS LÄN</t>
        </is>
      </c>
      <c r="E429" t="inlineStr">
        <is>
          <t>SKELLEFTEÅ</t>
        </is>
      </c>
      <c r="G429" t="n">
        <v>6.1</v>
      </c>
      <c r="H429" t="n">
        <v>0</v>
      </c>
      <c r="I429" t="n">
        <v>0</v>
      </c>
      <c r="J429" t="n">
        <v>0</v>
      </c>
      <c r="K429" t="n">
        <v>0</v>
      </c>
      <c r="L429" t="n">
        <v>0</v>
      </c>
      <c r="M429" t="n">
        <v>0</v>
      </c>
      <c r="N429" t="n">
        <v>0</v>
      </c>
      <c r="O429" t="n">
        <v>0</v>
      </c>
      <c r="P429" t="n">
        <v>0</v>
      </c>
      <c r="Q429" t="n">
        <v>0</v>
      </c>
      <c r="R429" s="2" t="inlineStr"/>
    </row>
    <row r="430" ht="15" customHeight="1">
      <c r="A430" t="inlineStr">
        <is>
          <t>A 62201-2019</t>
        </is>
      </c>
      <c r="B430" s="1" t="n">
        <v>43788</v>
      </c>
      <c r="C430" s="1" t="n">
        <v>45641</v>
      </c>
      <c r="D430" t="inlineStr">
        <is>
          <t>VÄSTERBOTTENS LÄN</t>
        </is>
      </c>
      <c r="E430" t="inlineStr">
        <is>
          <t>SKELLEFTEÅ</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62678-2019</t>
        </is>
      </c>
      <c r="B431" s="1" t="n">
        <v>43789</v>
      </c>
      <c r="C431" s="1" t="n">
        <v>45641</v>
      </c>
      <c r="D431" t="inlineStr">
        <is>
          <t>VÄSTERBOTTENS LÄN</t>
        </is>
      </c>
      <c r="E431" t="inlineStr">
        <is>
          <t>SKELLEFTEÅ</t>
        </is>
      </c>
      <c r="G431" t="n">
        <v>4.9</v>
      </c>
      <c r="H431" t="n">
        <v>0</v>
      </c>
      <c r="I431" t="n">
        <v>0</v>
      </c>
      <c r="J431" t="n">
        <v>0</v>
      </c>
      <c r="K431" t="n">
        <v>0</v>
      </c>
      <c r="L431" t="n">
        <v>0</v>
      </c>
      <c r="M431" t="n">
        <v>0</v>
      </c>
      <c r="N431" t="n">
        <v>0</v>
      </c>
      <c r="O431" t="n">
        <v>0</v>
      </c>
      <c r="P431" t="n">
        <v>0</v>
      </c>
      <c r="Q431" t="n">
        <v>0</v>
      </c>
      <c r="R431" s="2" t="inlineStr"/>
    </row>
    <row r="432" ht="15" customHeight="1">
      <c r="A432" t="inlineStr">
        <is>
          <t>A 62873-2019</t>
        </is>
      </c>
      <c r="B432" s="1" t="n">
        <v>43790</v>
      </c>
      <c r="C432" s="1" t="n">
        <v>45641</v>
      </c>
      <c r="D432" t="inlineStr">
        <is>
          <t>VÄSTERBOTTENS LÄN</t>
        </is>
      </c>
      <c r="E432" t="inlineStr">
        <is>
          <t>SKELLEFTEÅ</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62823-2019</t>
        </is>
      </c>
      <c r="B433" s="1" t="n">
        <v>43790</v>
      </c>
      <c r="C433" s="1" t="n">
        <v>45641</v>
      </c>
      <c r="D433" t="inlineStr">
        <is>
          <t>VÄSTERBOTTENS LÄN</t>
        </is>
      </c>
      <c r="E433" t="inlineStr">
        <is>
          <t>SKELLEFTEÅ</t>
        </is>
      </c>
      <c r="F433" t="inlineStr">
        <is>
          <t>Holmen skog AB</t>
        </is>
      </c>
      <c r="G433" t="n">
        <v>3.8</v>
      </c>
      <c r="H433" t="n">
        <v>0</v>
      </c>
      <c r="I433" t="n">
        <v>0</v>
      </c>
      <c r="J433" t="n">
        <v>0</v>
      </c>
      <c r="K433" t="n">
        <v>0</v>
      </c>
      <c r="L433" t="n">
        <v>0</v>
      </c>
      <c r="M433" t="n">
        <v>0</v>
      </c>
      <c r="N433" t="n">
        <v>0</v>
      </c>
      <c r="O433" t="n">
        <v>0</v>
      </c>
      <c r="P433" t="n">
        <v>0</v>
      </c>
      <c r="Q433" t="n">
        <v>0</v>
      </c>
      <c r="R433" s="2" t="inlineStr"/>
    </row>
    <row r="434" ht="15" customHeight="1">
      <c r="A434" t="inlineStr">
        <is>
          <t>A 63554-2019</t>
        </is>
      </c>
      <c r="B434" s="1" t="n">
        <v>43794</v>
      </c>
      <c r="C434" s="1" t="n">
        <v>45641</v>
      </c>
      <c r="D434" t="inlineStr">
        <is>
          <t>VÄSTERBOTTENS LÄN</t>
        </is>
      </c>
      <c r="E434" t="inlineStr">
        <is>
          <t>SKELLEFTEÅ</t>
        </is>
      </c>
      <c r="G434" t="n">
        <v>0.7</v>
      </c>
      <c r="H434" t="n">
        <v>0</v>
      </c>
      <c r="I434" t="n">
        <v>0</v>
      </c>
      <c r="J434" t="n">
        <v>0</v>
      </c>
      <c r="K434" t="n">
        <v>0</v>
      </c>
      <c r="L434" t="n">
        <v>0</v>
      </c>
      <c r="M434" t="n">
        <v>0</v>
      </c>
      <c r="N434" t="n">
        <v>0</v>
      </c>
      <c r="O434" t="n">
        <v>0</v>
      </c>
      <c r="P434" t="n">
        <v>0</v>
      </c>
      <c r="Q434" t="n">
        <v>0</v>
      </c>
      <c r="R434" s="2" t="inlineStr"/>
    </row>
    <row r="435" ht="15" customHeight="1">
      <c r="A435" t="inlineStr">
        <is>
          <t>A 63846-2019</t>
        </is>
      </c>
      <c r="B435" s="1" t="n">
        <v>43796</v>
      </c>
      <c r="C435" s="1" t="n">
        <v>45641</v>
      </c>
      <c r="D435" t="inlineStr">
        <is>
          <t>VÄSTERBOTTENS LÄN</t>
        </is>
      </c>
      <c r="E435" t="inlineStr">
        <is>
          <t>SKELLEFTEÅ</t>
        </is>
      </c>
      <c r="G435" t="n">
        <v>1</v>
      </c>
      <c r="H435" t="n">
        <v>0</v>
      </c>
      <c r="I435" t="n">
        <v>0</v>
      </c>
      <c r="J435" t="n">
        <v>0</v>
      </c>
      <c r="K435" t="n">
        <v>0</v>
      </c>
      <c r="L435" t="n">
        <v>0</v>
      </c>
      <c r="M435" t="n">
        <v>0</v>
      </c>
      <c r="N435" t="n">
        <v>0</v>
      </c>
      <c r="O435" t="n">
        <v>0</v>
      </c>
      <c r="P435" t="n">
        <v>0</v>
      </c>
      <c r="Q435" t="n">
        <v>0</v>
      </c>
      <c r="R435" s="2" t="inlineStr"/>
    </row>
    <row r="436" ht="15" customHeight="1">
      <c r="A436" t="inlineStr">
        <is>
          <t>A 63845-2019</t>
        </is>
      </c>
      <c r="B436" s="1" t="n">
        <v>43796</v>
      </c>
      <c r="C436" s="1" t="n">
        <v>45641</v>
      </c>
      <c r="D436" t="inlineStr">
        <is>
          <t>VÄSTERBOTTENS LÄN</t>
        </is>
      </c>
      <c r="E436" t="inlineStr">
        <is>
          <t>SKELLEFTEÅ</t>
        </is>
      </c>
      <c r="G436" t="n">
        <v>0.7</v>
      </c>
      <c r="H436" t="n">
        <v>0</v>
      </c>
      <c r="I436" t="n">
        <v>0</v>
      </c>
      <c r="J436" t="n">
        <v>0</v>
      </c>
      <c r="K436" t="n">
        <v>0</v>
      </c>
      <c r="L436" t="n">
        <v>0</v>
      </c>
      <c r="M436" t="n">
        <v>0</v>
      </c>
      <c r="N436" t="n">
        <v>0</v>
      </c>
      <c r="O436" t="n">
        <v>0</v>
      </c>
      <c r="P436" t="n">
        <v>0</v>
      </c>
      <c r="Q436" t="n">
        <v>0</v>
      </c>
      <c r="R436" s="2" t="inlineStr"/>
    </row>
    <row r="437" ht="15" customHeight="1">
      <c r="A437" t="inlineStr">
        <is>
          <t>A 64039-2019</t>
        </is>
      </c>
      <c r="B437" s="1" t="n">
        <v>43796</v>
      </c>
      <c r="C437" s="1" t="n">
        <v>45641</v>
      </c>
      <c r="D437" t="inlineStr">
        <is>
          <t>VÄSTERBOTTENS LÄN</t>
        </is>
      </c>
      <c r="E437" t="inlineStr">
        <is>
          <t>SKELLEFTEÅ</t>
        </is>
      </c>
      <c r="F437" t="inlineStr">
        <is>
          <t>Sveaskog</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64117-2019</t>
        </is>
      </c>
      <c r="B438" s="1" t="n">
        <v>43796</v>
      </c>
      <c r="C438" s="1" t="n">
        <v>45641</v>
      </c>
      <c r="D438" t="inlineStr">
        <is>
          <t>VÄSTERBOTTENS LÄN</t>
        </is>
      </c>
      <c r="E438" t="inlineStr">
        <is>
          <t>SKELLEFTEÅ</t>
        </is>
      </c>
      <c r="F438" t="inlineStr">
        <is>
          <t>Sveaskog</t>
        </is>
      </c>
      <c r="G438" t="n">
        <v>16.2</v>
      </c>
      <c r="H438" t="n">
        <v>0</v>
      </c>
      <c r="I438" t="n">
        <v>0</v>
      </c>
      <c r="J438" t="n">
        <v>0</v>
      </c>
      <c r="K438" t="n">
        <v>0</v>
      </c>
      <c r="L438" t="n">
        <v>0</v>
      </c>
      <c r="M438" t="n">
        <v>0</v>
      </c>
      <c r="N438" t="n">
        <v>0</v>
      </c>
      <c r="O438" t="n">
        <v>0</v>
      </c>
      <c r="P438" t="n">
        <v>0</v>
      </c>
      <c r="Q438" t="n">
        <v>0</v>
      </c>
      <c r="R438" s="2" t="inlineStr"/>
    </row>
    <row r="439" ht="15" customHeight="1">
      <c r="A439" t="inlineStr">
        <is>
          <t>A 64139-2019</t>
        </is>
      </c>
      <c r="B439" s="1" t="n">
        <v>43796</v>
      </c>
      <c r="C439" s="1" t="n">
        <v>45641</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64569-2019</t>
        </is>
      </c>
      <c r="B440" s="1" t="n">
        <v>43798</v>
      </c>
      <c r="C440" s="1" t="n">
        <v>45641</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64754-2019</t>
        </is>
      </c>
      <c r="B441" s="1" t="n">
        <v>43801</v>
      </c>
      <c r="C441" s="1" t="n">
        <v>45641</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65070-2019</t>
        </is>
      </c>
      <c r="B442" s="1" t="n">
        <v>43802</v>
      </c>
      <c r="C442" s="1" t="n">
        <v>45641</v>
      </c>
      <c r="D442" t="inlineStr">
        <is>
          <t>VÄSTERBOTTENS LÄN</t>
        </is>
      </c>
      <c r="E442" t="inlineStr">
        <is>
          <t>SKELLEFTEÅ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65565-2019</t>
        </is>
      </c>
      <c r="B443" s="1" t="n">
        <v>43803</v>
      </c>
      <c r="C443" s="1" t="n">
        <v>45641</v>
      </c>
      <c r="D443" t="inlineStr">
        <is>
          <t>VÄSTERBOTTENS LÄN</t>
        </is>
      </c>
      <c r="E443" t="inlineStr">
        <is>
          <t>SKELLEFTEÅ</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65721-2019</t>
        </is>
      </c>
      <c r="B444" s="1" t="n">
        <v>43804</v>
      </c>
      <c r="C444" s="1" t="n">
        <v>45641</v>
      </c>
      <c r="D444" t="inlineStr">
        <is>
          <t>VÄSTERBOTTENS LÄN</t>
        </is>
      </c>
      <c r="E444" t="inlineStr">
        <is>
          <t>SKELLEFTEÅ</t>
        </is>
      </c>
      <c r="G444" t="n">
        <v>0.6</v>
      </c>
      <c r="H444" t="n">
        <v>0</v>
      </c>
      <c r="I444" t="n">
        <v>0</v>
      </c>
      <c r="J444" t="n">
        <v>0</v>
      </c>
      <c r="K444" t="n">
        <v>0</v>
      </c>
      <c r="L444" t="n">
        <v>0</v>
      </c>
      <c r="M444" t="n">
        <v>0</v>
      </c>
      <c r="N444" t="n">
        <v>0</v>
      </c>
      <c r="O444" t="n">
        <v>0</v>
      </c>
      <c r="P444" t="n">
        <v>0</v>
      </c>
      <c r="Q444" t="n">
        <v>0</v>
      </c>
      <c r="R444" s="2" t="inlineStr"/>
    </row>
    <row r="445" ht="15" customHeight="1">
      <c r="A445" t="inlineStr">
        <is>
          <t>A 65726-2019</t>
        </is>
      </c>
      <c r="B445" s="1" t="n">
        <v>43804</v>
      </c>
      <c r="C445" s="1" t="n">
        <v>45641</v>
      </c>
      <c r="D445" t="inlineStr">
        <is>
          <t>VÄSTERBOTTENS LÄN</t>
        </is>
      </c>
      <c r="E445" t="inlineStr">
        <is>
          <t>SKELLEFTEÅ</t>
        </is>
      </c>
      <c r="G445" t="n">
        <v>0.9</v>
      </c>
      <c r="H445" t="n">
        <v>0</v>
      </c>
      <c r="I445" t="n">
        <v>0</v>
      </c>
      <c r="J445" t="n">
        <v>0</v>
      </c>
      <c r="K445" t="n">
        <v>0</v>
      </c>
      <c r="L445" t="n">
        <v>0</v>
      </c>
      <c r="M445" t="n">
        <v>0</v>
      </c>
      <c r="N445" t="n">
        <v>0</v>
      </c>
      <c r="O445" t="n">
        <v>0</v>
      </c>
      <c r="P445" t="n">
        <v>0</v>
      </c>
      <c r="Q445" t="n">
        <v>0</v>
      </c>
      <c r="R445" s="2" t="inlineStr"/>
    </row>
    <row r="446" ht="15" customHeight="1">
      <c r="A446" t="inlineStr">
        <is>
          <t>A 65992-2019</t>
        </is>
      </c>
      <c r="B446" s="1" t="n">
        <v>43805</v>
      </c>
      <c r="C446" s="1" t="n">
        <v>45641</v>
      </c>
      <c r="D446" t="inlineStr">
        <is>
          <t>VÄSTERBOTTENS LÄN</t>
        </is>
      </c>
      <c r="E446" t="inlineStr">
        <is>
          <t>SKELLEFTEÅ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67581-2019</t>
        </is>
      </c>
      <c r="B447" s="1" t="n">
        <v>43808</v>
      </c>
      <c r="C447" s="1" t="n">
        <v>45641</v>
      </c>
      <c r="D447" t="inlineStr">
        <is>
          <t>VÄSTERBOTTENS LÄN</t>
        </is>
      </c>
      <c r="E447" t="inlineStr">
        <is>
          <t>SKELLEFTEÅ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66505-2019</t>
        </is>
      </c>
      <c r="B448" s="1" t="n">
        <v>43809</v>
      </c>
      <c r="C448" s="1" t="n">
        <v>45641</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66478-2019</t>
        </is>
      </c>
      <c r="B449" s="1" t="n">
        <v>43809</v>
      </c>
      <c r="C449" s="1" t="n">
        <v>45641</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68008-2019</t>
        </is>
      </c>
      <c r="B450" s="1" t="n">
        <v>43811</v>
      </c>
      <c r="C450" s="1" t="n">
        <v>45641</v>
      </c>
      <c r="D450" t="inlineStr">
        <is>
          <t>VÄSTERBOTTENS LÄN</t>
        </is>
      </c>
      <c r="E450" t="inlineStr">
        <is>
          <t>SKELLEFTEÅ</t>
        </is>
      </c>
      <c r="G450" t="n">
        <v>4.3</v>
      </c>
      <c r="H450" t="n">
        <v>0</v>
      </c>
      <c r="I450" t="n">
        <v>0</v>
      </c>
      <c r="J450" t="n">
        <v>0</v>
      </c>
      <c r="K450" t="n">
        <v>0</v>
      </c>
      <c r="L450" t="n">
        <v>0</v>
      </c>
      <c r="M450" t="n">
        <v>0</v>
      </c>
      <c r="N450" t="n">
        <v>0</v>
      </c>
      <c r="O450" t="n">
        <v>0</v>
      </c>
      <c r="P450" t="n">
        <v>0</v>
      </c>
      <c r="Q450" t="n">
        <v>0</v>
      </c>
      <c r="R450" s="2" t="inlineStr"/>
    </row>
    <row r="451" ht="15" customHeight="1">
      <c r="A451" t="inlineStr">
        <is>
          <t>A 69136-2019</t>
        </is>
      </c>
      <c r="B451" s="1" t="n">
        <v>43815</v>
      </c>
      <c r="C451" s="1" t="n">
        <v>45641</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69135-2019</t>
        </is>
      </c>
      <c r="B452" s="1" t="n">
        <v>43815</v>
      </c>
      <c r="C452" s="1" t="n">
        <v>45641</v>
      </c>
      <c r="D452" t="inlineStr">
        <is>
          <t>VÄSTERBOTTENS LÄN</t>
        </is>
      </c>
      <c r="E452" t="inlineStr">
        <is>
          <t>SKELLEFTEÅ</t>
        </is>
      </c>
      <c r="G452" t="n">
        <v>2.9</v>
      </c>
      <c r="H452" t="n">
        <v>0</v>
      </c>
      <c r="I452" t="n">
        <v>0</v>
      </c>
      <c r="J452" t="n">
        <v>0</v>
      </c>
      <c r="K452" t="n">
        <v>0</v>
      </c>
      <c r="L452" t="n">
        <v>0</v>
      </c>
      <c r="M452" t="n">
        <v>0</v>
      </c>
      <c r="N452" t="n">
        <v>0</v>
      </c>
      <c r="O452" t="n">
        <v>0</v>
      </c>
      <c r="P452" t="n">
        <v>0</v>
      </c>
      <c r="Q452" t="n">
        <v>0</v>
      </c>
      <c r="R452" s="2" t="inlineStr"/>
    </row>
    <row r="453" ht="15" customHeight="1">
      <c r="A453" t="inlineStr">
        <is>
          <t>A 69140-2019</t>
        </is>
      </c>
      <c r="B453" s="1" t="n">
        <v>43815</v>
      </c>
      <c r="C453" s="1" t="n">
        <v>45641</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69131-2019</t>
        </is>
      </c>
      <c r="B454" s="1" t="n">
        <v>43815</v>
      </c>
      <c r="C454" s="1" t="n">
        <v>45641</v>
      </c>
      <c r="D454" t="inlineStr">
        <is>
          <t>VÄSTERBOTTENS LÄN</t>
        </is>
      </c>
      <c r="E454" t="inlineStr">
        <is>
          <t>SKELLEFTEÅ</t>
        </is>
      </c>
      <c r="G454" t="n">
        <v>5.1</v>
      </c>
      <c r="H454" t="n">
        <v>0</v>
      </c>
      <c r="I454" t="n">
        <v>0</v>
      </c>
      <c r="J454" t="n">
        <v>0</v>
      </c>
      <c r="K454" t="n">
        <v>0</v>
      </c>
      <c r="L454" t="n">
        <v>0</v>
      </c>
      <c r="M454" t="n">
        <v>0</v>
      </c>
      <c r="N454" t="n">
        <v>0</v>
      </c>
      <c r="O454" t="n">
        <v>0</v>
      </c>
      <c r="P454" t="n">
        <v>0</v>
      </c>
      <c r="Q454" t="n">
        <v>0</v>
      </c>
      <c r="R454" s="2" t="inlineStr"/>
    </row>
    <row r="455" ht="15" customHeight="1">
      <c r="A455" t="inlineStr">
        <is>
          <t>A 277-2020</t>
        </is>
      </c>
      <c r="B455" s="1" t="n">
        <v>43816</v>
      </c>
      <c r="C455" s="1" t="n">
        <v>45641</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67837-2019</t>
        </is>
      </c>
      <c r="B456" s="1" t="n">
        <v>43816</v>
      </c>
      <c r="C456" s="1" t="n">
        <v>45641</v>
      </c>
      <c r="D456" t="inlineStr">
        <is>
          <t>VÄSTERBOTTENS LÄN</t>
        </is>
      </c>
      <c r="E456" t="inlineStr">
        <is>
          <t>SKELLEFTEÅ</t>
        </is>
      </c>
      <c r="G456" t="n">
        <v>3.7</v>
      </c>
      <c r="H456" t="n">
        <v>0</v>
      </c>
      <c r="I456" t="n">
        <v>0</v>
      </c>
      <c r="J456" t="n">
        <v>0</v>
      </c>
      <c r="K456" t="n">
        <v>0</v>
      </c>
      <c r="L456" t="n">
        <v>0</v>
      </c>
      <c r="M456" t="n">
        <v>0</v>
      </c>
      <c r="N456" t="n">
        <v>0</v>
      </c>
      <c r="O456" t="n">
        <v>0</v>
      </c>
      <c r="P456" t="n">
        <v>0</v>
      </c>
      <c r="Q456" t="n">
        <v>0</v>
      </c>
      <c r="R456" s="2" t="inlineStr"/>
    </row>
    <row r="457" ht="15" customHeight="1">
      <c r="A457" t="inlineStr">
        <is>
          <t>A 398-2020</t>
        </is>
      </c>
      <c r="B457" s="1" t="n">
        <v>43816</v>
      </c>
      <c r="C457" s="1" t="n">
        <v>45641</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434-2020</t>
        </is>
      </c>
      <c r="B458" s="1" t="n">
        <v>43816</v>
      </c>
      <c r="C458" s="1" t="n">
        <v>45641</v>
      </c>
      <c r="D458" t="inlineStr">
        <is>
          <t>VÄSTERBOTTENS LÄN</t>
        </is>
      </c>
      <c r="E458" t="inlineStr">
        <is>
          <t>SKELLEFTEÅ</t>
        </is>
      </c>
      <c r="G458" t="n">
        <v>12.9</v>
      </c>
      <c r="H458" t="n">
        <v>0</v>
      </c>
      <c r="I458" t="n">
        <v>0</v>
      </c>
      <c r="J458" t="n">
        <v>0</v>
      </c>
      <c r="K458" t="n">
        <v>0</v>
      </c>
      <c r="L458" t="n">
        <v>0</v>
      </c>
      <c r="M458" t="n">
        <v>0</v>
      </c>
      <c r="N458" t="n">
        <v>0</v>
      </c>
      <c r="O458" t="n">
        <v>0</v>
      </c>
      <c r="P458" t="n">
        <v>0</v>
      </c>
      <c r="Q458" t="n">
        <v>0</v>
      </c>
      <c r="R458" s="2" t="inlineStr"/>
    </row>
    <row r="459" ht="15" customHeight="1">
      <c r="A459" t="inlineStr">
        <is>
          <t>A 820-2020</t>
        </is>
      </c>
      <c r="B459" s="1" t="n">
        <v>43818</v>
      </c>
      <c r="C459" s="1" t="n">
        <v>45641</v>
      </c>
      <c r="D459" t="inlineStr">
        <is>
          <t>VÄSTERBOTTENS LÄN</t>
        </is>
      </c>
      <c r="E459" t="inlineStr">
        <is>
          <t>SKELLEFTEÅ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1102-2020</t>
        </is>
      </c>
      <c r="B460" s="1" t="n">
        <v>43819</v>
      </c>
      <c r="C460" s="1" t="n">
        <v>45641</v>
      </c>
      <c r="D460" t="inlineStr">
        <is>
          <t>VÄSTERBOTTENS LÄN</t>
        </is>
      </c>
      <c r="E460" t="inlineStr">
        <is>
          <t>SKELLEFTEÅ</t>
        </is>
      </c>
      <c r="G460" t="n">
        <v>3.3</v>
      </c>
      <c r="H460" t="n">
        <v>0</v>
      </c>
      <c r="I460" t="n">
        <v>0</v>
      </c>
      <c r="J460" t="n">
        <v>0</v>
      </c>
      <c r="K460" t="n">
        <v>0</v>
      </c>
      <c r="L460" t="n">
        <v>0</v>
      </c>
      <c r="M460" t="n">
        <v>0</v>
      </c>
      <c r="N460" t="n">
        <v>0</v>
      </c>
      <c r="O460" t="n">
        <v>0</v>
      </c>
      <c r="P460" t="n">
        <v>0</v>
      </c>
      <c r="Q460" t="n">
        <v>0</v>
      </c>
      <c r="R460" s="2" t="inlineStr"/>
    </row>
    <row r="461" ht="15" customHeight="1">
      <c r="A461" t="inlineStr">
        <is>
          <t>A 1452-2020</t>
        </is>
      </c>
      <c r="B461" s="1" t="n">
        <v>43822</v>
      </c>
      <c r="C461" s="1" t="n">
        <v>45641</v>
      </c>
      <c r="D461" t="inlineStr">
        <is>
          <t>VÄSTERBOTTENS LÄN</t>
        </is>
      </c>
      <c r="E461" t="inlineStr">
        <is>
          <t>SKELLEFTEÅ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789-2020</t>
        </is>
      </c>
      <c r="B462" s="1" t="n">
        <v>43838</v>
      </c>
      <c r="C462" s="1" t="n">
        <v>45641</v>
      </c>
      <c r="D462" t="inlineStr">
        <is>
          <t>VÄSTERBOTTENS LÄN</t>
        </is>
      </c>
      <c r="E462" t="inlineStr">
        <is>
          <t>SKELLEFTEÅ</t>
        </is>
      </c>
      <c r="G462" t="n">
        <v>1</v>
      </c>
      <c r="H462" t="n">
        <v>0</v>
      </c>
      <c r="I462" t="n">
        <v>0</v>
      </c>
      <c r="J462" t="n">
        <v>0</v>
      </c>
      <c r="K462" t="n">
        <v>0</v>
      </c>
      <c r="L462" t="n">
        <v>0</v>
      </c>
      <c r="M462" t="n">
        <v>0</v>
      </c>
      <c r="N462" t="n">
        <v>0</v>
      </c>
      <c r="O462" t="n">
        <v>0</v>
      </c>
      <c r="P462" t="n">
        <v>0</v>
      </c>
      <c r="Q462" t="n">
        <v>0</v>
      </c>
      <c r="R462" s="2" t="inlineStr"/>
    </row>
    <row r="463" ht="15" customHeight="1">
      <c r="A463" t="inlineStr">
        <is>
          <t>A 896-2020</t>
        </is>
      </c>
      <c r="B463" s="1" t="n">
        <v>43839</v>
      </c>
      <c r="C463" s="1" t="n">
        <v>45641</v>
      </c>
      <c r="D463" t="inlineStr">
        <is>
          <t>VÄSTERBOTTENS LÄN</t>
        </is>
      </c>
      <c r="E463" t="inlineStr">
        <is>
          <t>SKELLEFTEÅ</t>
        </is>
      </c>
      <c r="F463" t="inlineStr">
        <is>
          <t>Kyrkan</t>
        </is>
      </c>
      <c r="G463" t="n">
        <v>14.9</v>
      </c>
      <c r="H463" t="n">
        <v>0</v>
      </c>
      <c r="I463" t="n">
        <v>0</v>
      </c>
      <c r="J463" t="n">
        <v>0</v>
      </c>
      <c r="K463" t="n">
        <v>0</v>
      </c>
      <c r="L463" t="n">
        <v>0</v>
      </c>
      <c r="M463" t="n">
        <v>0</v>
      </c>
      <c r="N463" t="n">
        <v>0</v>
      </c>
      <c r="O463" t="n">
        <v>0</v>
      </c>
      <c r="P463" t="n">
        <v>0</v>
      </c>
      <c r="Q463" t="n">
        <v>0</v>
      </c>
      <c r="R463" s="2" t="inlineStr"/>
    </row>
    <row r="464" ht="15" customHeight="1">
      <c r="A464" t="inlineStr">
        <is>
          <t>A 2127-2020</t>
        </is>
      </c>
      <c r="B464" s="1" t="n">
        <v>43839</v>
      </c>
      <c r="C464" s="1" t="n">
        <v>45641</v>
      </c>
      <c r="D464" t="inlineStr">
        <is>
          <t>VÄSTERBOTTENS LÄN</t>
        </is>
      </c>
      <c r="E464" t="inlineStr">
        <is>
          <t>SKELLEFTEÅ</t>
        </is>
      </c>
      <c r="G464" t="n">
        <v>0.8</v>
      </c>
      <c r="H464" t="n">
        <v>0</v>
      </c>
      <c r="I464" t="n">
        <v>0</v>
      </c>
      <c r="J464" t="n">
        <v>0</v>
      </c>
      <c r="K464" t="n">
        <v>0</v>
      </c>
      <c r="L464" t="n">
        <v>0</v>
      </c>
      <c r="M464" t="n">
        <v>0</v>
      </c>
      <c r="N464" t="n">
        <v>0</v>
      </c>
      <c r="O464" t="n">
        <v>0</v>
      </c>
      <c r="P464" t="n">
        <v>0</v>
      </c>
      <c r="Q464" t="n">
        <v>0</v>
      </c>
      <c r="R464" s="2" t="inlineStr"/>
    </row>
    <row r="465" ht="15" customHeight="1">
      <c r="A465" t="inlineStr">
        <is>
          <t>A 1550-2020</t>
        </is>
      </c>
      <c r="B465" s="1" t="n">
        <v>43843</v>
      </c>
      <c r="C465" s="1" t="n">
        <v>45641</v>
      </c>
      <c r="D465" t="inlineStr">
        <is>
          <t>VÄSTERBOTTENS LÄN</t>
        </is>
      </c>
      <c r="E465" t="inlineStr">
        <is>
          <t>SKELLEFTEÅ</t>
        </is>
      </c>
      <c r="G465" t="n">
        <v>3.8</v>
      </c>
      <c r="H465" t="n">
        <v>0</v>
      </c>
      <c r="I465" t="n">
        <v>0</v>
      </c>
      <c r="J465" t="n">
        <v>0</v>
      </c>
      <c r="K465" t="n">
        <v>0</v>
      </c>
      <c r="L465" t="n">
        <v>0</v>
      </c>
      <c r="M465" t="n">
        <v>0</v>
      </c>
      <c r="N465" t="n">
        <v>0</v>
      </c>
      <c r="O465" t="n">
        <v>0</v>
      </c>
      <c r="P465" t="n">
        <v>0</v>
      </c>
      <c r="Q465" t="n">
        <v>0</v>
      </c>
      <c r="R465" s="2" t="inlineStr"/>
    </row>
    <row r="466" ht="15" customHeight="1">
      <c r="A466" t="inlineStr">
        <is>
          <t>A 1612-2020</t>
        </is>
      </c>
      <c r="B466" s="1" t="n">
        <v>43844</v>
      </c>
      <c r="C466" s="1" t="n">
        <v>45641</v>
      </c>
      <c r="D466" t="inlineStr">
        <is>
          <t>VÄSTERBOTTENS LÄN</t>
        </is>
      </c>
      <c r="E466" t="inlineStr">
        <is>
          <t>SKELLEFTEÅ</t>
        </is>
      </c>
      <c r="G466" t="n">
        <v>5.4</v>
      </c>
      <c r="H466" t="n">
        <v>0</v>
      </c>
      <c r="I466" t="n">
        <v>0</v>
      </c>
      <c r="J466" t="n">
        <v>0</v>
      </c>
      <c r="K466" t="n">
        <v>0</v>
      </c>
      <c r="L466" t="n">
        <v>0</v>
      </c>
      <c r="M466" t="n">
        <v>0</v>
      </c>
      <c r="N466" t="n">
        <v>0</v>
      </c>
      <c r="O466" t="n">
        <v>0</v>
      </c>
      <c r="P466" t="n">
        <v>0</v>
      </c>
      <c r="Q466" t="n">
        <v>0</v>
      </c>
      <c r="R466" s="2" t="inlineStr"/>
    </row>
    <row r="467" ht="15" customHeight="1">
      <c r="A467" t="inlineStr">
        <is>
          <t>A 1695-2020</t>
        </is>
      </c>
      <c r="B467" s="1" t="n">
        <v>43844</v>
      </c>
      <c r="C467" s="1" t="n">
        <v>45641</v>
      </c>
      <c r="D467" t="inlineStr">
        <is>
          <t>VÄSTERBOTTENS LÄN</t>
        </is>
      </c>
      <c r="E467" t="inlineStr">
        <is>
          <t>SKELLEFTEÅ</t>
        </is>
      </c>
      <c r="F467" t="inlineStr">
        <is>
          <t>Holmen skog AB</t>
        </is>
      </c>
      <c r="G467" t="n">
        <v>13.6</v>
      </c>
      <c r="H467" t="n">
        <v>0</v>
      </c>
      <c r="I467" t="n">
        <v>0</v>
      </c>
      <c r="J467" t="n">
        <v>0</v>
      </c>
      <c r="K467" t="n">
        <v>0</v>
      </c>
      <c r="L467" t="n">
        <v>0</v>
      </c>
      <c r="M467" t="n">
        <v>0</v>
      </c>
      <c r="N467" t="n">
        <v>0</v>
      </c>
      <c r="O467" t="n">
        <v>0</v>
      </c>
      <c r="P467" t="n">
        <v>0</v>
      </c>
      <c r="Q467" t="n">
        <v>0</v>
      </c>
      <c r="R467" s="2" t="inlineStr"/>
    </row>
    <row r="468" ht="15" customHeight="1">
      <c r="A468" t="inlineStr">
        <is>
          <t>A 3123-2020</t>
        </is>
      </c>
      <c r="B468" s="1" t="n">
        <v>43844</v>
      </c>
      <c r="C468" s="1" t="n">
        <v>45641</v>
      </c>
      <c r="D468" t="inlineStr">
        <is>
          <t>VÄSTERBOTTENS LÄN</t>
        </is>
      </c>
      <c r="E468" t="inlineStr">
        <is>
          <t>SKELLEFTEÅ</t>
        </is>
      </c>
      <c r="G468" t="n">
        <v>12.5</v>
      </c>
      <c r="H468" t="n">
        <v>0</v>
      </c>
      <c r="I468" t="n">
        <v>0</v>
      </c>
      <c r="J468" t="n">
        <v>0</v>
      </c>
      <c r="K468" t="n">
        <v>0</v>
      </c>
      <c r="L468" t="n">
        <v>0</v>
      </c>
      <c r="M468" t="n">
        <v>0</v>
      </c>
      <c r="N468" t="n">
        <v>0</v>
      </c>
      <c r="O468" t="n">
        <v>0</v>
      </c>
      <c r="P468" t="n">
        <v>0</v>
      </c>
      <c r="Q468" t="n">
        <v>0</v>
      </c>
      <c r="R468" s="2" t="inlineStr"/>
    </row>
    <row r="469" ht="15" customHeight="1">
      <c r="A469" t="inlineStr">
        <is>
          <t>A 4286-2020</t>
        </is>
      </c>
      <c r="B469" s="1" t="n">
        <v>43847</v>
      </c>
      <c r="C469" s="1" t="n">
        <v>45641</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4381-2020</t>
        </is>
      </c>
      <c r="B470" s="1" t="n">
        <v>43847</v>
      </c>
      <c r="C470" s="1" t="n">
        <v>45641</v>
      </c>
      <c r="D470" t="inlineStr">
        <is>
          <t>VÄSTERBOTTENS LÄN</t>
        </is>
      </c>
      <c r="E470" t="inlineStr">
        <is>
          <t>SKELLEFTEÅ</t>
        </is>
      </c>
      <c r="G470" t="n">
        <v>1</v>
      </c>
      <c r="H470" t="n">
        <v>0</v>
      </c>
      <c r="I470" t="n">
        <v>0</v>
      </c>
      <c r="J470" t="n">
        <v>0</v>
      </c>
      <c r="K470" t="n">
        <v>0</v>
      </c>
      <c r="L470" t="n">
        <v>0</v>
      </c>
      <c r="M470" t="n">
        <v>0</v>
      </c>
      <c r="N470" t="n">
        <v>0</v>
      </c>
      <c r="O470" t="n">
        <v>0</v>
      </c>
      <c r="P470" t="n">
        <v>0</v>
      </c>
      <c r="Q470" t="n">
        <v>0</v>
      </c>
      <c r="R470" s="2" t="inlineStr"/>
    </row>
    <row r="471" ht="15" customHeight="1">
      <c r="A471" t="inlineStr">
        <is>
          <t>A 4765-2020</t>
        </is>
      </c>
      <c r="B471" s="1" t="n">
        <v>43850</v>
      </c>
      <c r="C471" s="1" t="n">
        <v>45641</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4985-2020</t>
        </is>
      </c>
      <c r="B472" s="1" t="n">
        <v>43853</v>
      </c>
      <c r="C472" s="1" t="n">
        <v>45641</v>
      </c>
      <c r="D472" t="inlineStr">
        <is>
          <t>VÄSTERBOTTENS LÄN</t>
        </is>
      </c>
      <c r="E472" t="inlineStr">
        <is>
          <t>SKELLEFTEÅ</t>
        </is>
      </c>
      <c r="G472" t="n">
        <v>2</v>
      </c>
      <c r="H472" t="n">
        <v>0</v>
      </c>
      <c r="I472" t="n">
        <v>0</v>
      </c>
      <c r="J472" t="n">
        <v>0</v>
      </c>
      <c r="K472" t="n">
        <v>0</v>
      </c>
      <c r="L472" t="n">
        <v>0</v>
      </c>
      <c r="M472" t="n">
        <v>0</v>
      </c>
      <c r="N472" t="n">
        <v>0</v>
      </c>
      <c r="O472" t="n">
        <v>0</v>
      </c>
      <c r="P472" t="n">
        <v>0</v>
      </c>
      <c r="Q472" t="n">
        <v>0</v>
      </c>
      <c r="R472" s="2" t="inlineStr"/>
    </row>
    <row r="473" ht="15" customHeight="1">
      <c r="A473" t="inlineStr">
        <is>
          <t>A 3968-2020</t>
        </is>
      </c>
      <c r="B473" s="1" t="n">
        <v>43854</v>
      </c>
      <c r="C473" s="1" t="n">
        <v>45641</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4006-2020</t>
        </is>
      </c>
      <c r="B474" s="1" t="n">
        <v>43857</v>
      </c>
      <c r="C474" s="1" t="n">
        <v>45641</v>
      </c>
      <c r="D474" t="inlineStr">
        <is>
          <t>VÄSTERBOTTENS LÄN</t>
        </is>
      </c>
      <c r="E474" t="inlineStr">
        <is>
          <t>SKELLEFTEÅ</t>
        </is>
      </c>
      <c r="G474" t="n">
        <v>4.5</v>
      </c>
      <c r="H474" t="n">
        <v>0</v>
      </c>
      <c r="I474" t="n">
        <v>0</v>
      </c>
      <c r="J474" t="n">
        <v>0</v>
      </c>
      <c r="K474" t="n">
        <v>0</v>
      </c>
      <c r="L474" t="n">
        <v>0</v>
      </c>
      <c r="M474" t="n">
        <v>0</v>
      </c>
      <c r="N474" t="n">
        <v>0</v>
      </c>
      <c r="O474" t="n">
        <v>0</v>
      </c>
      <c r="P474" t="n">
        <v>0</v>
      </c>
      <c r="Q474" t="n">
        <v>0</v>
      </c>
      <c r="R474" s="2" t="inlineStr"/>
    </row>
    <row r="475" ht="15" customHeight="1">
      <c r="A475" t="inlineStr">
        <is>
          <t>A 5261-2020</t>
        </is>
      </c>
      <c r="B475" s="1" t="n">
        <v>43857</v>
      </c>
      <c r="C475" s="1" t="n">
        <v>45641</v>
      </c>
      <c r="D475" t="inlineStr">
        <is>
          <t>VÄSTERBOTTENS LÄN</t>
        </is>
      </c>
      <c r="E475" t="inlineStr">
        <is>
          <t>SKELLEFTEÅ</t>
        </is>
      </c>
      <c r="G475" t="n">
        <v>3.5</v>
      </c>
      <c r="H475" t="n">
        <v>0</v>
      </c>
      <c r="I475" t="n">
        <v>0</v>
      </c>
      <c r="J475" t="n">
        <v>0</v>
      </c>
      <c r="K475" t="n">
        <v>0</v>
      </c>
      <c r="L475" t="n">
        <v>0</v>
      </c>
      <c r="M475" t="n">
        <v>0</v>
      </c>
      <c r="N475" t="n">
        <v>0</v>
      </c>
      <c r="O475" t="n">
        <v>0</v>
      </c>
      <c r="P475" t="n">
        <v>0</v>
      </c>
      <c r="Q475" t="n">
        <v>0</v>
      </c>
      <c r="R475" s="2" t="inlineStr"/>
    </row>
    <row r="476" ht="15" customHeight="1">
      <c r="A476" t="inlineStr">
        <is>
          <t>A 4731-2020</t>
        </is>
      </c>
      <c r="B476" s="1" t="n">
        <v>43859</v>
      </c>
      <c r="C476" s="1" t="n">
        <v>45641</v>
      </c>
      <c r="D476" t="inlineStr">
        <is>
          <t>VÄSTERBOTTENS LÄN</t>
        </is>
      </c>
      <c r="E476" t="inlineStr">
        <is>
          <t>SKELLEFTEÅ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6511-2020</t>
        </is>
      </c>
      <c r="B477" s="1" t="n">
        <v>43865</v>
      </c>
      <c r="C477" s="1" t="n">
        <v>45641</v>
      </c>
      <c r="D477" t="inlineStr">
        <is>
          <t>VÄSTERBOTTENS LÄN</t>
        </is>
      </c>
      <c r="E477" t="inlineStr">
        <is>
          <t>SKELLEFTEÅ</t>
        </is>
      </c>
      <c r="G477" t="n">
        <v>9.9</v>
      </c>
      <c r="H477" t="n">
        <v>0</v>
      </c>
      <c r="I477" t="n">
        <v>0</v>
      </c>
      <c r="J477" t="n">
        <v>0</v>
      </c>
      <c r="K477" t="n">
        <v>0</v>
      </c>
      <c r="L477" t="n">
        <v>0</v>
      </c>
      <c r="M477" t="n">
        <v>0</v>
      </c>
      <c r="N477" t="n">
        <v>0</v>
      </c>
      <c r="O477" t="n">
        <v>0</v>
      </c>
      <c r="P477" t="n">
        <v>0</v>
      </c>
      <c r="Q477" t="n">
        <v>0</v>
      </c>
      <c r="R477" s="2" t="inlineStr"/>
    </row>
    <row r="478" ht="15" customHeight="1">
      <c r="A478" t="inlineStr">
        <is>
          <t>A 7334-2020</t>
        </is>
      </c>
      <c r="B478" s="1" t="n">
        <v>43868</v>
      </c>
      <c r="C478" s="1" t="n">
        <v>45641</v>
      </c>
      <c r="D478" t="inlineStr">
        <is>
          <t>VÄSTERBOTTENS LÄN</t>
        </is>
      </c>
      <c r="E478" t="inlineStr">
        <is>
          <t>SKELLEFTEÅ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7689-2020</t>
        </is>
      </c>
      <c r="B479" s="1" t="n">
        <v>43872</v>
      </c>
      <c r="C479" s="1" t="n">
        <v>45641</v>
      </c>
      <c r="D479" t="inlineStr">
        <is>
          <t>VÄSTERBOTTENS LÄN</t>
        </is>
      </c>
      <c r="E479" t="inlineStr">
        <is>
          <t>SKELLEFTEÅ</t>
        </is>
      </c>
      <c r="G479" t="n">
        <v>3.1</v>
      </c>
      <c r="H479" t="n">
        <v>0</v>
      </c>
      <c r="I479" t="n">
        <v>0</v>
      </c>
      <c r="J479" t="n">
        <v>0</v>
      </c>
      <c r="K479" t="n">
        <v>0</v>
      </c>
      <c r="L479" t="n">
        <v>0</v>
      </c>
      <c r="M479" t="n">
        <v>0</v>
      </c>
      <c r="N479" t="n">
        <v>0</v>
      </c>
      <c r="O479" t="n">
        <v>0</v>
      </c>
      <c r="P479" t="n">
        <v>0</v>
      </c>
      <c r="Q479" t="n">
        <v>0</v>
      </c>
      <c r="R479" s="2" t="inlineStr"/>
    </row>
    <row r="480" ht="15" customHeight="1">
      <c r="A480" t="inlineStr">
        <is>
          <t>A 8060-2020</t>
        </is>
      </c>
      <c r="B480" s="1" t="n">
        <v>43874</v>
      </c>
      <c r="C480" s="1" t="n">
        <v>45641</v>
      </c>
      <c r="D480" t="inlineStr">
        <is>
          <t>VÄSTERBOTTENS LÄN</t>
        </is>
      </c>
      <c r="E480" t="inlineStr">
        <is>
          <t>SKELLEFTEÅ</t>
        </is>
      </c>
      <c r="G480" t="n">
        <v>18.7</v>
      </c>
      <c r="H480" t="n">
        <v>0</v>
      </c>
      <c r="I480" t="n">
        <v>0</v>
      </c>
      <c r="J480" t="n">
        <v>0</v>
      </c>
      <c r="K480" t="n">
        <v>0</v>
      </c>
      <c r="L480" t="n">
        <v>0</v>
      </c>
      <c r="M480" t="n">
        <v>0</v>
      </c>
      <c r="N480" t="n">
        <v>0</v>
      </c>
      <c r="O480" t="n">
        <v>0</v>
      </c>
      <c r="P480" t="n">
        <v>0</v>
      </c>
      <c r="Q480" t="n">
        <v>0</v>
      </c>
      <c r="R480" s="2" t="inlineStr"/>
    </row>
    <row r="481" ht="15" customHeight="1">
      <c r="A481" t="inlineStr">
        <is>
          <t>A 8562-2020</t>
        </is>
      </c>
      <c r="B481" s="1" t="n">
        <v>43877</v>
      </c>
      <c r="C481" s="1" t="n">
        <v>45641</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9180-2020</t>
        </is>
      </c>
      <c r="B482" s="1" t="n">
        <v>43879</v>
      </c>
      <c r="C482" s="1" t="n">
        <v>45641</v>
      </c>
      <c r="D482" t="inlineStr">
        <is>
          <t>VÄSTERBOTTENS LÄN</t>
        </is>
      </c>
      <c r="E482" t="inlineStr">
        <is>
          <t>SKELLEFTEÅ</t>
        </is>
      </c>
      <c r="G482" t="n">
        <v>11.4</v>
      </c>
      <c r="H482" t="n">
        <v>0</v>
      </c>
      <c r="I482" t="n">
        <v>0</v>
      </c>
      <c r="J482" t="n">
        <v>0</v>
      </c>
      <c r="K482" t="n">
        <v>0</v>
      </c>
      <c r="L482" t="n">
        <v>0</v>
      </c>
      <c r="M482" t="n">
        <v>0</v>
      </c>
      <c r="N482" t="n">
        <v>0</v>
      </c>
      <c r="O482" t="n">
        <v>0</v>
      </c>
      <c r="P482" t="n">
        <v>0</v>
      </c>
      <c r="Q482" t="n">
        <v>0</v>
      </c>
      <c r="R482" s="2" t="inlineStr"/>
    </row>
    <row r="483" ht="15" customHeight="1">
      <c r="A483" t="inlineStr">
        <is>
          <t>A 9568-2020</t>
        </is>
      </c>
      <c r="B483" s="1" t="n">
        <v>43881</v>
      </c>
      <c r="C483" s="1" t="n">
        <v>45641</v>
      </c>
      <c r="D483" t="inlineStr">
        <is>
          <t>VÄSTERBOTTENS LÄN</t>
        </is>
      </c>
      <c r="E483" t="inlineStr">
        <is>
          <t>SKELLEFTEÅ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10030-2020</t>
        </is>
      </c>
      <c r="B484" s="1" t="n">
        <v>43882</v>
      </c>
      <c r="C484" s="1" t="n">
        <v>45641</v>
      </c>
      <c r="D484" t="inlineStr">
        <is>
          <t>VÄSTERBOTTENS LÄN</t>
        </is>
      </c>
      <c r="E484" t="inlineStr">
        <is>
          <t>SKELLEFTEÅ</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10041-2020</t>
        </is>
      </c>
      <c r="B485" s="1" t="n">
        <v>43882</v>
      </c>
      <c r="C485" s="1" t="n">
        <v>45641</v>
      </c>
      <c r="D485" t="inlineStr">
        <is>
          <t>VÄSTERBOTTENS LÄN</t>
        </is>
      </c>
      <c r="E485" t="inlineStr">
        <is>
          <t>SKELLEFTEÅ</t>
        </is>
      </c>
      <c r="F485" t="inlineStr">
        <is>
          <t>Holmen skog AB</t>
        </is>
      </c>
      <c r="G485" t="n">
        <v>4.5</v>
      </c>
      <c r="H485" t="n">
        <v>0</v>
      </c>
      <c r="I485" t="n">
        <v>0</v>
      </c>
      <c r="J485" t="n">
        <v>0</v>
      </c>
      <c r="K485" t="n">
        <v>0</v>
      </c>
      <c r="L485" t="n">
        <v>0</v>
      </c>
      <c r="M485" t="n">
        <v>0</v>
      </c>
      <c r="N485" t="n">
        <v>0</v>
      </c>
      <c r="O485" t="n">
        <v>0</v>
      </c>
      <c r="P485" t="n">
        <v>0</v>
      </c>
      <c r="Q485" t="n">
        <v>0</v>
      </c>
      <c r="R485" s="2" t="inlineStr"/>
    </row>
    <row r="486" ht="15" customHeight="1">
      <c r="A486" t="inlineStr">
        <is>
          <t>A 10273-2020</t>
        </is>
      </c>
      <c r="B486" s="1" t="n">
        <v>43885</v>
      </c>
      <c r="C486" s="1" t="n">
        <v>45641</v>
      </c>
      <c r="D486" t="inlineStr">
        <is>
          <t>VÄSTERBOTTENS LÄN</t>
        </is>
      </c>
      <c r="E486" t="inlineStr">
        <is>
          <t>SKELLEFTEÅ</t>
        </is>
      </c>
      <c r="G486" t="n">
        <v>1.3</v>
      </c>
      <c r="H486" t="n">
        <v>0</v>
      </c>
      <c r="I486" t="n">
        <v>0</v>
      </c>
      <c r="J486" t="n">
        <v>0</v>
      </c>
      <c r="K486" t="n">
        <v>0</v>
      </c>
      <c r="L486" t="n">
        <v>0</v>
      </c>
      <c r="M486" t="n">
        <v>0</v>
      </c>
      <c r="N486" t="n">
        <v>0</v>
      </c>
      <c r="O486" t="n">
        <v>0</v>
      </c>
      <c r="P486" t="n">
        <v>0</v>
      </c>
      <c r="Q486" t="n">
        <v>0</v>
      </c>
      <c r="R486" s="2" t="inlineStr"/>
      <c r="U486">
        <f>HYPERLINK("https://klasma.github.io/Logging_2482/knärot/A 10273-2020 karta knärot.png", "A 10273-2020")</f>
        <v/>
      </c>
      <c r="V486">
        <f>HYPERLINK("https://klasma.github.io/Logging_2482/klagomål/A 10273-2020 FSC-klagomål.docx", "A 10273-2020")</f>
        <v/>
      </c>
      <c r="W486">
        <f>HYPERLINK("https://klasma.github.io/Logging_2482/klagomålsmail/A 10273-2020 FSC-klagomål mail.docx", "A 10273-2020")</f>
        <v/>
      </c>
      <c r="X486">
        <f>HYPERLINK("https://klasma.github.io/Logging_2482/tillsyn/A 10273-2020 tillsynsbegäran.docx", "A 10273-2020")</f>
        <v/>
      </c>
      <c r="Y486">
        <f>HYPERLINK("https://klasma.github.io/Logging_2482/tillsynsmail/A 10273-2020 tillsynsbegäran mail.docx", "A 10273-2020")</f>
        <v/>
      </c>
    </row>
    <row r="487" ht="15" customHeight="1">
      <c r="A487" t="inlineStr">
        <is>
          <t>A 10279-2020</t>
        </is>
      </c>
      <c r="B487" s="1" t="n">
        <v>43885</v>
      </c>
      <c r="C487" s="1" t="n">
        <v>45641</v>
      </c>
      <c r="D487" t="inlineStr">
        <is>
          <t>VÄSTERBOTTENS LÄN</t>
        </is>
      </c>
      <c r="E487" t="inlineStr">
        <is>
          <t>SKELLEFTEÅ</t>
        </is>
      </c>
      <c r="G487" t="n">
        <v>5.8</v>
      </c>
      <c r="H487" t="n">
        <v>0</v>
      </c>
      <c r="I487" t="n">
        <v>0</v>
      </c>
      <c r="J487" t="n">
        <v>0</v>
      </c>
      <c r="K487" t="n">
        <v>0</v>
      </c>
      <c r="L487" t="n">
        <v>0</v>
      </c>
      <c r="M487" t="n">
        <v>0</v>
      </c>
      <c r="N487" t="n">
        <v>0</v>
      </c>
      <c r="O487" t="n">
        <v>0</v>
      </c>
      <c r="P487" t="n">
        <v>0</v>
      </c>
      <c r="Q487" t="n">
        <v>0</v>
      </c>
      <c r="R487" s="2" t="inlineStr"/>
    </row>
    <row r="488" ht="15" customHeight="1">
      <c r="A488" t="inlineStr">
        <is>
          <t>A 11083-2020</t>
        </is>
      </c>
      <c r="B488" s="1" t="n">
        <v>43885</v>
      </c>
      <c r="C488" s="1" t="n">
        <v>45641</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11037-2020</t>
        </is>
      </c>
      <c r="B489" s="1" t="n">
        <v>43886</v>
      </c>
      <c r="C489" s="1" t="n">
        <v>45641</v>
      </c>
      <c r="D489" t="inlineStr">
        <is>
          <t>VÄSTERBOTTENS LÄN</t>
        </is>
      </c>
      <c r="E489" t="inlineStr">
        <is>
          <t>SKELLEFTEÅ</t>
        </is>
      </c>
      <c r="G489" t="n">
        <v>2.9</v>
      </c>
      <c r="H489" t="n">
        <v>0</v>
      </c>
      <c r="I489" t="n">
        <v>0</v>
      </c>
      <c r="J489" t="n">
        <v>0</v>
      </c>
      <c r="K489" t="n">
        <v>0</v>
      </c>
      <c r="L489" t="n">
        <v>0</v>
      </c>
      <c r="M489" t="n">
        <v>0</v>
      </c>
      <c r="N489" t="n">
        <v>0</v>
      </c>
      <c r="O489" t="n">
        <v>0</v>
      </c>
      <c r="P489" t="n">
        <v>0</v>
      </c>
      <c r="Q489" t="n">
        <v>0</v>
      </c>
      <c r="R489" s="2" t="inlineStr"/>
    </row>
    <row r="490" ht="15" customHeight="1">
      <c r="A490" t="inlineStr">
        <is>
          <t>A 11048-2020</t>
        </is>
      </c>
      <c r="B490" s="1" t="n">
        <v>43886</v>
      </c>
      <c r="C490" s="1" t="n">
        <v>45641</v>
      </c>
      <c r="D490" t="inlineStr">
        <is>
          <t>VÄSTERBOTTENS LÄN</t>
        </is>
      </c>
      <c r="E490" t="inlineStr">
        <is>
          <t>SKELLEFTEÅ</t>
        </is>
      </c>
      <c r="G490" t="n">
        <v>5.2</v>
      </c>
      <c r="H490" t="n">
        <v>0</v>
      </c>
      <c r="I490" t="n">
        <v>0</v>
      </c>
      <c r="J490" t="n">
        <v>0</v>
      </c>
      <c r="K490" t="n">
        <v>0</v>
      </c>
      <c r="L490" t="n">
        <v>0</v>
      </c>
      <c r="M490" t="n">
        <v>0</v>
      </c>
      <c r="N490" t="n">
        <v>0</v>
      </c>
      <c r="O490" t="n">
        <v>0</v>
      </c>
      <c r="P490" t="n">
        <v>0</v>
      </c>
      <c r="Q490" t="n">
        <v>0</v>
      </c>
      <c r="R490" s="2" t="inlineStr"/>
    </row>
    <row r="491" ht="15" customHeight="1">
      <c r="A491" t="inlineStr">
        <is>
          <t>A 10181-2020</t>
        </is>
      </c>
      <c r="B491" s="1" t="n">
        <v>43887</v>
      </c>
      <c r="C491" s="1" t="n">
        <v>45641</v>
      </c>
      <c r="D491" t="inlineStr">
        <is>
          <t>VÄSTERBOTTENS LÄN</t>
        </is>
      </c>
      <c r="E491" t="inlineStr">
        <is>
          <t>SKELLEFTEÅ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10114-2020</t>
        </is>
      </c>
      <c r="B492" s="1" t="n">
        <v>43887</v>
      </c>
      <c r="C492" s="1" t="n">
        <v>45641</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12775-2020</t>
        </is>
      </c>
      <c r="B493" s="1" t="n">
        <v>43893</v>
      </c>
      <c r="C493" s="1" t="n">
        <v>45641</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12533-2020</t>
        </is>
      </c>
      <c r="B494" s="1" t="n">
        <v>43896</v>
      </c>
      <c r="C494" s="1" t="n">
        <v>45641</v>
      </c>
      <c r="D494" t="inlineStr">
        <is>
          <t>VÄSTERBOTTENS LÄN</t>
        </is>
      </c>
      <c r="E494" t="inlineStr">
        <is>
          <t>SKELLEFTEÅ</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12534-2020</t>
        </is>
      </c>
      <c r="B495" s="1" t="n">
        <v>43896</v>
      </c>
      <c r="C495" s="1" t="n">
        <v>45641</v>
      </c>
      <c r="D495" t="inlineStr">
        <is>
          <t>VÄSTERBOTTENS LÄN</t>
        </is>
      </c>
      <c r="E495" t="inlineStr">
        <is>
          <t>SKELLEFTEÅ</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13415-2020</t>
        </is>
      </c>
      <c r="B496" s="1" t="n">
        <v>43899</v>
      </c>
      <c r="C496" s="1" t="n">
        <v>45641</v>
      </c>
      <c r="D496" t="inlineStr">
        <is>
          <t>VÄSTERBOTTENS LÄN</t>
        </is>
      </c>
      <c r="E496" t="inlineStr">
        <is>
          <t>SKELLEFTEÅ</t>
        </is>
      </c>
      <c r="G496" t="n">
        <v>1.9</v>
      </c>
      <c r="H496" t="n">
        <v>0</v>
      </c>
      <c r="I496" t="n">
        <v>0</v>
      </c>
      <c r="J496" t="n">
        <v>0</v>
      </c>
      <c r="K496" t="n">
        <v>0</v>
      </c>
      <c r="L496" t="n">
        <v>0</v>
      </c>
      <c r="M496" t="n">
        <v>0</v>
      </c>
      <c r="N496" t="n">
        <v>0</v>
      </c>
      <c r="O496" t="n">
        <v>0</v>
      </c>
      <c r="P496" t="n">
        <v>0</v>
      </c>
      <c r="Q496" t="n">
        <v>0</v>
      </c>
      <c r="R496" s="2" t="inlineStr"/>
    </row>
    <row r="497" ht="15" customHeight="1">
      <c r="A497" t="inlineStr">
        <is>
          <t>A 14147-2020</t>
        </is>
      </c>
      <c r="B497" s="1" t="n">
        <v>43900</v>
      </c>
      <c r="C497" s="1" t="n">
        <v>45641</v>
      </c>
      <c r="D497" t="inlineStr">
        <is>
          <t>VÄSTERBOTTENS LÄN</t>
        </is>
      </c>
      <c r="E497" t="inlineStr">
        <is>
          <t>SKELLEFTEÅ</t>
        </is>
      </c>
      <c r="G497" t="n">
        <v>2.6</v>
      </c>
      <c r="H497" t="n">
        <v>0</v>
      </c>
      <c r="I497" t="n">
        <v>0</v>
      </c>
      <c r="J497" t="n">
        <v>0</v>
      </c>
      <c r="K497" t="n">
        <v>0</v>
      </c>
      <c r="L497" t="n">
        <v>0</v>
      </c>
      <c r="M497" t="n">
        <v>0</v>
      </c>
      <c r="N497" t="n">
        <v>0</v>
      </c>
      <c r="O497" t="n">
        <v>0</v>
      </c>
      <c r="P497" t="n">
        <v>0</v>
      </c>
      <c r="Q497" t="n">
        <v>0</v>
      </c>
      <c r="R497" s="2" t="inlineStr"/>
    </row>
    <row r="498" ht="15" customHeight="1">
      <c r="A498" t="inlineStr">
        <is>
          <t>A 12945-2020</t>
        </is>
      </c>
      <c r="B498" s="1" t="n">
        <v>43900</v>
      </c>
      <c r="C498" s="1" t="n">
        <v>45641</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12939-2020</t>
        </is>
      </c>
      <c r="B499" s="1" t="n">
        <v>43900</v>
      </c>
      <c r="C499" s="1" t="n">
        <v>45641</v>
      </c>
      <c r="D499" t="inlineStr">
        <is>
          <t>VÄSTERBOTTENS LÄN</t>
        </is>
      </c>
      <c r="E499" t="inlineStr">
        <is>
          <t>SKELLEFTEÅ</t>
        </is>
      </c>
      <c r="G499" t="n">
        <v>1.9</v>
      </c>
      <c r="H499" t="n">
        <v>0</v>
      </c>
      <c r="I499" t="n">
        <v>0</v>
      </c>
      <c r="J499" t="n">
        <v>0</v>
      </c>
      <c r="K499" t="n">
        <v>0</v>
      </c>
      <c r="L499" t="n">
        <v>0</v>
      </c>
      <c r="M499" t="n">
        <v>0</v>
      </c>
      <c r="N499" t="n">
        <v>0</v>
      </c>
      <c r="O499" t="n">
        <v>0</v>
      </c>
      <c r="P499" t="n">
        <v>0</v>
      </c>
      <c r="Q499" t="n">
        <v>0</v>
      </c>
      <c r="R499" s="2" t="inlineStr"/>
    </row>
    <row r="500" ht="15" customHeight="1">
      <c r="A500" t="inlineStr">
        <is>
          <t>A 14186-2020</t>
        </is>
      </c>
      <c r="B500" s="1" t="n">
        <v>43901</v>
      </c>
      <c r="C500" s="1" t="n">
        <v>45641</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13566-2020</t>
        </is>
      </c>
      <c r="B501" s="1" t="n">
        <v>43902</v>
      </c>
      <c r="C501" s="1" t="n">
        <v>45641</v>
      </c>
      <c r="D501" t="inlineStr">
        <is>
          <t>VÄSTERBOTTENS LÄN</t>
        </is>
      </c>
      <c r="E501" t="inlineStr">
        <is>
          <t>SKELLEFTEÅ</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13568-2020</t>
        </is>
      </c>
      <c r="B502" s="1" t="n">
        <v>43902</v>
      </c>
      <c r="C502" s="1" t="n">
        <v>45641</v>
      </c>
      <c r="D502" t="inlineStr">
        <is>
          <t>VÄSTERBOTTENS LÄN</t>
        </is>
      </c>
      <c r="E502" t="inlineStr">
        <is>
          <t>SKELLEFTEÅ</t>
        </is>
      </c>
      <c r="F502" t="inlineStr">
        <is>
          <t>SCA</t>
        </is>
      </c>
      <c r="G502" t="n">
        <v>6.9</v>
      </c>
      <c r="H502" t="n">
        <v>0</v>
      </c>
      <c r="I502" t="n">
        <v>0</v>
      </c>
      <c r="J502" t="n">
        <v>0</v>
      </c>
      <c r="K502" t="n">
        <v>0</v>
      </c>
      <c r="L502" t="n">
        <v>0</v>
      </c>
      <c r="M502" t="n">
        <v>0</v>
      </c>
      <c r="N502" t="n">
        <v>0</v>
      </c>
      <c r="O502" t="n">
        <v>0</v>
      </c>
      <c r="P502" t="n">
        <v>0</v>
      </c>
      <c r="Q502" t="n">
        <v>0</v>
      </c>
      <c r="R502" s="2" t="inlineStr"/>
    </row>
    <row r="503" ht="15" customHeight="1">
      <c r="A503" t="inlineStr">
        <is>
          <t>A 13851-2020</t>
        </is>
      </c>
      <c r="B503" s="1" t="n">
        <v>43906</v>
      </c>
      <c r="C503" s="1" t="n">
        <v>45641</v>
      </c>
      <c r="D503" t="inlineStr">
        <is>
          <t>VÄSTERBOTTENS LÄN</t>
        </is>
      </c>
      <c r="E503" t="inlineStr">
        <is>
          <t>SKELLEFTEÅ</t>
        </is>
      </c>
      <c r="G503" t="n">
        <v>0.1</v>
      </c>
      <c r="H503" t="n">
        <v>0</v>
      </c>
      <c r="I503" t="n">
        <v>0</v>
      </c>
      <c r="J503" t="n">
        <v>0</v>
      </c>
      <c r="K503" t="n">
        <v>0</v>
      </c>
      <c r="L503" t="n">
        <v>0</v>
      </c>
      <c r="M503" t="n">
        <v>0</v>
      </c>
      <c r="N503" t="n">
        <v>0</v>
      </c>
      <c r="O503" t="n">
        <v>0</v>
      </c>
      <c r="P503" t="n">
        <v>0</v>
      </c>
      <c r="Q503" t="n">
        <v>0</v>
      </c>
      <c r="R503" s="2" t="inlineStr"/>
    </row>
    <row r="504" ht="15" customHeight="1">
      <c r="A504" t="inlineStr">
        <is>
          <t>A 13933-2020</t>
        </is>
      </c>
      <c r="B504" s="1" t="n">
        <v>43906</v>
      </c>
      <c r="C504" s="1" t="n">
        <v>45641</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13883-2020</t>
        </is>
      </c>
      <c r="B505" s="1" t="n">
        <v>43906</v>
      </c>
      <c r="C505" s="1" t="n">
        <v>45641</v>
      </c>
      <c r="D505" t="inlineStr">
        <is>
          <t>VÄSTERBOTTENS LÄN</t>
        </is>
      </c>
      <c r="E505" t="inlineStr">
        <is>
          <t>SKELLEFTEÅ</t>
        </is>
      </c>
      <c r="G505" t="n">
        <v>4.1</v>
      </c>
      <c r="H505" t="n">
        <v>0</v>
      </c>
      <c r="I505" t="n">
        <v>0</v>
      </c>
      <c r="J505" t="n">
        <v>0</v>
      </c>
      <c r="K505" t="n">
        <v>0</v>
      </c>
      <c r="L505" t="n">
        <v>0</v>
      </c>
      <c r="M505" t="n">
        <v>0</v>
      </c>
      <c r="N505" t="n">
        <v>0</v>
      </c>
      <c r="O505" t="n">
        <v>0</v>
      </c>
      <c r="P505" t="n">
        <v>0</v>
      </c>
      <c r="Q505" t="n">
        <v>0</v>
      </c>
      <c r="R505" s="2" t="inlineStr"/>
    </row>
    <row r="506" ht="15" customHeight="1">
      <c r="A506" t="inlineStr">
        <is>
          <t>A 16728-2020</t>
        </is>
      </c>
      <c r="B506" s="1" t="n">
        <v>43910</v>
      </c>
      <c r="C506" s="1" t="n">
        <v>45641</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15320-2020</t>
        </is>
      </c>
      <c r="B507" s="1" t="n">
        <v>43913</v>
      </c>
      <c r="C507" s="1" t="n">
        <v>45641</v>
      </c>
      <c r="D507" t="inlineStr">
        <is>
          <t>VÄSTERBOTTENS LÄN</t>
        </is>
      </c>
      <c r="E507" t="inlineStr">
        <is>
          <t>SKELLEFTEÅ</t>
        </is>
      </c>
      <c r="G507" t="n">
        <v>5.8</v>
      </c>
      <c r="H507" t="n">
        <v>0</v>
      </c>
      <c r="I507" t="n">
        <v>0</v>
      </c>
      <c r="J507" t="n">
        <v>0</v>
      </c>
      <c r="K507" t="n">
        <v>0</v>
      </c>
      <c r="L507" t="n">
        <v>0</v>
      </c>
      <c r="M507" t="n">
        <v>0</v>
      </c>
      <c r="N507" t="n">
        <v>0</v>
      </c>
      <c r="O507" t="n">
        <v>0</v>
      </c>
      <c r="P507" t="n">
        <v>0</v>
      </c>
      <c r="Q507" t="n">
        <v>0</v>
      </c>
      <c r="R507" s="2" t="inlineStr"/>
    </row>
    <row r="508" ht="15" customHeight="1">
      <c r="A508" t="inlineStr">
        <is>
          <t>A 17124-2020</t>
        </is>
      </c>
      <c r="B508" s="1" t="n">
        <v>43914</v>
      </c>
      <c r="C508" s="1" t="n">
        <v>45641</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15870-2020</t>
        </is>
      </c>
      <c r="B509" s="1" t="n">
        <v>43915</v>
      </c>
      <c r="C509" s="1" t="n">
        <v>45641</v>
      </c>
      <c r="D509" t="inlineStr">
        <is>
          <t>VÄSTERBOTTENS LÄN</t>
        </is>
      </c>
      <c r="E509" t="inlineStr">
        <is>
          <t>SKELLEFTEÅ</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15869-2020</t>
        </is>
      </c>
      <c r="B510" s="1" t="n">
        <v>43915</v>
      </c>
      <c r="C510" s="1" t="n">
        <v>45641</v>
      </c>
      <c r="D510" t="inlineStr">
        <is>
          <t>VÄSTERBOTTENS LÄN</t>
        </is>
      </c>
      <c r="E510" t="inlineStr">
        <is>
          <t>SKELLEFTEÅ</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17434-2020</t>
        </is>
      </c>
      <c r="B511" s="1" t="n">
        <v>43917</v>
      </c>
      <c r="C511" s="1" t="n">
        <v>45641</v>
      </c>
      <c r="D511" t="inlineStr">
        <is>
          <t>VÄSTERBOTTENS LÄN</t>
        </is>
      </c>
      <c r="E511" t="inlineStr">
        <is>
          <t>SKELLEFTEÅ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17894-2020</t>
        </is>
      </c>
      <c r="B512" s="1" t="n">
        <v>43923</v>
      </c>
      <c r="C512" s="1" t="n">
        <v>45641</v>
      </c>
      <c r="D512" t="inlineStr">
        <is>
          <t>VÄSTERBOTTENS LÄN</t>
        </is>
      </c>
      <c r="E512" t="inlineStr">
        <is>
          <t>SKELLEFTEÅ</t>
        </is>
      </c>
      <c r="G512" t="n">
        <v>3.5</v>
      </c>
      <c r="H512" t="n">
        <v>0</v>
      </c>
      <c r="I512" t="n">
        <v>0</v>
      </c>
      <c r="J512" t="n">
        <v>0</v>
      </c>
      <c r="K512" t="n">
        <v>0</v>
      </c>
      <c r="L512" t="n">
        <v>0</v>
      </c>
      <c r="M512" t="n">
        <v>0</v>
      </c>
      <c r="N512" t="n">
        <v>0</v>
      </c>
      <c r="O512" t="n">
        <v>0</v>
      </c>
      <c r="P512" t="n">
        <v>0</v>
      </c>
      <c r="Q512" t="n">
        <v>0</v>
      </c>
      <c r="R512" s="2" t="inlineStr"/>
    </row>
    <row r="513" ht="15" customHeight="1">
      <c r="A513" t="inlineStr">
        <is>
          <t>A 18619-2020</t>
        </is>
      </c>
      <c r="B513" s="1" t="n">
        <v>43928</v>
      </c>
      <c r="C513" s="1" t="n">
        <v>45641</v>
      </c>
      <c r="D513" t="inlineStr">
        <is>
          <t>VÄSTERBOTTENS LÄN</t>
        </is>
      </c>
      <c r="E513" t="inlineStr">
        <is>
          <t>SKELLEFTEÅ</t>
        </is>
      </c>
      <c r="G513" t="n">
        <v>0.6</v>
      </c>
      <c r="H513" t="n">
        <v>0</v>
      </c>
      <c r="I513" t="n">
        <v>0</v>
      </c>
      <c r="J513" t="n">
        <v>0</v>
      </c>
      <c r="K513" t="n">
        <v>0</v>
      </c>
      <c r="L513" t="n">
        <v>0</v>
      </c>
      <c r="M513" t="n">
        <v>0</v>
      </c>
      <c r="N513" t="n">
        <v>0</v>
      </c>
      <c r="O513" t="n">
        <v>0</v>
      </c>
      <c r="P513" t="n">
        <v>0</v>
      </c>
      <c r="Q513" t="n">
        <v>0</v>
      </c>
      <c r="R513" s="2" t="inlineStr"/>
    </row>
    <row r="514" ht="15" customHeight="1">
      <c r="A514" t="inlineStr">
        <is>
          <t>A 18442-2020</t>
        </is>
      </c>
      <c r="B514" s="1" t="n">
        <v>43929</v>
      </c>
      <c r="C514" s="1" t="n">
        <v>45641</v>
      </c>
      <c r="D514" t="inlineStr">
        <is>
          <t>VÄSTERBOTTENS LÄN</t>
        </is>
      </c>
      <c r="E514" t="inlineStr">
        <is>
          <t>SKELLEFTEÅ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18820-2020</t>
        </is>
      </c>
      <c r="B515" s="1" t="n">
        <v>43935</v>
      </c>
      <c r="C515" s="1" t="n">
        <v>45641</v>
      </c>
      <c r="D515" t="inlineStr">
        <is>
          <t>VÄSTERBOTTENS LÄN</t>
        </is>
      </c>
      <c r="E515" t="inlineStr">
        <is>
          <t>SKELLEFTEÅ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19006-2020</t>
        </is>
      </c>
      <c r="B516" s="1" t="n">
        <v>43936</v>
      </c>
      <c r="C516" s="1" t="n">
        <v>45641</v>
      </c>
      <c r="D516" t="inlineStr">
        <is>
          <t>VÄSTERBOTTENS LÄN</t>
        </is>
      </c>
      <c r="E516" t="inlineStr">
        <is>
          <t>SKELLEFTEÅ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19961-2020</t>
        </is>
      </c>
      <c r="B517" s="1" t="n">
        <v>43943</v>
      </c>
      <c r="C517" s="1" t="n">
        <v>45641</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20243-2020</t>
        </is>
      </c>
      <c r="B518" s="1" t="n">
        <v>43945</v>
      </c>
      <c r="C518" s="1" t="n">
        <v>45641</v>
      </c>
      <c r="D518" t="inlineStr">
        <is>
          <t>VÄSTERBOTTENS LÄN</t>
        </is>
      </c>
      <c r="E518" t="inlineStr">
        <is>
          <t>SKELLEFTEÅ</t>
        </is>
      </c>
      <c r="G518" t="n">
        <v>1.5</v>
      </c>
      <c r="H518" t="n">
        <v>0</v>
      </c>
      <c r="I518" t="n">
        <v>0</v>
      </c>
      <c r="J518" t="n">
        <v>0</v>
      </c>
      <c r="K518" t="n">
        <v>0</v>
      </c>
      <c r="L518" t="n">
        <v>0</v>
      </c>
      <c r="M518" t="n">
        <v>0</v>
      </c>
      <c r="N518" t="n">
        <v>0</v>
      </c>
      <c r="O518" t="n">
        <v>0</v>
      </c>
      <c r="P518" t="n">
        <v>0</v>
      </c>
      <c r="Q518" t="n">
        <v>0</v>
      </c>
      <c r="R518" s="2" t="inlineStr"/>
    </row>
    <row r="519" ht="15" customHeight="1">
      <c r="A519" t="inlineStr">
        <is>
          <t>A 20283-2020</t>
        </is>
      </c>
      <c r="B519" s="1" t="n">
        <v>43945</v>
      </c>
      <c r="C519" s="1" t="n">
        <v>45641</v>
      </c>
      <c r="D519" t="inlineStr">
        <is>
          <t>VÄSTERBOTTENS LÄN</t>
        </is>
      </c>
      <c r="E519" t="inlineStr">
        <is>
          <t>SKELLEFTEÅ</t>
        </is>
      </c>
      <c r="G519" t="n">
        <v>6.2</v>
      </c>
      <c r="H519" t="n">
        <v>0</v>
      </c>
      <c r="I519" t="n">
        <v>0</v>
      </c>
      <c r="J519" t="n">
        <v>0</v>
      </c>
      <c r="K519" t="n">
        <v>0</v>
      </c>
      <c r="L519" t="n">
        <v>0</v>
      </c>
      <c r="M519" t="n">
        <v>0</v>
      </c>
      <c r="N519" t="n">
        <v>0</v>
      </c>
      <c r="O519" t="n">
        <v>0</v>
      </c>
      <c r="P519" t="n">
        <v>0</v>
      </c>
      <c r="Q519" t="n">
        <v>0</v>
      </c>
      <c r="R519" s="2" t="inlineStr"/>
    </row>
    <row r="520" ht="15" customHeight="1">
      <c r="A520" t="inlineStr">
        <is>
          <t>A 20351-2020</t>
        </is>
      </c>
      <c r="B520" s="1" t="n">
        <v>43945</v>
      </c>
      <c r="C520" s="1" t="n">
        <v>45641</v>
      </c>
      <c r="D520" t="inlineStr">
        <is>
          <t>VÄSTERBOTTENS LÄN</t>
        </is>
      </c>
      <c r="E520" t="inlineStr">
        <is>
          <t>SKELLEFTEÅ</t>
        </is>
      </c>
      <c r="G520" t="n">
        <v>6.3</v>
      </c>
      <c r="H520" t="n">
        <v>0</v>
      </c>
      <c r="I520" t="n">
        <v>0</v>
      </c>
      <c r="J520" t="n">
        <v>0</v>
      </c>
      <c r="K520" t="n">
        <v>0</v>
      </c>
      <c r="L520" t="n">
        <v>0</v>
      </c>
      <c r="M520" t="n">
        <v>0</v>
      </c>
      <c r="N520" t="n">
        <v>0</v>
      </c>
      <c r="O520" t="n">
        <v>0</v>
      </c>
      <c r="P520" t="n">
        <v>0</v>
      </c>
      <c r="Q520" t="n">
        <v>0</v>
      </c>
      <c r="R520" s="2" t="inlineStr"/>
    </row>
    <row r="521" ht="15" customHeight="1">
      <c r="A521" t="inlineStr">
        <is>
          <t>A 20444-2020</t>
        </is>
      </c>
      <c r="B521" s="1" t="n">
        <v>43948</v>
      </c>
      <c r="C521" s="1" t="n">
        <v>45641</v>
      </c>
      <c r="D521" t="inlineStr">
        <is>
          <t>VÄSTERBOTTENS LÄN</t>
        </is>
      </c>
      <c r="E521" t="inlineStr">
        <is>
          <t>SKELLEFTEÅ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20466-2020</t>
        </is>
      </c>
      <c r="B522" s="1" t="n">
        <v>43948</v>
      </c>
      <c r="C522" s="1" t="n">
        <v>45641</v>
      </c>
      <c r="D522" t="inlineStr">
        <is>
          <t>VÄSTERBOTTENS LÄN</t>
        </is>
      </c>
      <c r="E522" t="inlineStr">
        <is>
          <t>SKELLEFTEÅ</t>
        </is>
      </c>
      <c r="G522" t="n">
        <v>0.6</v>
      </c>
      <c r="H522" t="n">
        <v>0</v>
      </c>
      <c r="I522" t="n">
        <v>0</v>
      </c>
      <c r="J522" t="n">
        <v>0</v>
      </c>
      <c r="K522" t="n">
        <v>0</v>
      </c>
      <c r="L522" t="n">
        <v>0</v>
      </c>
      <c r="M522" t="n">
        <v>0</v>
      </c>
      <c r="N522" t="n">
        <v>0</v>
      </c>
      <c r="O522" t="n">
        <v>0</v>
      </c>
      <c r="P522" t="n">
        <v>0</v>
      </c>
      <c r="Q522" t="n">
        <v>0</v>
      </c>
      <c r="R522" s="2" t="inlineStr"/>
    </row>
    <row r="523" ht="15" customHeight="1">
      <c r="A523" t="inlineStr">
        <is>
          <t>A 22451-2020</t>
        </is>
      </c>
      <c r="B523" s="1" t="n">
        <v>43963</v>
      </c>
      <c r="C523" s="1" t="n">
        <v>45641</v>
      </c>
      <c r="D523" t="inlineStr">
        <is>
          <t>VÄSTERBOTTENS LÄN</t>
        </is>
      </c>
      <c r="E523" t="inlineStr">
        <is>
          <t>SKELLEFTEÅ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22752-2020</t>
        </is>
      </c>
      <c r="B524" s="1" t="n">
        <v>43963</v>
      </c>
      <c r="C524" s="1" t="n">
        <v>45641</v>
      </c>
      <c r="D524" t="inlineStr">
        <is>
          <t>VÄSTERBOTTENS LÄN</t>
        </is>
      </c>
      <c r="E524" t="inlineStr">
        <is>
          <t>SKELLEFTEÅ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23006-2020</t>
        </is>
      </c>
      <c r="B525" s="1" t="n">
        <v>43965</v>
      </c>
      <c r="C525" s="1" t="n">
        <v>45641</v>
      </c>
      <c r="D525" t="inlineStr">
        <is>
          <t>VÄSTERBOTTENS LÄN</t>
        </is>
      </c>
      <c r="E525" t="inlineStr">
        <is>
          <t>SKELLEFTEÅ</t>
        </is>
      </c>
      <c r="G525" t="n">
        <v>1.1</v>
      </c>
      <c r="H525" t="n">
        <v>0</v>
      </c>
      <c r="I525" t="n">
        <v>0</v>
      </c>
      <c r="J525" t="n">
        <v>0</v>
      </c>
      <c r="K525" t="n">
        <v>0</v>
      </c>
      <c r="L525" t="n">
        <v>0</v>
      </c>
      <c r="M525" t="n">
        <v>0</v>
      </c>
      <c r="N525" t="n">
        <v>0</v>
      </c>
      <c r="O525" t="n">
        <v>0</v>
      </c>
      <c r="P525" t="n">
        <v>0</v>
      </c>
      <c r="Q525" t="n">
        <v>0</v>
      </c>
      <c r="R525" s="2" t="inlineStr"/>
    </row>
    <row r="526" ht="15" customHeight="1">
      <c r="A526" t="inlineStr">
        <is>
          <t>A 23181-2020</t>
        </is>
      </c>
      <c r="B526" s="1" t="n">
        <v>43965</v>
      </c>
      <c r="C526" s="1" t="n">
        <v>45641</v>
      </c>
      <c r="D526" t="inlineStr">
        <is>
          <t>VÄSTERBOTTENS LÄN</t>
        </is>
      </c>
      <c r="E526" t="inlineStr">
        <is>
          <t>SKELLEFTEÅ</t>
        </is>
      </c>
      <c r="G526" t="n">
        <v>8.1</v>
      </c>
      <c r="H526" t="n">
        <v>0</v>
      </c>
      <c r="I526" t="n">
        <v>0</v>
      </c>
      <c r="J526" t="n">
        <v>0</v>
      </c>
      <c r="K526" t="n">
        <v>0</v>
      </c>
      <c r="L526" t="n">
        <v>0</v>
      </c>
      <c r="M526" t="n">
        <v>0</v>
      </c>
      <c r="N526" t="n">
        <v>0</v>
      </c>
      <c r="O526" t="n">
        <v>0</v>
      </c>
      <c r="P526" t="n">
        <v>0</v>
      </c>
      <c r="Q526" t="n">
        <v>0</v>
      </c>
      <c r="R526" s="2" t="inlineStr"/>
    </row>
    <row r="527" ht="15" customHeight="1">
      <c r="A527" t="inlineStr">
        <is>
          <t>A 23522-2020</t>
        </is>
      </c>
      <c r="B527" s="1" t="n">
        <v>43969</v>
      </c>
      <c r="C527" s="1" t="n">
        <v>45641</v>
      </c>
      <c r="D527" t="inlineStr">
        <is>
          <t>VÄSTERBOTTENS LÄN</t>
        </is>
      </c>
      <c r="E527" t="inlineStr">
        <is>
          <t>SKELLEFTEÅ</t>
        </is>
      </c>
      <c r="G527" t="n">
        <v>0.2</v>
      </c>
      <c r="H527" t="n">
        <v>0</v>
      </c>
      <c r="I527" t="n">
        <v>0</v>
      </c>
      <c r="J527" t="n">
        <v>0</v>
      </c>
      <c r="K527" t="n">
        <v>0</v>
      </c>
      <c r="L527" t="n">
        <v>0</v>
      </c>
      <c r="M527" t="n">
        <v>0</v>
      </c>
      <c r="N527" t="n">
        <v>0</v>
      </c>
      <c r="O527" t="n">
        <v>0</v>
      </c>
      <c r="P527" t="n">
        <v>0</v>
      </c>
      <c r="Q527" t="n">
        <v>0</v>
      </c>
      <c r="R527" s="2" t="inlineStr"/>
    </row>
    <row r="528" ht="15" customHeight="1">
      <c r="A528" t="inlineStr">
        <is>
          <t>A 23672-2020</t>
        </is>
      </c>
      <c r="B528" s="1" t="n">
        <v>43970</v>
      </c>
      <c r="C528" s="1" t="n">
        <v>45641</v>
      </c>
      <c r="D528" t="inlineStr">
        <is>
          <t>VÄSTERBOTTENS LÄN</t>
        </is>
      </c>
      <c r="E528" t="inlineStr">
        <is>
          <t>SKELLEFTEÅ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24280-2020</t>
        </is>
      </c>
      <c r="B529" s="1" t="n">
        <v>43970</v>
      </c>
      <c r="C529" s="1" t="n">
        <v>45641</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24276-2020</t>
        </is>
      </c>
      <c r="B530" s="1" t="n">
        <v>43970</v>
      </c>
      <c r="C530" s="1" t="n">
        <v>45641</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24274-2020</t>
        </is>
      </c>
      <c r="B531" s="1" t="n">
        <v>43970</v>
      </c>
      <c r="C531" s="1" t="n">
        <v>45641</v>
      </c>
      <c r="D531" t="inlineStr">
        <is>
          <t>VÄSTERBOTTENS LÄN</t>
        </is>
      </c>
      <c r="E531" t="inlineStr">
        <is>
          <t>SKELLEFTEÅ</t>
        </is>
      </c>
      <c r="G531" t="n">
        <v>1.1</v>
      </c>
      <c r="H531" t="n">
        <v>0</v>
      </c>
      <c r="I531" t="n">
        <v>0</v>
      </c>
      <c r="J531" t="n">
        <v>0</v>
      </c>
      <c r="K531" t="n">
        <v>0</v>
      </c>
      <c r="L531" t="n">
        <v>0</v>
      </c>
      <c r="M531" t="n">
        <v>0</v>
      </c>
      <c r="N531" t="n">
        <v>0</v>
      </c>
      <c r="O531" t="n">
        <v>0</v>
      </c>
      <c r="P531" t="n">
        <v>0</v>
      </c>
      <c r="Q531" t="n">
        <v>0</v>
      </c>
      <c r="R531" s="2" t="inlineStr"/>
    </row>
    <row r="532" ht="15" customHeight="1">
      <c r="A532" t="inlineStr">
        <is>
          <t>A 23908-2020</t>
        </is>
      </c>
      <c r="B532" s="1" t="n">
        <v>43970</v>
      </c>
      <c r="C532" s="1" t="n">
        <v>45641</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23907-2020</t>
        </is>
      </c>
      <c r="B533" s="1" t="n">
        <v>43970</v>
      </c>
      <c r="C533" s="1" t="n">
        <v>45641</v>
      </c>
      <c r="D533" t="inlineStr">
        <is>
          <t>VÄSTERBOTTENS LÄN</t>
        </is>
      </c>
      <c r="E533" t="inlineStr">
        <is>
          <t>SKELLEFTEÅ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24264-2020</t>
        </is>
      </c>
      <c r="B534" s="1" t="n">
        <v>43970</v>
      </c>
      <c r="C534" s="1" t="n">
        <v>45641</v>
      </c>
      <c r="D534" t="inlineStr">
        <is>
          <t>VÄSTERBOTTENS LÄN</t>
        </is>
      </c>
      <c r="E534" t="inlineStr">
        <is>
          <t>SKELLEFTEÅ</t>
        </is>
      </c>
      <c r="G534" t="n">
        <v>2.7</v>
      </c>
      <c r="H534" t="n">
        <v>0</v>
      </c>
      <c r="I534" t="n">
        <v>0</v>
      </c>
      <c r="J534" t="n">
        <v>0</v>
      </c>
      <c r="K534" t="n">
        <v>0</v>
      </c>
      <c r="L534" t="n">
        <v>0</v>
      </c>
      <c r="M534" t="n">
        <v>0</v>
      </c>
      <c r="N534" t="n">
        <v>0</v>
      </c>
      <c r="O534" t="n">
        <v>0</v>
      </c>
      <c r="P534" t="n">
        <v>0</v>
      </c>
      <c r="Q534" t="n">
        <v>0</v>
      </c>
      <c r="R534" s="2" t="inlineStr"/>
    </row>
    <row r="535" ht="15" customHeight="1">
      <c r="A535" t="inlineStr">
        <is>
          <t>A 24543-2020</t>
        </is>
      </c>
      <c r="B535" s="1" t="n">
        <v>43977</v>
      </c>
      <c r="C535" s="1" t="n">
        <v>45641</v>
      </c>
      <c r="D535" t="inlineStr">
        <is>
          <t>VÄSTERBOTTENS LÄN</t>
        </is>
      </c>
      <c r="E535" t="inlineStr">
        <is>
          <t>SKELLEFTEÅ</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25142-2020</t>
        </is>
      </c>
      <c r="B536" s="1" t="n">
        <v>43978</v>
      </c>
      <c r="C536" s="1" t="n">
        <v>45641</v>
      </c>
      <c r="D536" t="inlineStr">
        <is>
          <t>VÄSTERBOTTENS LÄN</t>
        </is>
      </c>
      <c r="E536" t="inlineStr">
        <is>
          <t>SKELLEFTEÅ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25161-2020</t>
        </is>
      </c>
      <c r="B537" s="1" t="n">
        <v>43978</v>
      </c>
      <c r="C537" s="1" t="n">
        <v>45641</v>
      </c>
      <c r="D537" t="inlineStr">
        <is>
          <t>VÄSTERBOTTENS LÄN</t>
        </is>
      </c>
      <c r="E537" t="inlineStr">
        <is>
          <t>SKELLEFTEÅ</t>
        </is>
      </c>
      <c r="G537" t="n">
        <v>6.6</v>
      </c>
      <c r="H537" t="n">
        <v>0</v>
      </c>
      <c r="I537" t="n">
        <v>0</v>
      </c>
      <c r="J537" t="n">
        <v>0</v>
      </c>
      <c r="K537" t="n">
        <v>0</v>
      </c>
      <c r="L537" t="n">
        <v>0</v>
      </c>
      <c r="M537" t="n">
        <v>0</v>
      </c>
      <c r="N537" t="n">
        <v>0</v>
      </c>
      <c r="O537" t="n">
        <v>0</v>
      </c>
      <c r="P537" t="n">
        <v>0</v>
      </c>
      <c r="Q537" t="n">
        <v>0</v>
      </c>
      <c r="R537" s="2" t="inlineStr"/>
    </row>
    <row r="538" ht="15" customHeight="1">
      <c r="A538" t="inlineStr">
        <is>
          <t>A 25051-2020</t>
        </is>
      </c>
      <c r="B538" s="1" t="n">
        <v>43979</v>
      </c>
      <c r="C538" s="1" t="n">
        <v>45641</v>
      </c>
      <c r="D538" t="inlineStr">
        <is>
          <t>VÄSTERBOTTENS LÄN</t>
        </is>
      </c>
      <c r="E538" t="inlineStr">
        <is>
          <t>SKELLEFTEÅ</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25202-2020</t>
        </is>
      </c>
      <c r="B539" s="1" t="n">
        <v>43980</v>
      </c>
      <c r="C539" s="1" t="n">
        <v>45641</v>
      </c>
      <c r="D539" t="inlineStr">
        <is>
          <t>VÄSTERBOTTENS LÄN</t>
        </is>
      </c>
      <c r="E539" t="inlineStr">
        <is>
          <t>SKELLEFTEÅ</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25473-2020</t>
        </is>
      </c>
      <c r="B540" s="1" t="n">
        <v>43983</v>
      </c>
      <c r="C540" s="1" t="n">
        <v>45641</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25682-2020</t>
        </is>
      </c>
      <c r="B541" s="1" t="n">
        <v>43983</v>
      </c>
      <c r="C541" s="1" t="n">
        <v>45641</v>
      </c>
      <c r="D541" t="inlineStr">
        <is>
          <t>VÄSTERBOTTENS LÄN</t>
        </is>
      </c>
      <c r="E541" t="inlineStr">
        <is>
          <t>SKELLEFTEÅ</t>
        </is>
      </c>
      <c r="G541" t="n">
        <v>2.8</v>
      </c>
      <c r="H541" t="n">
        <v>0</v>
      </c>
      <c r="I541" t="n">
        <v>0</v>
      </c>
      <c r="J541" t="n">
        <v>0</v>
      </c>
      <c r="K541" t="n">
        <v>0</v>
      </c>
      <c r="L541" t="n">
        <v>0</v>
      </c>
      <c r="M541" t="n">
        <v>0</v>
      </c>
      <c r="N541" t="n">
        <v>0</v>
      </c>
      <c r="O541" t="n">
        <v>0</v>
      </c>
      <c r="P541" t="n">
        <v>0</v>
      </c>
      <c r="Q541" t="n">
        <v>0</v>
      </c>
      <c r="R541" s="2" t="inlineStr"/>
    </row>
    <row r="542" ht="15" customHeight="1">
      <c r="A542" t="inlineStr">
        <is>
          <t>A 25858-2020</t>
        </is>
      </c>
      <c r="B542" s="1" t="n">
        <v>43984</v>
      </c>
      <c r="C542" s="1" t="n">
        <v>45641</v>
      </c>
      <c r="D542" t="inlineStr">
        <is>
          <t>VÄSTERBOTTENS LÄN</t>
        </is>
      </c>
      <c r="E542" t="inlineStr">
        <is>
          <t>SKELLEFTEÅ</t>
        </is>
      </c>
      <c r="F542" t="inlineStr">
        <is>
          <t>Sveaskog</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26089-2020</t>
        </is>
      </c>
      <c r="B543" s="1" t="n">
        <v>43984</v>
      </c>
      <c r="C543" s="1" t="n">
        <v>45641</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25695-2020</t>
        </is>
      </c>
      <c r="B544" s="1" t="n">
        <v>43984</v>
      </c>
      <c r="C544" s="1" t="n">
        <v>45641</v>
      </c>
      <c r="D544" t="inlineStr">
        <is>
          <t>VÄSTERBOTTENS LÄN</t>
        </is>
      </c>
      <c r="E544" t="inlineStr">
        <is>
          <t>SKELLEFTEÅ</t>
        </is>
      </c>
      <c r="G544" t="n">
        <v>15.3</v>
      </c>
      <c r="H544" t="n">
        <v>0</v>
      </c>
      <c r="I544" t="n">
        <v>0</v>
      </c>
      <c r="J544" t="n">
        <v>0</v>
      </c>
      <c r="K544" t="n">
        <v>0</v>
      </c>
      <c r="L544" t="n">
        <v>0</v>
      </c>
      <c r="M544" t="n">
        <v>0</v>
      </c>
      <c r="N544" t="n">
        <v>0</v>
      </c>
      <c r="O544" t="n">
        <v>0</v>
      </c>
      <c r="P544" t="n">
        <v>0</v>
      </c>
      <c r="Q544" t="n">
        <v>0</v>
      </c>
      <c r="R544" s="2" t="inlineStr"/>
    </row>
    <row r="545" ht="15" customHeight="1">
      <c r="A545" t="inlineStr">
        <is>
          <t>A 25968-2020</t>
        </is>
      </c>
      <c r="B545" s="1" t="n">
        <v>43985</v>
      </c>
      <c r="C545" s="1" t="n">
        <v>45641</v>
      </c>
      <c r="D545" t="inlineStr">
        <is>
          <t>VÄSTERBOTTENS LÄN</t>
        </is>
      </c>
      <c r="E545" t="inlineStr">
        <is>
          <t>SKELLEFTEÅ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26422-2020</t>
        </is>
      </c>
      <c r="B546" s="1" t="n">
        <v>43986</v>
      </c>
      <c r="C546" s="1" t="n">
        <v>45641</v>
      </c>
      <c r="D546" t="inlineStr">
        <is>
          <t>VÄSTERBOTTENS LÄN</t>
        </is>
      </c>
      <c r="E546" t="inlineStr">
        <is>
          <t>SKELLEFTEÅ</t>
        </is>
      </c>
      <c r="G546" t="n">
        <v>2.5</v>
      </c>
      <c r="H546" t="n">
        <v>0</v>
      </c>
      <c r="I546" t="n">
        <v>0</v>
      </c>
      <c r="J546" t="n">
        <v>0</v>
      </c>
      <c r="K546" t="n">
        <v>0</v>
      </c>
      <c r="L546" t="n">
        <v>0</v>
      </c>
      <c r="M546" t="n">
        <v>0</v>
      </c>
      <c r="N546" t="n">
        <v>0</v>
      </c>
      <c r="O546" t="n">
        <v>0</v>
      </c>
      <c r="P546" t="n">
        <v>0</v>
      </c>
      <c r="Q546" t="n">
        <v>0</v>
      </c>
      <c r="R546" s="2" t="inlineStr"/>
    </row>
    <row r="547" ht="15" customHeight="1">
      <c r="A547" t="inlineStr">
        <is>
          <t>A 26413-2020</t>
        </is>
      </c>
      <c r="B547" s="1" t="n">
        <v>43987</v>
      </c>
      <c r="C547" s="1" t="n">
        <v>45641</v>
      </c>
      <c r="D547" t="inlineStr">
        <is>
          <t>VÄSTERBOTTENS LÄN</t>
        </is>
      </c>
      <c r="E547" t="inlineStr">
        <is>
          <t>SKELLEFTEÅ</t>
        </is>
      </c>
      <c r="F547" t="inlineStr">
        <is>
          <t>Holmen skog AB</t>
        </is>
      </c>
      <c r="G547" t="n">
        <v>7.9</v>
      </c>
      <c r="H547" t="n">
        <v>0</v>
      </c>
      <c r="I547" t="n">
        <v>0</v>
      </c>
      <c r="J547" t="n">
        <v>0</v>
      </c>
      <c r="K547" t="n">
        <v>0</v>
      </c>
      <c r="L547" t="n">
        <v>0</v>
      </c>
      <c r="M547" t="n">
        <v>0</v>
      </c>
      <c r="N547" t="n">
        <v>0</v>
      </c>
      <c r="O547" t="n">
        <v>0</v>
      </c>
      <c r="P547" t="n">
        <v>0</v>
      </c>
      <c r="Q547" t="n">
        <v>0</v>
      </c>
      <c r="R547" s="2" t="inlineStr"/>
    </row>
    <row r="548" ht="15" customHeight="1">
      <c r="A548" t="inlineStr">
        <is>
          <t>A 26396-2020</t>
        </is>
      </c>
      <c r="B548" s="1" t="n">
        <v>43987</v>
      </c>
      <c r="C548" s="1" t="n">
        <v>45641</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27218-2020</t>
        </is>
      </c>
      <c r="B549" s="1" t="n">
        <v>43992</v>
      </c>
      <c r="C549" s="1" t="n">
        <v>45641</v>
      </c>
      <c r="D549" t="inlineStr">
        <is>
          <t>VÄSTERBOTTENS LÄN</t>
        </is>
      </c>
      <c r="E549" t="inlineStr">
        <is>
          <t>SKELLEFTEÅ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27684-2020</t>
        </is>
      </c>
      <c r="B550" s="1" t="n">
        <v>43994</v>
      </c>
      <c r="C550" s="1" t="n">
        <v>45641</v>
      </c>
      <c r="D550" t="inlineStr">
        <is>
          <t>VÄSTERBOTTENS LÄN</t>
        </is>
      </c>
      <c r="E550" t="inlineStr">
        <is>
          <t>SKELLEFTEÅ</t>
        </is>
      </c>
      <c r="G550" t="n">
        <v>1.2</v>
      </c>
      <c r="H550" t="n">
        <v>0</v>
      </c>
      <c r="I550" t="n">
        <v>0</v>
      </c>
      <c r="J550" t="n">
        <v>0</v>
      </c>
      <c r="K550" t="n">
        <v>0</v>
      </c>
      <c r="L550" t="n">
        <v>0</v>
      </c>
      <c r="M550" t="n">
        <v>0</v>
      </c>
      <c r="N550" t="n">
        <v>0</v>
      </c>
      <c r="O550" t="n">
        <v>0</v>
      </c>
      <c r="P550" t="n">
        <v>0</v>
      </c>
      <c r="Q550" t="n">
        <v>0</v>
      </c>
      <c r="R550" s="2" t="inlineStr"/>
    </row>
    <row r="551" ht="15" customHeight="1">
      <c r="A551" t="inlineStr">
        <is>
          <t>A 28449-2020</t>
        </is>
      </c>
      <c r="B551" s="1" t="n">
        <v>43998</v>
      </c>
      <c r="C551" s="1" t="n">
        <v>45641</v>
      </c>
      <c r="D551" t="inlineStr">
        <is>
          <t>VÄSTERBOTTENS LÄN</t>
        </is>
      </c>
      <c r="E551" t="inlineStr">
        <is>
          <t>SKELLEFTEÅ</t>
        </is>
      </c>
      <c r="F551" t="inlineStr">
        <is>
          <t>Sveaskog</t>
        </is>
      </c>
      <c r="G551" t="n">
        <v>20.9</v>
      </c>
      <c r="H551" t="n">
        <v>0</v>
      </c>
      <c r="I551" t="n">
        <v>0</v>
      </c>
      <c r="J551" t="n">
        <v>0</v>
      </c>
      <c r="K551" t="n">
        <v>0</v>
      </c>
      <c r="L551" t="n">
        <v>0</v>
      </c>
      <c r="M551" t="n">
        <v>0</v>
      </c>
      <c r="N551" t="n">
        <v>0</v>
      </c>
      <c r="O551" t="n">
        <v>0</v>
      </c>
      <c r="P551" t="n">
        <v>0</v>
      </c>
      <c r="Q551" t="n">
        <v>0</v>
      </c>
      <c r="R551" s="2" t="inlineStr"/>
    </row>
    <row r="552" ht="15" customHeight="1">
      <c r="A552" t="inlineStr">
        <is>
          <t>A 28503-2020</t>
        </is>
      </c>
      <c r="B552" s="1" t="n">
        <v>43999</v>
      </c>
      <c r="C552" s="1" t="n">
        <v>45641</v>
      </c>
      <c r="D552" t="inlineStr">
        <is>
          <t>VÄSTERBOTTENS LÄN</t>
        </is>
      </c>
      <c r="E552" t="inlineStr">
        <is>
          <t>SKELLEFTEÅ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28501-2020</t>
        </is>
      </c>
      <c r="B553" s="1" t="n">
        <v>43999</v>
      </c>
      <c r="C553" s="1" t="n">
        <v>45641</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28505-2020</t>
        </is>
      </c>
      <c r="B554" s="1" t="n">
        <v>43999</v>
      </c>
      <c r="C554" s="1" t="n">
        <v>45641</v>
      </c>
      <c r="D554" t="inlineStr">
        <is>
          <t>VÄSTERBOTTENS LÄN</t>
        </is>
      </c>
      <c r="E554" t="inlineStr">
        <is>
          <t>SKELLEFTEÅ</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28574-2020</t>
        </is>
      </c>
      <c r="B555" s="1" t="n">
        <v>43999</v>
      </c>
      <c r="C555" s="1" t="n">
        <v>45641</v>
      </c>
      <c r="D555" t="inlineStr">
        <is>
          <t>VÄSTERBOTTENS LÄN</t>
        </is>
      </c>
      <c r="E555" t="inlineStr">
        <is>
          <t>SKELLEFTEÅ</t>
        </is>
      </c>
      <c r="F555" t="inlineStr">
        <is>
          <t>Holmen skog AB</t>
        </is>
      </c>
      <c r="G555" t="n">
        <v>19.4</v>
      </c>
      <c r="H555" t="n">
        <v>0</v>
      </c>
      <c r="I555" t="n">
        <v>0</v>
      </c>
      <c r="J555" t="n">
        <v>0</v>
      </c>
      <c r="K555" t="n">
        <v>0</v>
      </c>
      <c r="L555" t="n">
        <v>0</v>
      </c>
      <c r="M555" t="n">
        <v>0</v>
      </c>
      <c r="N555" t="n">
        <v>0</v>
      </c>
      <c r="O555" t="n">
        <v>0</v>
      </c>
      <c r="P555" t="n">
        <v>0</v>
      </c>
      <c r="Q555" t="n">
        <v>0</v>
      </c>
      <c r="R555" s="2" t="inlineStr"/>
    </row>
    <row r="556" ht="15" customHeight="1">
      <c r="A556" t="inlineStr">
        <is>
          <t>A 28986-2020</t>
        </is>
      </c>
      <c r="B556" s="1" t="n">
        <v>44000</v>
      </c>
      <c r="C556" s="1" t="n">
        <v>45641</v>
      </c>
      <c r="D556" t="inlineStr">
        <is>
          <t>VÄSTERBOTTENS LÄN</t>
        </is>
      </c>
      <c r="E556" t="inlineStr">
        <is>
          <t>SKELLEFTEÅ</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28985-2020</t>
        </is>
      </c>
      <c r="B557" s="1" t="n">
        <v>44000</v>
      </c>
      <c r="C557" s="1" t="n">
        <v>45641</v>
      </c>
      <c r="D557" t="inlineStr">
        <is>
          <t>VÄSTERBOTTENS LÄN</t>
        </is>
      </c>
      <c r="E557" t="inlineStr">
        <is>
          <t>SKELLEFTEÅ</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29134-2020</t>
        </is>
      </c>
      <c r="B558" s="1" t="n">
        <v>44004</v>
      </c>
      <c r="C558" s="1" t="n">
        <v>45641</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29595-2020</t>
        </is>
      </c>
      <c r="B559" s="1" t="n">
        <v>44004</v>
      </c>
      <c r="C559" s="1" t="n">
        <v>45641</v>
      </c>
      <c r="D559" t="inlineStr">
        <is>
          <t>VÄSTERBOTTENS LÄN</t>
        </is>
      </c>
      <c r="E559" t="inlineStr">
        <is>
          <t>SKELLEFTEÅ</t>
        </is>
      </c>
      <c r="G559" t="n">
        <v>4.3</v>
      </c>
      <c r="H559" t="n">
        <v>0</v>
      </c>
      <c r="I559" t="n">
        <v>0</v>
      </c>
      <c r="J559" t="n">
        <v>0</v>
      </c>
      <c r="K559" t="n">
        <v>0</v>
      </c>
      <c r="L559" t="n">
        <v>0</v>
      </c>
      <c r="M559" t="n">
        <v>0</v>
      </c>
      <c r="N559" t="n">
        <v>0</v>
      </c>
      <c r="O559" t="n">
        <v>0</v>
      </c>
      <c r="P559" t="n">
        <v>0</v>
      </c>
      <c r="Q559" t="n">
        <v>0</v>
      </c>
      <c r="R559" s="2" t="inlineStr"/>
    </row>
    <row r="560" ht="15" customHeight="1">
      <c r="A560" t="inlineStr">
        <is>
          <t>A 29542-2020</t>
        </is>
      </c>
      <c r="B560" s="1" t="n">
        <v>44005</v>
      </c>
      <c r="C560" s="1" t="n">
        <v>45641</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29832-2020</t>
        </is>
      </c>
      <c r="B561" s="1" t="n">
        <v>44005</v>
      </c>
      <c r="C561" s="1" t="n">
        <v>45641</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29850-2020</t>
        </is>
      </c>
      <c r="B562" s="1" t="n">
        <v>44005</v>
      </c>
      <c r="C562" s="1" t="n">
        <v>45641</v>
      </c>
      <c r="D562" t="inlineStr">
        <is>
          <t>VÄSTERBOTTENS LÄN</t>
        </is>
      </c>
      <c r="E562" t="inlineStr">
        <is>
          <t>SKELLEFTEÅ</t>
        </is>
      </c>
      <c r="G562" t="n">
        <v>2.8</v>
      </c>
      <c r="H562" t="n">
        <v>0</v>
      </c>
      <c r="I562" t="n">
        <v>0</v>
      </c>
      <c r="J562" t="n">
        <v>0</v>
      </c>
      <c r="K562" t="n">
        <v>0</v>
      </c>
      <c r="L562" t="n">
        <v>0</v>
      </c>
      <c r="M562" t="n">
        <v>0</v>
      </c>
      <c r="N562" t="n">
        <v>0</v>
      </c>
      <c r="O562" t="n">
        <v>0</v>
      </c>
      <c r="P562" t="n">
        <v>0</v>
      </c>
      <c r="Q562" t="n">
        <v>0</v>
      </c>
      <c r="R562" s="2" t="inlineStr"/>
    </row>
    <row r="563" ht="15" customHeight="1">
      <c r="A563" t="inlineStr">
        <is>
          <t>A 29842-2020</t>
        </is>
      </c>
      <c r="B563" s="1" t="n">
        <v>44005</v>
      </c>
      <c r="C563" s="1" t="n">
        <v>45641</v>
      </c>
      <c r="D563" t="inlineStr">
        <is>
          <t>VÄSTERBOTTENS LÄN</t>
        </is>
      </c>
      <c r="E563" t="inlineStr">
        <is>
          <t>SKELLEFTEÅ</t>
        </is>
      </c>
      <c r="G563" t="n">
        <v>1.6</v>
      </c>
      <c r="H563" t="n">
        <v>0</v>
      </c>
      <c r="I563" t="n">
        <v>0</v>
      </c>
      <c r="J563" t="n">
        <v>0</v>
      </c>
      <c r="K563" t="n">
        <v>0</v>
      </c>
      <c r="L563" t="n">
        <v>0</v>
      </c>
      <c r="M563" t="n">
        <v>0</v>
      </c>
      <c r="N563" t="n">
        <v>0</v>
      </c>
      <c r="O563" t="n">
        <v>0</v>
      </c>
      <c r="P563" t="n">
        <v>0</v>
      </c>
      <c r="Q563" t="n">
        <v>0</v>
      </c>
      <c r="R563" s="2" t="inlineStr"/>
    </row>
    <row r="564" ht="15" customHeight="1">
      <c r="A564" t="inlineStr">
        <is>
          <t>A 29982-2020</t>
        </is>
      </c>
      <c r="B564" s="1" t="n">
        <v>44006</v>
      </c>
      <c r="C564" s="1" t="n">
        <v>45641</v>
      </c>
      <c r="D564" t="inlineStr">
        <is>
          <t>VÄSTERBOTTENS LÄN</t>
        </is>
      </c>
      <c r="E564" t="inlineStr">
        <is>
          <t>SKELLEFTEÅ</t>
        </is>
      </c>
      <c r="G564" t="n">
        <v>1</v>
      </c>
      <c r="H564" t="n">
        <v>0</v>
      </c>
      <c r="I564" t="n">
        <v>0</v>
      </c>
      <c r="J564" t="n">
        <v>0</v>
      </c>
      <c r="K564" t="n">
        <v>0</v>
      </c>
      <c r="L564" t="n">
        <v>0</v>
      </c>
      <c r="M564" t="n">
        <v>0</v>
      </c>
      <c r="N564" t="n">
        <v>0</v>
      </c>
      <c r="O564" t="n">
        <v>0</v>
      </c>
      <c r="P564" t="n">
        <v>0</v>
      </c>
      <c r="Q564" t="n">
        <v>0</v>
      </c>
      <c r="R564" s="2" t="inlineStr"/>
    </row>
    <row r="565" ht="15" customHeight="1">
      <c r="A565" t="inlineStr">
        <is>
          <t>A 30075-2020</t>
        </is>
      </c>
      <c r="B565" s="1" t="n">
        <v>44006</v>
      </c>
      <c r="C565" s="1" t="n">
        <v>45641</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30074-2020</t>
        </is>
      </c>
      <c r="B566" s="1" t="n">
        <v>44006</v>
      </c>
      <c r="C566" s="1" t="n">
        <v>45641</v>
      </c>
      <c r="D566" t="inlineStr">
        <is>
          <t>VÄSTERBOTTENS LÄN</t>
        </is>
      </c>
      <c r="E566" t="inlineStr">
        <is>
          <t>SKELLEFTEÅ</t>
        </is>
      </c>
      <c r="F566" t="inlineStr">
        <is>
          <t>Holmen skog AB</t>
        </is>
      </c>
      <c r="G566" t="n">
        <v>5.5</v>
      </c>
      <c r="H566" t="n">
        <v>0</v>
      </c>
      <c r="I566" t="n">
        <v>0</v>
      </c>
      <c r="J566" t="n">
        <v>0</v>
      </c>
      <c r="K566" t="n">
        <v>0</v>
      </c>
      <c r="L566" t="n">
        <v>0</v>
      </c>
      <c r="M566" t="n">
        <v>0</v>
      </c>
      <c r="N566" t="n">
        <v>0</v>
      </c>
      <c r="O566" t="n">
        <v>0</v>
      </c>
      <c r="P566" t="n">
        <v>0</v>
      </c>
      <c r="Q566" t="n">
        <v>0</v>
      </c>
      <c r="R566" s="2" t="inlineStr"/>
    </row>
    <row r="567" ht="15" customHeight="1">
      <c r="A567" t="inlineStr">
        <is>
          <t>A 30408-2020</t>
        </is>
      </c>
      <c r="B567" s="1" t="n">
        <v>44007</v>
      </c>
      <c r="C567" s="1" t="n">
        <v>45641</v>
      </c>
      <c r="D567" t="inlineStr">
        <is>
          <t>VÄSTERBOTTENS LÄN</t>
        </is>
      </c>
      <c r="E567" t="inlineStr">
        <is>
          <t>SKELLEFTEÅ</t>
        </is>
      </c>
      <c r="G567" t="n">
        <v>24.3</v>
      </c>
      <c r="H567" t="n">
        <v>0</v>
      </c>
      <c r="I567" t="n">
        <v>0</v>
      </c>
      <c r="J567" t="n">
        <v>0</v>
      </c>
      <c r="K567" t="n">
        <v>0</v>
      </c>
      <c r="L567" t="n">
        <v>0</v>
      </c>
      <c r="M567" t="n">
        <v>0</v>
      </c>
      <c r="N567" t="n">
        <v>0</v>
      </c>
      <c r="O567" t="n">
        <v>0</v>
      </c>
      <c r="P567" t="n">
        <v>0</v>
      </c>
      <c r="Q567" t="n">
        <v>0</v>
      </c>
      <c r="R567" s="2" t="inlineStr"/>
    </row>
    <row r="568" ht="15" customHeight="1">
      <c r="A568" t="inlineStr">
        <is>
          <t>A 30712-2020</t>
        </is>
      </c>
      <c r="B568" s="1" t="n">
        <v>44008</v>
      </c>
      <c r="C568" s="1" t="n">
        <v>45641</v>
      </c>
      <c r="D568" t="inlineStr">
        <is>
          <t>VÄSTERBOTTENS LÄN</t>
        </is>
      </c>
      <c r="E568" t="inlineStr">
        <is>
          <t>SKELLEFTEÅ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30653-2020</t>
        </is>
      </c>
      <c r="B569" s="1" t="n">
        <v>44008</v>
      </c>
      <c r="C569" s="1" t="n">
        <v>45641</v>
      </c>
      <c r="D569" t="inlineStr">
        <is>
          <t>VÄSTERBOTTENS LÄN</t>
        </is>
      </c>
      <c r="E569" t="inlineStr">
        <is>
          <t>SKELLEFTEÅ</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30709-2020</t>
        </is>
      </c>
      <c r="B570" s="1" t="n">
        <v>44008</v>
      </c>
      <c r="C570" s="1" t="n">
        <v>45641</v>
      </c>
      <c r="D570" t="inlineStr">
        <is>
          <t>VÄSTERBOTTENS LÄN</t>
        </is>
      </c>
      <c r="E570" t="inlineStr">
        <is>
          <t>SKELLEFTEÅ</t>
        </is>
      </c>
      <c r="F570" t="inlineStr">
        <is>
          <t>Holmen skog AB</t>
        </is>
      </c>
      <c r="G570" t="n">
        <v>7.5</v>
      </c>
      <c r="H570" t="n">
        <v>0</v>
      </c>
      <c r="I570" t="n">
        <v>0</v>
      </c>
      <c r="J570" t="n">
        <v>0</v>
      </c>
      <c r="K570" t="n">
        <v>0</v>
      </c>
      <c r="L570" t="n">
        <v>0</v>
      </c>
      <c r="M570" t="n">
        <v>0</v>
      </c>
      <c r="N570" t="n">
        <v>0</v>
      </c>
      <c r="O570" t="n">
        <v>0</v>
      </c>
      <c r="P570" t="n">
        <v>0</v>
      </c>
      <c r="Q570" t="n">
        <v>0</v>
      </c>
      <c r="R570" s="2" t="inlineStr"/>
    </row>
    <row r="571" ht="15" customHeight="1">
      <c r="A571" t="inlineStr">
        <is>
          <t>A 30728-2020</t>
        </is>
      </c>
      <c r="B571" s="1" t="n">
        <v>44008</v>
      </c>
      <c r="C571" s="1" t="n">
        <v>45641</v>
      </c>
      <c r="D571" t="inlineStr">
        <is>
          <t>VÄSTERBOTTENS LÄN</t>
        </is>
      </c>
      <c r="E571" t="inlineStr">
        <is>
          <t>SKELLEFTEÅ</t>
        </is>
      </c>
      <c r="F571" t="inlineStr">
        <is>
          <t>Holmen skog AB</t>
        </is>
      </c>
      <c r="G571" t="n">
        <v>10.7</v>
      </c>
      <c r="H571" t="n">
        <v>0</v>
      </c>
      <c r="I571" t="n">
        <v>0</v>
      </c>
      <c r="J571" t="n">
        <v>0</v>
      </c>
      <c r="K571" t="n">
        <v>0</v>
      </c>
      <c r="L571" t="n">
        <v>0</v>
      </c>
      <c r="M571" t="n">
        <v>0</v>
      </c>
      <c r="N571" t="n">
        <v>0</v>
      </c>
      <c r="O571" t="n">
        <v>0</v>
      </c>
      <c r="P571" t="n">
        <v>0</v>
      </c>
      <c r="Q571" t="n">
        <v>0</v>
      </c>
      <c r="R571" s="2" t="inlineStr"/>
    </row>
    <row r="572" ht="15" customHeight="1">
      <c r="A572" t="inlineStr">
        <is>
          <t>A 30841-2020</t>
        </is>
      </c>
      <c r="B572" s="1" t="n">
        <v>44008</v>
      </c>
      <c r="C572" s="1" t="n">
        <v>45641</v>
      </c>
      <c r="D572" t="inlineStr">
        <is>
          <t>VÄSTERBOTTENS LÄN</t>
        </is>
      </c>
      <c r="E572" t="inlineStr">
        <is>
          <t>SKELLEFTEÅ</t>
        </is>
      </c>
      <c r="G572" t="n">
        <v>2.3</v>
      </c>
      <c r="H572" t="n">
        <v>0</v>
      </c>
      <c r="I572" t="n">
        <v>0</v>
      </c>
      <c r="J572" t="n">
        <v>0</v>
      </c>
      <c r="K572" t="n">
        <v>0</v>
      </c>
      <c r="L572" t="n">
        <v>0</v>
      </c>
      <c r="M572" t="n">
        <v>0</v>
      </c>
      <c r="N572" t="n">
        <v>0</v>
      </c>
      <c r="O572" t="n">
        <v>0</v>
      </c>
      <c r="P572" t="n">
        <v>0</v>
      </c>
      <c r="Q572" t="n">
        <v>0</v>
      </c>
      <c r="R572" s="2" t="inlineStr"/>
    </row>
    <row r="573" ht="15" customHeight="1">
      <c r="A573" t="inlineStr">
        <is>
          <t>A 30877-2020</t>
        </is>
      </c>
      <c r="B573" s="1" t="n">
        <v>44011</v>
      </c>
      <c r="C573" s="1" t="n">
        <v>45641</v>
      </c>
      <c r="D573" t="inlineStr">
        <is>
          <t>VÄSTERBOTTENS LÄN</t>
        </is>
      </c>
      <c r="E573" t="inlineStr">
        <is>
          <t>SKELLEFTEÅ</t>
        </is>
      </c>
      <c r="F573" t="inlineStr">
        <is>
          <t>Kyrkan</t>
        </is>
      </c>
      <c r="G573" t="n">
        <v>13.7</v>
      </c>
      <c r="H573" t="n">
        <v>0</v>
      </c>
      <c r="I573" t="n">
        <v>0</v>
      </c>
      <c r="J573" t="n">
        <v>0</v>
      </c>
      <c r="K573" t="n">
        <v>0</v>
      </c>
      <c r="L573" t="n">
        <v>0</v>
      </c>
      <c r="M573" t="n">
        <v>0</v>
      </c>
      <c r="N573" t="n">
        <v>0</v>
      </c>
      <c r="O573" t="n">
        <v>0</v>
      </c>
      <c r="P573" t="n">
        <v>0</v>
      </c>
      <c r="Q573" t="n">
        <v>0</v>
      </c>
      <c r="R573" s="2" t="inlineStr"/>
    </row>
    <row r="574" ht="15" customHeight="1">
      <c r="A574" t="inlineStr">
        <is>
          <t>A 30949-2020</t>
        </is>
      </c>
      <c r="B574" s="1" t="n">
        <v>44011</v>
      </c>
      <c r="C574" s="1" t="n">
        <v>45641</v>
      </c>
      <c r="D574" t="inlineStr">
        <is>
          <t>VÄSTERBOTTENS LÄN</t>
        </is>
      </c>
      <c r="E574" t="inlineStr">
        <is>
          <t>SKELLEFTEÅ</t>
        </is>
      </c>
      <c r="F574" t="inlineStr">
        <is>
          <t>Kommuner</t>
        </is>
      </c>
      <c r="G574" t="n">
        <v>4.1</v>
      </c>
      <c r="H574" t="n">
        <v>0</v>
      </c>
      <c r="I574" t="n">
        <v>0</v>
      </c>
      <c r="J574" t="n">
        <v>0</v>
      </c>
      <c r="K574" t="n">
        <v>0</v>
      </c>
      <c r="L574" t="n">
        <v>0</v>
      </c>
      <c r="M574" t="n">
        <v>0</v>
      </c>
      <c r="N574" t="n">
        <v>0</v>
      </c>
      <c r="O574" t="n">
        <v>0</v>
      </c>
      <c r="P574" t="n">
        <v>0</v>
      </c>
      <c r="Q574" t="n">
        <v>0</v>
      </c>
      <c r="R574" s="2" t="inlineStr"/>
    </row>
    <row r="575" ht="15" customHeight="1">
      <c r="A575" t="inlineStr">
        <is>
          <t>A 31060-2020</t>
        </is>
      </c>
      <c r="B575" s="1" t="n">
        <v>44012</v>
      </c>
      <c r="C575" s="1" t="n">
        <v>45641</v>
      </c>
      <c r="D575" t="inlineStr">
        <is>
          <t>VÄSTERBOTTENS LÄN</t>
        </is>
      </c>
      <c r="E575" t="inlineStr">
        <is>
          <t>SKELLEFTEÅ</t>
        </is>
      </c>
      <c r="G575" t="n">
        <v>3.3</v>
      </c>
      <c r="H575" t="n">
        <v>0</v>
      </c>
      <c r="I575" t="n">
        <v>0</v>
      </c>
      <c r="J575" t="n">
        <v>0</v>
      </c>
      <c r="K575" t="n">
        <v>0</v>
      </c>
      <c r="L575" t="n">
        <v>0</v>
      </c>
      <c r="M575" t="n">
        <v>0</v>
      </c>
      <c r="N575" t="n">
        <v>0</v>
      </c>
      <c r="O575" t="n">
        <v>0</v>
      </c>
      <c r="P575" t="n">
        <v>0</v>
      </c>
      <c r="Q575" t="n">
        <v>0</v>
      </c>
      <c r="R575" s="2" t="inlineStr"/>
    </row>
    <row r="576" ht="15" customHeight="1">
      <c r="A576" t="inlineStr">
        <is>
          <t>A 31434-2020</t>
        </is>
      </c>
      <c r="B576" s="1" t="n">
        <v>44012</v>
      </c>
      <c r="C576" s="1" t="n">
        <v>45641</v>
      </c>
      <c r="D576" t="inlineStr">
        <is>
          <t>VÄSTERBOTTENS LÄN</t>
        </is>
      </c>
      <c r="E576" t="inlineStr">
        <is>
          <t>SKELLEFTEÅ</t>
        </is>
      </c>
      <c r="G576" t="n">
        <v>2.6</v>
      </c>
      <c r="H576" t="n">
        <v>0</v>
      </c>
      <c r="I576" t="n">
        <v>0</v>
      </c>
      <c r="J576" t="n">
        <v>0</v>
      </c>
      <c r="K576" t="n">
        <v>0</v>
      </c>
      <c r="L576" t="n">
        <v>0</v>
      </c>
      <c r="M576" t="n">
        <v>0</v>
      </c>
      <c r="N576" t="n">
        <v>0</v>
      </c>
      <c r="O576" t="n">
        <v>0</v>
      </c>
      <c r="P576" t="n">
        <v>0</v>
      </c>
      <c r="Q576" t="n">
        <v>0</v>
      </c>
      <c r="R576" s="2" t="inlineStr"/>
    </row>
    <row r="577" ht="15" customHeight="1">
      <c r="A577" t="inlineStr">
        <is>
          <t>A 31331-2020</t>
        </is>
      </c>
      <c r="B577" s="1" t="n">
        <v>44012</v>
      </c>
      <c r="C577" s="1" t="n">
        <v>45641</v>
      </c>
      <c r="D577" t="inlineStr">
        <is>
          <t>VÄSTERBOTTENS LÄN</t>
        </is>
      </c>
      <c r="E577" t="inlineStr">
        <is>
          <t>SKELLEFTEÅ</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31490-2020</t>
        </is>
      </c>
      <c r="B578" s="1" t="n">
        <v>44013</v>
      </c>
      <c r="C578" s="1" t="n">
        <v>45641</v>
      </c>
      <c r="D578" t="inlineStr">
        <is>
          <t>VÄSTERBOTTENS LÄN</t>
        </is>
      </c>
      <c r="E578" t="inlineStr">
        <is>
          <t>SKELLEFTEÅ</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31515-2020</t>
        </is>
      </c>
      <c r="B579" s="1" t="n">
        <v>44013</v>
      </c>
      <c r="C579" s="1" t="n">
        <v>45641</v>
      </c>
      <c r="D579" t="inlineStr">
        <is>
          <t>VÄSTERBOTTENS LÄN</t>
        </is>
      </c>
      <c r="E579" t="inlineStr">
        <is>
          <t>SKELLEFTEÅ</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31519-2020</t>
        </is>
      </c>
      <c r="B580" s="1" t="n">
        <v>44013</v>
      </c>
      <c r="C580" s="1" t="n">
        <v>45641</v>
      </c>
      <c r="D580" t="inlineStr">
        <is>
          <t>VÄSTERBOTTENS LÄN</t>
        </is>
      </c>
      <c r="E580" t="inlineStr">
        <is>
          <t>SKELLEFTEÅ</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31501-2020</t>
        </is>
      </c>
      <c r="B581" s="1" t="n">
        <v>44013</v>
      </c>
      <c r="C581" s="1" t="n">
        <v>45641</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31736-2020</t>
        </is>
      </c>
      <c r="B582" s="1" t="n">
        <v>44013</v>
      </c>
      <c r="C582" s="1" t="n">
        <v>45641</v>
      </c>
      <c r="D582" t="inlineStr">
        <is>
          <t>VÄSTERBOTTENS LÄN</t>
        </is>
      </c>
      <c r="E582" t="inlineStr">
        <is>
          <t>SKELLEFTEÅ</t>
        </is>
      </c>
      <c r="G582" t="n">
        <v>4</v>
      </c>
      <c r="H582" t="n">
        <v>0</v>
      </c>
      <c r="I582" t="n">
        <v>0</v>
      </c>
      <c r="J582" t="n">
        <v>0</v>
      </c>
      <c r="K582" t="n">
        <v>0</v>
      </c>
      <c r="L582" t="n">
        <v>0</v>
      </c>
      <c r="M582" t="n">
        <v>0</v>
      </c>
      <c r="N582" t="n">
        <v>0</v>
      </c>
      <c r="O582" t="n">
        <v>0</v>
      </c>
      <c r="P582" t="n">
        <v>0</v>
      </c>
      <c r="Q582" t="n">
        <v>0</v>
      </c>
      <c r="R582" s="2" t="inlineStr"/>
    </row>
    <row r="583" ht="15" customHeight="1">
      <c r="A583" t="inlineStr">
        <is>
          <t>A 31734-2020</t>
        </is>
      </c>
      <c r="B583" s="1" t="n">
        <v>44013</v>
      </c>
      <c r="C583" s="1" t="n">
        <v>45641</v>
      </c>
      <c r="D583" t="inlineStr">
        <is>
          <t>VÄSTERBOTTENS LÄN</t>
        </is>
      </c>
      <c r="E583" t="inlineStr">
        <is>
          <t>SKELLEFTEÅ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32173-2020</t>
        </is>
      </c>
      <c r="B584" s="1" t="n">
        <v>44015</v>
      </c>
      <c r="C584" s="1" t="n">
        <v>45641</v>
      </c>
      <c r="D584" t="inlineStr">
        <is>
          <t>VÄSTERBOTTENS LÄN</t>
        </is>
      </c>
      <c r="E584" t="inlineStr">
        <is>
          <t>SKELLEFTEÅ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32511-2020</t>
        </is>
      </c>
      <c r="B585" s="1" t="n">
        <v>44017</v>
      </c>
      <c r="C585" s="1" t="n">
        <v>45641</v>
      </c>
      <c r="D585" t="inlineStr">
        <is>
          <t>VÄSTERBOTTENS LÄN</t>
        </is>
      </c>
      <c r="E585" t="inlineStr">
        <is>
          <t>SKELLEFTEÅ</t>
        </is>
      </c>
      <c r="G585" t="n">
        <v>1.3</v>
      </c>
      <c r="H585" t="n">
        <v>0</v>
      </c>
      <c r="I585" t="n">
        <v>0</v>
      </c>
      <c r="J585" t="n">
        <v>0</v>
      </c>
      <c r="K585" t="n">
        <v>0</v>
      </c>
      <c r="L585" t="n">
        <v>0</v>
      </c>
      <c r="M585" t="n">
        <v>0</v>
      </c>
      <c r="N585" t="n">
        <v>0</v>
      </c>
      <c r="O585" t="n">
        <v>0</v>
      </c>
      <c r="P585" t="n">
        <v>0</v>
      </c>
      <c r="Q585" t="n">
        <v>0</v>
      </c>
      <c r="R585" s="2" t="inlineStr"/>
    </row>
    <row r="586" ht="15" customHeight="1">
      <c r="A586" t="inlineStr">
        <is>
          <t>A 32549-2020</t>
        </is>
      </c>
      <c r="B586" s="1" t="n">
        <v>44017</v>
      </c>
      <c r="C586" s="1" t="n">
        <v>45641</v>
      </c>
      <c r="D586" t="inlineStr">
        <is>
          <t>VÄSTERBOTTENS LÄN</t>
        </is>
      </c>
      <c r="E586" t="inlineStr">
        <is>
          <t>SKELLEFTEÅ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32526-2020</t>
        </is>
      </c>
      <c r="B587" s="1" t="n">
        <v>44017</v>
      </c>
      <c r="C587" s="1" t="n">
        <v>45641</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32530-2020</t>
        </is>
      </c>
      <c r="B588" s="1" t="n">
        <v>44017</v>
      </c>
      <c r="C588" s="1" t="n">
        <v>45641</v>
      </c>
      <c r="D588" t="inlineStr">
        <is>
          <t>VÄSTERBOTTENS LÄN</t>
        </is>
      </c>
      <c r="E588" t="inlineStr">
        <is>
          <t>SKELLEFTEÅ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32885-2020</t>
        </is>
      </c>
      <c r="B589" s="1" t="n">
        <v>44020</v>
      </c>
      <c r="C589" s="1" t="n">
        <v>45641</v>
      </c>
      <c r="D589" t="inlineStr">
        <is>
          <t>VÄSTERBOTTENS LÄN</t>
        </is>
      </c>
      <c r="E589" t="inlineStr">
        <is>
          <t>SKELLEFTEÅ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32864-2020</t>
        </is>
      </c>
      <c r="B590" s="1" t="n">
        <v>44020</v>
      </c>
      <c r="C590" s="1" t="n">
        <v>45641</v>
      </c>
      <c r="D590" t="inlineStr">
        <is>
          <t>VÄSTERBOTTENS LÄN</t>
        </is>
      </c>
      <c r="E590" t="inlineStr">
        <is>
          <t>SKELLEFTEÅ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33086-2020</t>
        </is>
      </c>
      <c r="B591" s="1" t="n">
        <v>44021</v>
      </c>
      <c r="C591" s="1" t="n">
        <v>45641</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33327-2020</t>
        </is>
      </c>
      <c r="B592" s="1" t="n">
        <v>44022</v>
      </c>
      <c r="C592" s="1" t="n">
        <v>45641</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33322-2020</t>
        </is>
      </c>
      <c r="B593" s="1" t="n">
        <v>44022</v>
      </c>
      <c r="C593" s="1" t="n">
        <v>45641</v>
      </c>
      <c r="D593" t="inlineStr">
        <is>
          <t>VÄSTERBOTTENS LÄN</t>
        </is>
      </c>
      <c r="E593" t="inlineStr">
        <is>
          <t>SKELLEFTEÅ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33424-2020</t>
        </is>
      </c>
      <c r="B594" s="1" t="n">
        <v>44022</v>
      </c>
      <c r="C594" s="1" t="n">
        <v>45641</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33791-2020</t>
        </is>
      </c>
      <c r="B595" s="1" t="n">
        <v>44026</v>
      </c>
      <c r="C595" s="1" t="n">
        <v>45641</v>
      </c>
      <c r="D595" t="inlineStr">
        <is>
          <t>VÄSTERBOTTENS LÄN</t>
        </is>
      </c>
      <c r="E595" t="inlineStr">
        <is>
          <t>SKELLEFTEÅ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34235-2020</t>
        </is>
      </c>
      <c r="B596" s="1" t="n">
        <v>44027</v>
      </c>
      <c r="C596" s="1" t="n">
        <v>45641</v>
      </c>
      <c r="D596" t="inlineStr">
        <is>
          <t>VÄSTERBOTTENS LÄN</t>
        </is>
      </c>
      <c r="E596" t="inlineStr">
        <is>
          <t>SKELLEFTEÅ</t>
        </is>
      </c>
      <c r="G596" t="n">
        <v>3.3</v>
      </c>
      <c r="H596" t="n">
        <v>0</v>
      </c>
      <c r="I596" t="n">
        <v>0</v>
      </c>
      <c r="J596" t="n">
        <v>0</v>
      </c>
      <c r="K596" t="n">
        <v>0</v>
      </c>
      <c r="L596" t="n">
        <v>0</v>
      </c>
      <c r="M596" t="n">
        <v>0</v>
      </c>
      <c r="N596" t="n">
        <v>0</v>
      </c>
      <c r="O596" t="n">
        <v>0</v>
      </c>
      <c r="P596" t="n">
        <v>0</v>
      </c>
      <c r="Q596" t="n">
        <v>0</v>
      </c>
      <c r="R596" s="2" t="inlineStr"/>
    </row>
    <row r="597" ht="15" customHeight="1">
      <c r="A597" t="inlineStr">
        <is>
          <t>A 34173-2020</t>
        </is>
      </c>
      <c r="B597" s="1" t="n">
        <v>44029</v>
      </c>
      <c r="C597" s="1" t="n">
        <v>45641</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34155-2020</t>
        </is>
      </c>
      <c r="B598" s="1" t="n">
        <v>44029</v>
      </c>
      <c r="C598" s="1" t="n">
        <v>45641</v>
      </c>
      <c r="D598" t="inlineStr">
        <is>
          <t>VÄSTERBOTTENS LÄN</t>
        </is>
      </c>
      <c r="E598" t="inlineStr">
        <is>
          <t>SKELLEFTEÅ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34169-2020</t>
        </is>
      </c>
      <c r="B599" s="1" t="n">
        <v>44029</v>
      </c>
      <c r="C599" s="1" t="n">
        <v>45641</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34177-2020</t>
        </is>
      </c>
      <c r="B600" s="1" t="n">
        <v>44029</v>
      </c>
      <c r="C600" s="1" t="n">
        <v>45641</v>
      </c>
      <c r="D600" t="inlineStr">
        <is>
          <t>VÄSTERBOTTENS LÄN</t>
        </is>
      </c>
      <c r="E600" t="inlineStr">
        <is>
          <t>SKELLEFTEÅ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34142-2020</t>
        </is>
      </c>
      <c r="B601" s="1" t="n">
        <v>44029</v>
      </c>
      <c r="C601" s="1" t="n">
        <v>45641</v>
      </c>
      <c r="D601" t="inlineStr">
        <is>
          <t>VÄSTERBOTTENS LÄN</t>
        </is>
      </c>
      <c r="E601" t="inlineStr">
        <is>
          <t>SKELLEFTEÅ</t>
        </is>
      </c>
      <c r="G601" t="n">
        <v>1.1</v>
      </c>
      <c r="H601" t="n">
        <v>0</v>
      </c>
      <c r="I601" t="n">
        <v>0</v>
      </c>
      <c r="J601" t="n">
        <v>0</v>
      </c>
      <c r="K601" t="n">
        <v>0</v>
      </c>
      <c r="L601" t="n">
        <v>0</v>
      </c>
      <c r="M601" t="n">
        <v>0</v>
      </c>
      <c r="N601" t="n">
        <v>0</v>
      </c>
      <c r="O601" t="n">
        <v>0</v>
      </c>
      <c r="P601" t="n">
        <v>0</v>
      </c>
      <c r="Q601" t="n">
        <v>0</v>
      </c>
      <c r="R601" s="2" t="inlineStr"/>
    </row>
    <row r="602" ht="15" customHeight="1">
      <c r="A602" t="inlineStr">
        <is>
          <t>A 34351-2020</t>
        </is>
      </c>
      <c r="B602" s="1" t="n">
        <v>44032</v>
      </c>
      <c r="C602" s="1" t="n">
        <v>45641</v>
      </c>
      <c r="D602" t="inlineStr">
        <is>
          <t>VÄSTERBOTTENS LÄN</t>
        </is>
      </c>
      <c r="E602" t="inlineStr">
        <is>
          <t>SKELLEFTEÅ</t>
        </is>
      </c>
      <c r="G602" t="n">
        <v>2.4</v>
      </c>
      <c r="H602" t="n">
        <v>0</v>
      </c>
      <c r="I602" t="n">
        <v>0</v>
      </c>
      <c r="J602" t="n">
        <v>0</v>
      </c>
      <c r="K602" t="n">
        <v>0</v>
      </c>
      <c r="L602" t="n">
        <v>0</v>
      </c>
      <c r="M602" t="n">
        <v>0</v>
      </c>
      <c r="N602" t="n">
        <v>0</v>
      </c>
      <c r="O602" t="n">
        <v>0</v>
      </c>
      <c r="P602" t="n">
        <v>0</v>
      </c>
      <c r="Q602" t="n">
        <v>0</v>
      </c>
      <c r="R602" s="2" t="inlineStr"/>
    </row>
    <row r="603" ht="15" customHeight="1">
      <c r="A603" t="inlineStr">
        <is>
          <t>A 34517-2020</t>
        </is>
      </c>
      <c r="B603" s="1" t="n">
        <v>44033</v>
      </c>
      <c r="C603" s="1" t="n">
        <v>45641</v>
      </c>
      <c r="D603" t="inlineStr">
        <is>
          <t>VÄSTERBOTTENS LÄN</t>
        </is>
      </c>
      <c r="E603" t="inlineStr">
        <is>
          <t>SKELLEFTEÅ</t>
        </is>
      </c>
      <c r="F603" t="inlineStr">
        <is>
          <t>Holmen skog AB</t>
        </is>
      </c>
      <c r="G603" t="n">
        <v>4.7</v>
      </c>
      <c r="H603" t="n">
        <v>0</v>
      </c>
      <c r="I603" t="n">
        <v>0</v>
      </c>
      <c r="J603" t="n">
        <v>0</v>
      </c>
      <c r="K603" t="n">
        <v>0</v>
      </c>
      <c r="L603" t="n">
        <v>0</v>
      </c>
      <c r="M603" t="n">
        <v>0</v>
      </c>
      <c r="N603" t="n">
        <v>0</v>
      </c>
      <c r="O603" t="n">
        <v>0</v>
      </c>
      <c r="P603" t="n">
        <v>0</v>
      </c>
      <c r="Q603" t="n">
        <v>0</v>
      </c>
      <c r="R603" s="2" t="inlineStr"/>
    </row>
    <row r="604" ht="15" customHeight="1">
      <c r="A604" t="inlineStr">
        <is>
          <t>A 35173-2020</t>
        </is>
      </c>
      <c r="B604" s="1" t="n">
        <v>44040</v>
      </c>
      <c r="C604" s="1" t="n">
        <v>45641</v>
      </c>
      <c r="D604" t="inlineStr">
        <is>
          <t>VÄSTERBOTTENS LÄN</t>
        </is>
      </c>
      <c r="E604" t="inlineStr">
        <is>
          <t>SKELLEFTEÅ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35285-2020</t>
        </is>
      </c>
      <c r="B605" s="1" t="n">
        <v>44041</v>
      </c>
      <c r="C605" s="1" t="n">
        <v>45641</v>
      </c>
      <c r="D605" t="inlineStr">
        <is>
          <t>VÄSTERBOTTENS LÄN</t>
        </is>
      </c>
      <c r="E605" t="inlineStr">
        <is>
          <t>SKELLEFTEÅ</t>
        </is>
      </c>
      <c r="F605" t="inlineStr">
        <is>
          <t>Holmen skog AB</t>
        </is>
      </c>
      <c r="G605" t="n">
        <v>4.2</v>
      </c>
      <c r="H605" t="n">
        <v>0</v>
      </c>
      <c r="I605" t="n">
        <v>0</v>
      </c>
      <c r="J605" t="n">
        <v>0</v>
      </c>
      <c r="K605" t="n">
        <v>0</v>
      </c>
      <c r="L605" t="n">
        <v>0</v>
      </c>
      <c r="M605" t="n">
        <v>0</v>
      </c>
      <c r="N605" t="n">
        <v>0</v>
      </c>
      <c r="O605" t="n">
        <v>0</v>
      </c>
      <c r="P605" t="n">
        <v>0</v>
      </c>
      <c r="Q605" t="n">
        <v>0</v>
      </c>
      <c r="R605" s="2" t="inlineStr"/>
    </row>
    <row r="606" ht="15" customHeight="1">
      <c r="A606" t="inlineStr">
        <is>
          <t>A 35806-2020</t>
        </is>
      </c>
      <c r="B606" s="1" t="n">
        <v>44046</v>
      </c>
      <c r="C606" s="1" t="n">
        <v>45641</v>
      </c>
      <c r="D606" t="inlineStr">
        <is>
          <t>VÄSTERBOTTENS LÄN</t>
        </is>
      </c>
      <c r="E606" t="inlineStr">
        <is>
          <t>SKELLEFTEÅ</t>
        </is>
      </c>
      <c r="F606" t="inlineStr">
        <is>
          <t>SCA</t>
        </is>
      </c>
      <c r="G606" t="n">
        <v>13.5</v>
      </c>
      <c r="H606" t="n">
        <v>0</v>
      </c>
      <c r="I606" t="n">
        <v>0</v>
      </c>
      <c r="J606" t="n">
        <v>0</v>
      </c>
      <c r="K606" t="n">
        <v>0</v>
      </c>
      <c r="L606" t="n">
        <v>0</v>
      </c>
      <c r="M606" t="n">
        <v>0</v>
      </c>
      <c r="N606" t="n">
        <v>0</v>
      </c>
      <c r="O606" t="n">
        <v>0</v>
      </c>
      <c r="P606" t="n">
        <v>0</v>
      </c>
      <c r="Q606" t="n">
        <v>0</v>
      </c>
      <c r="R606" s="2" t="inlineStr"/>
    </row>
    <row r="607" ht="15" customHeight="1">
      <c r="A607" t="inlineStr">
        <is>
          <t>A 35807-2020</t>
        </is>
      </c>
      <c r="B607" s="1" t="n">
        <v>44046</v>
      </c>
      <c r="C607" s="1" t="n">
        <v>45641</v>
      </c>
      <c r="D607" t="inlineStr">
        <is>
          <t>VÄSTERBOTTENS LÄN</t>
        </is>
      </c>
      <c r="E607" t="inlineStr">
        <is>
          <t>SKELLEFTEÅ</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36401-2020</t>
        </is>
      </c>
      <c r="B608" s="1" t="n">
        <v>44049</v>
      </c>
      <c r="C608" s="1" t="n">
        <v>45641</v>
      </c>
      <c r="D608" t="inlineStr">
        <is>
          <t>VÄSTERBOTTENS LÄN</t>
        </is>
      </c>
      <c r="E608" t="inlineStr">
        <is>
          <t>SKELLEFTEÅ</t>
        </is>
      </c>
      <c r="F608" t="inlineStr">
        <is>
          <t>Holmen skog AB</t>
        </is>
      </c>
      <c r="G608" t="n">
        <v>11.1</v>
      </c>
      <c r="H608" t="n">
        <v>0</v>
      </c>
      <c r="I608" t="n">
        <v>0</v>
      </c>
      <c r="J608" t="n">
        <v>0</v>
      </c>
      <c r="K608" t="n">
        <v>0</v>
      </c>
      <c r="L608" t="n">
        <v>0</v>
      </c>
      <c r="M608" t="n">
        <v>0</v>
      </c>
      <c r="N608" t="n">
        <v>0</v>
      </c>
      <c r="O608" t="n">
        <v>0</v>
      </c>
      <c r="P608" t="n">
        <v>0</v>
      </c>
      <c r="Q608" t="n">
        <v>0</v>
      </c>
      <c r="R608" s="2" t="inlineStr"/>
    </row>
    <row r="609" ht="15" customHeight="1">
      <c r="A609" t="inlineStr">
        <is>
          <t>A 38217-2020</t>
        </is>
      </c>
      <c r="B609" s="1" t="n">
        <v>44050</v>
      </c>
      <c r="C609" s="1" t="n">
        <v>45641</v>
      </c>
      <c r="D609" t="inlineStr">
        <is>
          <t>VÄSTERBOTTENS LÄN</t>
        </is>
      </c>
      <c r="E609" t="inlineStr">
        <is>
          <t>SKELLEFTEÅ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37384-2020</t>
        </is>
      </c>
      <c r="B610" s="1" t="n">
        <v>44055</v>
      </c>
      <c r="C610" s="1" t="n">
        <v>45641</v>
      </c>
      <c r="D610" t="inlineStr">
        <is>
          <t>VÄSTERBOTTENS LÄN</t>
        </is>
      </c>
      <c r="E610" t="inlineStr">
        <is>
          <t>SKELLEFTEÅ</t>
        </is>
      </c>
      <c r="F610" t="inlineStr">
        <is>
          <t>Holmen skog AB</t>
        </is>
      </c>
      <c r="G610" t="n">
        <v>0.2</v>
      </c>
      <c r="H610" t="n">
        <v>0</v>
      </c>
      <c r="I610" t="n">
        <v>0</v>
      </c>
      <c r="J610" t="n">
        <v>0</v>
      </c>
      <c r="K610" t="n">
        <v>0</v>
      </c>
      <c r="L610" t="n">
        <v>0</v>
      </c>
      <c r="M610" t="n">
        <v>0</v>
      </c>
      <c r="N610" t="n">
        <v>0</v>
      </c>
      <c r="O610" t="n">
        <v>0</v>
      </c>
      <c r="P610" t="n">
        <v>0</v>
      </c>
      <c r="Q610" t="n">
        <v>0</v>
      </c>
      <c r="R610" s="2" t="inlineStr"/>
    </row>
    <row r="611" ht="15" customHeight="1">
      <c r="A611" t="inlineStr">
        <is>
          <t>A 37393-2020</t>
        </is>
      </c>
      <c r="B611" s="1" t="n">
        <v>44055</v>
      </c>
      <c r="C611" s="1" t="n">
        <v>45641</v>
      </c>
      <c r="D611" t="inlineStr">
        <is>
          <t>VÄSTERBOTTENS LÄN</t>
        </is>
      </c>
      <c r="E611" t="inlineStr">
        <is>
          <t>SKELLEFTEÅ</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37268-2020</t>
        </is>
      </c>
      <c r="B612" s="1" t="n">
        <v>44055</v>
      </c>
      <c r="C612" s="1" t="n">
        <v>45641</v>
      </c>
      <c r="D612" t="inlineStr">
        <is>
          <t>VÄSTERBOTTENS LÄN</t>
        </is>
      </c>
      <c r="E612" t="inlineStr">
        <is>
          <t>SKELLEFTEÅ</t>
        </is>
      </c>
      <c r="G612" t="n">
        <v>2.2</v>
      </c>
      <c r="H612" t="n">
        <v>0</v>
      </c>
      <c r="I612" t="n">
        <v>0</v>
      </c>
      <c r="J612" t="n">
        <v>0</v>
      </c>
      <c r="K612" t="n">
        <v>0</v>
      </c>
      <c r="L612" t="n">
        <v>0</v>
      </c>
      <c r="M612" t="n">
        <v>0</v>
      </c>
      <c r="N612" t="n">
        <v>0</v>
      </c>
      <c r="O612" t="n">
        <v>0</v>
      </c>
      <c r="P612" t="n">
        <v>0</v>
      </c>
      <c r="Q612" t="n">
        <v>0</v>
      </c>
      <c r="R612" s="2" t="inlineStr"/>
    </row>
    <row r="613" ht="15" customHeight="1">
      <c r="A613" t="inlineStr">
        <is>
          <t>A 37860-2020</t>
        </is>
      </c>
      <c r="B613" s="1" t="n">
        <v>44057</v>
      </c>
      <c r="C613" s="1" t="n">
        <v>45641</v>
      </c>
      <c r="D613" t="inlineStr">
        <is>
          <t>VÄSTERBOTTENS LÄN</t>
        </is>
      </c>
      <c r="E613" t="inlineStr">
        <is>
          <t>SKELLEFTEÅ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37858-2020</t>
        </is>
      </c>
      <c r="B614" s="1" t="n">
        <v>44057</v>
      </c>
      <c r="C614" s="1" t="n">
        <v>45641</v>
      </c>
      <c r="D614" t="inlineStr">
        <is>
          <t>VÄSTERBOTTENS LÄN</t>
        </is>
      </c>
      <c r="E614" t="inlineStr">
        <is>
          <t>SKELLEFTEÅ</t>
        </is>
      </c>
      <c r="G614" t="n">
        <v>2</v>
      </c>
      <c r="H614" t="n">
        <v>0</v>
      </c>
      <c r="I614" t="n">
        <v>0</v>
      </c>
      <c r="J614" t="n">
        <v>0</v>
      </c>
      <c r="K614" t="n">
        <v>0</v>
      </c>
      <c r="L614" t="n">
        <v>0</v>
      </c>
      <c r="M614" t="n">
        <v>0</v>
      </c>
      <c r="N614" t="n">
        <v>0</v>
      </c>
      <c r="O614" t="n">
        <v>0</v>
      </c>
      <c r="P614" t="n">
        <v>0</v>
      </c>
      <c r="Q614" t="n">
        <v>0</v>
      </c>
      <c r="R614" s="2" t="inlineStr"/>
    </row>
    <row r="615" ht="15" customHeight="1">
      <c r="A615" t="inlineStr">
        <is>
          <t>A 37869-2020</t>
        </is>
      </c>
      <c r="B615" s="1" t="n">
        <v>44057</v>
      </c>
      <c r="C615" s="1" t="n">
        <v>45641</v>
      </c>
      <c r="D615" t="inlineStr">
        <is>
          <t>VÄSTERBOTTENS LÄN</t>
        </is>
      </c>
      <c r="E615" t="inlineStr">
        <is>
          <t>SKELLEFTEÅ</t>
        </is>
      </c>
      <c r="G615" t="n">
        <v>11.5</v>
      </c>
      <c r="H615" t="n">
        <v>0</v>
      </c>
      <c r="I615" t="n">
        <v>0</v>
      </c>
      <c r="J615" t="n">
        <v>0</v>
      </c>
      <c r="K615" t="n">
        <v>0</v>
      </c>
      <c r="L615" t="n">
        <v>0</v>
      </c>
      <c r="M615" t="n">
        <v>0</v>
      </c>
      <c r="N615" t="n">
        <v>0</v>
      </c>
      <c r="O615" t="n">
        <v>0</v>
      </c>
      <c r="P615" t="n">
        <v>0</v>
      </c>
      <c r="Q615" t="n">
        <v>0</v>
      </c>
      <c r="R615" s="2" t="inlineStr"/>
    </row>
    <row r="616" ht="15" customHeight="1">
      <c r="A616" t="inlineStr">
        <is>
          <t>A 37862-2020</t>
        </is>
      </c>
      <c r="B616" s="1" t="n">
        <v>44057</v>
      </c>
      <c r="C616" s="1" t="n">
        <v>45641</v>
      </c>
      <c r="D616" t="inlineStr">
        <is>
          <t>VÄSTERBOTTENS LÄN</t>
        </is>
      </c>
      <c r="E616" t="inlineStr">
        <is>
          <t>SKELLEFTEÅ</t>
        </is>
      </c>
      <c r="G616" t="n">
        <v>0.2</v>
      </c>
      <c r="H616" t="n">
        <v>0</v>
      </c>
      <c r="I616" t="n">
        <v>0</v>
      </c>
      <c r="J616" t="n">
        <v>0</v>
      </c>
      <c r="K616" t="n">
        <v>0</v>
      </c>
      <c r="L616" t="n">
        <v>0</v>
      </c>
      <c r="M616" t="n">
        <v>0</v>
      </c>
      <c r="N616" t="n">
        <v>0</v>
      </c>
      <c r="O616" t="n">
        <v>0</v>
      </c>
      <c r="P616" t="n">
        <v>0</v>
      </c>
      <c r="Q616" t="n">
        <v>0</v>
      </c>
      <c r="R616" s="2" t="inlineStr"/>
    </row>
    <row r="617" ht="15" customHeight="1">
      <c r="A617" t="inlineStr">
        <is>
          <t>A 38174-2020</t>
        </is>
      </c>
      <c r="B617" s="1" t="n">
        <v>44057</v>
      </c>
      <c r="C617" s="1" t="n">
        <v>45641</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38181-2020</t>
        </is>
      </c>
      <c r="B618" s="1" t="n">
        <v>44057</v>
      </c>
      <c r="C618" s="1" t="n">
        <v>45641</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38120-2020</t>
        </is>
      </c>
      <c r="B619" s="1" t="n">
        <v>44059</v>
      </c>
      <c r="C619" s="1" t="n">
        <v>45641</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38132-2020</t>
        </is>
      </c>
      <c r="B620" s="1" t="n">
        <v>44059</v>
      </c>
      <c r="C620" s="1" t="n">
        <v>45641</v>
      </c>
      <c r="D620" t="inlineStr">
        <is>
          <t>VÄSTERBOTTENS LÄN</t>
        </is>
      </c>
      <c r="E620" t="inlineStr">
        <is>
          <t>SKELLEFTEÅ</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38119-2020</t>
        </is>
      </c>
      <c r="B621" s="1" t="n">
        <v>44059</v>
      </c>
      <c r="C621" s="1" t="n">
        <v>45641</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38187-2020</t>
        </is>
      </c>
      <c r="B622" s="1" t="n">
        <v>44060</v>
      </c>
      <c r="C622" s="1" t="n">
        <v>45641</v>
      </c>
      <c r="D622" t="inlineStr">
        <is>
          <t>VÄSTERBOTTENS LÄN</t>
        </is>
      </c>
      <c r="E622" t="inlineStr">
        <is>
          <t>SKELLEFTEÅ</t>
        </is>
      </c>
      <c r="G622" t="n">
        <v>0.4</v>
      </c>
      <c r="H622" t="n">
        <v>0</v>
      </c>
      <c r="I622" t="n">
        <v>0</v>
      </c>
      <c r="J622" t="n">
        <v>0</v>
      </c>
      <c r="K622" t="n">
        <v>0</v>
      </c>
      <c r="L622" t="n">
        <v>0</v>
      </c>
      <c r="M622" t="n">
        <v>0</v>
      </c>
      <c r="N622" t="n">
        <v>0</v>
      </c>
      <c r="O622" t="n">
        <v>0</v>
      </c>
      <c r="P622" t="n">
        <v>0</v>
      </c>
      <c r="Q622" t="n">
        <v>0</v>
      </c>
      <c r="R622" s="2" t="inlineStr"/>
    </row>
    <row r="623" ht="15" customHeight="1">
      <c r="A623" t="inlineStr">
        <is>
          <t>A 38192-2020</t>
        </is>
      </c>
      <c r="B623" s="1" t="n">
        <v>44060</v>
      </c>
      <c r="C623" s="1" t="n">
        <v>45641</v>
      </c>
      <c r="D623" t="inlineStr">
        <is>
          <t>VÄSTERBOTTENS LÄN</t>
        </is>
      </c>
      <c r="E623" t="inlineStr">
        <is>
          <t>SKELLEFTEÅ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39268-2020</t>
        </is>
      </c>
      <c r="B624" s="1" t="n">
        <v>44063</v>
      </c>
      <c r="C624" s="1" t="n">
        <v>45641</v>
      </c>
      <c r="D624" t="inlineStr">
        <is>
          <t>VÄSTERBOTTENS LÄN</t>
        </is>
      </c>
      <c r="E624" t="inlineStr">
        <is>
          <t>SKELLEFTEÅ</t>
        </is>
      </c>
      <c r="F624" t="inlineStr">
        <is>
          <t>Holmen skog AB</t>
        </is>
      </c>
      <c r="G624" t="n">
        <v>10.2</v>
      </c>
      <c r="H624" t="n">
        <v>0</v>
      </c>
      <c r="I624" t="n">
        <v>0</v>
      </c>
      <c r="J624" t="n">
        <v>0</v>
      </c>
      <c r="K624" t="n">
        <v>0</v>
      </c>
      <c r="L624" t="n">
        <v>0</v>
      </c>
      <c r="M624" t="n">
        <v>0</v>
      </c>
      <c r="N624" t="n">
        <v>0</v>
      </c>
      <c r="O624" t="n">
        <v>0</v>
      </c>
      <c r="P624" t="n">
        <v>0</v>
      </c>
      <c r="Q624" t="n">
        <v>0</v>
      </c>
      <c r="R624" s="2" t="inlineStr"/>
    </row>
    <row r="625" ht="15" customHeight="1">
      <c r="A625" t="inlineStr">
        <is>
          <t>A 39992-2020</t>
        </is>
      </c>
      <c r="B625" s="1" t="n">
        <v>44067</v>
      </c>
      <c r="C625" s="1" t="n">
        <v>45641</v>
      </c>
      <c r="D625" t="inlineStr">
        <is>
          <t>VÄSTERBOTTENS LÄN</t>
        </is>
      </c>
      <c r="E625" t="inlineStr">
        <is>
          <t>SKELLEFTEÅ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40196-2020</t>
        </is>
      </c>
      <c r="B626" s="1" t="n">
        <v>44068</v>
      </c>
      <c r="C626" s="1" t="n">
        <v>45641</v>
      </c>
      <c r="D626" t="inlineStr">
        <is>
          <t>VÄSTERBOTTENS LÄN</t>
        </is>
      </c>
      <c r="E626" t="inlineStr">
        <is>
          <t>SKELLEFTEÅ</t>
        </is>
      </c>
      <c r="G626" t="n">
        <v>2.1</v>
      </c>
      <c r="H626" t="n">
        <v>0</v>
      </c>
      <c r="I626" t="n">
        <v>0</v>
      </c>
      <c r="J626" t="n">
        <v>0</v>
      </c>
      <c r="K626" t="n">
        <v>0</v>
      </c>
      <c r="L626" t="n">
        <v>0</v>
      </c>
      <c r="M626" t="n">
        <v>0</v>
      </c>
      <c r="N626" t="n">
        <v>0</v>
      </c>
      <c r="O626" t="n">
        <v>0</v>
      </c>
      <c r="P626" t="n">
        <v>0</v>
      </c>
      <c r="Q626" t="n">
        <v>0</v>
      </c>
      <c r="R626" s="2" t="inlineStr"/>
    </row>
    <row r="627" ht="15" customHeight="1">
      <c r="A627" t="inlineStr">
        <is>
          <t>A 40277-2020</t>
        </is>
      </c>
      <c r="B627" s="1" t="n">
        <v>44068</v>
      </c>
      <c r="C627" s="1" t="n">
        <v>45641</v>
      </c>
      <c r="D627" t="inlineStr">
        <is>
          <t>VÄSTERBOTTENS LÄN</t>
        </is>
      </c>
      <c r="E627" t="inlineStr">
        <is>
          <t>SKELLEFTEÅ</t>
        </is>
      </c>
      <c r="F627" t="inlineStr">
        <is>
          <t>Holmen skog AB</t>
        </is>
      </c>
      <c r="G627" t="n">
        <v>4.4</v>
      </c>
      <c r="H627" t="n">
        <v>0</v>
      </c>
      <c r="I627" t="n">
        <v>0</v>
      </c>
      <c r="J627" t="n">
        <v>0</v>
      </c>
      <c r="K627" t="n">
        <v>0</v>
      </c>
      <c r="L627" t="n">
        <v>0</v>
      </c>
      <c r="M627" t="n">
        <v>0</v>
      </c>
      <c r="N627" t="n">
        <v>0</v>
      </c>
      <c r="O627" t="n">
        <v>0</v>
      </c>
      <c r="P627" t="n">
        <v>0</v>
      </c>
      <c r="Q627" t="n">
        <v>0</v>
      </c>
      <c r="R627" s="2" t="inlineStr"/>
    </row>
    <row r="628" ht="15" customHeight="1">
      <c r="A628" t="inlineStr">
        <is>
          <t>A 40860-2020</t>
        </is>
      </c>
      <c r="B628" s="1" t="n">
        <v>44068</v>
      </c>
      <c r="C628" s="1" t="n">
        <v>45641</v>
      </c>
      <c r="D628" t="inlineStr">
        <is>
          <t>VÄSTERBOTTENS LÄN</t>
        </is>
      </c>
      <c r="E628" t="inlineStr">
        <is>
          <t>SKELLEFTEÅ</t>
        </is>
      </c>
      <c r="G628" t="n">
        <v>8.9</v>
      </c>
      <c r="H628" t="n">
        <v>0</v>
      </c>
      <c r="I628" t="n">
        <v>0</v>
      </c>
      <c r="J628" t="n">
        <v>0</v>
      </c>
      <c r="K628" t="n">
        <v>0</v>
      </c>
      <c r="L628" t="n">
        <v>0</v>
      </c>
      <c r="M628" t="n">
        <v>0</v>
      </c>
      <c r="N628" t="n">
        <v>0</v>
      </c>
      <c r="O628" t="n">
        <v>0</v>
      </c>
      <c r="P628" t="n">
        <v>0</v>
      </c>
      <c r="Q628" t="n">
        <v>0</v>
      </c>
      <c r="R628" s="2" t="inlineStr"/>
    </row>
    <row r="629" ht="15" customHeight="1">
      <c r="A629" t="inlineStr">
        <is>
          <t>A 41005-2020</t>
        </is>
      </c>
      <c r="B629" s="1" t="n">
        <v>44068</v>
      </c>
      <c r="C629" s="1" t="n">
        <v>45641</v>
      </c>
      <c r="D629" t="inlineStr">
        <is>
          <t>VÄSTERBOTTENS LÄN</t>
        </is>
      </c>
      <c r="E629" t="inlineStr">
        <is>
          <t>SKELLEFTEÅ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40469-2020</t>
        </is>
      </c>
      <c r="B630" s="1" t="n">
        <v>44069</v>
      </c>
      <c r="C630" s="1" t="n">
        <v>45641</v>
      </c>
      <c r="D630" t="inlineStr">
        <is>
          <t>VÄSTERBOTTENS LÄN</t>
        </is>
      </c>
      <c r="E630" t="inlineStr">
        <is>
          <t>SKELLEFTEÅ</t>
        </is>
      </c>
      <c r="G630" t="n">
        <v>4.4</v>
      </c>
      <c r="H630" t="n">
        <v>0</v>
      </c>
      <c r="I630" t="n">
        <v>0</v>
      </c>
      <c r="J630" t="n">
        <v>0</v>
      </c>
      <c r="K630" t="n">
        <v>0</v>
      </c>
      <c r="L630" t="n">
        <v>0</v>
      </c>
      <c r="M630" t="n">
        <v>0</v>
      </c>
      <c r="N630" t="n">
        <v>0</v>
      </c>
      <c r="O630" t="n">
        <v>0</v>
      </c>
      <c r="P630" t="n">
        <v>0</v>
      </c>
      <c r="Q630" t="n">
        <v>0</v>
      </c>
      <c r="R630" s="2" t="inlineStr"/>
    </row>
    <row r="631" ht="15" customHeight="1">
      <c r="A631" t="inlineStr">
        <is>
          <t>A 40566-2020</t>
        </is>
      </c>
      <c r="B631" s="1" t="n">
        <v>44069</v>
      </c>
      <c r="C631" s="1" t="n">
        <v>45641</v>
      </c>
      <c r="D631" t="inlineStr">
        <is>
          <t>VÄSTERBOTTENS LÄN</t>
        </is>
      </c>
      <c r="E631" t="inlineStr">
        <is>
          <t>SKELLEFTEÅ</t>
        </is>
      </c>
      <c r="F631" t="inlineStr">
        <is>
          <t>Holmen skog AB</t>
        </is>
      </c>
      <c r="G631" t="n">
        <v>7.1</v>
      </c>
      <c r="H631" t="n">
        <v>0</v>
      </c>
      <c r="I631" t="n">
        <v>0</v>
      </c>
      <c r="J631" t="n">
        <v>0</v>
      </c>
      <c r="K631" t="n">
        <v>0</v>
      </c>
      <c r="L631" t="n">
        <v>0</v>
      </c>
      <c r="M631" t="n">
        <v>0</v>
      </c>
      <c r="N631" t="n">
        <v>0</v>
      </c>
      <c r="O631" t="n">
        <v>0</v>
      </c>
      <c r="P631" t="n">
        <v>0</v>
      </c>
      <c r="Q631" t="n">
        <v>0</v>
      </c>
      <c r="R631" s="2" t="inlineStr"/>
    </row>
    <row r="632" ht="15" customHeight="1">
      <c r="A632" t="inlineStr">
        <is>
          <t>A 40756-2020</t>
        </is>
      </c>
      <c r="B632" s="1" t="n">
        <v>44069</v>
      </c>
      <c r="C632" s="1" t="n">
        <v>45641</v>
      </c>
      <c r="D632" t="inlineStr">
        <is>
          <t>VÄSTERBOTTENS LÄN</t>
        </is>
      </c>
      <c r="E632" t="inlineStr">
        <is>
          <t>SKELLEFTEÅ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40828-2020</t>
        </is>
      </c>
      <c r="B633" s="1" t="n">
        <v>44070</v>
      </c>
      <c r="C633" s="1" t="n">
        <v>45641</v>
      </c>
      <c r="D633" t="inlineStr">
        <is>
          <t>VÄSTERBOTTENS LÄN</t>
        </is>
      </c>
      <c r="E633" t="inlineStr">
        <is>
          <t>SKELLEFTEÅ</t>
        </is>
      </c>
      <c r="G633" t="n">
        <v>2.7</v>
      </c>
      <c r="H633" t="n">
        <v>0</v>
      </c>
      <c r="I633" t="n">
        <v>0</v>
      </c>
      <c r="J633" t="n">
        <v>0</v>
      </c>
      <c r="K633" t="n">
        <v>0</v>
      </c>
      <c r="L633" t="n">
        <v>0</v>
      </c>
      <c r="M633" t="n">
        <v>0</v>
      </c>
      <c r="N633" t="n">
        <v>0</v>
      </c>
      <c r="O633" t="n">
        <v>0</v>
      </c>
      <c r="P633" t="n">
        <v>0</v>
      </c>
      <c r="Q633" t="n">
        <v>0</v>
      </c>
      <c r="R633" s="2" t="inlineStr"/>
    </row>
    <row r="634" ht="15" customHeight="1">
      <c r="A634" t="inlineStr">
        <is>
          <t>A 41372-2020</t>
        </is>
      </c>
      <c r="B634" s="1" t="n">
        <v>44071</v>
      </c>
      <c r="C634" s="1" t="n">
        <v>45641</v>
      </c>
      <c r="D634" t="inlineStr">
        <is>
          <t>VÄSTERBOTTENS LÄN</t>
        </is>
      </c>
      <c r="E634" t="inlineStr">
        <is>
          <t>SKELLEFTEÅ</t>
        </is>
      </c>
      <c r="G634" t="n">
        <v>3.5</v>
      </c>
      <c r="H634" t="n">
        <v>0</v>
      </c>
      <c r="I634" t="n">
        <v>0</v>
      </c>
      <c r="J634" t="n">
        <v>0</v>
      </c>
      <c r="K634" t="n">
        <v>0</v>
      </c>
      <c r="L634" t="n">
        <v>0</v>
      </c>
      <c r="M634" t="n">
        <v>0</v>
      </c>
      <c r="N634" t="n">
        <v>0</v>
      </c>
      <c r="O634" t="n">
        <v>0</v>
      </c>
      <c r="P634" t="n">
        <v>0</v>
      </c>
      <c r="Q634" t="n">
        <v>0</v>
      </c>
      <c r="R634" s="2" t="inlineStr"/>
    </row>
    <row r="635" ht="15" customHeight="1">
      <c r="A635" t="inlineStr">
        <is>
          <t>A 42123-2020</t>
        </is>
      </c>
      <c r="B635" s="1" t="n">
        <v>44071</v>
      </c>
      <c r="C635" s="1" t="n">
        <v>45641</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41428-2020</t>
        </is>
      </c>
      <c r="B636" s="1" t="n">
        <v>44073</v>
      </c>
      <c r="C636" s="1" t="n">
        <v>45641</v>
      </c>
      <c r="D636" t="inlineStr">
        <is>
          <t>VÄSTERBOTTENS LÄN</t>
        </is>
      </c>
      <c r="E636" t="inlineStr">
        <is>
          <t>SKELLEFTEÅ</t>
        </is>
      </c>
      <c r="G636" t="n">
        <v>0.3</v>
      </c>
      <c r="H636" t="n">
        <v>0</v>
      </c>
      <c r="I636" t="n">
        <v>0</v>
      </c>
      <c r="J636" t="n">
        <v>0</v>
      </c>
      <c r="K636" t="n">
        <v>0</v>
      </c>
      <c r="L636" t="n">
        <v>0</v>
      </c>
      <c r="M636" t="n">
        <v>0</v>
      </c>
      <c r="N636" t="n">
        <v>0</v>
      </c>
      <c r="O636" t="n">
        <v>0</v>
      </c>
      <c r="P636" t="n">
        <v>0</v>
      </c>
      <c r="Q636" t="n">
        <v>0</v>
      </c>
      <c r="R636" s="2" t="inlineStr"/>
    </row>
    <row r="637" ht="15" customHeight="1">
      <c r="A637" t="inlineStr">
        <is>
          <t>A 41841-2020</t>
        </is>
      </c>
      <c r="B637" s="1" t="n">
        <v>44074</v>
      </c>
      <c r="C637" s="1" t="n">
        <v>45641</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42049-2020</t>
        </is>
      </c>
      <c r="B638" s="1" t="n">
        <v>44074</v>
      </c>
      <c r="C638" s="1" t="n">
        <v>45641</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41989-2020</t>
        </is>
      </c>
      <c r="B639" s="1" t="n">
        <v>44075</v>
      </c>
      <c r="C639" s="1" t="n">
        <v>45641</v>
      </c>
      <c r="D639" t="inlineStr">
        <is>
          <t>VÄSTERBOTTENS LÄN</t>
        </is>
      </c>
      <c r="E639" t="inlineStr">
        <is>
          <t>SKELLEFTEÅ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42685-2020</t>
        </is>
      </c>
      <c r="B640" s="1" t="n">
        <v>44075</v>
      </c>
      <c r="C640" s="1" t="n">
        <v>45641</v>
      </c>
      <c r="D640" t="inlineStr">
        <is>
          <t>VÄSTERBOTTENS LÄN</t>
        </is>
      </c>
      <c r="E640" t="inlineStr">
        <is>
          <t>SKELLEFTEÅ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42679-2020</t>
        </is>
      </c>
      <c r="B641" s="1" t="n">
        <v>44075</v>
      </c>
      <c r="C641" s="1" t="n">
        <v>45641</v>
      </c>
      <c r="D641" t="inlineStr">
        <is>
          <t>VÄSTERBOTTENS LÄN</t>
        </is>
      </c>
      <c r="E641" t="inlineStr">
        <is>
          <t>SKELLEFTEÅ</t>
        </is>
      </c>
      <c r="G641" t="n">
        <v>1.2</v>
      </c>
      <c r="H641" t="n">
        <v>0</v>
      </c>
      <c r="I641" t="n">
        <v>0</v>
      </c>
      <c r="J641" t="n">
        <v>0</v>
      </c>
      <c r="K641" t="n">
        <v>0</v>
      </c>
      <c r="L641" t="n">
        <v>0</v>
      </c>
      <c r="M641" t="n">
        <v>0</v>
      </c>
      <c r="N641" t="n">
        <v>0</v>
      </c>
      <c r="O641" t="n">
        <v>0</v>
      </c>
      <c r="P641" t="n">
        <v>0</v>
      </c>
      <c r="Q641" t="n">
        <v>0</v>
      </c>
      <c r="R641" s="2" t="inlineStr"/>
    </row>
    <row r="642" ht="15" customHeight="1">
      <c r="A642" t="inlineStr">
        <is>
          <t>A 43331-2020</t>
        </is>
      </c>
      <c r="B642" s="1" t="n">
        <v>44076</v>
      </c>
      <c r="C642" s="1" t="n">
        <v>45641</v>
      </c>
      <c r="D642" t="inlineStr">
        <is>
          <t>VÄSTERBOTTENS LÄN</t>
        </is>
      </c>
      <c r="E642" t="inlineStr">
        <is>
          <t>SKELLEFTEÅ</t>
        </is>
      </c>
      <c r="G642" t="n">
        <v>3.8</v>
      </c>
      <c r="H642" t="n">
        <v>0</v>
      </c>
      <c r="I642" t="n">
        <v>0</v>
      </c>
      <c r="J642" t="n">
        <v>0</v>
      </c>
      <c r="K642" t="n">
        <v>0</v>
      </c>
      <c r="L642" t="n">
        <v>0</v>
      </c>
      <c r="M642" t="n">
        <v>0</v>
      </c>
      <c r="N642" t="n">
        <v>0</v>
      </c>
      <c r="O642" t="n">
        <v>0</v>
      </c>
      <c r="P642" t="n">
        <v>0</v>
      </c>
      <c r="Q642" t="n">
        <v>0</v>
      </c>
      <c r="R642" s="2" t="inlineStr"/>
    </row>
    <row r="643" ht="15" customHeight="1">
      <c r="A643" t="inlineStr">
        <is>
          <t>A 42648-2020</t>
        </is>
      </c>
      <c r="B643" s="1" t="n">
        <v>44077</v>
      </c>
      <c r="C643" s="1" t="n">
        <v>45641</v>
      </c>
      <c r="D643" t="inlineStr">
        <is>
          <t>VÄSTERBOTTENS LÄN</t>
        </is>
      </c>
      <c r="E643" t="inlineStr">
        <is>
          <t>SKELLEFTEÅ</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42808-2020</t>
        </is>
      </c>
      <c r="B644" s="1" t="n">
        <v>44078</v>
      </c>
      <c r="C644" s="1" t="n">
        <v>45641</v>
      </c>
      <c r="D644" t="inlineStr">
        <is>
          <t>VÄSTERBOTTENS LÄN</t>
        </is>
      </c>
      <c r="E644" t="inlineStr">
        <is>
          <t>SKELLEFTEÅ</t>
        </is>
      </c>
      <c r="F644" t="inlineStr">
        <is>
          <t>Kommuner</t>
        </is>
      </c>
      <c r="G644" t="n">
        <v>6.5</v>
      </c>
      <c r="H644" t="n">
        <v>0</v>
      </c>
      <c r="I644" t="n">
        <v>0</v>
      </c>
      <c r="J644" t="n">
        <v>0</v>
      </c>
      <c r="K644" t="n">
        <v>0</v>
      </c>
      <c r="L644" t="n">
        <v>0</v>
      </c>
      <c r="M644" t="n">
        <v>0</v>
      </c>
      <c r="N644" t="n">
        <v>0</v>
      </c>
      <c r="O644" t="n">
        <v>0</v>
      </c>
      <c r="P644" t="n">
        <v>0</v>
      </c>
      <c r="Q644" t="n">
        <v>0</v>
      </c>
      <c r="R644" s="2" t="inlineStr"/>
    </row>
    <row r="645" ht="15" customHeight="1">
      <c r="A645" t="inlineStr">
        <is>
          <t>A 43054-2020</t>
        </is>
      </c>
      <c r="B645" s="1" t="n">
        <v>44078</v>
      </c>
      <c r="C645" s="1" t="n">
        <v>45641</v>
      </c>
      <c r="D645" t="inlineStr">
        <is>
          <t>VÄSTERBOTTENS LÄN</t>
        </is>
      </c>
      <c r="E645" t="inlineStr">
        <is>
          <t>SKELLEFTEÅ</t>
        </is>
      </c>
      <c r="G645" t="n">
        <v>1.3</v>
      </c>
      <c r="H645" t="n">
        <v>0</v>
      </c>
      <c r="I645" t="n">
        <v>0</v>
      </c>
      <c r="J645" t="n">
        <v>0</v>
      </c>
      <c r="K645" t="n">
        <v>0</v>
      </c>
      <c r="L645" t="n">
        <v>0</v>
      </c>
      <c r="M645" t="n">
        <v>0</v>
      </c>
      <c r="N645" t="n">
        <v>0</v>
      </c>
      <c r="O645" t="n">
        <v>0</v>
      </c>
      <c r="P645" t="n">
        <v>0</v>
      </c>
      <c r="Q645" t="n">
        <v>0</v>
      </c>
      <c r="R645" s="2" t="inlineStr"/>
    </row>
    <row r="646" ht="15" customHeight="1">
      <c r="A646" t="inlineStr">
        <is>
          <t>A 43222-2020</t>
        </is>
      </c>
      <c r="B646" s="1" t="n">
        <v>44081</v>
      </c>
      <c r="C646" s="1" t="n">
        <v>45641</v>
      </c>
      <c r="D646" t="inlineStr">
        <is>
          <t>VÄSTERBOTTENS LÄN</t>
        </is>
      </c>
      <c r="E646" t="inlineStr">
        <is>
          <t>SKELLEFTEÅ</t>
        </is>
      </c>
      <c r="F646" t="inlineStr">
        <is>
          <t>Sveaskog</t>
        </is>
      </c>
      <c r="G646" t="n">
        <v>4.3</v>
      </c>
      <c r="H646" t="n">
        <v>0</v>
      </c>
      <c r="I646" t="n">
        <v>0</v>
      </c>
      <c r="J646" t="n">
        <v>0</v>
      </c>
      <c r="K646" t="n">
        <v>0</v>
      </c>
      <c r="L646" t="n">
        <v>0</v>
      </c>
      <c r="M646" t="n">
        <v>0</v>
      </c>
      <c r="N646" t="n">
        <v>0</v>
      </c>
      <c r="O646" t="n">
        <v>0</v>
      </c>
      <c r="P646" t="n">
        <v>0</v>
      </c>
      <c r="Q646" t="n">
        <v>0</v>
      </c>
      <c r="R646" s="2" t="inlineStr"/>
    </row>
    <row r="647" ht="15" customHeight="1">
      <c r="A647" t="inlineStr">
        <is>
          <t>A 43292-2020</t>
        </is>
      </c>
      <c r="B647" s="1" t="n">
        <v>44081</v>
      </c>
      <c r="C647" s="1" t="n">
        <v>45641</v>
      </c>
      <c r="D647" t="inlineStr">
        <is>
          <t>VÄSTERBOTTENS LÄN</t>
        </is>
      </c>
      <c r="E647" t="inlineStr">
        <is>
          <t>SKELLEFTEÅ</t>
        </is>
      </c>
      <c r="F647" t="inlineStr">
        <is>
          <t>Sveaskog</t>
        </is>
      </c>
      <c r="G647" t="n">
        <v>10.1</v>
      </c>
      <c r="H647" t="n">
        <v>0</v>
      </c>
      <c r="I647" t="n">
        <v>0</v>
      </c>
      <c r="J647" t="n">
        <v>0</v>
      </c>
      <c r="K647" t="n">
        <v>0</v>
      </c>
      <c r="L647" t="n">
        <v>0</v>
      </c>
      <c r="M647" t="n">
        <v>0</v>
      </c>
      <c r="N647" t="n">
        <v>0</v>
      </c>
      <c r="O647" t="n">
        <v>0</v>
      </c>
      <c r="P647" t="n">
        <v>0</v>
      </c>
      <c r="Q647" t="n">
        <v>0</v>
      </c>
      <c r="R647" s="2" t="inlineStr"/>
    </row>
    <row r="648" ht="15" customHeight="1">
      <c r="A648" t="inlineStr">
        <is>
          <t>A 43344-2020</t>
        </is>
      </c>
      <c r="B648" s="1" t="n">
        <v>44081</v>
      </c>
      <c r="C648" s="1" t="n">
        <v>45641</v>
      </c>
      <c r="D648" t="inlineStr">
        <is>
          <t>VÄSTERBOTTENS LÄN</t>
        </is>
      </c>
      <c r="E648" t="inlineStr">
        <is>
          <t>SKELLEFTEÅ</t>
        </is>
      </c>
      <c r="F648" t="inlineStr">
        <is>
          <t>Sveaskog</t>
        </is>
      </c>
      <c r="G648" t="n">
        <v>11.4</v>
      </c>
      <c r="H648" t="n">
        <v>0</v>
      </c>
      <c r="I648" t="n">
        <v>0</v>
      </c>
      <c r="J648" t="n">
        <v>0</v>
      </c>
      <c r="K648" t="n">
        <v>0</v>
      </c>
      <c r="L648" t="n">
        <v>0</v>
      </c>
      <c r="M648" t="n">
        <v>0</v>
      </c>
      <c r="N648" t="n">
        <v>0</v>
      </c>
      <c r="O648" t="n">
        <v>0</v>
      </c>
      <c r="P648" t="n">
        <v>0</v>
      </c>
      <c r="Q648" t="n">
        <v>0</v>
      </c>
      <c r="R648" s="2" t="inlineStr"/>
    </row>
    <row r="649" ht="15" customHeight="1">
      <c r="A649" t="inlineStr">
        <is>
          <t>A 43327-2020</t>
        </is>
      </c>
      <c r="B649" s="1" t="n">
        <v>44081</v>
      </c>
      <c r="C649" s="1" t="n">
        <v>45641</v>
      </c>
      <c r="D649" t="inlineStr">
        <is>
          <t>VÄSTERBOTTENS LÄN</t>
        </is>
      </c>
      <c r="E649" t="inlineStr">
        <is>
          <t>SKELLEFTEÅ</t>
        </is>
      </c>
      <c r="F649" t="inlineStr">
        <is>
          <t>Sveaskog</t>
        </is>
      </c>
      <c r="G649" t="n">
        <v>23.3</v>
      </c>
      <c r="H649" t="n">
        <v>0</v>
      </c>
      <c r="I649" t="n">
        <v>0</v>
      </c>
      <c r="J649" t="n">
        <v>0</v>
      </c>
      <c r="K649" t="n">
        <v>0</v>
      </c>
      <c r="L649" t="n">
        <v>0</v>
      </c>
      <c r="M649" t="n">
        <v>0</v>
      </c>
      <c r="N649" t="n">
        <v>0</v>
      </c>
      <c r="O649" t="n">
        <v>0</v>
      </c>
      <c r="P649" t="n">
        <v>0</v>
      </c>
      <c r="Q649" t="n">
        <v>0</v>
      </c>
      <c r="R649" s="2" t="inlineStr"/>
    </row>
    <row r="650" ht="15" customHeight="1">
      <c r="A650" t="inlineStr">
        <is>
          <t>A 43505-2020</t>
        </is>
      </c>
      <c r="B650" s="1" t="n">
        <v>44082</v>
      </c>
      <c r="C650" s="1" t="n">
        <v>45641</v>
      </c>
      <c r="D650" t="inlineStr">
        <is>
          <t>VÄSTERBOTTENS LÄN</t>
        </is>
      </c>
      <c r="E650" t="inlineStr">
        <is>
          <t>SKELLEFTEÅ</t>
        </is>
      </c>
      <c r="G650" t="n">
        <v>3.4</v>
      </c>
      <c r="H650" t="n">
        <v>0</v>
      </c>
      <c r="I650" t="n">
        <v>0</v>
      </c>
      <c r="J650" t="n">
        <v>0</v>
      </c>
      <c r="K650" t="n">
        <v>0</v>
      </c>
      <c r="L650" t="n">
        <v>0</v>
      </c>
      <c r="M650" t="n">
        <v>0</v>
      </c>
      <c r="N650" t="n">
        <v>0</v>
      </c>
      <c r="O650" t="n">
        <v>0</v>
      </c>
      <c r="P650" t="n">
        <v>0</v>
      </c>
      <c r="Q650" t="n">
        <v>0</v>
      </c>
      <c r="R650" s="2" t="inlineStr"/>
    </row>
    <row r="651" ht="15" customHeight="1">
      <c r="A651" t="inlineStr">
        <is>
          <t>A 44564-2020</t>
        </is>
      </c>
      <c r="B651" s="1" t="n">
        <v>44082</v>
      </c>
      <c r="C651" s="1" t="n">
        <v>45641</v>
      </c>
      <c r="D651" t="inlineStr">
        <is>
          <t>VÄSTERBOTTENS LÄN</t>
        </is>
      </c>
      <c r="E651" t="inlineStr">
        <is>
          <t>SKELLEFTEÅ</t>
        </is>
      </c>
      <c r="G651" t="n">
        <v>1.3</v>
      </c>
      <c r="H651" t="n">
        <v>0</v>
      </c>
      <c r="I651" t="n">
        <v>0</v>
      </c>
      <c r="J651" t="n">
        <v>0</v>
      </c>
      <c r="K651" t="n">
        <v>0</v>
      </c>
      <c r="L651" t="n">
        <v>0</v>
      </c>
      <c r="M651" t="n">
        <v>0</v>
      </c>
      <c r="N651" t="n">
        <v>0</v>
      </c>
      <c r="O651" t="n">
        <v>0</v>
      </c>
      <c r="P651" t="n">
        <v>0</v>
      </c>
      <c r="Q651" t="n">
        <v>0</v>
      </c>
      <c r="R651" s="2" t="inlineStr"/>
    </row>
    <row r="652" ht="15" customHeight="1">
      <c r="A652" t="inlineStr">
        <is>
          <t>A 44721-2020</t>
        </is>
      </c>
      <c r="B652" s="1" t="n">
        <v>44082</v>
      </c>
      <c r="C652" s="1" t="n">
        <v>45641</v>
      </c>
      <c r="D652" t="inlineStr">
        <is>
          <t>VÄSTERBOTTENS LÄN</t>
        </is>
      </c>
      <c r="E652" t="inlineStr">
        <is>
          <t>SKELLEFTEÅ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43928-2020</t>
        </is>
      </c>
      <c r="B653" s="1" t="n">
        <v>44083</v>
      </c>
      <c r="C653" s="1" t="n">
        <v>45641</v>
      </c>
      <c r="D653" t="inlineStr">
        <is>
          <t>VÄSTERBOTTENS LÄN</t>
        </is>
      </c>
      <c r="E653" t="inlineStr">
        <is>
          <t>SKELLEFTEÅ</t>
        </is>
      </c>
      <c r="F653" t="inlineStr">
        <is>
          <t>Sveaskog</t>
        </is>
      </c>
      <c r="G653" t="n">
        <v>5.8</v>
      </c>
      <c r="H653" t="n">
        <v>0</v>
      </c>
      <c r="I653" t="n">
        <v>0</v>
      </c>
      <c r="J653" t="n">
        <v>0</v>
      </c>
      <c r="K653" t="n">
        <v>0</v>
      </c>
      <c r="L653" t="n">
        <v>0</v>
      </c>
      <c r="M653" t="n">
        <v>0</v>
      </c>
      <c r="N653" t="n">
        <v>0</v>
      </c>
      <c r="O653" t="n">
        <v>0</v>
      </c>
      <c r="P653" t="n">
        <v>0</v>
      </c>
      <c r="Q653" t="n">
        <v>0</v>
      </c>
      <c r="R653" s="2" t="inlineStr"/>
    </row>
    <row r="654" ht="15" customHeight="1">
      <c r="A654" t="inlineStr">
        <is>
          <t>A 43923-2020</t>
        </is>
      </c>
      <c r="B654" s="1" t="n">
        <v>44083</v>
      </c>
      <c r="C654" s="1" t="n">
        <v>45641</v>
      </c>
      <c r="D654" t="inlineStr">
        <is>
          <t>VÄSTERBOTTENS LÄN</t>
        </is>
      </c>
      <c r="E654" t="inlineStr">
        <is>
          <t>SKELLEFTEÅ</t>
        </is>
      </c>
      <c r="F654" t="inlineStr">
        <is>
          <t>Sveaskog</t>
        </is>
      </c>
      <c r="G654" t="n">
        <v>3.5</v>
      </c>
      <c r="H654" t="n">
        <v>0</v>
      </c>
      <c r="I654" t="n">
        <v>0</v>
      </c>
      <c r="J654" t="n">
        <v>0</v>
      </c>
      <c r="K654" t="n">
        <v>0</v>
      </c>
      <c r="L654" t="n">
        <v>0</v>
      </c>
      <c r="M654" t="n">
        <v>0</v>
      </c>
      <c r="N654" t="n">
        <v>0</v>
      </c>
      <c r="O654" t="n">
        <v>0</v>
      </c>
      <c r="P654" t="n">
        <v>0</v>
      </c>
      <c r="Q654" t="n">
        <v>0</v>
      </c>
      <c r="R654" s="2" t="inlineStr"/>
    </row>
    <row r="655" ht="15" customHeight="1">
      <c r="A655" t="inlineStr">
        <is>
          <t>A 43933-2020</t>
        </is>
      </c>
      <c r="B655" s="1" t="n">
        <v>44083</v>
      </c>
      <c r="C655" s="1" t="n">
        <v>45641</v>
      </c>
      <c r="D655" t="inlineStr">
        <is>
          <t>VÄSTERBOTTENS LÄN</t>
        </is>
      </c>
      <c r="E655" t="inlineStr">
        <is>
          <t>SKELLEFTEÅ</t>
        </is>
      </c>
      <c r="F655" t="inlineStr">
        <is>
          <t>Sveaskog</t>
        </is>
      </c>
      <c r="G655" t="n">
        <v>3.3</v>
      </c>
      <c r="H655" t="n">
        <v>0</v>
      </c>
      <c r="I655" t="n">
        <v>0</v>
      </c>
      <c r="J655" t="n">
        <v>0</v>
      </c>
      <c r="K655" t="n">
        <v>0</v>
      </c>
      <c r="L655" t="n">
        <v>0</v>
      </c>
      <c r="M655" t="n">
        <v>0</v>
      </c>
      <c r="N655" t="n">
        <v>0</v>
      </c>
      <c r="O655" t="n">
        <v>0</v>
      </c>
      <c r="P655" t="n">
        <v>0</v>
      </c>
      <c r="Q655" t="n">
        <v>0</v>
      </c>
      <c r="R655" s="2" t="inlineStr"/>
    </row>
    <row r="656" ht="15" customHeight="1">
      <c r="A656" t="inlineStr">
        <is>
          <t>A 44068-2020</t>
        </is>
      </c>
      <c r="B656" s="1" t="n">
        <v>44083</v>
      </c>
      <c r="C656" s="1" t="n">
        <v>45641</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43930-2020</t>
        </is>
      </c>
      <c r="B657" s="1" t="n">
        <v>44083</v>
      </c>
      <c r="C657" s="1" t="n">
        <v>45641</v>
      </c>
      <c r="D657" t="inlineStr">
        <is>
          <t>VÄSTERBOTTENS LÄN</t>
        </is>
      </c>
      <c r="E657" t="inlineStr">
        <is>
          <t>SKELLEFTEÅ</t>
        </is>
      </c>
      <c r="F657" t="inlineStr">
        <is>
          <t>Sveaskog</t>
        </is>
      </c>
      <c r="G657" t="n">
        <v>2.5</v>
      </c>
      <c r="H657" t="n">
        <v>0</v>
      </c>
      <c r="I657" t="n">
        <v>0</v>
      </c>
      <c r="J657" t="n">
        <v>0</v>
      </c>
      <c r="K657" t="n">
        <v>0</v>
      </c>
      <c r="L657" t="n">
        <v>0</v>
      </c>
      <c r="M657" t="n">
        <v>0</v>
      </c>
      <c r="N657" t="n">
        <v>0</v>
      </c>
      <c r="O657" t="n">
        <v>0</v>
      </c>
      <c r="P657" t="n">
        <v>0</v>
      </c>
      <c r="Q657" t="n">
        <v>0</v>
      </c>
      <c r="R657" s="2" t="inlineStr"/>
    </row>
    <row r="658" ht="15" customHeight="1">
      <c r="A658" t="inlineStr">
        <is>
          <t>A 43993-2020</t>
        </is>
      </c>
      <c r="B658" s="1" t="n">
        <v>44083</v>
      </c>
      <c r="C658" s="1" t="n">
        <v>45641</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18255-2021</t>
        </is>
      </c>
      <c r="B659" s="1" t="n">
        <v>44083</v>
      </c>
      <c r="C659" s="1" t="n">
        <v>45641</v>
      </c>
      <c r="D659" t="inlineStr">
        <is>
          <t>VÄSTERBOTTENS LÄN</t>
        </is>
      </c>
      <c r="E659" t="inlineStr">
        <is>
          <t>SKELLEFTEÅ</t>
        </is>
      </c>
      <c r="G659" t="n">
        <v>1.4</v>
      </c>
      <c r="H659" t="n">
        <v>0</v>
      </c>
      <c r="I659" t="n">
        <v>0</v>
      </c>
      <c r="J659" t="n">
        <v>0</v>
      </c>
      <c r="K659" t="n">
        <v>0</v>
      </c>
      <c r="L659" t="n">
        <v>0</v>
      </c>
      <c r="M659" t="n">
        <v>0</v>
      </c>
      <c r="N659" t="n">
        <v>0</v>
      </c>
      <c r="O659" t="n">
        <v>0</v>
      </c>
      <c r="P659" t="n">
        <v>0</v>
      </c>
      <c r="Q659" t="n">
        <v>0</v>
      </c>
      <c r="R659" s="2" t="inlineStr"/>
    </row>
    <row r="660" ht="15" customHeight="1">
      <c r="A660" t="inlineStr">
        <is>
          <t>A 18263-2021</t>
        </is>
      </c>
      <c r="B660" s="1" t="n">
        <v>44083</v>
      </c>
      <c r="C660" s="1" t="n">
        <v>45641</v>
      </c>
      <c r="D660" t="inlineStr">
        <is>
          <t>VÄSTERBOTTENS LÄN</t>
        </is>
      </c>
      <c r="E660" t="inlineStr">
        <is>
          <t>SKELLEFTEÅ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44436-2020</t>
        </is>
      </c>
      <c r="B661" s="1" t="n">
        <v>44084</v>
      </c>
      <c r="C661" s="1" t="n">
        <v>45641</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44587-2020</t>
        </is>
      </c>
      <c r="B662" s="1" t="n">
        <v>44085</v>
      </c>
      <c r="C662" s="1" t="n">
        <v>45641</v>
      </c>
      <c r="D662" t="inlineStr">
        <is>
          <t>VÄSTERBOTTENS LÄN</t>
        </is>
      </c>
      <c r="E662" t="inlineStr">
        <is>
          <t>SKELLEFTEÅ</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44572-2020</t>
        </is>
      </c>
      <c r="B663" s="1" t="n">
        <v>44085</v>
      </c>
      <c r="C663" s="1" t="n">
        <v>45641</v>
      </c>
      <c r="D663" t="inlineStr">
        <is>
          <t>VÄSTERBOTTENS LÄN</t>
        </is>
      </c>
      <c r="E663" t="inlineStr">
        <is>
          <t>SKELLEFTEÅ</t>
        </is>
      </c>
      <c r="G663" t="n">
        <v>0.8</v>
      </c>
      <c r="H663" t="n">
        <v>0</v>
      </c>
      <c r="I663" t="n">
        <v>0</v>
      </c>
      <c r="J663" t="n">
        <v>0</v>
      </c>
      <c r="K663" t="n">
        <v>0</v>
      </c>
      <c r="L663" t="n">
        <v>0</v>
      </c>
      <c r="M663" t="n">
        <v>0</v>
      </c>
      <c r="N663" t="n">
        <v>0</v>
      </c>
      <c r="O663" t="n">
        <v>0</v>
      </c>
      <c r="P663" t="n">
        <v>0</v>
      </c>
      <c r="Q663" t="n">
        <v>0</v>
      </c>
      <c r="R663" s="2" t="inlineStr"/>
    </row>
    <row r="664" ht="15" customHeight="1">
      <c r="A664" t="inlineStr">
        <is>
          <t>A 44592-2020</t>
        </is>
      </c>
      <c r="B664" s="1" t="n">
        <v>44085</v>
      </c>
      <c r="C664" s="1" t="n">
        <v>45641</v>
      </c>
      <c r="D664" t="inlineStr">
        <is>
          <t>VÄSTERBOTTENS LÄN</t>
        </is>
      </c>
      <c r="E664" t="inlineStr">
        <is>
          <t>SKELLEFTEÅ</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44667-2020</t>
        </is>
      </c>
      <c r="B665" s="1" t="n">
        <v>44085</v>
      </c>
      <c r="C665" s="1" t="n">
        <v>45641</v>
      </c>
      <c r="D665" t="inlineStr">
        <is>
          <t>VÄSTERBOTTENS LÄN</t>
        </is>
      </c>
      <c r="E665" t="inlineStr">
        <is>
          <t>SKELLEFTEÅ</t>
        </is>
      </c>
      <c r="F665" t="inlineStr">
        <is>
          <t>Sveaskog</t>
        </is>
      </c>
      <c r="G665" t="n">
        <v>15.6</v>
      </c>
      <c r="H665" t="n">
        <v>0</v>
      </c>
      <c r="I665" t="n">
        <v>0</v>
      </c>
      <c r="J665" t="n">
        <v>0</v>
      </c>
      <c r="K665" t="n">
        <v>0</v>
      </c>
      <c r="L665" t="n">
        <v>0</v>
      </c>
      <c r="M665" t="n">
        <v>0</v>
      </c>
      <c r="N665" t="n">
        <v>0</v>
      </c>
      <c r="O665" t="n">
        <v>0</v>
      </c>
      <c r="P665" t="n">
        <v>0</v>
      </c>
      <c r="Q665" t="n">
        <v>0</v>
      </c>
      <c r="R665" s="2" t="inlineStr"/>
    </row>
    <row r="666" ht="15" customHeight="1">
      <c r="A666" t="inlineStr">
        <is>
          <t>A 45181-2020</t>
        </is>
      </c>
      <c r="B666" s="1" t="n">
        <v>44088</v>
      </c>
      <c r="C666" s="1" t="n">
        <v>45641</v>
      </c>
      <c r="D666" t="inlineStr">
        <is>
          <t>VÄSTERBOTTENS LÄN</t>
        </is>
      </c>
      <c r="E666" t="inlineStr">
        <is>
          <t>SKELLEFTEÅ</t>
        </is>
      </c>
      <c r="G666" t="n">
        <v>2.7</v>
      </c>
      <c r="H666" t="n">
        <v>0</v>
      </c>
      <c r="I666" t="n">
        <v>0</v>
      </c>
      <c r="J666" t="n">
        <v>0</v>
      </c>
      <c r="K666" t="n">
        <v>0</v>
      </c>
      <c r="L666" t="n">
        <v>0</v>
      </c>
      <c r="M666" t="n">
        <v>0</v>
      </c>
      <c r="N666" t="n">
        <v>0</v>
      </c>
      <c r="O666" t="n">
        <v>0</v>
      </c>
      <c r="P666" t="n">
        <v>0</v>
      </c>
      <c r="Q666" t="n">
        <v>0</v>
      </c>
      <c r="R666" s="2" t="inlineStr"/>
    </row>
    <row r="667" ht="15" customHeight="1">
      <c r="A667" t="inlineStr">
        <is>
          <t>A 45514-2020</t>
        </is>
      </c>
      <c r="B667" s="1" t="n">
        <v>44089</v>
      </c>
      <c r="C667" s="1" t="n">
        <v>45641</v>
      </c>
      <c r="D667" t="inlineStr">
        <is>
          <t>VÄSTERBOTTENS LÄN</t>
        </is>
      </c>
      <c r="E667" t="inlineStr">
        <is>
          <t>SKELLEFTEÅ</t>
        </is>
      </c>
      <c r="G667" t="n">
        <v>0.8</v>
      </c>
      <c r="H667" t="n">
        <v>0</v>
      </c>
      <c r="I667" t="n">
        <v>0</v>
      </c>
      <c r="J667" t="n">
        <v>0</v>
      </c>
      <c r="K667" t="n">
        <v>0</v>
      </c>
      <c r="L667" t="n">
        <v>0</v>
      </c>
      <c r="M667" t="n">
        <v>0</v>
      </c>
      <c r="N667" t="n">
        <v>0</v>
      </c>
      <c r="O667" t="n">
        <v>0</v>
      </c>
      <c r="P667" t="n">
        <v>0</v>
      </c>
      <c r="Q667" t="n">
        <v>0</v>
      </c>
      <c r="R667" s="2" t="inlineStr"/>
    </row>
    <row r="668" ht="15" customHeight="1">
      <c r="A668" t="inlineStr">
        <is>
          <t>A 46686-2020</t>
        </is>
      </c>
      <c r="B668" s="1" t="n">
        <v>44089</v>
      </c>
      <c r="C668" s="1" t="n">
        <v>45641</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45690-2020</t>
        </is>
      </c>
      <c r="B669" s="1" t="n">
        <v>44090</v>
      </c>
      <c r="C669" s="1" t="n">
        <v>45641</v>
      </c>
      <c r="D669" t="inlineStr">
        <is>
          <t>VÄSTERBOTTENS LÄN</t>
        </is>
      </c>
      <c r="E669" t="inlineStr">
        <is>
          <t>SKELLEFTEÅ</t>
        </is>
      </c>
      <c r="G669" t="n">
        <v>9.6</v>
      </c>
      <c r="H669" t="n">
        <v>0</v>
      </c>
      <c r="I669" t="n">
        <v>0</v>
      </c>
      <c r="J669" t="n">
        <v>0</v>
      </c>
      <c r="K669" t="n">
        <v>0</v>
      </c>
      <c r="L669" t="n">
        <v>0</v>
      </c>
      <c r="M669" t="n">
        <v>0</v>
      </c>
      <c r="N669" t="n">
        <v>0</v>
      </c>
      <c r="O669" t="n">
        <v>0</v>
      </c>
      <c r="P669" t="n">
        <v>0</v>
      </c>
      <c r="Q669" t="n">
        <v>0</v>
      </c>
      <c r="R669" s="2" t="inlineStr"/>
    </row>
    <row r="670" ht="15" customHeight="1">
      <c r="A670" t="inlineStr">
        <is>
          <t>A 46821-2020</t>
        </is>
      </c>
      <c r="B670" s="1" t="n">
        <v>44090</v>
      </c>
      <c r="C670" s="1" t="n">
        <v>45641</v>
      </c>
      <c r="D670" t="inlineStr">
        <is>
          <t>VÄSTERBOTTENS LÄN</t>
        </is>
      </c>
      <c r="E670" t="inlineStr">
        <is>
          <t>SKELLEFTEÅ</t>
        </is>
      </c>
      <c r="G670" t="n">
        <v>3.5</v>
      </c>
      <c r="H670" t="n">
        <v>0</v>
      </c>
      <c r="I670" t="n">
        <v>0</v>
      </c>
      <c r="J670" t="n">
        <v>0</v>
      </c>
      <c r="K670" t="n">
        <v>0</v>
      </c>
      <c r="L670" t="n">
        <v>0</v>
      </c>
      <c r="M670" t="n">
        <v>0</v>
      </c>
      <c r="N670" t="n">
        <v>0</v>
      </c>
      <c r="O670" t="n">
        <v>0</v>
      </c>
      <c r="P670" t="n">
        <v>0</v>
      </c>
      <c r="Q670" t="n">
        <v>0</v>
      </c>
      <c r="R670" s="2" t="inlineStr"/>
    </row>
    <row r="671" ht="15" customHeight="1">
      <c r="A671" t="inlineStr">
        <is>
          <t>A 46205-2020</t>
        </is>
      </c>
      <c r="B671" s="1" t="n">
        <v>44092</v>
      </c>
      <c r="C671" s="1" t="n">
        <v>45641</v>
      </c>
      <c r="D671" t="inlineStr">
        <is>
          <t>VÄSTERBOTTENS LÄN</t>
        </is>
      </c>
      <c r="E671" t="inlineStr">
        <is>
          <t>SKELLEFTEÅ</t>
        </is>
      </c>
      <c r="F671" t="inlineStr">
        <is>
          <t>Holmen skog AB</t>
        </is>
      </c>
      <c r="G671" t="n">
        <v>5.1</v>
      </c>
      <c r="H671" t="n">
        <v>0</v>
      </c>
      <c r="I671" t="n">
        <v>0</v>
      </c>
      <c r="J671" t="n">
        <v>0</v>
      </c>
      <c r="K671" t="n">
        <v>0</v>
      </c>
      <c r="L671" t="n">
        <v>0</v>
      </c>
      <c r="M671" t="n">
        <v>0</v>
      </c>
      <c r="N671" t="n">
        <v>0</v>
      </c>
      <c r="O671" t="n">
        <v>0</v>
      </c>
      <c r="P671" t="n">
        <v>0</v>
      </c>
      <c r="Q671" t="n">
        <v>0</v>
      </c>
      <c r="R671" s="2" t="inlineStr"/>
    </row>
    <row r="672" ht="15" customHeight="1">
      <c r="A672" t="inlineStr">
        <is>
          <t>A 46638-2020</t>
        </is>
      </c>
      <c r="B672" s="1" t="n">
        <v>44095</v>
      </c>
      <c r="C672" s="1" t="n">
        <v>45641</v>
      </c>
      <c r="D672" t="inlineStr">
        <is>
          <t>VÄSTERBOTTENS LÄN</t>
        </is>
      </c>
      <c r="E672" t="inlineStr">
        <is>
          <t>SKELLEFTEÅ</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47405-2020</t>
        </is>
      </c>
      <c r="B673" s="1" t="n">
        <v>44095</v>
      </c>
      <c r="C673" s="1" t="n">
        <v>45641</v>
      </c>
      <c r="D673" t="inlineStr">
        <is>
          <t>VÄSTERBOTTENS LÄN</t>
        </is>
      </c>
      <c r="E673" t="inlineStr">
        <is>
          <t>SKELLEFTEÅ</t>
        </is>
      </c>
      <c r="G673" t="n">
        <v>0.6</v>
      </c>
      <c r="H673" t="n">
        <v>0</v>
      </c>
      <c r="I673" t="n">
        <v>0</v>
      </c>
      <c r="J673" t="n">
        <v>0</v>
      </c>
      <c r="K673" t="n">
        <v>0</v>
      </c>
      <c r="L673" t="n">
        <v>0</v>
      </c>
      <c r="M673" t="n">
        <v>0</v>
      </c>
      <c r="N673" t="n">
        <v>0</v>
      </c>
      <c r="O673" t="n">
        <v>0</v>
      </c>
      <c r="P673" t="n">
        <v>0</v>
      </c>
      <c r="Q673" t="n">
        <v>0</v>
      </c>
      <c r="R673" s="2" t="inlineStr"/>
    </row>
    <row r="674" ht="15" customHeight="1">
      <c r="A674" t="inlineStr">
        <is>
          <t>A 46819-2020</t>
        </is>
      </c>
      <c r="B674" s="1" t="n">
        <v>44096</v>
      </c>
      <c r="C674" s="1" t="n">
        <v>45641</v>
      </c>
      <c r="D674" t="inlineStr">
        <is>
          <t>VÄSTERBOTTENS LÄN</t>
        </is>
      </c>
      <c r="E674" t="inlineStr">
        <is>
          <t>SKELLEFTEÅ</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46842-2020</t>
        </is>
      </c>
      <c r="B675" s="1" t="n">
        <v>44096</v>
      </c>
      <c r="C675" s="1" t="n">
        <v>45641</v>
      </c>
      <c r="D675" t="inlineStr">
        <is>
          <t>VÄSTERBOTTENS LÄN</t>
        </is>
      </c>
      <c r="E675" t="inlineStr">
        <is>
          <t>SKELLEFTEÅ</t>
        </is>
      </c>
      <c r="F675" t="inlineStr">
        <is>
          <t>Holmen skog AB</t>
        </is>
      </c>
      <c r="G675" t="n">
        <v>6.5</v>
      </c>
      <c r="H675" t="n">
        <v>0</v>
      </c>
      <c r="I675" t="n">
        <v>0</v>
      </c>
      <c r="J675" t="n">
        <v>0</v>
      </c>
      <c r="K675" t="n">
        <v>0</v>
      </c>
      <c r="L675" t="n">
        <v>0</v>
      </c>
      <c r="M675" t="n">
        <v>0</v>
      </c>
      <c r="N675" t="n">
        <v>0</v>
      </c>
      <c r="O675" t="n">
        <v>0</v>
      </c>
      <c r="P675" t="n">
        <v>0</v>
      </c>
      <c r="Q675" t="n">
        <v>0</v>
      </c>
      <c r="R675" s="2" t="inlineStr"/>
    </row>
    <row r="676" ht="15" customHeight="1">
      <c r="A676" t="inlineStr">
        <is>
          <t>A 46857-2020</t>
        </is>
      </c>
      <c r="B676" s="1" t="n">
        <v>44096</v>
      </c>
      <c r="C676" s="1" t="n">
        <v>45641</v>
      </c>
      <c r="D676" t="inlineStr">
        <is>
          <t>VÄSTERBOTTENS LÄN</t>
        </is>
      </c>
      <c r="E676" t="inlineStr">
        <is>
          <t>SKELLEFTEÅ</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48584-2020</t>
        </is>
      </c>
      <c r="B677" s="1" t="n">
        <v>44098</v>
      </c>
      <c r="C677" s="1" t="n">
        <v>45641</v>
      </c>
      <c r="D677" t="inlineStr">
        <is>
          <t>VÄSTERBOTTENS LÄN</t>
        </is>
      </c>
      <c r="E677" t="inlineStr">
        <is>
          <t>SKELLEFTEÅ</t>
        </is>
      </c>
      <c r="G677" t="n">
        <v>2.9</v>
      </c>
      <c r="H677" t="n">
        <v>0</v>
      </c>
      <c r="I677" t="n">
        <v>0</v>
      </c>
      <c r="J677" t="n">
        <v>0</v>
      </c>
      <c r="K677" t="n">
        <v>0</v>
      </c>
      <c r="L677" t="n">
        <v>0</v>
      </c>
      <c r="M677" t="n">
        <v>0</v>
      </c>
      <c r="N677" t="n">
        <v>0</v>
      </c>
      <c r="O677" t="n">
        <v>0</v>
      </c>
      <c r="P677" t="n">
        <v>0</v>
      </c>
      <c r="Q677" t="n">
        <v>0</v>
      </c>
      <c r="R677" s="2" t="inlineStr"/>
    </row>
    <row r="678" ht="15" customHeight="1">
      <c r="A678" t="inlineStr">
        <is>
          <t>A 49241-2020</t>
        </is>
      </c>
      <c r="B678" s="1" t="n">
        <v>44102</v>
      </c>
      <c r="C678" s="1" t="n">
        <v>45641</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48575-2020</t>
        </is>
      </c>
      <c r="B679" s="1" t="n">
        <v>44103</v>
      </c>
      <c r="C679" s="1" t="n">
        <v>45641</v>
      </c>
      <c r="D679" t="inlineStr">
        <is>
          <t>VÄSTERBOTTENS LÄN</t>
        </is>
      </c>
      <c r="E679" t="inlineStr">
        <is>
          <t>SKELLEFTEÅ</t>
        </is>
      </c>
      <c r="G679" t="n">
        <v>1.6</v>
      </c>
      <c r="H679" t="n">
        <v>0</v>
      </c>
      <c r="I679" t="n">
        <v>0</v>
      </c>
      <c r="J679" t="n">
        <v>0</v>
      </c>
      <c r="K679" t="n">
        <v>0</v>
      </c>
      <c r="L679" t="n">
        <v>0</v>
      </c>
      <c r="M679" t="n">
        <v>0</v>
      </c>
      <c r="N679" t="n">
        <v>0</v>
      </c>
      <c r="O679" t="n">
        <v>0</v>
      </c>
      <c r="P679" t="n">
        <v>0</v>
      </c>
      <c r="Q679" t="n">
        <v>0</v>
      </c>
      <c r="R679" s="2" t="inlineStr"/>
    </row>
    <row r="680" ht="15" customHeight="1">
      <c r="A680" t="inlineStr">
        <is>
          <t>A 48609-2020</t>
        </is>
      </c>
      <c r="B680" s="1" t="n">
        <v>44103</v>
      </c>
      <c r="C680" s="1" t="n">
        <v>45641</v>
      </c>
      <c r="D680" t="inlineStr">
        <is>
          <t>VÄSTERBOTTENS LÄN</t>
        </is>
      </c>
      <c r="E680" t="inlineStr">
        <is>
          <t>SKELLEFTEÅ</t>
        </is>
      </c>
      <c r="F680" t="inlineStr">
        <is>
          <t>Holmen skog AB</t>
        </is>
      </c>
      <c r="G680" t="n">
        <v>7.1</v>
      </c>
      <c r="H680" t="n">
        <v>0</v>
      </c>
      <c r="I680" t="n">
        <v>0</v>
      </c>
      <c r="J680" t="n">
        <v>0</v>
      </c>
      <c r="K680" t="n">
        <v>0</v>
      </c>
      <c r="L680" t="n">
        <v>0</v>
      </c>
      <c r="M680" t="n">
        <v>0</v>
      </c>
      <c r="N680" t="n">
        <v>0</v>
      </c>
      <c r="O680" t="n">
        <v>0</v>
      </c>
      <c r="P680" t="n">
        <v>0</v>
      </c>
      <c r="Q680" t="n">
        <v>0</v>
      </c>
      <c r="R680" s="2" t="inlineStr"/>
    </row>
    <row r="681" ht="15" customHeight="1">
      <c r="A681" t="inlineStr">
        <is>
          <t>A 48893-2020</t>
        </is>
      </c>
      <c r="B681" s="1" t="n">
        <v>44104</v>
      </c>
      <c r="C681" s="1" t="n">
        <v>45641</v>
      </c>
      <c r="D681" t="inlineStr">
        <is>
          <t>VÄSTERBOTTENS LÄN</t>
        </is>
      </c>
      <c r="E681" t="inlineStr">
        <is>
          <t>SKELLEFTEÅ</t>
        </is>
      </c>
      <c r="F681" t="inlineStr">
        <is>
          <t>Sveaskog</t>
        </is>
      </c>
      <c r="G681" t="n">
        <v>42.8</v>
      </c>
      <c r="H681" t="n">
        <v>0</v>
      </c>
      <c r="I681" t="n">
        <v>0</v>
      </c>
      <c r="J681" t="n">
        <v>0</v>
      </c>
      <c r="K681" t="n">
        <v>0</v>
      </c>
      <c r="L681" t="n">
        <v>0</v>
      </c>
      <c r="M681" t="n">
        <v>0</v>
      </c>
      <c r="N681" t="n">
        <v>0</v>
      </c>
      <c r="O681" t="n">
        <v>0</v>
      </c>
      <c r="P681" t="n">
        <v>0</v>
      </c>
      <c r="Q681" t="n">
        <v>0</v>
      </c>
      <c r="R681" s="2" t="inlineStr"/>
    </row>
    <row r="682" ht="15" customHeight="1">
      <c r="A682" t="inlineStr">
        <is>
          <t>A 48939-2020</t>
        </is>
      </c>
      <c r="B682" s="1" t="n">
        <v>44104</v>
      </c>
      <c r="C682" s="1" t="n">
        <v>45641</v>
      </c>
      <c r="D682" t="inlineStr">
        <is>
          <t>VÄSTERBOTTENS LÄN</t>
        </is>
      </c>
      <c r="E682" t="inlineStr">
        <is>
          <t>SKELLEFTEÅ</t>
        </is>
      </c>
      <c r="G682" t="n">
        <v>3</v>
      </c>
      <c r="H682" t="n">
        <v>0</v>
      </c>
      <c r="I682" t="n">
        <v>0</v>
      </c>
      <c r="J682" t="n">
        <v>0</v>
      </c>
      <c r="K682" t="n">
        <v>0</v>
      </c>
      <c r="L682" t="n">
        <v>0</v>
      </c>
      <c r="M682" t="n">
        <v>0</v>
      </c>
      <c r="N682" t="n">
        <v>0</v>
      </c>
      <c r="O682" t="n">
        <v>0</v>
      </c>
      <c r="P682" t="n">
        <v>0</v>
      </c>
      <c r="Q682" t="n">
        <v>0</v>
      </c>
      <c r="R682" s="2" t="inlineStr"/>
    </row>
    <row r="683" ht="15" customHeight="1">
      <c r="A683" t="inlineStr">
        <is>
          <t>A 49986-2020</t>
        </is>
      </c>
      <c r="B683" s="1" t="n">
        <v>44104</v>
      </c>
      <c r="C683" s="1" t="n">
        <v>45641</v>
      </c>
      <c r="D683" t="inlineStr">
        <is>
          <t>VÄSTERBOTTENS LÄN</t>
        </is>
      </c>
      <c r="E683" t="inlineStr">
        <is>
          <t>SKELLEFTEÅ</t>
        </is>
      </c>
      <c r="G683" t="n">
        <v>0.7</v>
      </c>
      <c r="H683" t="n">
        <v>0</v>
      </c>
      <c r="I683" t="n">
        <v>0</v>
      </c>
      <c r="J683" t="n">
        <v>0</v>
      </c>
      <c r="K683" t="n">
        <v>0</v>
      </c>
      <c r="L683" t="n">
        <v>0</v>
      </c>
      <c r="M683" t="n">
        <v>0</v>
      </c>
      <c r="N683" t="n">
        <v>0</v>
      </c>
      <c r="O683" t="n">
        <v>0</v>
      </c>
      <c r="P683" t="n">
        <v>0</v>
      </c>
      <c r="Q683" t="n">
        <v>0</v>
      </c>
      <c r="R683" s="2" t="inlineStr"/>
    </row>
    <row r="684" ht="15" customHeight="1">
      <c r="A684" t="inlineStr">
        <is>
          <t>A 49236-2020</t>
        </is>
      </c>
      <c r="B684" s="1" t="n">
        <v>44105</v>
      </c>
      <c r="C684" s="1" t="n">
        <v>45641</v>
      </c>
      <c r="D684" t="inlineStr">
        <is>
          <t>VÄSTERBOTTENS LÄN</t>
        </is>
      </c>
      <c r="E684" t="inlineStr">
        <is>
          <t>SKELLEFTEÅ</t>
        </is>
      </c>
      <c r="F684" t="inlineStr">
        <is>
          <t>Holmen skog AB</t>
        </is>
      </c>
      <c r="G684" t="n">
        <v>6.5</v>
      </c>
      <c r="H684" t="n">
        <v>0</v>
      </c>
      <c r="I684" t="n">
        <v>0</v>
      </c>
      <c r="J684" t="n">
        <v>0</v>
      </c>
      <c r="K684" t="n">
        <v>0</v>
      </c>
      <c r="L684" t="n">
        <v>0</v>
      </c>
      <c r="M684" t="n">
        <v>0</v>
      </c>
      <c r="N684" t="n">
        <v>0</v>
      </c>
      <c r="O684" t="n">
        <v>0</v>
      </c>
      <c r="P684" t="n">
        <v>0</v>
      </c>
      <c r="Q684" t="n">
        <v>0</v>
      </c>
      <c r="R684" s="2" t="inlineStr"/>
    </row>
    <row r="685" ht="15" customHeight="1">
      <c r="A685" t="inlineStr">
        <is>
          <t>A 49183-2020</t>
        </is>
      </c>
      <c r="B685" s="1" t="n">
        <v>44105</v>
      </c>
      <c r="C685" s="1" t="n">
        <v>45641</v>
      </c>
      <c r="D685" t="inlineStr">
        <is>
          <t>VÄSTERBOTTENS LÄN</t>
        </is>
      </c>
      <c r="E685" t="inlineStr">
        <is>
          <t>SKELLEFTEÅ</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51654-2020</t>
        </is>
      </c>
      <c r="B686" s="1" t="n">
        <v>44109</v>
      </c>
      <c r="C686" s="1" t="n">
        <v>45641</v>
      </c>
      <c r="D686" t="inlineStr">
        <is>
          <t>VÄSTERBOTTENS LÄN</t>
        </is>
      </c>
      <c r="E686" t="inlineStr">
        <is>
          <t>SKELLEFTEÅ</t>
        </is>
      </c>
      <c r="G686" t="n">
        <v>2.1</v>
      </c>
      <c r="H686" t="n">
        <v>0</v>
      </c>
      <c r="I686" t="n">
        <v>0</v>
      </c>
      <c r="J686" t="n">
        <v>0</v>
      </c>
      <c r="K686" t="n">
        <v>0</v>
      </c>
      <c r="L686" t="n">
        <v>0</v>
      </c>
      <c r="M686" t="n">
        <v>0</v>
      </c>
      <c r="N686" t="n">
        <v>0</v>
      </c>
      <c r="O686" t="n">
        <v>0</v>
      </c>
      <c r="P686" t="n">
        <v>0</v>
      </c>
      <c r="Q686" t="n">
        <v>0</v>
      </c>
      <c r="R686" s="2" t="inlineStr"/>
    </row>
    <row r="687" ht="15" customHeight="1">
      <c r="A687" t="inlineStr">
        <is>
          <t>A 50275-2020</t>
        </is>
      </c>
      <c r="B687" s="1" t="n">
        <v>44109</v>
      </c>
      <c r="C687" s="1" t="n">
        <v>45641</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49952-2020</t>
        </is>
      </c>
      <c r="B688" s="1" t="n">
        <v>44109</v>
      </c>
      <c r="C688" s="1" t="n">
        <v>45641</v>
      </c>
      <c r="D688" t="inlineStr">
        <is>
          <t>VÄSTERBOTTENS LÄN</t>
        </is>
      </c>
      <c r="E688" t="inlineStr">
        <is>
          <t>SKELLEFTEÅ</t>
        </is>
      </c>
      <c r="F688" t="inlineStr">
        <is>
          <t>Holmen skog AB</t>
        </is>
      </c>
      <c r="G688" t="n">
        <v>1.6</v>
      </c>
      <c r="H688" t="n">
        <v>0</v>
      </c>
      <c r="I688" t="n">
        <v>0</v>
      </c>
      <c r="J688" t="n">
        <v>0</v>
      </c>
      <c r="K688" t="n">
        <v>0</v>
      </c>
      <c r="L688" t="n">
        <v>0</v>
      </c>
      <c r="M688" t="n">
        <v>0</v>
      </c>
      <c r="N688" t="n">
        <v>0</v>
      </c>
      <c r="O688" t="n">
        <v>0</v>
      </c>
      <c r="P688" t="n">
        <v>0</v>
      </c>
      <c r="Q688" t="n">
        <v>0</v>
      </c>
      <c r="R688" s="2" t="inlineStr"/>
    </row>
    <row r="689" ht="15" customHeight="1">
      <c r="A689" t="inlineStr">
        <is>
          <t>A 49974-2020</t>
        </is>
      </c>
      <c r="B689" s="1" t="n">
        <v>44109</v>
      </c>
      <c r="C689" s="1" t="n">
        <v>45641</v>
      </c>
      <c r="D689" t="inlineStr">
        <is>
          <t>VÄSTERBOTTENS LÄN</t>
        </is>
      </c>
      <c r="E689" t="inlineStr">
        <is>
          <t>SKELLEFTEÅ</t>
        </is>
      </c>
      <c r="F689" t="inlineStr">
        <is>
          <t>Holmen skog AB</t>
        </is>
      </c>
      <c r="G689" t="n">
        <v>15.8</v>
      </c>
      <c r="H689" t="n">
        <v>0</v>
      </c>
      <c r="I689" t="n">
        <v>0</v>
      </c>
      <c r="J689" t="n">
        <v>0</v>
      </c>
      <c r="K689" t="n">
        <v>0</v>
      </c>
      <c r="L689" t="n">
        <v>0</v>
      </c>
      <c r="M689" t="n">
        <v>0</v>
      </c>
      <c r="N689" t="n">
        <v>0</v>
      </c>
      <c r="O689" t="n">
        <v>0</v>
      </c>
      <c r="P689" t="n">
        <v>0</v>
      </c>
      <c r="Q689" t="n">
        <v>0</v>
      </c>
      <c r="R689" s="2" t="inlineStr"/>
    </row>
    <row r="690" ht="15" customHeight="1">
      <c r="A690" t="inlineStr">
        <is>
          <t>A 52119-2020</t>
        </is>
      </c>
      <c r="B690" s="1" t="n">
        <v>44110</v>
      </c>
      <c r="C690" s="1" t="n">
        <v>45641</v>
      </c>
      <c r="D690" t="inlineStr">
        <is>
          <t>VÄSTERBOTTENS LÄN</t>
        </is>
      </c>
      <c r="E690" t="inlineStr">
        <is>
          <t>SKELLEFTEÅ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50431-2020</t>
        </is>
      </c>
      <c r="B691" s="1" t="n">
        <v>44110</v>
      </c>
      <c r="C691" s="1" t="n">
        <v>45641</v>
      </c>
      <c r="D691" t="inlineStr">
        <is>
          <t>VÄSTERBOTTENS LÄN</t>
        </is>
      </c>
      <c r="E691" t="inlineStr">
        <is>
          <t>SKELLEFTEÅ</t>
        </is>
      </c>
      <c r="F691" t="inlineStr">
        <is>
          <t>Holmen skog AB</t>
        </is>
      </c>
      <c r="G691" t="n">
        <v>9.4</v>
      </c>
      <c r="H691" t="n">
        <v>0</v>
      </c>
      <c r="I691" t="n">
        <v>0</v>
      </c>
      <c r="J691" t="n">
        <v>0</v>
      </c>
      <c r="K691" t="n">
        <v>0</v>
      </c>
      <c r="L691" t="n">
        <v>0</v>
      </c>
      <c r="M691" t="n">
        <v>0</v>
      </c>
      <c r="N691" t="n">
        <v>0</v>
      </c>
      <c r="O691" t="n">
        <v>0</v>
      </c>
      <c r="P691" t="n">
        <v>0</v>
      </c>
      <c r="Q691" t="n">
        <v>0</v>
      </c>
      <c r="R691" s="2" t="inlineStr"/>
    </row>
    <row r="692" ht="15" customHeight="1">
      <c r="A692" t="inlineStr">
        <is>
          <t>A 50701-2020</t>
        </is>
      </c>
      <c r="B692" s="1" t="n">
        <v>44111</v>
      </c>
      <c r="C692" s="1" t="n">
        <v>45641</v>
      </c>
      <c r="D692" t="inlineStr">
        <is>
          <t>VÄSTERBOTTENS LÄN</t>
        </is>
      </c>
      <c r="E692" t="inlineStr">
        <is>
          <t>SKELLEFTEÅ</t>
        </is>
      </c>
      <c r="F692" t="inlineStr">
        <is>
          <t>Holmen skog AB</t>
        </is>
      </c>
      <c r="G692" t="n">
        <v>2.9</v>
      </c>
      <c r="H692" t="n">
        <v>0</v>
      </c>
      <c r="I692" t="n">
        <v>0</v>
      </c>
      <c r="J692" t="n">
        <v>0</v>
      </c>
      <c r="K692" t="n">
        <v>0</v>
      </c>
      <c r="L692" t="n">
        <v>0</v>
      </c>
      <c r="M692" t="n">
        <v>0</v>
      </c>
      <c r="N692" t="n">
        <v>0</v>
      </c>
      <c r="O692" t="n">
        <v>0</v>
      </c>
      <c r="P692" t="n">
        <v>0</v>
      </c>
      <c r="Q692" t="n">
        <v>0</v>
      </c>
      <c r="R692" s="2" t="inlineStr"/>
    </row>
    <row r="693" ht="15" customHeight="1">
      <c r="A693" t="inlineStr">
        <is>
          <t>A 51283-2020</t>
        </is>
      </c>
      <c r="B693" s="1" t="n">
        <v>44112</v>
      </c>
      <c r="C693" s="1" t="n">
        <v>45641</v>
      </c>
      <c r="D693" t="inlineStr">
        <is>
          <t>VÄSTERBOTTENS LÄN</t>
        </is>
      </c>
      <c r="E693" t="inlineStr">
        <is>
          <t>SKELLEFTEÅ</t>
        </is>
      </c>
      <c r="F693" t="inlineStr">
        <is>
          <t>Sveaskog</t>
        </is>
      </c>
      <c r="G693" t="n">
        <v>14.1</v>
      </c>
      <c r="H693" t="n">
        <v>0</v>
      </c>
      <c r="I693" t="n">
        <v>0</v>
      </c>
      <c r="J693" t="n">
        <v>0</v>
      </c>
      <c r="K693" t="n">
        <v>0</v>
      </c>
      <c r="L693" t="n">
        <v>0</v>
      </c>
      <c r="M693" t="n">
        <v>0</v>
      </c>
      <c r="N693" t="n">
        <v>0</v>
      </c>
      <c r="O693" t="n">
        <v>0</v>
      </c>
      <c r="P693" t="n">
        <v>0</v>
      </c>
      <c r="Q693" t="n">
        <v>0</v>
      </c>
      <c r="R693" s="2" t="inlineStr"/>
    </row>
    <row r="694" ht="15" customHeight="1">
      <c r="A694" t="inlineStr">
        <is>
          <t>A 51547-2020</t>
        </is>
      </c>
      <c r="B694" s="1" t="n">
        <v>44113</v>
      </c>
      <c r="C694" s="1" t="n">
        <v>45641</v>
      </c>
      <c r="D694" t="inlineStr">
        <is>
          <t>VÄSTERBOTTENS LÄN</t>
        </is>
      </c>
      <c r="E694" t="inlineStr">
        <is>
          <t>SKELLEFTEÅ</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51536-2020</t>
        </is>
      </c>
      <c r="B695" s="1" t="n">
        <v>44113</v>
      </c>
      <c r="C695" s="1" t="n">
        <v>45641</v>
      </c>
      <c r="D695" t="inlineStr">
        <is>
          <t>VÄSTERBOTTENS LÄN</t>
        </is>
      </c>
      <c r="E695" t="inlineStr">
        <is>
          <t>SKELLEFTEÅ</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51565-2020</t>
        </is>
      </c>
      <c r="B696" s="1" t="n">
        <v>44113</v>
      </c>
      <c r="C696" s="1" t="n">
        <v>45641</v>
      </c>
      <c r="D696" t="inlineStr">
        <is>
          <t>VÄSTERBOTTENS LÄN</t>
        </is>
      </c>
      <c r="E696" t="inlineStr">
        <is>
          <t>SKELLEFTEÅ</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51530-2020</t>
        </is>
      </c>
      <c r="B697" s="1" t="n">
        <v>44113</v>
      </c>
      <c r="C697" s="1" t="n">
        <v>45641</v>
      </c>
      <c r="D697" t="inlineStr">
        <is>
          <t>VÄSTERBOTTENS LÄN</t>
        </is>
      </c>
      <c r="E697" t="inlineStr">
        <is>
          <t>SKELLEFTEÅ</t>
        </is>
      </c>
      <c r="F697" t="inlineStr">
        <is>
          <t>Holmen skog AB</t>
        </is>
      </c>
      <c r="G697" t="n">
        <v>3.1</v>
      </c>
      <c r="H697" t="n">
        <v>0</v>
      </c>
      <c r="I697" t="n">
        <v>0</v>
      </c>
      <c r="J697" t="n">
        <v>0</v>
      </c>
      <c r="K697" t="n">
        <v>0</v>
      </c>
      <c r="L697" t="n">
        <v>0</v>
      </c>
      <c r="M697" t="n">
        <v>0</v>
      </c>
      <c r="N697" t="n">
        <v>0</v>
      </c>
      <c r="O697" t="n">
        <v>0</v>
      </c>
      <c r="P697" t="n">
        <v>0</v>
      </c>
      <c r="Q697" t="n">
        <v>0</v>
      </c>
      <c r="R697" s="2" t="inlineStr"/>
    </row>
    <row r="698" ht="15" customHeight="1">
      <c r="A698" t="inlineStr">
        <is>
          <t>A 51907-2020</t>
        </is>
      </c>
      <c r="B698" s="1" t="n">
        <v>44116</v>
      </c>
      <c r="C698" s="1" t="n">
        <v>45641</v>
      </c>
      <c r="D698" t="inlineStr">
        <is>
          <t>VÄSTERBOTTENS LÄN</t>
        </is>
      </c>
      <c r="E698" t="inlineStr">
        <is>
          <t>SKELLEFTEÅ</t>
        </is>
      </c>
      <c r="F698" t="inlineStr">
        <is>
          <t>Kommuner</t>
        </is>
      </c>
      <c r="G698" t="n">
        <v>1</v>
      </c>
      <c r="H698" t="n">
        <v>0</v>
      </c>
      <c r="I698" t="n">
        <v>0</v>
      </c>
      <c r="J698" t="n">
        <v>0</v>
      </c>
      <c r="K698" t="n">
        <v>0</v>
      </c>
      <c r="L698" t="n">
        <v>0</v>
      </c>
      <c r="M698" t="n">
        <v>0</v>
      </c>
      <c r="N698" t="n">
        <v>0</v>
      </c>
      <c r="O698" t="n">
        <v>0</v>
      </c>
      <c r="P698" t="n">
        <v>0</v>
      </c>
      <c r="Q698" t="n">
        <v>0</v>
      </c>
      <c r="R698" s="2" t="inlineStr"/>
    </row>
    <row r="699" ht="15" customHeight="1">
      <c r="A699" t="inlineStr">
        <is>
          <t>A 52292-2020</t>
        </is>
      </c>
      <c r="B699" s="1" t="n">
        <v>44117</v>
      </c>
      <c r="C699" s="1" t="n">
        <v>45641</v>
      </c>
      <c r="D699" t="inlineStr">
        <is>
          <t>VÄSTERBOTTENS LÄN</t>
        </is>
      </c>
      <c r="E699" t="inlineStr">
        <is>
          <t>SKELLEFTEÅ</t>
        </is>
      </c>
      <c r="F699" t="inlineStr">
        <is>
          <t>Holmen skog AB</t>
        </is>
      </c>
      <c r="G699" t="n">
        <v>3.2</v>
      </c>
      <c r="H699" t="n">
        <v>0</v>
      </c>
      <c r="I699" t="n">
        <v>0</v>
      </c>
      <c r="J699" t="n">
        <v>0</v>
      </c>
      <c r="K699" t="n">
        <v>0</v>
      </c>
      <c r="L699" t="n">
        <v>0</v>
      </c>
      <c r="M699" t="n">
        <v>0</v>
      </c>
      <c r="N699" t="n">
        <v>0</v>
      </c>
      <c r="O699" t="n">
        <v>0</v>
      </c>
      <c r="P699" t="n">
        <v>0</v>
      </c>
      <c r="Q699" t="n">
        <v>0</v>
      </c>
      <c r="R699" s="2" t="inlineStr"/>
    </row>
    <row r="700" ht="15" customHeight="1">
      <c r="A700" t="inlineStr">
        <is>
          <t>A 52640-2020</t>
        </is>
      </c>
      <c r="B700" s="1" t="n">
        <v>44118</v>
      </c>
      <c r="C700" s="1" t="n">
        <v>45641</v>
      </c>
      <c r="D700" t="inlineStr">
        <is>
          <t>VÄSTERBOTTENS LÄN</t>
        </is>
      </c>
      <c r="E700" t="inlineStr">
        <is>
          <t>SKELLEFTEÅ</t>
        </is>
      </c>
      <c r="G700" t="n">
        <v>11.5</v>
      </c>
      <c r="H700" t="n">
        <v>0</v>
      </c>
      <c r="I700" t="n">
        <v>0</v>
      </c>
      <c r="J700" t="n">
        <v>0</v>
      </c>
      <c r="K700" t="n">
        <v>0</v>
      </c>
      <c r="L700" t="n">
        <v>0</v>
      </c>
      <c r="M700" t="n">
        <v>0</v>
      </c>
      <c r="N700" t="n">
        <v>0</v>
      </c>
      <c r="O700" t="n">
        <v>0</v>
      </c>
      <c r="P700" t="n">
        <v>0</v>
      </c>
      <c r="Q700" t="n">
        <v>0</v>
      </c>
      <c r="R700" s="2" t="inlineStr"/>
    </row>
    <row r="701" ht="15" customHeight="1">
      <c r="A701" t="inlineStr">
        <is>
          <t>A 52714-2020</t>
        </is>
      </c>
      <c r="B701" s="1" t="n">
        <v>44119</v>
      </c>
      <c r="C701" s="1" t="n">
        <v>45641</v>
      </c>
      <c r="D701" t="inlineStr">
        <is>
          <t>VÄSTERBOTTENS LÄN</t>
        </is>
      </c>
      <c r="E701" t="inlineStr">
        <is>
          <t>SKELLEFTEÅ</t>
        </is>
      </c>
      <c r="F701" t="inlineStr">
        <is>
          <t>Holmen skog AB</t>
        </is>
      </c>
      <c r="G701" t="n">
        <v>4.6</v>
      </c>
      <c r="H701" t="n">
        <v>0</v>
      </c>
      <c r="I701" t="n">
        <v>0</v>
      </c>
      <c r="J701" t="n">
        <v>0</v>
      </c>
      <c r="K701" t="n">
        <v>0</v>
      </c>
      <c r="L701" t="n">
        <v>0</v>
      </c>
      <c r="M701" t="n">
        <v>0</v>
      </c>
      <c r="N701" t="n">
        <v>0</v>
      </c>
      <c r="O701" t="n">
        <v>0</v>
      </c>
      <c r="P701" t="n">
        <v>0</v>
      </c>
      <c r="Q701" t="n">
        <v>0</v>
      </c>
      <c r="R701" s="2" t="inlineStr"/>
    </row>
    <row r="702" ht="15" customHeight="1">
      <c r="A702" t="inlineStr">
        <is>
          <t>A 53114-2020</t>
        </is>
      </c>
      <c r="B702" s="1" t="n">
        <v>44120</v>
      </c>
      <c r="C702" s="1" t="n">
        <v>45641</v>
      </c>
      <c r="D702" t="inlineStr">
        <is>
          <t>VÄSTERBOTTENS LÄN</t>
        </is>
      </c>
      <c r="E702" t="inlineStr">
        <is>
          <t>SKELLEFTEÅ</t>
        </is>
      </c>
      <c r="G702" t="n">
        <v>6.1</v>
      </c>
      <c r="H702" t="n">
        <v>0</v>
      </c>
      <c r="I702" t="n">
        <v>0</v>
      </c>
      <c r="J702" t="n">
        <v>0</v>
      </c>
      <c r="K702" t="n">
        <v>0</v>
      </c>
      <c r="L702" t="n">
        <v>0</v>
      </c>
      <c r="M702" t="n">
        <v>0</v>
      </c>
      <c r="N702" t="n">
        <v>0</v>
      </c>
      <c r="O702" t="n">
        <v>0</v>
      </c>
      <c r="P702" t="n">
        <v>0</v>
      </c>
      <c r="Q702" t="n">
        <v>0</v>
      </c>
      <c r="R702" s="2" t="inlineStr"/>
    </row>
    <row r="703" ht="15" customHeight="1">
      <c r="A703" t="inlineStr">
        <is>
          <t>A 53373-2020</t>
        </is>
      </c>
      <c r="B703" s="1" t="n">
        <v>44123</v>
      </c>
      <c r="C703" s="1" t="n">
        <v>45641</v>
      </c>
      <c r="D703" t="inlineStr">
        <is>
          <t>VÄSTERBOTTENS LÄN</t>
        </is>
      </c>
      <c r="E703" t="inlineStr">
        <is>
          <t>SKELLEFTEÅ</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54356-2020</t>
        </is>
      </c>
      <c r="B704" s="1" t="n">
        <v>44125</v>
      </c>
      <c r="C704" s="1" t="n">
        <v>45641</v>
      </c>
      <c r="D704" t="inlineStr">
        <is>
          <t>VÄSTERBOTTENS LÄN</t>
        </is>
      </c>
      <c r="E704" t="inlineStr">
        <is>
          <t>SKELLEFTEÅ</t>
        </is>
      </c>
      <c r="G704" t="n">
        <v>0.7</v>
      </c>
      <c r="H704" t="n">
        <v>0</v>
      </c>
      <c r="I704" t="n">
        <v>0</v>
      </c>
      <c r="J704" t="n">
        <v>0</v>
      </c>
      <c r="K704" t="n">
        <v>0</v>
      </c>
      <c r="L704" t="n">
        <v>0</v>
      </c>
      <c r="M704" t="n">
        <v>0</v>
      </c>
      <c r="N704" t="n">
        <v>0</v>
      </c>
      <c r="O704" t="n">
        <v>0</v>
      </c>
      <c r="P704" t="n">
        <v>0</v>
      </c>
      <c r="Q704" t="n">
        <v>0</v>
      </c>
      <c r="R704" s="2" t="inlineStr"/>
    </row>
    <row r="705" ht="15" customHeight="1">
      <c r="A705" t="inlineStr">
        <is>
          <t>A 54850-2020</t>
        </is>
      </c>
      <c r="B705" s="1" t="n">
        <v>44126</v>
      </c>
      <c r="C705" s="1" t="n">
        <v>45641</v>
      </c>
      <c r="D705" t="inlineStr">
        <is>
          <t>VÄSTERBOTTENS LÄN</t>
        </is>
      </c>
      <c r="E705" t="inlineStr">
        <is>
          <t>SKELLEFTEÅ</t>
        </is>
      </c>
      <c r="G705" t="n">
        <v>3.4</v>
      </c>
      <c r="H705" t="n">
        <v>0</v>
      </c>
      <c r="I705" t="n">
        <v>0</v>
      </c>
      <c r="J705" t="n">
        <v>0</v>
      </c>
      <c r="K705" t="n">
        <v>0</v>
      </c>
      <c r="L705" t="n">
        <v>0</v>
      </c>
      <c r="M705" t="n">
        <v>0</v>
      </c>
      <c r="N705" t="n">
        <v>0</v>
      </c>
      <c r="O705" t="n">
        <v>0</v>
      </c>
      <c r="P705" t="n">
        <v>0</v>
      </c>
      <c r="Q705" t="n">
        <v>0</v>
      </c>
      <c r="R705" s="2" t="inlineStr"/>
    </row>
    <row r="706" ht="15" customHeight="1">
      <c r="A706" t="inlineStr">
        <is>
          <t>A 54872-2020</t>
        </is>
      </c>
      <c r="B706" s="1" t="n">
        <v>44126</v>
      </c>
      <c r="C706" s="1" t="n">
        <v>45641</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54662-2020</t>
        </is>
      </c>
      <c r="B707" s="1" t="n">
        <v>44127</v>
      </c>
      <c r="C707" s="1" t="n">
        <v>45641</v>
      </c>
      <c r="D707" t="inlineStr">
        <is>
          <t>VÄSTERBOTTENS LÄN</t>
        </is>
      </c>
      <c r="E707" t="inlineStr">
        <is>
          <t>SKELLEFTEÅ</t>
        </is>
      </c>
      <c r="F707" t="inlineStr">
        <is>
          <t>Holmen skog AB</t>
        </is>
      </c>
      <c r="G707" t="n">
        <v>13.4</v>
      </c>
      <c r="H707" t="n">
        <v>0</v>
      </c>
      <c r="I707" t="n">
        <v>0</v>
      </c>
      <c r="J707" t="n">
        <v>0</v>
      </c>
      <c r="K707" t="n">
        <v>0</v>
      </c>
      <c r="L707" t="n">
        <v>0</v>
      </c>
      <c r="M707" t="n">
        <v>0</v>
      </c>
      <c r="N707" t="n">
        <v>0</v>
      </c>
      <c r="O707" t="n">
        <v>0</v>
      </c>
      <c r="P707" t="n">
        <v>0</v>
      </c>
      <c r="Q707" t="n">
        <v>0</v>
      </c>
      <c r="R707" s="2" t="inlineStr"/>
    </row>
    <row r="708" ht="15" customHeight="1">
      <c r="A708" t="inlineStr">
        <is>
          <t>A 54921-2020</t>
        </is>
      </c>
      <c r="B708" s="1" t="n">
        <v>44127</v>
      </c>
      <c r="C708" s="1" t="n">
        <v>45641</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54913-2020</t>
        </is>
      </c>
      <c r="B709" s="1" t="n">
        <v>44127</v>
      </c>
      <c r="C709" s="1" t="n">
        <v>45641</v>
      </c>
      <c r="D709" t="inlineStr">
        <is>
          <t>VÄSTERBOTTENS LÄN</t>
        </is>
      </c>
      <c r="E709" t="inlineStr">
        <is>
          <t>SKELLEFTEÅ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54942-2020</t>
        </is>
      </c>
      <c r="B710" s="1" t="n">
        <v>44129</v>
      </c>
      <c r="C710" s="1" t="n">
        <v>45641</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55628-2020</t>
        </is>
      </c>
      <c r="B711" s="1" t="n">
        <v>44131</v>
      </c>
      <c r="C711" s="1" t="n">
        <v>45641</v>
      </c>
      <c r="D711" t="inlineStr">
        <is>
          <t>VÄSTERBOTTENS LÄN</t>
        </is>
      </c>
      <c r="E711" t="inlineStr">
        <is>
          <t>SKELLEFTEÅ</t>
        </is>
      </c>
      <c r="F711" t="inlineStr">
        <is>
          <t>Sveaskog</t>
        </is>
      </c>
      <c r="G711" t="n">
        <v>25.9</v>
      </c>
      <c r="H711" t="n">
        <v>0</v>
      </c>
      <c r="I711" t="n">
        <v>0</v>
      </c>
      <c r="J711" t="n">
        <v>0</v>
      </c>
      <c r="K711" t="n">
        <v>0</v>
      </c>
      <c r="L711" t="n">
        <v>0</v>
      </c>
      <c r="M711" t="n">
        <v>0</v>
      </c>
      <c r="N711" t="n">
        <v>0</v>
      </c>
      <c r="O711" t="n">
        <v>0</v>
      </c>
      <c r="P711" t="n">
        <v>0</v>
      </c>
      <c r="Q711" t="n">
        <v>0</v>
      </c>
      <c r="R711" s="2" t="inlineStr"/>
    </row>
    <row r="712" ht="15" customHeight="1">
      <c r="A712" t="inlineStr">
        <is>
          <t>A 55633-2020</t>
        </is>
      </c>
      <c r="B712" s="1" t="n">
        <v>44131</v>
      </c>
      <c r="C712" s="1" t="n">
        <v>45641</v>
      </c>
      <c r="D712" t="inlineStr">
        <is>
          <t>VÄSTERBOTTENS LÄN</t>
        </is>
      </c>
      <c r="E712" t="inlineStr">
        <is>
          <t>SKELLEFTEÅ</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55572-2020</t>
        </is>
      </c>
      <c r="B713" s="1" t="n">
        <v>44131</v>
      </c>
      <c r="C713" s="1" t="n">
        <v>45641</v>
      </c>
      <c r="D713" t="inlineStr">
        <is>
          <t>VÄSTERBOTTENS LÄN</t>
        </is>
      </c>
      <c r="E713" t="inlineStr">
        <is>
          <t>SKELLEFTEÅ</t>
        </is>
      </c>
      <c r="F713" t="inlineStr">
        <is>
          <t>Sveaskog</t>
        </is>
      </c>
      <c r="G713" t="n">
        <v>12.6</v>
      </c>
      <c r="H713" t="n">
        <v>0</v>
      </c>
      <c r="I713" t="n">
        <v>0</v>
      </c>
      <c r="J713" t="n">
        <v>0</v>
      </c>
      <c r="K713" t="n">
        <v>0</v>
      </c>
      <c r="L713" t="n">
        <v>0</v>
      </c>
      <c r="M713" t="n">
        <v>0</v>
      </c>
      <c r="N713" t="n">
        <v>0</v>
      </c>
      <c r="O713" t="n">
        <v>0</v>
      </c>
      <c r="P713" t="n">
        <v>0</v>
      </c>
      <c r="Q713" t="n">
        <v>0</v>
      </c>
      <c r="R713" s="2" t="inlineStr"/>
    </row>
    <row r="714" ht="15" customHeight="1">
      <c r="A714" t="inlineStr">
        <is>
          <t>A 55626-2020</t>
        </is>
      </c>
      <c r="B714" s="1" t="n">
        <v>44131</v>
      </c>
      <c r="C714" s="1" t="n">
        <v>45641</v>
      </c>
      <c r="D714" t="inlineStr">
        <is>
          <t>VÄSTERBOTTENS LÄN</t>
        </is>
      </c>
      <c r="E714" t="inlineStr">
        <is>
          <t>SKELLEFTEÅ</t>
        </is>
      </c>
      <c r="F714" t="inlineStr">
        <is>
          <t>Sveaskog</t>
        </is>
      </c>
      <c r="G714" t="n">
        <v>14.2</v>
      </c>
      <c r="H714" t="n">
        <v>0</v>
      </c>
      <c r="I714" t="n">
        <v>0</v>
      </c>
      <c r="J714" t="n">
        <v>0</v>
      </c>
      <c r="K714" t="n">
        <v>0</v>
      </c>
      <c r="L714" t="n">
        <v>0</v>
      </c>
      <c r="M714" t="n">
        <v>0</v>
      </c>
      <c r="N714" t="n">
        <v>0</v>
      </c>
      <c r="O714" t="n">
        <v>0</v>
      </c>
      <c r="P714" t="n">
        <v>0</v>
      </c>
      <c r="Q714" t="n">
        <v>0</v>
      </c>
      <c r="R714" s="2" t="inlineStr"/>
    </row>
    <row r="715" ht="15" customHeight="1">
      <c r="A715" t="inlineStr">
        <is>
          <t>A 56029-2020</t>
        </is>
      </c>
      <c r="B715" s="1" t="n">
        <v>44133</v>
      </c>
      <c r="C715" s="1" t="n">
        <v>45641</v>
      </c>
      <c r="D715" t="inlineStr">
        <is>
          <t>VÄSTERBOTTENS LÄN</t>
        </is>
      </c>
      <c r="E715" t="inlineStr">
        <is>
          <t>SKELLEFTEÅ</t>
        </is>
      </c>
      <c r="F715" t="inlineStr">
        <is>
          <t>Holmen skog AB</t>
        </is>
      </c>
      <c r="G715" t="n">
        <v>3.2</v>
      </c>
      <c r="H715" t="n">
        <v>0</v>
      </c>
      <c r="I715" t="n">
        <v>0</v>
      </c>
      <c r="J715" t="n">
        <v>0</v>
      </c>
      <c r="K715" t="n">
        <v>0</v>
      </c>
      <c r="L715" t="n">
        <v>0</v>
      </c>
      <c r="M715" t="n">
        <v>0</v>
      </c>
      <c r="N715" t="n">
        <v>0</v>
      </c>
      <c r="O715" t="n">
        <v>0</v>
      </c>
      <c r="P715" t="n">
        <v>0</v>
      </c>
      <c r="Q715" t="n">
        <v>0</v>
      </c>
      <c r="R715" s="2" t="inlineStr"/>
    </row>
    <row r="716" ht="15" customHeight="1">
      <c r="A716" t="inlineStr">
        <is>
          <t>A 56683-2020</t>
        </is>
      </c>
      <c r="B716" s="1" t="n">
        <v>44133</v>
      </c>
      <c r="C716" s="1" t="n">
        <v>45641</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56879-2020</t>
        </is>
      </c>
      <c r="B717" s="1" t="n">
        <v>44134</v>
      </c>
      <c r="C717" s="1" t="n">
        <v>45641</v>
      </c>
      <c r="D717" t="inlineStr">
        <is>
          <t>VÄSTERBOTTENS LÄN</t>
        </is>
      </c>
      <c r="E717" t="inlineStr">
        <is>
          <t>SKELLEFTEÅ</t>
        </is>
      </c>
      <c r="G717" t="n">
        <v>8.5</v>
      </c>
      <c r="H717" t="n">
        <v>0</v>
      </c>
      <c r="I717" t="n">
        <v>0</v>
      </c>
      <c r="J717" t="n">
        <v>0</v>
      </c>
      <c r="K717" t="n">
        <v>0</v>
      </c>
      <c r="L717" t="n">
        <v>0</v>
      </c>
      <c r="M717" t="n">
        <v>0</v>
      </c>
      <c r="N717" t="n">
        <v>0</v>
      </c>
      <c r="O717" t="n">
        <v>0</v>
      </c>
      <c r="P717" t="n">
        <v>0</v>
      </c>
      <c r="Q717" t="n">
        <v>0</v>
      </c>
      <c r="R717" s="2" t="inlineStr"/>
    </row>
    <row r="718" ht="15" customHeight="1">
      <c r="A718" t="inlineStr">
        <is>
          <t>A 56604-2020</t>
        </is>
      </c>
      <c r="B718" s="1" t="n">
        <v>44137</v>
      </c>
      <c r="C718" s="1" t="n">
        <v>45641</v>
      </c>
      <c r="D718" t="inlineStr">
        <is>
          <t>VÄSTERBOTTENS LÄN</t>
        </is>
      </c>
      <c r="E718" t="inlineStr">
        <is>
          <t>SKELLEFTEÅ</t>
        </is>
      </c>
      <c r="F718" t="inlineStr">
        <is>
          <t>Holmen skog AB</t>
        </is>
      </c>
      <c r="G718" t="n">
        <v>2.4</v>
      </c>
      <c r="H718" t="n">
        <v>0</v>
      </c>
      <c r="I718" t="n">
        <v>0</v>
      </c>
      <c r="J718" t="n">
        <v>0</v>
      </c>
      <c r="K718" t="n">
        <v>0</v>
      </c>
      <c r="L718" t="n">
        <v>0</v>
      </c>
      <c r="M718" t="n">
        <v>0</v>
      </c>
      <c r="N718" t="n">
        <v>0</v>
      </c>
      <c r="O718" t="n">
        <v>0</v>
      </c>
      <c r="P718" t="n">
        <v>0</v>
      </c>
      <c r="Q718" t="n">
        <v>0</v>
      </c>
      <c r="R718" s="2" t="inlineStr"/>
    </row>
    <row r="719" ht="15" customHeight="1">
      <c r="A719" t="inlineStr">
        <is>
          <t>A 56720-2020</t>
        </is>
      </c>
      <c r="B719" s="1" t="n">
        <v>44137</v>
      </c>
      <c r="C719" s="1" t="n">
        <v>45641</v>
      </c>
      <c r="D719" t="inlineStr">
        <is>
          <t>VÄSTERBOTTENS LÄN</t>
        </is>
      </c>
      <c r="E719" t="inlineStr">
        <is>
          <t>SKELLEFTEÅ</t>
        </is>
      </c>
      <c r="G719" t="n">
        <v>0.4</v>
      </c>
      <c r="H719" t="n">
        <v>0</v>
      </c>
      <c r="I719" t="n">
        <v>0</v>
      </c>
      <c r="J719" t="n">
        <v>0</v>
      </c>
      <c r="K719" t="n">
        <v>0</v>
      </c>
      <c r="L719" t="n">
        <v>0</v>
      </c>
      <c r="M719" t="n">
        <v>0</v>
      </c>
      <c r="N719" t="n">
        <v>0</v>
      </c>
      <c r="O719" t="n">
        <v>0</v>
      </c>
      <c r="P719" t="n">
        <v>0</v>
      </c>
      <c r="Q719" t="n">
        <v>0</v>
      </c>
      <c r="R719" s="2" t="inlineStr"/>
    </row>
    <row r="720" ht="15" customHeight="1">
      <c r="A720" t="inlineStr">
        <is>
          <t>A 56692-2020</t>
        </is>
      </c>
      <c r="B720" s="1" t="n">
        <v>44137</v>
      </c>
      <c r="C720" s="1" t="n">
        <v>45641</v>
      </c>
      <c r="D720" t="inlineStr">
        <is>
          <t>VÄSTERBOTTENS LÄN</t>
        </is>
      </c>
      <c r="E720" t="inlineStr">
        <is>
          <t>SKELLEFTEÅ</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56718-2020</t>
        </is>
      </c>
      <c r="B721" s="1" t="n">
        <v>44137</v>
      </c>
      <c r="C721" s="1" t="n">
        <v>45641</v>
      </c>
      <c r="D721" t="inlineStr">
        <is>
          <t>VÄSTERBOTTENS LÄN</t>
        </is>
      </c>
      <c r="E721" t="inlineStr">
        <is>
          <t>SKELLEFTEÅ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56945-2020</t>
        </is>
      </c>
      <c r="B722" s="1" t="n">
        <v>44138</v>
      </c>
      <c r="C722" s="1" t="n">
        <v>45641</v>
      </c>
      <c r="D722" t="inlineStr">
        <is>
          <t>VÄSTERBOTTENS LÄN</t>
        </is>
      </c>
      <c r="E722" t="inlineStr">
        <is>
          <t>SKELLEFTEÅ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57620-2020</t>
        </is>
      </c>
      <c r="B723" s="1" t="n">
        <v>44140</v>
      </c>
      <c r="C723" s="1" t="n">
        <v>45641</v>
      </c>
      <c r="D723" t="inlineStr">
        <is>
          <t>VÄSTERBOTTENS LÄN</t>
        </is>
      </c>
      <c r="E723" t="inlineStr">
        <is>
          <t>SKELLEFTEÅ</t>
        </is>
      </c>
      <c r="G723" t="n">
        <v>1.4</v>
      </c>
      <c r="H723" t="n">
        <v>0</v>
      </c>
      <c r="I723" t="n">
        <v>0</v>
      </c>
      <c r="J723" t="n">
        <v>0</v>
      </c>
      <c r="K723" t="n">
        <v>0</v>
      </c>
      <c r="L723" t="n">
        <v>0</v>
      </c>
      <c r="M723" t="n">
        <v>0</v>
      </c>
      <c r="N723" t="n">
        <v>0</v>
      </c>
      <c r="O723" t="n">
        <v>0</v>
      </c>
      <c r="P723" t="n">
        <v>0</v>
      </c>
      <c r="Q723" t="n">
        <v>0</v>
      </c>
      <c r="R723" s="2" t="inlineStr"/>
    </row>
    <row r="724" ht="15" customHeight="1">
      <c r="A724" t="inlineStr">
        <is>
          <t>A 57770-2020</t>
        </is>
      </c>
      <c r="B724" s="1" t="n">
        <v>44141</v>
      </c>
      <c r="C724" s="1" t="n">
        <v>45641</v>
      </c>
      <c r="D724" t="inlineStr">
        <is>
          <t>VÄSTERBOTTENS LÄN</t>
        </is>
      </c>
      <c r="E724" t="inlineStr">
        <is>
          <t>SKELLEFTEÅ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58427-2020</t>
        </is>
      </c>
      <c r="B725" s="1" t="n">
        <v>44141</v>
      </c>
      <c r="C725" s="1" t="n">
        <v>45641</v>
      </c>
      <c r="D725" t="inlineStr">
        <is>
          <t>VÄSTERBOTTENS LÄN</t>
        </is>
      </c>
      <c r="E725" t="inlineStr">
        <is>
          <t>SKELLEFTEÅ</t>
        </is>
      </c>
      <c r="G725" t="n">
        <v>5.5</v>
      </c>
      <c r="H725" t="n">
        <v>0</v>
      </c>
      <c r="I725" t="n">
        <v>0</v>
      </c>
      <c r="J725" t="n">
        <v>0</v>
      </c>
      <c r="K725" t="n">
        <v>0</v>
      </c>
      <c r="L725" t="n">
        <v>0</v>
      </c>
      <c r="M725" t="n">
        <v>0</v>
      </c>
      <c r="N725" t="n">
        <v>0</v>
      </c>
      <c r="O725" t="n">
        <v>0</v>
      </c>
      <c r="P725" t="n">
        <v>0</v>
      </c>
      <c r="Q725" t="n">
        <v>0</v>
      </c>
      <c r="R725" s="2" t="inlineStr"/>
    </row>
    <row r="726" ht="15" customHeight="1">
      <c r="A726" t="inlineStr">
        <is>
          <t>A 58520-2020</t>
        </is>
      </c>
      <c r="B726" s="1" t="n">
        <v>44144</v>
      </c>
      <c r="C726" s="1" t="n">
        <v>45641</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58544-2020</t>
        </is>
      </c>
      <c r="B727" s="1" t="n">
        <v>44145</v>
      </c>
      <c r="C727" s="1" t="n">
        <v>45641</v>
      </c>
      <c r="D727" t="inlineStr">
        <is>
          <t>VÄSTERBOTTENS LÄN</t>
        </is>
      </c>
      <c r="E727" t="inlineStr">
        <is>
          <t>SKELLEFTEÅ</t>
        </is>
      </c>
      <c r="F727" t="inlineStr">
        <is>
          <t>Holmen skog AB</t>
        </is>
      </c>
      <c r="G727" t="n">
        <v>1.8</v>
      </c>
      <c r="H727" t="n">
        <v>0</v>
      </c>
      <c r="I727" t="n">
        <v>0</v>
      </c>
      <c r="J727" t="n">
        <v>0</v>
      </c>
      <c r="K727" t="n">
        <v>0</v>
      </c>
      <c r="L727" t="n">
        <v>0</v>
      </c>
      <c r="M727" t="n">
        <v>0</v>
      </c>
      <c r="N727" t="n">
        <v>0</v>
      </c>
      <c r="O727" t="n">
        <v>0</v>
      </c>
      <c r="P727" t="n">
        <v>0</v>
      </c>
      <c r="Q727" t="n">
        <v>0</v>
      </c>
      <c r="R727" s="2" t="inlineStr"/>
    </row>
    <row r="728" ht="15" customHeight="1">
      <c r="A728" t="inlineStr">
        <is>
          <t>A 58769-2020</t>
        </is>
      </c>
      <c r="B728" s="1" t="n">
        <v>44145</v>
      </c>
      <c r="C728" s="1" t="n">
        <v>45641</v>
      </c>
      <c r="D728" t="inlineStr">
        <is>
          <t>VÄSTERBOTTENS LÄN</t>
        </is>
      </c>
      <c r="E728" t="inlineStr">
        <is>
          <t>SKELLEFTEÅ</t>
        </is>
      </c>
      <c r="G728" t="n">
        <v>4</v>
      </c>
      <c r="H728" t="n">
        <v>0</v>
      </c>
      <c r="I728" t="n">
        <v>0</v>
      </c>
      <c r="J728" t="n">
        <v>0</v>
      </c>
      <c r="K728" t="n">
        <v>0</v>
      </c>
      <c r="L728" t="n">
        <v>0</v>
      </c>
      <c r="M728" t="n">
        <v>0</v>
      </c>
      <c r="N728" t="n">
        <v>0</v>
      </c>
      <c r="O728" t="n">
        <v>0</v>
      </c>
      <c r="P728" t="n">
        <v>0</v>
      </c>
      <c r="Q728" t="n">
        <v>0</v>
      </c>
      <c r="R728" s="2" t="inlineStr"/>
    </row>
    <row r="729" ht="15" customHeight="1">
      <c r="A729" t="inlineStr">
        <is>
          <t>A 58861-2020</t>
        </is>
      </c>
      <c r="B729" s="1" t="n">
        <v>44146</v>
      </c>
      <c r="C729" s="1" t="n">
        <v>45641</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59406-2020</t>
        </is>
      </c>
      <c r="B730" s="1" t="n">
        <v>44147</v>
      </c>
      <c r="C730" s="1" t="n">
        <v>45641</v>
      </c>
      <c r="D730" t="inlineStr">
        <is>
          <t>VÄSTERBOTTENS LÄN</t>
        </is>
      </c>
      <c r="E730" t="inlineStr">
        <is>
          <t>SKELLEFTEÅ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59518-2020</t>
        </is>
      </c>
      <c r="B731" s="1" t="n">
        <v>44148</v>
      </c>
      <c r="C731" s="1" t="n">
        <v>45641</v>
      </c>
      <c r="D731" t="inlineStr">
        <is>
          <t>VÄSTERBOTTENS LÄN</t>
        </is>
      </c>
      <c r="E731" t="inlineStr">
        <is>
          <t>SKELLEFTEÅ</t>
        </is>
      </c>
      <c r="F731" t="inlineStr">
        <is>
          <t>Holmen skog AB</t>
        </is>
      </c>
      <c r="G731" t="n">
        <v>4.5</v>
      </c>
      <c r="H731" t="n">
        <v>0</v>
      </c>
      <c r="I731" t="n">
        <v>0</v>
      </c>
      <c r="J731" t="n">
        <v>0</v>
      </c>
      <c r="K731" t="n">
        <v>0</v>
      </c>
      <c r="L731" t="n">
        <v>0</v>
      </c>
      <c r="M731" t="n">
        <v>0</v>
      </c>
      <c r="N731" t="n">
        <v>0</v>
      </c>
      <c r="O731" t="n">
        <v>0</v>
      </c>
      <c r="P731" t="n">
        <v>0</v>
      </c>
      <c r="Q731" t="n">
        <v>0</v>
      </c>
      <c r="R731" s="2" t="inlineStr"/>
    </row>
    <row r="732" ht="15" customHeight="1">
      <c r="A732" t="inlineStr">
        <is>
          <t>A 59870-2020</t>
        </is>
      </c>
      <c r="B732" s="1" t="n">
        <v>44151</v>
      </c>
      <c r="C732" s="1" t="n">
        <v>45641</v>
      </c>
      <c r="D732" t="inlineStr">
        <is>
          <t>VÄSTERBOTTENS LÄN</t>
        </is>
      </c>
      <c r="E732" t="inlineStr">
        <is>
          <t>SKELLEFTEÅ</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60152-2020</t>
        </is>
      </c>
      <c r="B733" s="1" t="n">
        <v>44151</v>
      </c>
      <c r="C733" s="1" t="n">
        <v>45641</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60489-2020</t>
        </is>
      </c>
      <c r="B734" s="1" t="n">
        <v>44152</v>
      </c>
      <c r="C734" s="1" t="n">
        <v>45641</v>
      </c>
      <c r="D734" t="inlineStr">
        <is>
          <t>VÄSTERBOTTENS LÄN</t>
        </is>
      </c>
      <c r="E734" t="inlineStr">
        <is>
          <t>SKELLEFTEÅ</t>
        </is>
      </c>
      <c r="G734" t="n">
        <v>0.6</v>
      </c>
      <c r="H734" t="n">
        <v>0</v>
      </c>
      <c r="I734" t="n">
        <v>0</v>
      </c>
      <c r="J734" t="n">
        <v>0</v>
      </c>
      <c r="K734" t="n">
        <v>0</v>
      </c>
      <c r="L734" t="n">
        <v>0</v>
      </c>
      <c r="M734" t="n">
        <v>0</v>
      </c>
      <c r="N734" t="n">
        <v>0</v>
      </c>
      <c r="O734" t="n">
        <v>0</v>
      </c>
      <c r="P734" t="n">
        <v>0</v>
      </c>
      <c r="Q734" t="n">
        <v>0</v>
      </c>
      <c r="R734" s="2" t="inlineStr"/>
    </row>
    <row r="735" ht="15" customHeight="1">
      <c r="A735" t="inlineStr">
        <is>
          <t>A 61260-2020</t>
        </is>
      </c>
      <c r="B735" s="1" t="n">
        <v>44153</v>
      </c>
      <c r="C735" s="1" t="n">
        <v>45641</v>
      </c>
      <c r="D735" t="inlineStr">
        <is>
          <t>VÄSTERBOTTENS LÄN</t>
        </is>
      </c>
      <c r="E735" t="inlineStr">
        <is>
          <t>SKELLEFTEÅ</t>
        </is>
      </c>
      <c r="G735" t="n">
        <v>16.1</v>
      </c>
      <c r="H735" t="n">
        <v>0</v>
      </c>
      <c r="I735" t="n">
        <v>0</v>
      </c>
      <c r="J735" t="n">
        <v>0</v>
      </c>
      <c r="K735" t="n">
        <v>0</v>
      </c>
      <c r="L735" t="n">
        <v>0</v>
      </c>
      <c r="M735" t="n">
        <v>0</v>
      </c>
      <c r="N735" t="n">
        <v>0</v>
      </c>
      <c r="O735" t="n">
        <v>0</v>
      </c>
      <c r="P735" t="n">
        <v>0</v>
      </c>
      <c r="Q735" t="n">
        <v>0</v>
      </c>
      <c r="R735" s="2" t="inlineStr"/>
    </row>
    <row r="736" ht="15" customHeight="1">
      <c r="A736" t="inlineStr">
        <is>
          <t>A 61937-2020</t>
        </is>
      </c>
      <c r="B736" s="1" t="n">
        <v>44155</v>
      </c>
      <c r="C736" s="1" t="n">
        <v>45641</v>
      </c>
      <c r="D736" t="inlineStr">
        <is>
          <t>VÄSTERBOTTENS LÄN</t>
        </is>
      </c>
      <c r="E736" t="inlineStr">
        <is>
          <t>SKELLEFTEÅ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61958-2020</t>
        </is>
      </c>
      <c r="B737" s="1" t="n">
        <v>44155</v>
      </c>
      <c r="C737" s="1" t="n">
        <v>45641</v>
      </c>
      <c r="D737" t="inlineStr">
        <is>
          <t>VÄSTERBOTTENS LÄN</t>
        </is>
      </c>
      <c r="E737" t="inlineStr">
        <is>
          <t>SKELLEFTEÅ</t>
        </is>
      </c>
      <c r="G737" t="n">
        <v>2.2</v>
      </c>
      <c r="H737" t="n">
        <v>0</v>
      </c>
      <c r="I737" t="n">
        <v>0</v>
      </c>
      <c r="J737" t="n">
        <v>0</v>
      </c>
      <c r="K737" t="n">
        <v>0</v>
      </c>
      <c r="L737" t="n">
        <v>0</v>
      </c>
      <c r="M737" t="n">
        <v>0</v>
      </c>
      <c r="N737" t="n">
        <v>0</v>
      </c>
      <c r="O737" t="n">
        <v>0</v>
      </c>
      <c r="P737" t="n">
        <v>0</v>
      </c>
      <c r="Q737" t="n">
        <v>0</v>
      </c>
      <c r="R737" s="2" t="inlineStr"/>
    </row>
    <row r="738" ht="15" customHeight="1">
      <c r="A738" t="inlineStr">
        <is>
          <t>A 62158-2020</t>
        </is>
      </c>
      <c r="B738" s="1" t="n">
        <v>44159</v>
      </c>
      <c r="C738" s="1" t="n">
        <v>45641</v>
      </c>
      <c r="D738" t="inlineStr">
        <is>
          <t>VÄSTERBOTTENS LÄN</t>
        </is>
      </c>
      <c r="E738" t="inlineStr">
        <is>
          <t>SKELLEFTEÅ</t>
        </is>
      </c>
      <c r="F738" t="inlineStr">
        <is>
          <t>Sveaskog</t>
        </is>
      </c>
      <c r="G738" t="n">
        <v>14.7</v>
      </c>
      <c r="H738" t="n">
        <v>0</v>
      </c>
      <c r="I738" t="n">
        <v>0</v>
      </c>
      <c r="J738" t="n">
        <v>0</v>
      </c>
      <c r="K738" t="n">
        <v>0</v>
      </c>
      <c r="L738" t="n">
        <v>0</v>
      </c>
      <c r="M738" t="n">
        <v>0</v>
      </c>
      <c r="N738" t="n">
        <v>0</v>
      </c>
      <c r="O738" t="n">
        <v>0</v>
      </c>
      <c r="P738" t="n">
        <v>0</v>
      </c>
      <c r="Q738" t="n">
        <v>0</v>
      </c>
      <c r="R738" s="2" t="inlineStr"/>
    </row>
    <row r="739" ht="15" customHeight="1">
      <c r="A739" t="inlineStr">
        <is>
          <t>A 62466-2020</t>
        </is>
      </c>
      <c r="B739" s="1" t="n">
        <v>44160</v>
      </c>
      <c r="C739" s="1" t="n">
        <v>45641</v>
      </c>
      <c r="D739" t="inlineStr">
        <is>
          <t>VÄSTERBOTTENS LÄN</t>
        </is>
      </c>
      <c r="E739" t="inlineStr">
        <is>
          <t>SKELLEFTEÅ</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62467-2020</t>
        </is>
      </c>
      <c r="B740" s="1" t="n">
        <v>44160</v>
      </c>
      <c r="C740" s="1" t="n">
        <v>45641</v>
      </c>
      <c r="D740" t="inlineStr">
        <is>
          <t>VÄSTERBOTTENS LÄN</t>
        </is>
      </c>
      <c r="E740" t="inlineStr">
        <is>
          <t>SKELLEFTEÅ</t>
        </is>
      </c>
      <c r="F740" t="inlineStr">
        <is>
          <t>Sveaskog</t>
        </is>
      </c>
      <c r="G740" t="n">
        <v>3.6</v>
      </c>
      <c r="H740" t="n">
        <v>0</v>
      </c>
      <c r="I740" t="n">
        <v>0</v>
      </c>
      <c r="J740" t="n">
        <v>0</v>
      </c>
      <c r="K740" t="n">
        <v>0</v>
      </c>
      <c r="L740" t="n">
        <v>0</v>
      </c>
      <c r="M740" t="n">
        <v>0</v>
      </c>
      <c r="N740" t="n">
        <v>0</v>
      </c>
      <c r="O740" t="n">
        <v>0</v>
      </c>
      <c r="P740" t="n">
        <v>0</v>
      </c>
      <c r="Q740" t="n">
        <v>0</v>
      </c>
      <c r="R740" s="2" t="inlineStr"/>
    </row>
    <row r="741" ht="15" customHeight="1">
      <c r="A741" t="inlineStr">
        <is>
          <t>A 62763-2020</t>
        </is>
      </c>
      <c r="B741" s="1" t="n">
        <v>44160</v>
      </c>
      <c r="C741" s="1" t="n">
        <v>45641</v>
      </c>
      <c r="D741" t="inlineStr">
        <is>
          <t>VÄSTERBOTTENS LÄN</t>
        </is>
      </c>
      <c r="E741" t="inlineStr">
        <is>
          <t>SKELLEFTEÅ</t>
        </is>
      </c>
      <c r="G741" t="n">
        <v>1.1</v>
      </c>
      <c r="H741" t="n">
        <v>0</v>
      </c>
      <c r="I741" t="n">
        <v>0</v>
      </c>
      <c r="J741" t="n">
        <v>0</v>
      </c>
      <c r="K741" t="n">
        <v>0</v>
      </c>
      <c r="L741" t="n">
        <v>0</v>
      </c>
      <c r="M741" t="n">
        <v>0</v>
      </c>
      <c r="N741" t="n">
        <v>0</v>
      </c>
      <c r="O741" t="n">
        <v>0</v>
      </c>
      <c r="P741" t="n">
        <v>0</v>
      </c>
      <c r="Q741" t="n">
        <v>0</v>
      </c>
      <c r="R741" s="2" t="inlineStr"/>
    </row>
    <row r="742" ht="15" customHeight="1">
      <c r="A742" t="inlineStr">
        <is>
          <t>A 62592-2020</t>
        </is>
      </c>
      <c r="B742" s="1" t="n">
        <v>44161</v>
      </c>
      <c r="C742" s="1" t="n">
        <v>45641</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63241-2020</t>
        </is>
      </c>
      <c r="B743" s="1" t="n">
        <v>44163</v>
      </c>
      <c r="C743" s="1" t="n">
        <v>45641</v>
      </c>
      <c r="D743" t="inlineStr">
        <is>
          <t>VÄSTERBOTTENS LÄN</t>
        </is>
      </c>
      <c r="E743" t="inlineStr">
        <is>
          <t>SKELLEFTEÅ</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63839-2020</t>
        </is>
      </c>
      <c r="B744" s="1" t="n">
        <v>44165</v>
      </c>
      <c r="C744" s="1" t="n">
        <v>45641</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64650-2020</t>
        </is>
      </c>
      <c r="B745" s="1" t="n">
        <v>44166</v>
      </c>
      <c r="C745" s="1" t="n">
        <v>45641</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64198-2020</t>
        </is>
      </c>
      <c r="B746" s="1" t="n">
        <v>44167</v>
      </c>
      <c r="C746" s="1" t="n">
        <v>45641</v>
      </c>
      <c r="D746" t="inlineStr">
        <is>
          <t>VÄSTERBOTTENS LÄN</t>
        </is>
      </c>
      <c r="E746" t="inlineStr">
        <is>
          <t>SKELLEFTEÅ</t>
        </is>
      </c>
      <c r="F746" t="inlineStr">
        <is>
          <t>SCA</t>
        </is>
      </c>
      <c r="G746" t="n">
        <v>5.9</v>
      </c>
      <c r="H746" t="n">
        <v>0</v>
      </c>
      <c r="I746" t="n">
        <v>0</v>
      </c>
      <c r="J746" t="n">
        <v>0</v>
      </c>
      <c r="K746" t="n">
        <v>0</v>
      </c>
      <c r="L746" t="n">
        <v>0</v>
      </c>
      <c r="M746" t="n">
        <v>0</v>
      </c>
      <c r="N746" t="n">
        <v>0</v>
      </c>
      <c r="O746" t="n">
        <v>0</v>
      </c>
      <c r="P746" t="n">
        <v>0</v>
      </c>
      <c r="Q746" t="n">
        <v>0</v>
      </c>
      <c r="R746" s="2" t="inlineStr"/>
    </row>
    <row r="747" ht="15" customHeight="1">
      <c r="A747" t="inlineStr">
        <is>
          <t>A 64977-2020</t>
        </is>
      </c>
      <c r="B747" s="1" t="n">
        <v>44167</v>
      </c>
      <c r="C747" s="1" t="n">
        <v>45641</v>
      </c>
      <c r="D747" t="inlineStr">
        <is>
          <t>VÄSTERBOTTENS LÄN</t>
        </is>
      </c>
      <c r="E747" t="inlineStr">
        <is>
          <t>SKELLEFTEÅ</t>
        </is>
      </c>
      <c r="G747" t="n">
        <v>9</v>
      </c>
      <c r="H747" t="n">
        <v>0</v>
      </c>
      <c r="I747" t="n">
        <v>0</v>
      </c>
      <c r="J747" t="n">
        <v>0</v>
      </c>
      <c r="K747" t="n">
        <v>0</v>
      </c>
      <c r="L747" t="n">
        <v>0</v>
      </c>
      <c r="M747" t="n">
        <v>0</v>
      </c>
      <c r="N747" t="n">
        <v>0</v>
      </c>
      <c r="O747" t="n">
        <v>0</v>
      </c>
      <c r="P747" t="n">
        <v>0</v>
      </c>
      <c r="Q747" t="n">
        <v>0</v>
      </c>
      <c r="R747" s="2" t="inlineStr"/>
    </row>
    <row r="748" ht="15" customHeight="1">
      <c r="A748" t="inlineStr">
        <is>
          <t>A 65096-2020</t>
        </is>
      </c>
      <c r="B748" s="1" t="n">
        <v>44167</v>
      </c>
      <c r="C748" s="1" t="n">
        <v>45641</v>
      </c>
      <c r="D748" t="inlineStr">
        <is>
          <t>VÄSTERBOTTENS LÄN</t>
        </is>
      </c>
      <c r="E748" t="inlineStr">
        <is>
          <t>SKELLEFTEÅ</t>
        </is>
      </c>
      <c r="G748" t="n">
        <v>3.2</v>
      </c>
      <c r="H748" t="n">
        <v>0</v>
      </c>
      <c r="I748" t="n">
        <v>0</v>
      </c>
      <c r="J748" t="n">
        <v>0</v>
      </c>
      <c r="K748" t="n">
        <v>0</v>
      </c>
      <c r="L748" t="n">
        <v>0</v>
      </c>
      <c r="M748" t="n">
        <v>0</v>
      </c>
      <c r="N748" t="n">
        <v>0</v>
      </c>
      <c r="O748" t="n">
        <v>0</v>
      </c>
      <c r="P748" t="n">
        <v>0</v>
      </c>
      <c r="Q748" t="n">
        <v>0</v>
      </c>
      <c r="R748" s="2" t="inlineStr"/>
    </row>
    <row r="749" ht="15" customHeight="1">
      <c r="A749" t="inlineStr">
        <is>
          <t>A 65053-2020</t>
        </is>
      </c>
      <c r="B749" s="1" t="n">
        <v>44167</v>
      </c>
      <c r="C749" s="1" t="n">
        <v>45641</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65103-2020</t>
        </is>
      </c>
      <c r="B750" s="1" t="n">
        <v>44167</v>
      </c>
      <c r="C750" s="1" t="n">
        <v>45641</v>
      </c>
      <c r="D750" t="inlineStr">
        <is>
          <t>VÄSTERBOTTENS LÄN</t>
        </is>
      </c>
      <c r="E750" t="inlineStr">
        <is>
          <t>SKELLEFTEÅ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64296-2020</t>
        </is>
      </c>
      <c r="B751" s="1" t="n">
        <v>44168</v>
      </c>
      <c r="C751" s="1" t="n">
        <v>45641</v>
      </c>
      <c r="D751" t="inlineStr">
        <is>
          <t>VÄSTERBOTTENS LÄN</t>
        </is>
      </c>
      <c r="E751" t="inlineStr">
        <is>
          <t>SKELLEFTEÅ</t>
        </is>
      </c>
      <c r="F751" t="inlineStr">
        <is>
          <t>Sveaskog</t>
        </is>
      </c>
      <c r="G751" t="n">
        <v>4.4</v>
      </c>
      <c r="H751" t="n">
        <v>0</v>
      </c>
      <c r="I751" t="n">
        <v>0</v>
      </c>
      <c r="J751" t="n">
        <v>0</v>
      </c>
      <c r="K751" t="n">
        <v>0</v>
      </c>
      <c r="L751" t="n">
        <v>0</v>
      </c>
      <c r="M751" t="n">
        <v>0</v>
      </c>
      <c r="N751" t="n">
        <v>0</v>
      </c>
      <c r="O751" t="n">
        <v>0</v>
      </c>
      <c r="P751" t="n">
        <v>0</v>
      </c>
      <c r="Q751" t="n">
        <v>0</v>
      </c>
      <c r="R751" s="2" t="inlineStr"/>
    </row>
    <row r="752" ht="15" customHeight="1">
      <c r="A752" t="inlineStr">
        <is>
          <t>A 64481-2020</t>
        </is>
      </c>
      <c r="B752" s="1" t="n">
        <v>44168</v>
      </c>
      <c r="C752" s="1" t="n">
        <v>45641</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64507-2020</t>
        </is>
      </c>
      <c r="B753" s="1" t="n">
        <v>44168</v>
      </c>
      <c r="C753" s="1" t="n">
        <v>45641</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64485-2020</t>
        </is>
      </c>
      <c r="B754" s="1" t="n">
        <v>44168</v>
      </c>
      <c r="C754" s="1" t="n">
        <v>45641</v>
      </c>
      <c r="D754" t="inlineStr">
        <is>
          <t>VÄSTERBOTTENS LÄN</t>
        </is>
      </c>
      <c r="E754" t="inlineStr">
        <is>
          <t>SKELLEFTEÅ</t>
        </is>
      </c>
      <c r="G754" t="n">
        <v>35.4</v>
      </c>
      <c r="H754" t="n">
        <v>0</v>
      </c>
      <c r="I754" t="n">
        <v>0</v>
      </c>
      <c r="J754" t="n">
        <v>0</v>
      </c>
      <c r="K754" t="n">
        <v>0</v>
      </c>
      <c r="L754" t="n">
        <v>0</v>
      </c>
      <c r="M754" t="n">
        <v>0</v>
      </c>
      <c r="N754" t="n">
        <v>0</v>
      </c>
      <c r="O754" t="n">
        <v>0</v>
      </c>
      <c r="P754" t="n">
        <v>0</v>
      </c>
      <c r="Q754" t="n">
        <v>0</v>
      </c>
      <c r="R754" s="2" t="inlineStr"/>
    </row>
    <row r="755" ht="15" customHeight="1">
      <c r="A755" t="inlineStr">
        <is>
          <t>A 65254-2020</t>
        </is>
      </c>
      <c r="B755" s="1" t="n">
        <v>44172</v>
      </c>
      <c r="C755" s="1" t="n">
        <v>45641</v>
      </c>
      <c r="D755" t="inlineStr">
        <is>
          <t>VÄSTERBOTTENS LÄN</t>
        </is>
      </c>
      <c r="E755" t="inlineStr">
        <is>
          <t>SKELLEFTEÅ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65582-2020</t>
        </is>
      </c>
      <c r="B756" s="1" t="n">
        <v>44172</v>
      </c>
      <c r="C756" s="1" t="n">
        <v>45641</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65486-2020</t>
        </is>
      </c>
      <c r="B757" s="1" t="n">
        <v>44172</v>
      </c>
      <c r="C757" s="1" t="n">
        <v>45641</v>
      </c>
      <c r="D757" t="inlineStr">
        <is>
          <t>VÄSTERBOTTENS LÄN</t>
        </is>
      </c>
      <c r="E757" t="inlineStr">
        <is>
          <t>SKELLEFTEÅ</t>
        </is>
      </c>
      <c r="G757" t="n">
        <v>2.8</v>
      </c>
      <c r="H757" t="n">
        <v>0</v>
      </c>
      <c r="I757" t="n">
        <v>0</v>
      </c>
      <c r="J757" t="n">
        <v>0</v>
      </c>
      <c r="K757" t="n">
        <v>0</v>
      </c>
      <c r="L757" t="n">
        <v>0</v>
      </c>
      <c r="M757" t="n">
        <v>0</v>
      </c>
      <c r="N757" t="n">
        <v>0</v>
      </c>
      <c r="O757" t="n">
        <v>0</v>
      </c>
      <c r="P757" t="n">
        <v>0</v>
      </c>
      <c r="Q757" t="n">
        <v>0</v>
      </c>
      <c r="R757" s="2" t="inlineStr"/>
    </row>
    <row r="758" ht="15" customHeight="1">
      <c r="A758" t="inlineStr">
        <is>
          <t>A 65379-2020</t>
        </is>
      </c>
      <c r="B758" s="1" t="n">
        <v>44173</v>
      </c>
      <c r="C758" s="1" t="n">
        <v>45641</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65384-2020</t>
        </is>
      </c>
      <c r="B759" s="1" t="n">
        <v>44173</v>
      </c>
      <c r="C759" s="1" t="n">
        <v>45641</v>
      </c>
      <c r="D759" t="inlineStr">
        <is>
          <t>VÄSTERBOTTENS LÄN</t>
        </is>
      </c>
      <c r="E759" t="inlineStr">
        <is>
          <t>SKELLEFTEÅ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65567-2020</t>
        </is>
      </c>
      <c r="B760" s="1" t="n">
        <v>44173</v>
      </c>
      <c r="C760" s="1" t="n">
        <v>45641</v>
      </c>
      <c r="D760" t="inlineStr">
        <is>
          <t>VÄSTERBOTTENS LÄN</t>
        </is>
      </c>
      <c r="E760" t="inlineStr">
        <is>
          <t>SKELLEFTEÅ</t>
        </is>
      </c>
      <c r="F760" t="inlineStr">
        <is>
          <t>Sveaskog</t>
        </is>
      </c>
      <c r="G760" t="n">
        <v>17.7</v>
      </c>
      <c r="H760" t="n">
        <v>0</v>
      </c>
      <c r="I760" t="n">
        <v>0</v>
      </c>
      <c r="J760" t="n">
        <v>0</v>
      </c>
      <c r="K760" t="n">
        <v>0</v>
      </c>
      <c r="L760" t="n">
        <v>0</v>
      </c>
      <c r="M760" t="n">
        <v>0</v>
      </c>
      <c r="N760" t="n">
        <v>0</v>
      </c>
      <c r="O760" t="n">
        <v>0</v>
      </c>
      <c r="P760" t="n">
        <v>0</v>
      </c>
      <c r="Q760" t="n">
        <v>0</v>
      </c>
      <c r="R760" s="2" t="inlineStr"/>
    </row>
    <row r="761" ht="15" customHeight="1">
      <c r="A761" t="inlineStr">
        <is>
          <t>A 65382-2020</t>
        </is>
      </c>
      <c r="B761" s="1" t="n">
        <v>44173</v>
      </c>
      <c r="C761" s="1" t="n">
        <v>45641</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66061-2020</t>
        </is>
      </c>
      <c r="B762" s="1" t="n">
        <v>44173</v>
      </c>
      <c r="C762" s="1" t="n">
        <v>45641</v>
      </c>
      <c r="D762" t="inlineStr">
        <is>
          <t>VÄSTERBOTTENS LÄN</t>
        </is>
      </c>
      <c r="E762" t="inlineStr">
        <is>
          <t>SKELLEFTEÅ</t>
        </is>
      </c>
      <c r="G762" t="n">
        <v>5.8</v>
      </c>
      <c r="H762" t="n">
        <v>0</v>
      </c>
      <c r="I762" t="n">
        <v>0</v>
      </c>
      <c r="J762" t="n">
        <v>0</v>
      </c>
      <c r="K762" t="n">
        <v>0</v>
      </c>
      <c r="L762" t="n">
        <v>0</v>
      </c>
      <c r="M762" t="n">
        <v>0</v>
      </c>
      <c r="N762" t="n">
        <v>0</v>
      </c>
      <c r="O762" t="n">
        <v>0</v>
      </c>
      <c r="P762" t="n">
        <v>0</v>
      </c>
      <c r="Q762" t="n">
        <v>0</v>
      </c>
      <c r="R762" s="2" t="inlineStr"/>
    </row>
    <row r="763" ht="15" customHeight="1">
      <c r="A763" t="inlineStr">
        <is>
          <t>A 66480-2020</t>
        </is>
      </c>
      <c r="B763" s="1" t="n">
        <v>44177</v>
      </c>
      <c r="C763" s="1" t="n">
        <v>45641</v>
      </c>
      <c r="D763" t="inlineStr">
        <is>
          <t>VÄSTERBOTTENS LÄN</t>
        </is>
      </c>
      <c r="E763" t="inlineStr">
        <is>
          <t>SKELLEFTEÅ</t>
        </is>
      </c>
      <c r="G763" t="n">
        <v>5.2</v>
      </c>
      <c r="H763" t="n">
        <v>0</v>
      </c>
      <c r="I763" t="n">
        <v>0</v>
      </c>
      <c r="J763" t="n">
        <v>0</v>
      </c>
      <c r="K763" t="n">
        <v>0</v>
      </c>
      <c r="L763" t="n">
        <v>0</v>
      </c>
      <c r="M763" t="n">
        <v>0</v>
      </c>
      <c r="N763" t="n">
        <v>0</v>
      </c>
      <c r="O763" t="n">
        <v>0</v>
      </c>
      <c r="P763" t="n">
        <v>0</v>
      </c>
      <c r="Q763" t="n">
        <v>0</v>
      </c>
      <c r="R763" s="2" t="inlineStr"/>
    </row>
    <row r="764" ht="15" customHeight="1">
      <c r="A764" t="inlineStr">
        <is>
          <t>A 66820-2020</t>
        </is>
      </c>
      <c r="B764" s="1" t="n">
        <v>44179</v>
      </c>
      <c r="C764" s="1" t="n">
        <v>45641</v>
      </c>
      <c r="D764" t="inlineStr">
        <is>
          <t>VÄSTERBOTTENS LÄN</t>
        </is>
      </c>
      <c r="E764" t="inlineStr">
        <is>
          <t>SKELLEFTEÅ</t>
        </is>
      </c>
      <c r="G764" t="n">
        <v>1.2</v>
      </c>
      <c r="H764" t="n">
        <v>0</v>
      </c>
      <c r="I764" t="n">
        <v>0</v>
      </c>
      <c r="J764" t="n">
        <v>0</v>
      </c>
      <c r="K764" t="n">
        <v>0</v>
      </c>
      <c r="L764" t="n">
        <v>0</v>
      </c>
      <c r="M764" t="n">
        <v>0</v>
      </c>
      <c r="N764" t="n">
        <v>0</v>
      </c>
      <c r="O764" t="n">
        <v>0</v>
      </c>
      <c r="P764" t="n">
        <v>0</v>
      </c>
      <c r="Q764" t="n">
        <v>0</v>
      </c>
      <c r="R764" s="2" t="inlineStr"/>
    </row>
    <row r="765" ht="15" customHeight="1">
      <c r="A765" t="inlineStr">
        <is>
          <t>A 67297-2020</t>
        </is>
      </c>
      <c r="B765" s="1" t="n">
        <v>44181</v>
      </c>
      <c r="C765" s="1" t="n">
        <v>45641</v>
      </c>
      <c r="D765" t="inlineStr">
        <is>
          <t>VÄSTERBOTTENS LÄN</t>
        </is>
      </c>
      <c r="E765" t="inlineStr">
        <is>
          <t>SKELLEFTEÅ</t>
        </is>
      </c>
      <c r="G765" t="n">
        <v>6.8</v>
      </c>
      <c r="H765" t="n">
        <v>0</v>
      </c>
      <c r="I765" t="n">
        <v>0</v>
      </c>
      <c r="J765" t="n">
        <v>0</v>
      </c>
      <c r="K765" t="n">
        <v>0</v>
      </c>
      <c r="L765" t="n">
        <v>0</v>
      </c>
      <c r="M765" t="n">
        <v>0</v>
      </c>
      <c r="N765" t="n">
        <v>0</v>
      </c>
      <c r="O765" t="n">
        <v>0</v>
      </c>
      <c r="P765" t="n">
        <v>0</v>
      </c>
      <c r="Q765" t="n">
        <v>0</v>
      </c>
      <c r="R765" s="2" t="inlineStr"/>
    </row>
    <row r="766" ht="15" customHeight="1">
      <c r="A766" t="inlineStr">
        <is>
          <t>A 67624-2020</t>
        </is>
      </c>
      <c r="B766" s="1" t="n">
        <v>44181</v>
      </c>
      <c r="C766" s="1" t="n">
        <v>45641</v>
      </c>
      <c r="D766" t="inlineStr">
        <is>
          <t>VÄSTERBOTTENS LÄN</t>
        </is>
      </c>
      <c r="E766" t="inlineStr">
        <is>
          <t>SKELLEFTEÅ</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67678-2020</t>
        </is>
      </c>
      <c r="B767" s="1" t="n">
        <v>44182</v>
      </c>
      <c r="C767" s="1" t="n">
        <v>45641</v>
      </c>
      <c r="D767" t="inlineStr">
        <is>
          <t>VÄSTERBOTTENS LÄN</t>
        </is>
      </c>
      <c r="E767" t="inlineStr">
        <is>
          <t>SKELLEFTEÅ</t>
        </is>
      </c>
      <c r="G767" t="n">
        <v>2.3</v>
      </c>
      <c r="H767" t="n">
        <v>0</v>
      </c>
      <c r="I767" t="n">
        <v>0</v>
      </c>
      <c r="J767" t="n">
        <v>0</v>
      </c>
      <c r="K767" t="n">
        <v>0</v>
      </c>
      <c r="L767" t="n">
        <v>0</v>
      </c>
      <c r="M767" t="n">
        <v>0</v>
      </c>
      <c r="N767" t="n">
        <v>0</v>
      </c>
      <c r="O767" t="n">
        <v>0</v>
      </c>
      <c r="P767" t="n">
        <v>0</v>
      </c>
      <c r="Q767" t="n">
        <v>0</v>
      </c>
      <c r="R767" s="2" t="inlineStr"/>
    </row>
    <row r="768" ht="15" customHeight="1">
      <c r="A768" t="inlineStr">
        <is>
          <t>A 67976-2020</t>
        </is>
      </c>
      <c r="B768" s="1" t="n">
        <v>44182</v>
      </c>
      <c r="C768" s="1" t="n">
        <v>45641</v>
      </c>
      <c r="D768" t="inlineStr">
        <is>
          <t>VÄSTERBOTTENS LÄN</t>
        </is>
      </c>
      <c r="E768" t="inlineStr">
        <is>
          <t>SKELLEFTEÅ</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68116-2020</t>
        </is>
      </c>
      <c r="B769" s="1" t="n">
        <v>44183</v>
      </c>
      <c r="C769" s="1" t="n">
        <v>45641</v>
      </c>
      <c r="D769" t="inlineStr">
        <is>
          <t>VÄSTERBOTTENS LÄN</t>
        </is>
      </c>
      <c r="E769" t="inlineStr">
        <is>
          <t>SKELLEFTEÅ</t>
        </is>
      </c>
      <c r="F769" t="inlineStr">
        <is>
          <t>Sveaskog</t>
        </is>
      </c>
      <c r="G769" t="n">
        <v>5.5</v>
      </c>
      <c r="H769" t="n">
        <v>0</v>
      </c>
      <c r="I769" t="n">
        <v>0</v>
      </c>
      <c r="J769" t="n">
        <v>0</v>
      </c>
      <c r="K769" t="n">
        <v>0</v>
      </c>
      <c r="L769" t="n">
        <v>0</v>
      </c>
      <c r="M769" t="n">
        <v>0</v>
      </c>
      <c r="N769" t="n">
        <v>0</v>
      </c>
      <c r="O769" t="n">
        <v>0</v>
      </c>
      <c r="P769" t="n">
        <v>0</v>
      </c>
      <c r="Q769" t="n">
        <v>0</v>
      </c>
      <c r="R769" s="2" t="inlineStr"/>
    </row>
    <row r="770" ht="15" customHeight="1">
      <c r="A770" t="inlineStr">
        <is>
          <t>A 68203-2020</t>
        </is>
      </c>
      <c r="B770" s="1" t="n">
        <v>44183</v>
      </c>
      <c r="C770" s="1" t="n">
        <v>45641</v>
      </c>
      <c r="D770" t="inlineStr">
        <is>
          <t>VÄSTERBOTTENS LÄN</t>
        </is>
      </c>
      <c r="E770" t="inlineStr">
        <is>
          <t>SKELLEFTEÅ</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68055-2020</t>
        </is>
      </c>
      <c r="B771" s="1" t="n">
        <v>44183</v>
      </c>
      <c r="C771" s="1" t="n">
        <v>45641</v>
      </c>
      <c r="D771" t="inlineStr">
        <is>
          <t>VÄSTERBOTTENS LÄN</t>
        </is>
      </c>
      <c r="E771" t="inlineStr">
        <is>
          <t>SKELLEFTEÅ</t>
        </is>
      </c>
      <c r="F771" t="inlineStr">
        <is>
          <t>Sveaskog</t>
        </is>
      </c>
      <c r="G771" t="n">
        <v>1.9</v>
      </c>
      <c r="H771" t="n">
        <v>0</v>
      </c>
      <c r="I771" t="n">
        <v>0</v>
      </c>
      <c r="J771" t="n">
        <v>0</v>
      </c>
      <c r="K771" t="n">
        <v>0</v>
      </c>
      <c r="L771" t="n">
        <v>0</v>
      </c>
      <c r="M771" t="n">
        <v>0</v>
      </c>
      <c r="N771" t="n">
        <v>0</v>
      </c>
      <c r="O771" t="n">
        <v>0</v>
      </c>
      <c r="P771" t="n">
        <v>0</v>
      </c>
      <c r="Q771" t="n">
        <v>0</v>
      </c>
      <c r="R771" s="2" t="inlineStr"/>
    </row>
    <row r="772" ht="15" customHeight="1">
      <c r="A772" t="inlineStr">
        <is>
          <t>A 68564-2020</t>
        </is>
      </c>
      <c r="B772" s="1" t="n">
        <v>44186</v>
      </c>
      <c r="C772" s="1" t="n">
        <v>45641</v>
      </c>
      <c r="D772" t="inlineStr">
        <is>
          <t>VÄSTERBOTTENS LÄN</t>
        </is>
      </c>
      <c r="E772" t="inlineStr">
        <is>
          <t>SKELLEFTEÅ</t>
        </is>
      </c>
      <c r="G772" t="n">
        <v>11.4</v>
      </c>
      <c r="H772" t="n">
        <v>0</v>
      </c>
      <c r="I772" t="n">
        <v>0</v>
      </c>
      <c r="J772" t="n">
        <v>0</v>
      </c>
      <c r="K772" t="n">
        <v>0</v>
      </c>
      <c r="L772" t="n">
        <v>0</v>
      </c>
      <c r="M772" t="n">
        <v>0</v>
      </c>
      <c r="N772" t="n">
        <v>0</v>
      </c>
      <c r="O772" t="n">
        <v>0</v>
      </c>
      <c r="P772" t="n">
        <v>0</v>
      </c>
      <c r="Q772" t="n">
        <v>0</v>
      </c>
      <c r="R772" s="2" t="inlineStr"/>
    </row>
    <row r="773" ht="15" customHeight="1">
      <c r="A773" t="inlineStr">
        <is>
          <t>A 69583-2020</t>
        </is>
      </c>
      <c r="B773" s="1" t="n">
        <v>44195</v>
      </c>
      <c r="C773" s="1" t="n">
        <v>45641</v>
      </c>
      <c r="D773" t="inlineStr">
        <is>
          <t>VÄSTERBOTTENS LÄN</t>
        </is>
      </c>
      <c r="E773" t="inlineStr">
        <is>
          <t>SKELLEFTEÅ</t>
        </is>
      </c>
      <c r="G773" t="n">
        <v>2.1</v>
      </c>
      <c r="H773" t="n">
        <v>0</v>
      </c>
      <c r="I773" t="n">
        <v>0</v>
      </c>
      <c r="J773" t="n">
        <v>0</v>
      </c>
      <c r="K773" t="n">
        <v>0</v>
      </c>
      <c r="L773" t="n">
        <v>0</v>
      </c>
      <c r="M773" t="n">
        <v>0</v>
      </c>
      <c r="N773" t="n">
        <v>0</v>
      </c>
      <c r="O773" t="n">
        <v>0</v>
      </c>
      <c r="P773" t="n">
        <v>0</v>
      </c>
      <c r="Q773" t="n">
        <v>0</v>
      </c>
      <c r="R773" s="2" t="inlineStr"/>
    </row>
    <row r="774" ht="15" customHeight="1">
      <c r="A774" t="inlineStr">
        <is>
          <t>A 69585-2020</t>
        </is>
      </c>
      <c r="B774" s="1" t="n">
        <v>44195</v>
      </c>
      <c r="C774" s="1" t="n">
        <v>45641</v>
      </c>
      <c r="D774" t="inlineStr">
        <is>
          <t>VÄSTERBOTTENS LÄN</t>
        </is>
      </c>
      <c r="E774" t="inlineStr">
        <is>
          <t>SKELLEFTEÅ</t>
        </is>
      </c>
      <c r="G774" t="n">
        <v>4.5</v>
      </c>
      <c r="H774" t="n">
        <v>0</v>
      </c>
      <c r="I774" t="n">
        <v>0</v>
      </c>
      <c r="J774" t="n">
        <v>0</v>
      </c>
      <c r="K774" t="n">
        <v>0</v>
      </c>
      <c r="L774" t="n">
        <v>0</v>
      </c>
      <c r="M774" t="n">
        <v>0</v>
      </c>
      <c r="N774" t="n">
        <v>0</v>
      </c>
      <c r="O774" t="n">
        <v>0</v>
      </c>
      <c r="P774" t="n">
        <v>0</v>
      </c>
      <c r="Q774" t="n">
        <v>0</v>
      </c>
      <c r="R774" s="2" t="inlineStr"/>
    </row>
    <row r="775" ht="15" customHeight="1">
      <c r="A775" t="inlineStr">
        <is>
          <t>A 69581-2020</t>
        </is>
      </c>
      <c r="B775" s="1" t="n">
        <v>44195</v>
      </c>
      <c r="C775" s="1" t="n">
        <v>45641</v>
      </c>
      <c r="D775" t="inlineStr">
        <is>
          <t>VÄSTERBOTTENS LÄN</t>
        </is>
      </c>
      <c r="E775" t="inlineStr">
        <is>
          <t>SKELLEFTEÅ</t>
        </is>
      </c>
      <c r="G775" t="n">
        <v>2.7</v>
      </c>
      <c r="H775" t="n">
        <v>0</v>
      </c>
      <c r="I775" t="n">
        <v>0</v>
      </c>
      <c r="J775" t="n">
        <v>0</v>
      </c>
      <c r="K775" t="n">
        <v>0</v>
      </c>
      <c r="L775" t="n">
        <v>0</v>
      </c>
      <c r="M775" t="n">
        <v>0</v>
      </c>
      <c r="N775" t="n">
        <v>0</v>
      </c>
      <c r="O775" t="n">
        <v>0</v>
      </c>
      <c r="P775" t="n">
        <v>0</v>
      </c>
      <c r="Q775" t="n">
        <v>0</v>
      </c>
      <c r="R775" s="2" t="inlineStr"/>
    </row>
    <row r="776" ht="15" customHeight="1">
      <c r="A776" t="inlineStr">
        <is>
          <t>A 353-2021</t>
        </is>
      </c>
      <c r="B776" s="1" t="n">
        <v>44201</v>
      </c>
      <c r="C776" s="1" t="n">
        <v>45641</v>
      </c>
      <c r="D776" t="inlineStr">
        <is>
          <t>VÄSTERBOTTENS LÄN</t>
        </is>
      </c>
      <c r="E776" t="inlineStr">
        <is>
          <t>SKELLEFTEÅ</t>
        </is>
      </c>
      <c r="G776" t="n">
        <v>37.7</v>
      </c>
      <c r="H776" t="n">
        <v>0</v>
      </c>
      <c r="I776" t="n">
        <v>0</v>
      </c>
      <c r="J776" t="n">
        <v>0</v>
      </c>
      <c r="K776" t="n">
        <v>0</v>
      </c>
      <c r="L776" t="n">
        <v>0</v>
      </c>
      <c r="M776" t="n">
        <v>0</v>
      </c>
      <c r="N776" t="n">
        <v>0</v>
      </c>
      <c r="O776" t="n">
        <v>0</v>
      </c>
      <c r="P776" t="n">
        <v>0</v>
      </c>
      <c r="Q776" t="n">
        <v>0</v>
      </c>
      <c r="R776" s="2" t="inlineStr"/>
    </row>
    <row r="777" ht="15" customHeight="1">
      <c r="A777" t="inlineStr">
        <is>
          <t>A 1076-2021</t>
        </is>
      </c>
      <c r="B777" s="1" t="n">
        <v>44207</v>
      </c>
      <c r="C777" s="1" t="n">
        <v>45641</v>
      </c>
      <c r="D777" t="inlineStr">
        <is>
          <t>VÄSTERBOTTENS LÄN</t>
        </is>
      </c>
      <c r="E777" t="inlineStr">
        <is>
          <t>SKELLEFTEÅ</t>
        </is>
      </c>
      <c r="F777" t="inlineStr">
        <is>
          <t>Holmen skog AB</t>
        </is>
      </c>
      <c r="G777" t="n">
        <v>3.4</v>
      </c>
      <c r="H777" t="n">
        <v>0</v>
      </c>
      <c r="I777" t="n">
        <v>0</v>
      </c>
      <c r="J777" t="n">
        <v>0</v>
      </c>
      <c r="K777" t="n">
        <v>0</v>
      </c>
      <c r="L777" t="n">
        <v>0</v>
      </c>
      <c r="M777" t="n">
        <v>0</v>
      </c>
      <c r="N777" t="n">
        <v>0</v>
      </c>
      <c r="O777" t="n">
        <v>0</v>
      </c>
      <c r="P777" t="n">
        <v>0</v>
      </c>
      <c r="Q777" t="n">
        <v>0</v>
      </c>
      <c r="R777" s="2" t="inlineStr"/>
    </row>
    <row r="778" ht="15" customHeight="1">
      <c r="A778" t="inlineStr">
        <is>
          <t>A 1149-2021</t>
        </is>
      </c>
      <c r="B778" s="1" t="n">
        <v>44207</v>
      </c>
      <c r="C778" s="1" t="n">
        <v>45641</v>
      </c>
      <c r="D778" t="inlineStr">
        <is>
          <t>VÄSTERBOTTENS LÄN</t>
        </is>
      </c>
      <c r="E778" t="inlineStr">
        <is>
          <t>SKELLEFTEÅ</t>
        </is>
      </c>
      <c r="G778" t="n">
        <v>3.1</v>
      </c>
      <c r="H778" t="n">
        <v>0</v>
      </c>
      <c r="I778" t="n">
        <v>0</v>
      </c>
      <c r="J778" t="n">
        <v>0</v>
      </c>
      <c r="K778" t="n">
        <v>0</v>
      </c>
      <c r="L778" t="n">
        <v>0</v>
      </c>
      <c r="M778" t="n">
        <v>0</v>
      </c>
      <c r="N778" t="n">
        <v>0</v>
      </c>
      <c r="O778" t="n">
        <v>0</v>
      </c>
      <c r="P778" t="n">
        <v>0</v>
      </c>
      <c r="Q778" t="n">
        <v>0</v>
      </c>
      <c r="R778" s="2" t="inlineStr"/>
    </row>
    <row r="779" ht="15" customHeight="1">
      <c r="A779" t="inlineStr">
        <is>
          <t>A 1140-2021</t>
        </is>
      </c>
      <c r="B779" s="1" t="n">
        <v>44207</v>
      </c>
      <c r="C779" s="1" t="n">
        <v>45641</v>
      </c>
      <c r="D779" t="inlineStr">
        <is>
          <t>VÄSTERBOTTENS LÄN</t>
        </is>
      </c>
      <c r="E779" t="inlineStr">
        <is>
          <t>SKELLEFTEÅ</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1891-2021</t>
        </is>
      </c>
      <c r="B780" s="1" t="n">
        <v>44210</v>
      </c>
      <c r="C780" s="1" t="n">
        <v>45641</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2575-2021</t>
        </is>
      </c>
      <c r="B781" s="1" t="n">
        <v>44214</v>
      </c>
      <c r="C781" s="1" t="n">
        <v>45641</v>
      </c>
      <c r="D781" t="inlineStr">
        <is>
          <t>VÄSTERBOTTENS LÄN</t>
        </is>
      </c>
      <c r="E781" t="inlineStr">
        <is>
          <t>SKELLEFTEÅ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3031-2021</t>
        </is>
      </c>
      <c r="B782" s="1" t="n">
        <v>44216</v>
      </c>
      <c r="C782" s="1" t="n">
        <v>45641</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3844-2021</t>
        </is>
      </c>
      <c r="B783" s="1" t="n">
        <v>44216</v>
      </c>
      <c r="C783" s="1" t="n">
        <v>45641</v>
      </c>
      <c r="D783" t="inlineStr">
        <is>
          <t>VÄSTERBOTTENS LÄN</t>
        </is>
      </c>
      <c r="E783" t="inlineStr">
        <is>
          <t>SKELLEFTEÅ</t>
        </is>
      </c>
      <c r="G783" t="n">
        <v>3.7</v>
      </c>
      <c r="H783" t="n">
        <v>0</v>
      </c>
      <c r="I783" t="n">
        <v>0</v>
      </c>
      <c r="J783" t="n">
        <v>0</v>
      </c>
      <c r="K783" t="n">
        <v>0</v>
      </c>
      <c r="L783" t="n">
        <v>0</v>
      </c>
      <c r="M783" t="n">
        <v>0</v>
      </c>
      <c r="N783" t="n">
        <v>0</v>
      </c>
      <c r="O783" t="n">
        <v>0</v>
      </c>
      <c r="P783" t="n">
        <v>0</v>
      </c>
      <c r="Q783" t="n">
        <v>0</v>
      </c>
      <c r="R783" s="2" t="inlineStr"/>
    </row>
    <row r="784" ht="15" customHeight="1">
      <c r="A784" t="inlineStr">
        <is>
          <t>A 3951-2021</t>
        </is>
      </c>
      <c r="B784" s="1" t="n">
        <v>44217</v>
      </c>
      <c r="C784" s="1" t="n">
        <v>45641</v>
      </c>
      <c r="D784" t="inlineStr">
        <is>
          <t>VÄSTERBOTTENS LÄN</t>
        </is>
      </c>
      <c r="E784" t="inlineStr">
        <is>
          <t>SKELLEFTEÅ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4202-2021</t>
        </is>
      </c>
      <c r="B785" s="1" t="n">
        <v>44218</v>
      </c>
      <c r="C785" s="1" t="n">
        <v>45641</v>
      </c>
      <c r="D785" t="inlineStr">
        <is>
          <t>VÄSTERBOTTENS LÄN</t>
        </is>
      </c>
      <c r="E785" t="inlineStr">
        <is>
          <t>SKELLEFTEÅ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3575-2021</t>
        </is>
      </c>
      <c r="B786" s="1" t="n">
        <v>44218</v>
      </c>
      <c r="C786" s="1" t="n">
        <v>45641</v>
      </c>
      <c r="D786" t="inlineStr">
        <is>
          <t>VÄSTERBOTTENS LÄN</t>
        </is>
      </c>
      <c r="E786" t="inlineStr">
        <is>
          <t>SKELLEFTEÅ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3934-2021</t>
        </is>
      </c>
      <c r="B787" s="1" t="n">
        <v>44221</v>
      </c>
      <c r="C787" s="1" t="n">
        <v>45641</v>
      </c>
      <c r="D787" t="inlineStr">
        <is>
          <t>VÄSTERBOTTENS LÄN</t>
        </is>
      </c>
      <c r="E787" t="inlineStr">
        <is>
          <t>SKELLEFTEÅ</t>
        </is>
      </c>
      <c r="G787" t="n">
        <v>2.5</v>
      </c>
      <c r="H787" t="n">
        <v>0</v>
      </c>
      <c r="I787" t="n">
        <v>0</v>
      </c>
      <c r="J787" t="n">
        <v>0</v>
      </c>
      <c r="K787" t="n">
        <v>0</v>
      </c>
      <c r="L787" t="n">
        <v>0</v>
      </c>
      <c r="M787" t="n">
        <v>0</v>
      </c>
      <c r="N787" t="n">
        <v>0</v>
      </c>
      <c r="O787" t="n">
        <v>0</v>
      </c>
      <c r="P787" t="n">
        <v>0</v>
      </c>
      <c r="Q787" t="n">
        <v>0</v>
      </c>
      <c r="R787" s="2" t="inlineStr"/>
    </row>
    <row r="788" ht="15" customHeight="1">
      <c r="A788" t="inlineStr">
        <is>
          <t>A 4299-2021</t>
        </is>
      </c>
      <c r="B788" s="1" t="n">
        <v>44223</v>
      </c>
      <c r="C788" s="1" t="n">
        <v>45641</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5095-2021</t>
        </is>
      </c>
      <c r="B789" s="1" t="n">
        <v>44224</v>
      </c>
      <c r="C789" s="1" t="n">
        <v>45641</v>
      </c>
      <c r="D789" t="inlineStr">
        <is>
          <t>VÄSTERBOTTENS LÄN</t>
        </is>
      </c>
      <c r="E789" t="inlineStr">
        <is>
          <t>SKELLEFTEÅ</t>
        </is>
      </c>
      <c r="G789" t="n">
        <v>5.6</v>
      </c>
      <c r="H789" t="n">
        <v>0</v>
      </c>
      <c r="I789" t="n">
        <v>0</v>
      </c>
      <c r="J789" t="n">
        <v>0</v>
      </c>
      <c r="K789" t="n">
        <v>0</v>
      </c>
      <c r="L789" t="n">
        <v>0</v>
      </c>
      <c r="M789" t="n">
        <v>0</v>
      </c>
      <c r="N789" t="n">
        <v>0</v>
      </c>
      <c r="O789" t="n">
        <v>0</v>
      </c>
      <c r="P789" t="n">
        <v>0</v>
      </c>
      <c r="Q789" t="n">
        <v>0</v>
      </c>
      <c r="R789" s="2" t="inlineStr"/>
    </row>
    <row r="790" ht="15" customHeight="1">
      <c r="A790" t="inlineStr">
        <is>
          <t>A 5143-2021</t>
        </is>
      </c>
      <c r="B790" s="1" t="n">
        <v>44228</v>
      </c>
      <c r="C790" s="1" t="n">
        <v>45641</v>
      </c>
      <c r="D790" t="inlineStr">
        <is>
          <t>VÄSTERBOTTENS LÄN</t>
        </is>
      </c>
      <c r="E790" t="inlineStr">
        <is>
          <t>SKELLEFTEÅ</t>
        </is>
      </c>
      <c r="G790" t="n">
        <v>5.3</v>
      </c>
      <c r="H790" t="n">
        <v>0</v>
      </c>
      <c r="I790" t="n">
        <v>0</v>
      </c>
      <c r="J790" t="n">
        <v>0</v>
      </c>
      <c r="K790" t="n">
        <v>0</v>
      </c>
      <c r="L790" t="n">
        <v>0</v>
      </c>
      <c r="M790" t="n">
        <v>0</v>
      </c>
      <c r="N790" t="n">
        <v>0</v>
      </c>
      <c r="O790" t="n">
        <v>0</v>
      </c>
      <c r="P790" t="n">
        <v>0</v>
      </c>
      <c r="Q790" t="n">
        <v>0</v>
      </c>
      <c r="R790" s="2" t="inlineStr"/>
    </row>
    <row r="791" ht="15" customHeight="1">
      <c r="A791" t="inlineStr">
        <is>
          <t>A 5603-2021</t>
        </is>
      </c>
      <c r="B791" s="1" t="n">
        <v>44230</v>
      </c>
      <c r="C791" s="1" t="n">
        <v>45641</v>
      </c>
      <c r="D791" t="inlineStr">
        <is>
          <t>VÄSTERBOTTENS LÄN</t>
        </is>
      </c>
      <c r="E791" t="inlineStr">
        <is>
          <t>SKELLEFTEÅ</t>
        </is>
      </c>
      <c r="G791" t="n">
        <v>2.6</v>
      </c>
      <c r="H791" t="n">
        <v>0</v>
      </c>
      <c r="I791" t="n">
        <v>0</v>
      </c>
      <c r="J791" t="n">
        <v>0</v>
      </c>
      <c r="K791" t="n">
        <v>0</v>
      </c>
      <c r="L791" t="n">
        <v>0</v>
      </c>
      <c r="M791" t="n">
        <v>0</v>
      </c>
      <c r="N791" t="n">
        <v>0</v>
      </c>
      <c r="O791" t="n">
        <v>0</v>
      </c>
      <c r="P791" t="n">
        <v>0</v>
      </c>
      <c r="Q791" t="n">
        <v>0</v>
      </c>
      <c r="R791" s="2" t="inlineStr"/>
    </row>
    <row r="792" ht="15" customHeight="1">
      <c r="A792" t="inlineStr">
        <is>
          <t>A 6356-2021</t>
        </is>
      </c>
      <c r="B792" s="1" t="n">
        <v>44235</v>
      </c>
      <c r="C792" s="1" t="n">
        <v>45641</v>
      </c>
      <c r="D792" t="inlineStr">
        <is>
          <t>VÄSTERBOTTENS LÄN</t>
        </is>
      </c>
      <c r="E792" t="inlineStr">
        <is>
          <t>SKELLEFTEÅ</t>
        </is>
      </c>
      <c r="G792" t="n">
        <v>1.9</v>
      </c>
      <c r="H792" t="n">
        <v>0</v>
      </c>
      <c r="I792" t="n">
        <v>0</v>
      </c>
      <c r="J792" t="n">
        <v>0</v>
      </c>
      <c r="K792" t="n">
        <v>0</v>
      </c>
      <c r="L792" t="n">
        <v>0</v>
      </c>
      <c r="M792" t="n">
        <v>0</v>
      </c>
      <c r="N792" t="n">
        <v>0</v>
      </c>
      <c r="O792" t="n">
        <v>0</v>
      </c>
      <c r="P792" t="n">
        <v>0</v>
      </c>
      <c r="Q792" t="n">
        <v>0</v>
      </c>
      <c r="R792" s="2" t="inlineStr"/>
    </row>
    <row r="793" ht="15" customHeight="1">
      <c r="A793" t="inlineStr">
        <is>
          <t>A 6557-2021</t>
        </is>
      </c>
      <c r="B793" s="1" t="n">
        <v>44236</v>
      </c>
      <c r="C793" s="1" t="n">
        <v>45641</v>
      </c>
      <c r="D793" t="inlineStr">
        <is>
          <t>VÄSTERBOTTENS LÄN</t>
        </is>
      </c>
      <c r="E793" t="inlineStr">
        <is>
          <t>SKELLEFTEÅ</t>
        </is>
      </c>
      <c r="G793" t="n">
        <v>6.4</v>
      </c>
      <c r="H793" t="n">
        <v>0</v>
      </c>
      <c r="I793" t="n">
        <v>0</v>
      </c>
      <c r="J793" t="n">
        <v>0</v>
      </c>
      <c r="K793" t="n">
        <v>0</v>
      </c>
      <c r="L793" t="n">
        <v>0</v>
      </c>
      <c r="M793" t="n">
        <v>0</v>
      </c>
      <c r="N793" t="n">
        <v>0</v>
      </c>
      <c r="O793" t="n">
        <v>0</v>
      </c>
      <c r="P793" t="n">
        <v>0</v>
      </c>
      <c r="Q793" t="n">
        <v>0</v>
      </c>
      <c r="R793" s="2" t="inlineStr"/>
    </row>
    <row r="794" ht="15" customHeight="1">
      <c r="A794" t="inlineStr">
        <is>
          <t>A 6635-2021</t>
        </is>
      </c>
      <c r="B794" s="1" t="n">
        <v>44236</v>
      </c>
      <c r="C794" s="1" t="n">
        <v>45641</v>
      </c>
      <c r="D794" t="inlineStr">
        <is>
          <t>VÄSTERBOTTENS LÄN</t>
        </is>
      </c>
      <c r="E794" t="inlineStr">
        <is>
          <t>SKELLEFTEÅ</t>
        </is>
      </c>
      <c r="G794" t="n">
        <v>3</v>
      </c>
      <c r="H794" t="n">
        <v>0</v>
      </c>
      <c r="I794" t="n">
        <v>0</v>
      </c>
      <c r="J794" t="n">
        <v>0</v>
      </c>
      <c r="K794" t="n">
        <v>0</v>
      </c>
      <c r="L794" t="n">
        <v>0</v>
      </c>
      <c r="M794" t="n">
        <v>0</v>
      </c>
      <c r="N794" t="n">
        <v>0</v>
      </c>
      <c r="O794" t="n">
        <v>0</v>
      </c>
      <c r="P794" t="n">
        <v>0</v>
      </c>
      <c r="Q794" t="n">
        <v>0</v>
      </c>
      <c r="R794" s="2" t="inlineStr"/>
    </row>
    <row r="795" ht="15" customHeight="1">
      <c r="A795" t="inlineStr">
        <is>
          <t>A 7038-2021</t>
        </is>
      </c>
      <c r="B795" s="1" t="n">
        <v>44237</v>
      </c>
      <c r="C795" s="1" t="n">
        <v>45641</v>
      </c>
      <c r="D795" t="inlineStr">
        <is>
          <t>VÄSTERBOTTENS LÄN</t>
        </is>
      </c>
      <c r="E795" t="inlineStr">
        <is>
          <t>SKELLEFTEÅ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7034-2021</t>
        </is>
      </c>
      <c r="B796" s="1" t="n">
        <v>44237</v>
      </c>
      <c r="C796" s="1" t="n">
        <v>45641</v>
      </c>
      <c r="D796" t="inlineStr">
        <is>
          <t>VÄSTERBOTTENS LÄN</t>
        </is>
      </c>
      <c r="E796" t="inlineStr">
        <is>
          <t>SKELLEFTEÅ</t>
        </is>
      </c>
      <c r="G796" t="n">
        <v>10.1</v>
      </c>
      <c r="H796" t="n">
        <v>0</v>
      </c>
      <c r="I796" t="n">
        <v>0</v>
      </c>
      <c r="J796" t="n">
        <v>0</v>
      </c>
      <c r="K796" t="n">
        <v>0</v>
      </c>
      <c r="L796" t="n">
        <v>0</v>
      </c>
      <c r="M796" t="n">
        <v>0</v>
      </c>
      <c r="N796" t="n">
        <v>0</v>
      </c>
      <c r="O796" t="n">
        <v>0</v>
      </c>
      <c r="P796" t="n">
        <v>0</v>
      </c>
      <c r="Q796" t="n">
        <v>0</v>
      </c>
      <c r="R796" s="2" t="inlineStr"/>
    </row>
    <row r="797" ht="15" customHeight="1">
      <c r="A797" t="inlineStr">
        <is>
          <t>A 7823-2021</t>
        </is>
      </c>
      <c r="B797" s="1" t="n">
        <v>44242</v>
      </c>
      <c r="C797" s="1" t="n">
        <v>45641</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7950-2021</t>
        </is>
      </c>
      <c r="B798" s="1" t="n">
        <v>44242</v>
      </c>
      <c r="C798" s="1" t="n">
        <v>45641</v>
      </c>
      <c r="D798" t="inlineStr">
        <is>
          <t>VÄSTERBOTTENS LÄN</t>
        </is>
      </c>
      <c r="E798" t="inlineStr">
        <is>
          <t>SKELLEFTEÅ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8644-2021</t>
        </is>
      </c>
      <c r="B799" s="1" t="n">
        <v>44245</v>
      </c>
      <c r="C799" s="1" t="n">
        <v>45641</v>
      </c>
      <c r="D799" t="inlineStr">
        <is>
          <t>VÄSTERBOTTENS LÄN</t>
        </is>
      </c>
      <c r="E799" t="inlineStr">
        <is>
          <t>SKELLEFTEÅ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8648-2021</t>
        </is>
      </c>
      <c r="B800" s="1" t="n">
        <v>44245</v>
      </c>
      <c r="C800" s="1" t="n">
        <v>45641</v>
      </c>
      <c r="D800" t="inlineStr">
        <is>
          <t>VÄSTERBOTTENS LÄN</t>
        </is>
      </c>
      <c r="E800" t="inlineStr">
        <is>
          <t>SKELLEFTEÅ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8911-2021</t>
        </is>
      </c>
      <c r="B801" s="1" t="n">
        <v>44245</v>
      </c>
      <c r="C801" s="1" t="n">
        <v>45641</v>
      </c>
      <c r="D801" t="inlineStr">
        <is>
          <t>VÄSTERBOTTENS LÄN</t>
        </is>
      </c>
      <c r="E801" t="inlineStr">
        <is>
          <t>SKELLEFTEÅ</t>
        </is>
      </c>
      <c r="G801" t="n">
        <v>4.5</v>
      </c>
      <c r="H801" t="n">
        <v>0</v>
      </c>
      <c r="I801" t="n">
        <v>0</v>
      </c>
      <c r="J801" t="n">
        <v>0</v>
      </c>
      <c r="K801" t="n">
        <v>0</v>
      </c>
      <c r="L801" t="n">
        <v>0</v>
      </c>
      <c r="M801" t="n">
        <v>0</v>
      </c>
      <c r="N801" t="n">
        <v>0</v>
      </c>
      <c r="O801" t="n">
        <v>0</v>
      </c>
      <c r="P801" t="n">
        <v>0</v>
      </c>
      <c r="Q801" t="n">
        <v>0</v>
      </c>
      <c r="R801" s="2" t="inlineStr"/>
    </row>
    <row r="802" ht="15" customHeight="1">
      <c r="A802" t="inlineStr">
        <is>
          <t>A 8652-2021</t>
        </is>
      </c>
      <c r="B802" s="1" t="n">
        <v>44245</v>
      </c>
      <c r="C802" s="1" t="n">
        <v>45641</v>
      </c>
      <c r="D802" t="inlineStr">
        <is>
          <t>VÄSTERBOTTENS LÄN</t>
        </is>
      </c>
      <c r="E802" t="inlineStr">
        <is>
          <t>SKELLEFTEÅ</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8846-2021</t>
        </is>
      </c>
      <c r="B803" s="1" t="n">
        <v>44246</v>
      </c>
      <c r="C803" s="1" t="n">
        <v>45641</v>
      </c>
      <c r="D803" t="inlineStr">
        <is>
          <t>VÄSTERBOTTENS LÄN</t>
        </is>
      </c>
      <c r="E803" t="inlineStr">
        <is>
          <t>SKELLEFTEÅ</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9081-2021</t>
        </is>
      </c>
      <c r="B804" s="1" t="n">
        <v>44249</v>
      </c>
      <c r="C804" s="1" t="n">
        <v>45641</v>
      </c>
      <c r="D804" t="inlineStr">
        <is>
          <t>VÄSTERBOTTENS LÄN</t>
        </is>
      </c>
      <c r="E804" t="inlineStr">
        <is>
          <t>SKELLEFTEÅ</t>
        </is>
      </c>
      <c r="G804" t="n">
        <v>16.2</v>
      </c>
      <c r="H804" t="n">
        <v>0</v>
      </c>
      <c r="I804" t="n">
        <v>0</v>
      </c>
      <c r="J804" t="n">
        <v>0</v>
      </c>
      <c r="K804" t="n">
        <v>0</v>
      </c>
      <c r="L804" t="n">
        <v>0</v>
      </c>
      <c r="M804" t="n">
        <v>0</v>
      </c>
      <c r="N804" t="n">
        <v>0</v>
      </c>
      <c r="O804" t="n">
        <v>0</v>
      </c>
      <c r="P804" t="n">
        <v>0</v>
      </c>
      <c r="Q804" t="n">
        <v>0</v>
      </c>
      <c r="R804" s="2" t="inlineStr"/>
    </row>
    <row r="805" ht="15" customHeight="1">
      <c r="A805" t="inlineStr">
        <is>
          <t>A 9045-2021</t>
        </is>
      </c>
      <c r="B805" s="1" t="n">
        <v>44249</v>
      </c>
      <c r="C805" s="1" t="n">
        <v>45641</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9059-2021</t>
        </is>
      </c>
      <c r="B806" s="1" t="n">
        <v>44249</v>
      </c>
      <c r="C806" s="1" t="n">
        <v>45641</v>
      </c>
      <c r="D806" t="inlineStr">
        <is>
          <t>VÄSTERBOTTENS LÄN</t>
        </is>
      </c>
      <c r="E806" t="inlineStr">
        <is>
          <t>SKELLEFTEÅ</t>
        </is>
      </c>
      <c r="G806" t="n">
        <v>6.1</v>
      </c>
      <c r="H806" t="n">
        <v>0</v>
      </c>
      <c r="I806" t="n">
        <v>0</v>
      </c>
      <c r="J806" t="n">
        <v>0</v>
      </c>
      <c r="K806" t="n">
        <v>0</v>
      </c>
      <c r="L806" t="n">
        <v>0</v>
      </c>
      <c r="M806" t="n">
        <v>0</v>
      </c>
      <c r="N806" t="n">
        <v>0</v>
      </c>
      <c r="O806" t="n">
        <v>0</v>
      </c>
      <c r="P806" t="n">
        <v>0</v>
      </c>
      <c r="Q806" t="n">
        <v>0</v>
      </c>
      <c r="R806" s="2" t="inlineStr"/>
    </row>
    <row r="807" ht="15" customHeight="1">
      <c r="A807" t="inlineStr">
        <is>
          <t>A 9192-2021</t>
        </is>
      </c>
      <c r="B807" s="1" t="n">
        <v>44249</v>
      </c>
      <c r="C807" s="1" t="n">
        <v>45641</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9035-2021</t>
        </is>
      </c>
      <c r="B808" s="1" t="n">
        <v>44249</v>
      </c>
      <c r="C808" s="1" t="n">
        <v>45641</v>
      </c>
      <c r="D808" t="inlineStr">
        <is>
          <t>VÄSTERBOTTENS LÄN</t>
        </is>
      </c>
      <c r="E808" t="inlineStr">
        <is>
          <t>SKELLEFTEÅ</t>
        </is>
      </c>
      <c r="G808" t="n">
        <v>6.7</v>
      </c>
      <c r="H808" t="n">
        <v>0</v>
      </c>
      <c r="I808" t="n">
        <v>0</v>
      </c>
      <c r="J808" t="n">
        <v>0</v>
      </c>
      <c r="K808" t="n">
        <v>0</v>
      </c>
      <c r="L808" t="n">
        <v>0</v>
      </c>
      <c r="M808" t="n">
        <v>0</v>
      </c>
      <c r="N808" t="n">
        <v>0</v>
      </c>
      <c r="O808" t="n">
        <v>0</v>
      </c>
      <c r="P808" t="n">
        <v>0</v>
      </c>
      <c r="Q808" t="n">
        <v>0</v>
      </c>
      <c r="R808" s="2" t="inlineStr"/>
    </row>
    <row r="809" ht="15" customHeight="1">
      <c r="A809" t="inlineStr">
        <is>
          <t>A 9051-2021</t>
        </is>
      </c>
      <c r="B809" s="1" t="n">
        <v>44249</v>
      </c>
      <c r="C809" s="1" t="n">
        <v>45641</v>
      </c>
      <c r="D809" t="inlineStr">
        <is>
          <t>VÄSTERBOTTENS LÄN</t>
        </is>
      </c>
      <c r="E809" t="inlineStr">
        <is>
          <t>SKELLEFTEÅ</t>
        </is>
      </c>
      <c r="G809" t="n">
        <v>5</v>
      </c>
      <c r="H809" t="n">
        <v>0</v>
      </c>
      <c r="I809" t="n">
        <v>0</v>
      </c>
      <c r="J809" t="n">
        <v>0</v>
      </c>
      <c r="K809" t="n">
        <v>0</v>
      </c>
      <c r="L809" t="n">
        <v>0</v>
      </c>
      <c r="M809" t="n">
        <v>0</v>
      </c>
      <c r="N809" t="n">
        <v>0</v>
      </c>
      <c r="O809" t="n">
        <v>0</v>
      </c>
      <c r="P809" t="n">
        <v>0</v>
      </c>
      <c r="Q809" t="n">
        <v>0</v>
      </c>
      <c r="R809" s="2" t="inlineStr"/>
    </row>
    <row r="810" ht="15" customHeight="1">
      <c r="A810" t="inlineStr">
        <is>
          <t>A 9090-2021</t>
        </is>
      </c>
      <c r="B810" s="1" t="n">
        <v>44249</v>
      </c>
      <c r="C810" s="1" t="n">
        <v>45641</v>
      </c>
      <c r="D810" t="inlineStr">
        <is>
          <t>VÄSTERBOTTENS LÄN</t>
        </is>
      </c>
      <c r="E810" t="inlineStr">
        <is>
          <t>SKELLEFTEÅ</t>
        </is>
      </c>
      <c r="G810" t="n">
        <v>10.8</v>
      </c>
      <c r="H810" t="n">
        <v>0</v>
      </c>
      <c r="I810" t="n">
        <v>0</v>
      </c>
      <c r="J810" t="n">
        <v>0</v>
      </c>
      <c r="K810" t="n">
        <v>0</v>
      </c>
      <c r="L810" t="n">
        <v>0</v>
      </c>
      <c r="M810" t="n">
        <v>0</v>
      </c>
      <c r="N810" t="n">
        <v>0</v>
      </c>
      <c r="O810" t="n">
        <v>0</v>
      </c>
      <c r="P810" t="n">
        <v>0</v>
      </c>
      <c r="Q810" t="n">
        <v>0</v>
      </c>
      <c r="R810" s="2" t="inlineStr"/>
    </row>
    <row r="811" ht="15" customHeight="1">
      <c r="A811" t="inlineStr">
        <is>
          <t>A 10051-2021</t>
        </is>
      </c>
      <c r="B811" s="1" t="n">
        <v>44256</v>
      </c>
      <c r="C811" s="1" t="n">
        <v>45641</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10471-2021</t>
        </is>
      </c>
      <c r="B812" s="1" t="n">
        <v>44257</v>
      </c>
      <c r="C812" s="1" t="n">
        <v>45641</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11087-2021</t>
        </is>
      </c>
      <c r="B813" s="1" t="n">
        <v>44259</v>
      </c>
      <c r="C813" s="1" t="n">
        <v>45641</v>
      </c>
      <c r="D813" t="inlineStr">
        <is>
          <t>VÄSTERBOTTENS LÄN</t>
        </is>
      </c>
      <c r="E813" t="inlineStr">
        <is>
          <t>SKELLEFTEÅ</t>
        </is>
      </c>
      <c r="G813" t="n">
        <v>4.6</v>
      </c>
      <c r="H813" t="n">
        <v>0</v>
      </c>
      <c r="I813" t="n">
        <v>0</v>
      </c>
      <c r="J813" t="n">
        <v>0</v>
      </c>
      <c r="K813" t="n">
        <v>0</v>
      </c>
      <c r="L813" t="n">
        <v>0</v>
      </c>
      <c r="M813" t="n">
        <v>0</v>
      </c>
      <c r="N813" t="n">
        <v>0</v>
      </c>
      <c r="O813" t="n">
        <v>0</v>
      </c>
      <c r="P813" t="n">
        <v>0</v>
      </c>
      <c r="Q813" t="n">
        <v>0</v>
      </c>
      <c r="R813" s="2" t="inlineStr"/>
    </row>
    <row r="814" ht="15" customHeight="1">
      <c r="A814" t="inlineStr">
        <is>
          <t>A 11102-2021</t>
        </is>
      </c>
      <c r="B814" s="1" t="n">
        <v>44259</v>
      </c>
      <c r="C814" s="1" t="n">
        <v>45641</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11409-2021</t>
        </is>
      </c>
      <c r="B815" s="1" t="n">
        <v>44263</v>
      </c>
      <c r="C815" s="1" t="n">
        <v>45641</v>
      </c>
      <c r="D815" t="inlineStr">
        <is>
          <t>VÄSTERBOTTENS LÄN</t>
        </is>
      </c>
      <c r="E815" t="inlineStr">
        <is>
          <t>SKELLEFTEÅ</t>
        </is>
      </c>
      <c r="G815" t="n">
        <v>6</v>
      </c>
      <c r="H815" t="n">
        <v>0</v>
      </c>
      <c r="I815" t="n">
        <v>0</v>
      </c>
      <c r="J815" t="n">
        <v>0</v>
      </c>
      <c r="K815" t="n">
        <v>0</v>
      </c>
      <c r="L815" t="n">
        <v>0</v>
      </c>
      <c r="M815" t="n">
        <v>0</v>
      </c>
      <c r="N815" t="n">
        <v>0</v>
      </c>
      <c r="O815" t="n">
        <v>0</v>
      </c>
      <c r="P815" t="n">
        <v>0</v>
      </c>
      <c r="Q815" t="n">
        <v>0</v>
      </c>
      <c r="R815" s="2" t="inlineStr"/>
    </row>
    <row r="816" ht="15" customHeight="1">
      <c r="A816" t="inlineStr">
        <is>
          <t>A 11454-2021</t>
        </is>
      </c>
      <c r="B816" s="1" t="n">
        <v>44264</v>
      </c>
      <c r="C816" s="1" t="n">
        <v>45641</v>
      </c>
      <c r="D816" t="inlineStr">
        <is>
          <t>VÄSTERBOTTENS LÄN</t>
        </is>
      </c>
      <c r="E816" t="inlineStr">
        <is>
          <t>SKELLEFTEÅ</t>
        </is>
      </c>
      <c r="G816" t="n">
        <v>14.6</v>
      </c>
      <c r="H816" t="n">
        <v>0</v>
      </c>
      <c r="I816" t="n">
        <v>0</v>
      </c>
      <c r="J816" t="n">
        <v>0</v>
      </c>
      <c r="K816" t="n">
        <v>0</v>
      </c>
      <c r="L816" t="n">
        <v>0</v>
      </c>
      <c r="M816" t="n">
        <v>0</v>
      </c>
      <c r="N816" t="n">
        <v>0</v>
      </c>
      <c r="O816" t="n">
        <v>0</v>
      </c>
      <c r="P816" t="n">
        <v>0</v>
      </c>
      <c r="Q816" t="n">
        <v>0</v>
      </c>
      <c r="R816" s="2" t="inlineStr"/>
    </row>
    <row r="817" ht="15" customHeight="1">
      <c r="A817" t="inlineStr">
        <is>
          <t>A 11499-2021</t>
        </is>
      </c>
      <c r="B817" s="1" t="n">
        <v>44264</v>
      </c>
      <c r="C817" s="1" t="n">
        <v>45641</v>
      </c>
      <c r="D817" t="inlineStr">
        <is>
          <t>VÄSTERBOTTENS LÄN</t>
        </is>
      </c>
      <c r="E817" t="inlineStr">
        <is>
          <t>SKELLEFTEÅ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12416-2021</t>
        </is>
      </c>
      <c r="B818" s="1" t="n">
        <v>44267</v>
      </c>
      <c r="C818" s="1" t="n">
        <v>45641</v>
      </c>
      <c r="D818" t="inlineStr">
        <is>
          <t>VÄSTERBOTTENS LÄN</t>
        </is>
      </c>
      <c r="E818" t="inlineStr">
        <is>
          <t>SKELLEFTEÅ</t>
        </is>
      </c>
      <c r="G818" t="n">
        <v>3.5</v>
      </c>
      <c r="H818" t="n">
        <v>0</v>
      </c>
      <c r="I818" t="n">
        <v>0</v>
      </c>
      <c r="J818" t="n">
        <v>0</v>
      </c>
      <c r="K818" t="n">
        <v>0</v>
      </c>
      <c r="L818" t="n">
        <v>0</v>
      </c>
      <c r="M818" t="n">
        <v>0</v>
      </c>
      <c r="N818" t="n">
        <v>0</v>
      </c>
      <c r="O818" t="n">
        <v>0</v>
      </c>
      <c r="P818" t="n">
        <v>0</v>
      </c>
      <c r="Q818" t="n">
        <v>0</v>
      </c>
      <c r="R818" s="2" t="inlineStr"/>
    </row>
    <row r="819" ht="15" customHeight="1">
      <c r="A819" t="inlineStr">
        <is>
          <t>A 12928-2021</t>
        </is>
      </c>
      <c r="B819" s="1" t="n">
        <v>44270</v>
      </c>
      <c r="C819" s="1" t="n">
        <v>45641</v>
      </c>
      <c r="D819" t="inlineStr">
        <is>
          <t>VÄSTERBOTTENS LÄN</t>
        </is>
      </c>
      <c r="E819" t="inlineStr">
        <is>
          <t>SKELLEFTEÅ</t>
        </is>
      </c>
      <c r="G819" t="n">
        <v>17.8</v>
      </c>
      <c r="H819" t="n">
        <v>0</v>
      </c>
      <c r="I819" t="n">
        <v>0</v>
      </c>
      <c r="J819" t="n">
        <v>0</v>
      </c>
      <c r="K819" t="n">
        <v>0</v>
      </c>
      <c r="L819" t="n">
        <v>0</v>
      </c>
      <c r="M819" t="n">
        <v>0</v>
      </c>
      <c r="N819" t="n">
        <v>0</v>
      </c>
      <c r="O819" t="n">
        <v>0</v>
      </c>
      <c r="P819" t="n">
        <v>0</v>
      </c>
      <c r="Q819" t="n">
        <v>0</v>
      </c>
      <c r="R819" s="2" t="inlineStr"/>
    </row>
    <row r="820" ht="15" customHeight="1">
      <c r="A820" t="inlineStr">
        <is>
          <t>A 13086-2021</t>
        </is>
      </c>
      <c r="B820" s="1" t="n">
        <v>44271</v>
      </c>
      <c r="C820" s="1" t="n">
        <v>45641</v>
      </c>
      <c r="D820" t="inlineStr">
        <is>
          <t>VÄSTERBOTTENS LÄN</t>
        </is>
      </c>
      <c r="E820" t="inlineStr">
        <is>
          <t>SKELLEFTEÅ</t>
        </is>
      </c>
      <c r="G820" t="n">
        <v>1.5</v>
      </c>
      <c r="H820" t="n">
        <v>0</v>
      </c>
      <c r="I820" t="n">
        <v>0</v>
      </c>
      <c r="J820" t="n">
        <v>0</v>
      </c>
      <c r="K820" t="n">
        <v>0</v>
      </c>
      <c r="L820" t="n">
        <v>0</v>
      </c>
      <c r="M820" t="n">
        <v>0</v>
      </c>
      <c r="N820" t="n">
        <v>0</v>
      </c>
      <c r="O820" t="n">
        <v>0</v>
      </c>
      <c r="P820" t="n">
        <v>0</v>
      </c>
      <c r="Q820" t="n">
        <v>0</v>
      </c>
      <c r="R820" s="2" t="inlineStr"/>
    </row>
    <row r="821" ht="15" customHeight="1">
      <c r="A821" t="inlineStr">
        <is>
          <t>A 13729-2021</t>
        </is>
      </c>
      <c r="B821" s="1" t="n">
        <v>44274</v>
      </c>
      <c r="C821" s="1" t="n">
        <v>45641</v>
      </c>
      <c r="D821" t="inlineStr">
        <is>
          <t>VÄSTERBOTTENS LÄN</t>
        </is>
      </c>
      <c r="E821" t="inlineStr">
        <is>
          <t>SKELLEFTEÅ</t>
        </is>
      </c>
      <c r="G821" t="n">
        <v>7.6</v>
      </c>
      <c r="H821" t="n">
        <v>0</v>
      </c>
      <c r="I821" t="n">
        <v>0</v>
      </c>
      <c r="J821" t="n">
        <v>0</v>
      </c>
      <c r="K821" t="n">
        <v>0</v>
      </c>
      <c r="L821" t="n">
        <v>0</v>
      </c>
      <c r="M821" t="n">
        <v>0</v>
      </c>
      <c r="N821" t="n">
        <v>0</v>
      </c>
      <c r="O821" t="n">
        <v>0</v>
      </c>
      <c r="P821" t="n">
        <v>0</v>
      </c>
      <c r="Q821" t="n">
        <v>0</v>
      </c>
      <c r="R821" s="2" t="inlineStr"/>
    </row>
    <row r="822" ht="15" customHeight="1">
      <c r="A822" t="inlineStr">
        <is>
          <t>A 14850-2021</t>
        </is>
      </c>
      <c r="B822" s="1" t="n">
        <v>44280</v>
      </c>
      <c r="C822" s="1" t="n">
        <v>45641</v>
      </c>
      <c r="D822" t="inlineStr">
        <is>
          <t>VÄSTERBOTTENS LÄN</t>
        </is>
      </c>
      <c r="E822" t="inlineStr">
        <is>
          <t>SKELLEFTEÅ</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14865-2021</t>
        </is>
      </c>
      <c r="B823" s="1" t="n">
        <v>44280</v>
      </c>
      <c r="C823" s="1" t="n">
        <v>45641</v>
      </c>
      <c r="D823" t="inlineStr">
        <is>
          <t>VÄSTERBOTTENS LÄN</t>
        </is>
      </c>
      <c r="E823" t="inlineStr">
        <is>
          <t>SKELLEFTEÅ</t>
        </is>
      </c>
      <c r="F823" t="inlineStr">
        <is>
          <t>SCA</t>
        </is>
      </c>
      <c r="G823" t="n">
        <v>6.6</v>
      </c>
      <c r="H823" t="n">
        <v>0</v>
      </c>
      <c r="I823" t="n">
        <v>0</v>
      </c>
      <c r="J823" t="n">
        <v>0</v>
      </c>
      <c r="K823" t="n">
        <v>0</v>
      </c>
      <c r="L823" t="n">
        <v>0</v>
      </c>
      <c r="M823" t="n">
        <v>0</v>
      </c>
      <c r="N823" t="n">
        <v>0</v>
      </c>
      <c r="O823" t="n">
        <v>0</v>
      </c>
      <c r="P823" t="n">
        <v>0</v>
      </c>
      <c r="Q823" t="n">
        <v>0</v>
      </c>
      <c r="R823" s="2" t="inlineStr"/>
    </row>
    <row r="824" ht="15" customHeight="1">
      <c r="A824" t="inlineStr">
        <is>
          <t>A 14851-2021</t>
        </is>
      </c>
      <c r="B824" s="1" t="n">
        <v>44280</v>
      </c>
      <c r="C824" s="1" t="n">
        <v>45641</v>
      </c>
      <c r="D824" t="inlineStr">
        <is>
          <t>VÄSTERBOTTENS LÄN</t>
        </is>
      </c>
      <c r="E824" t="inlineStr">
        <is>
          <t>SKELLEFTEÅ</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14858-2021</t>
        </is>
      </c>
      <c r="B825" s="1" t="n">
        <v>44280</v>
      </c>
      <c r="C825" s="1" t="n">
        <v>45641</v>
      </c>
      <c r="D825" t="inlineStr">
        <is>
          <t>VÄSTERBOTTENS LÄN</t>
        </is>
      </c>
      <c r="E825" t="inlineStr">
        <is>
          <t>SKELLEFTEÅ</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14848-2021</t>
        </is>
      </c>
      <c r="B826" s="1" t="n">
        <v>44280</v>
      </c>
      <c r="C826" s="1" t="n">
        <v>45641</v>
      </c>
      <c r="D826" t="inlineStr">
        <is>
          <t>VÄSTERBOTTENS LÄN</t>
        </is>
      </c>
      <c r="E826" t="inlineStr">
        <is>
          <t>SKELLEFTEÅ</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14853-2021</t>
        </is>
      </c>
      <c r="B827" s="1" t="n">
        <v>44280</v>
      </c>
      <c r="C827" s="1" t="n">
        <v>45641</v>
      </c>
      <c r="D827" t="inlineStr">
        <is>
          <t>VÄSTERBOTTENS LÄN</t>
        </is>
      </c>
      <c r="E827" t="inlineStr">
        <is>
          <t>SKELLEFTEÅ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15108-2021</t>
        </is>
      </c>
      <c r="B828" s="1" t="n">
        <v>44281</v>
      </c>
      <c r="C828" s="1" t="n">
        <v>45641</v>
      </c>
      <c r="D828" t="inlineStr">
        <is>
          <t>VÄSTERBOTTENS LÄN</t>
        </is>
      </c>
      <c r="E828" t="inlineStr">
        <is>
          <t>SKELLEFTEÅ</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15109-2021</t>
        </is>
      </c>
      <c r="B829" s="1" t="n">
        <v>44281</v>
      </c>
      <c r="C829" s="1" t="n">
        <v>45641</v>
      </c>
      <c r="D829" t="inlineStr">
        <is>
          <t>VÄSTERBOTTENS LÄN</t>
        </is>
      </c>
      <c r="E829" t="inlineStr">
        <is>
          <t>SKELLEFTEÅ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15459-2021</t>
        </is>
      </c>
      <c r="B830" s="1" t="n">
        <v>44284</v>
      </c>
      <c r="C830" s="1" t="n">
        <v>45641</v>
      </c>
      <c r="D830" t="inlineStr">
        <is>
          <t>VÄSTERBOTTENS LÄN</t>
        </is>
      </c>
      <c r="E830" t="inlineStr">
        <is>
          <t>SKELLEFTEÅ</t>
        </is>
      </c>
      <c r="G830" t="n">
        <v>2.5</v>
      </c>
      <c r="H830" t="n">
        <v>0</v>
      </c>
      <c r="I830" t="n">
        <v>0</v>
      </c>
      <c r="J830" t="n">
        <v>0</v>
      </c>
      <c r="K830" t="n">
        <v>0</v>
      </c>
      <c r="L830" t="n">
        <v>0</v>
      </c>
      <c r="M830" t="n">
        <v>0</v>
      </c>
      <c r="N830" t="n">
        <v>0</v>
      </c>
      <c r="O830" t="n">
        <v>0</v>
      </c>
      <c r="P830" t="n">
        <v>0</v>
      </c>
      <c r="Q830" t="n">
        <v>0</v>
      </c>
      <c r="R830" s="2" t="inlineStr"/>
    </row>
    <row r="831" ht="15" customHeight="1">
      <c r="A831" t="inlineStr">
        <is>
          <t>A 18073-2021</t>
        </is>
      </c>
      <c r="B831" s="1" t="n">
        <v>44302</v>
      </c>
      <c r="C831" s="1" t="n">
        <v>45641</v>
      </c>
      <c r="D831" t="inlineStr">
        <is>
          <t>VÄSTERBOTTENS LÄN</t>
        </is>
      </c>
      <c r="E831" t="inlineStr">
        <is>
          <t>SKELLEFTEÅ</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18101-2021</t>
        </is>
      </c>
      <c r="B832" s="1" t="n">
        <v>44302</v>
      </c>
      <c r="C832" s="1" t="n">
        <v>45641</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18182-2021</t>
        </is>
      </c>
      <c r="B833" s="1" t="n">
        <v>44302</v>
      </c>
      <c r="C833" s="1" t="n">
        <v>45641</v>
      </c>
      <c r="D833" t="inlineStr">
        <is>
          <t>VÄSTERBOTTENS LÄN</t>
        </is>
      </c>
      <c r="E833" t="inlineStr">
        <is>
          <t>SKELLEFTEÅ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18183-2021</t>
        </is>
      </c>
      <c r="B834" s="1" t="n">
        <v>44302</v>
      </c>
      <c r="C834" s="1" t="n">
        <v>45641</v>
      </c>
      <c r="D834" t="inlineStr">
        <is>
          <t>VÄSTERBOTTENS LÄN</t>
        </is>
      </c>
      <c r="E834" t="inlineStr">
        <is>
          <t>SKELLEFTEÅ</t>
        </is>
      </c>
      <c r="G834" t="n">
        <v>7.4</v>
      </c>
      <c r="H834" t="n">
        <v>0</v>
      </c>
      <c r="I834" t="n">
        <v>0</v>
      </c>
      <c r="J834" t="n">
        <v>0</v>
      </c>
      <c r="K834" t="n">
        <v>0</v>
      </c>
      <c r="L834" t="n">
        <v>0</v>
      </c>
      <c r="M834" t="n">
        <v>0</v>
      </c>
      <c r="N834" t="n">
        <v>0</v>
      </c>
      <c r="O834" t="n">
        <v>0</v>
      </c>
      <c r="P834" t="n">
        <v>0</v>
      </c>
      <c r="Q834" t="n">
        <v>0</v>
      </c>
      <c r="R834" s="2" t="inlineStr"/>
    </row>
    <row r="835" ht="15" customHeight="1">
      <c r="A835" t="inlineStr">
        <is>
          <t>A 18104-2021</t>
        </is>
      </c>
      <c r="B835" s="1" t="n">
        <v>44302</v>
      </c>
      <c r="C835" s="1" t="n">
        <v>45641</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18216-2021</t>
        </is>
      </c>
      <c r="B836" s="1" t="n">
        <v>44303</v>
      </c>
      <c r="C836" s="1" t="n">
        <v>45641</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18353-2021</t>
        </is>
      </c>
      <c r="B837" s="1" t="n">
        <v>44305</v>
      </c>
      <c r="C837" s="1" t="n">
        <v>45641</v>
      </c>
      <c r="D837" t="inlineStr">
        <is>
          <t>VÄSTERBOTTENS LÄN</t>
        </is>
      </c>
      <c r="E837" t="inlineStr">
        <is>
          <t>SKELLEFTEÅ</t>
        </is>
      </c>
      <c r="G837" t="n">
        <v>7.2</v>
      </c>
      <c r="H837" t="n">
        <v>0</v>
      </c>
      <c r="I837" t="n">
        <v>0</v>
      </c>
      <c r="J837" t="n">
        <v>0</v>
      </c>
      <c r="K837" t="n">
        <v>0</v>
      </c>
      <c r="L837" t="n">
        <v>0</v>
      </c>
      <c r="M837" t="n">
        <v>0</v>
      </c>
      <c r="N837" t="n">
        <v>0</v>
      </c>
      <c r="O837" t="n">
        <v>0</v>
      </c>
      <c r="P837" t="n">
        <v>0</v>
      </c>
      <c r="Q837" t="n">
        <v>0</v>
      </c>
      <c r="R837" s="2" t="inlineStr"/>
    </row>
    <row r="838" ht="15" customHeight="1">
      <c r="A838" t="inlineStr">
        <is>
          <t>A 19538-2021</t>
        </is>
      </c>
      <c r="B838" s="1" t="n">
        <v>44309</v>
      </c>
      <c r="C838" s="1" t="n">
        <v>45641</v>
      </c>
      <c r="D838" t="inlineStr">
        <is>
          <t>VÄSTERBOTTENS LÄN</t>
        </is>
      </c>
      <c r="E838" t="inlineStr">
        <is>
          <t>SKELLEFTEÅ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19748-2021</t>
        </is>
      </c>
      <c r="B839" s="1" t="n">
        <v>44312</v>
      </c>
      <c r="C839" s="1" t="n">
        <v>45641</v>
      </c>
      <c r="D839" t="inlineStr">
        <is>
          <t>VÄSTERBOTTENS LÄN</t>
        </is>
      </c>
      <c r="E839" t="inlineStr">
        <is>
          <t>SKELLEFTEÅ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19679-2021</t>
        </is>
      </c>
      <c r="B840" s="1" t="n">
        <v>44312</v>
      </c>
      <c r="C840" s="1" t="n">
        <v>45641</v>
      </c>
      <c r="D840" t="inlineStr">
        <is>
          <t>VÄSTERBOTTENS LÄN</t>
        </is>
      </c>
      <c r="E840" t="inlineStr">
        <is>
          <t>SKELLEFTEÅ</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20051-2021</t>
        </is>
      </c>
      <c r="B841" s="1" t="n">
        <v>44313</v>
      </c>
      <c r="C841" s="1" t="n">
        <v>45641</v>
      </c>
      <c r="D841" t="inlineStr">
        <is>
          <t>VÄSTERBOTTENS LÄN</t>
        </is>
      </c>
      <c r="E841" t="inlineStr">
        <is>
          <t>SKELLEFTEÅ</t>
        </is>
      </c>
      <c r="G841" t="n">
        <v>5.5</v>
      </c>
      <c r="H841" t="n">
        <v>0</v>
      </c>
      <c r="I841" t="n">
        <v>0</v>
      </c>
      <c r="J841" t="n">
        <v>0</v>
      </c>
      <c r="K841" t="n">
        <v>0</v>
      </c>
      <c r="L841" t="n">
        <v>0</v>
      </c>
      <c r="M841" t="n">
        <v>0</v>
      </c>
      <c r="N841" t="n">
        <v>0</v>
      </c>
      <c r="O841" t="n">
        <v>0</v>
      </c>
      <c r="P841" t="n">
        <v>0</v>
      </c>
      <c r="Q841" t="n">
        <v>0</v>
      </c>
      <c r="R841" s="2" t="inlineStr"/>
    </row>
    <row r="842" ht="15" customHeight="1">
      <c r="A842" t="inlineStr">
        <is>
          <t>A 20046-2021</t>
        </is>
      </c>
      <c r="B842" s="1" t="n">
        <v>44313</v>
      </c>
      <c r="C842" s="1" t="n">
        <v>45641</v>
      </c>
      <c r="D842" t="inlineStr">
        <is>
          <t>VÄSTERBOTTENS LÄN</t>
        </is>
      </c>
      <c r="E842" t="inlineStr">
        <is>
          <t>SKELLEFTEÅ</t>
        </is>
      </c>
      <c r="G842" t="n">
        <v>3.1</v>
      </c>
      <c r="H842" t="n">
        <v>0</v>
      </c>
      <c r="I842" t="n">
        <v>0</v>
      </c>
      <c r="J842" t="n">
        <v>0</v>
      </c>
      <c r="K842" t="n">
        <v>0</v>
      </c>
      <c r="L842" t="n">
        <v>0</v>
      </c>
      <c r="M842" t="n">
        <v>0</v>
      </c>
      <c r="N842" t="n">
        <v>0</v>
      </c>
      <c r="O842" t="n">
        <v>0</v>
      </c>
      <c r="P842" t="n">
        <v>0</v>
      </c>
      <c r="Q842" t="n">
        <v>0</v>
      </c>
      <c r="R842" s="2" t="inlineStr"/>
    </row>
    <row r="843" ht="15" customHeight="1">
      <c r="A843" t="inlineStr">
        <is>
          <t>A 20381-2021</t>
        </is>
      </c>
      <c r="B843" s="1" t="n">
        <v>44314</v>
      </c>
      <c r="C843" s="1" t="n">
        <v>45641</v>
      </c>
      <c r="D843" t="inlineStr">
        <is>
          <t>VÄSTERBOTTENS LÄN</t>
        </is>
      </c>
      <c r="E843" t="inlineStr">
        <is>
          <t>SKELLEFTEÅ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20856-2021</t>
        </is>
      </c>
      <c r="B844" s="1" t="n">
        <v>44319</v>
      </c>
      <c r="C844" s="1" t="n">
        <v>45641</v>
      </c>
      <c r="D844" t="inlineStr">
        <is>
          <t>VÄSTERBOTTENS LÄN</t>
        </is>
      </c>
      <c r="E844" t="inlineStr">
        <is>
          <t>SKELLEFTEÅ</t>
        </is>
      </c>
      <c r="G844" t="n">
        <v>0.6</v>
      </c>
      <c r="H844" t="n">
        <v>0</v>
      </c>
      <c r="I844" t="n">
        <v>0</v>
      </c>
      <c r="J844" t="n">
        <v>0</v>
      </c>
      <c r="K844" t="n">
        <v>0</v>
      </c>
      <c r="L844" t="n">
        <v>0</v>
      </c>
      <c r="M844" t="n">
        <v>0</v>
      </c>
      <c r="N844" t="n">
        <v>0</v>
      </c>
      <c r="O844" t="n">
        <v>0</v>
      </c>
      <c r="P844" t="n">
        <v>0</v>
      </c>
      <c r="Q844" t="n">
        <v>0</v>
      </c>
      <c r="R844" s="2" t="inlineStr"/>
    </row>
    <row r="845" ht="15" customHeight="1">
      <c r="A845" t="inlineStr">
        <is>
          <t>A 24606-2021</t>
        </is>
      </c>
      <c r="B845" s="1" t="n">
        <v>44319</v>
      </c>
      <c r="C845" s="1" t="n">
        <v>45641</v>
      </c>
      <c r="D845" t="inlineStr">
        <is>
          <t>VÄSTERBOTTENS LÄN</t>
        </is>
      </c>
      <c r="E845" t="inlineStr">
        <is>
          <t>SKELLEFTEÅ</t>
        </is>
      </c>
      <c r="G845" t="n">
        <v>2.4</v>
      </c>
      <c r="H845" t="n">
        <v>0</v>
      </c>
      <c r="I845" t="n">
        <v>0</v>
      </c>
      <c r="J845" t="n">
        <v>0</v>
      </c>
      <c r="K845" t="n">
        <v>0</v>
      </c>
      <c r="L845" t="n">
        <v>0</v>
      </c>
      <c r="M845" t="n">
        <v>0</v>
      </c>
      <c r="N845" t="n">
        <v>0</v>
      </c>
      <c r="O845" t="n">
        <v>0</v>
      </c>
      <c r="P845" t="n">
        <v>0</v>
      </c>
      <c r="Q845" t="n">
        <v>0</v>
      </c>
      <c r="R845" s="2" t="inlineStr"/>
    </row>
    <row r="846" ht="15" customHeight="1">
      <c r="A846" t="inlineStr">
        <is>
          <t>A 21265-2021</t>
        </is>
      </c>
      <c r="B846" s="1" t="n">
        <v>44320</v>
      </c>
      <c r="C846" s="1" t="n">
        <v>45641</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22067-2021</t>
        </is>
      </c>
      <c r="B847" s="1" t="n">
        <v>44322</v>
      </c>
      <c r="C847" s="1" t="n">
        <v>45641</v>
      </c>
      <c r="D847" t="inlineStr">
        <is>
          <t>VÄSTERBOTTENS LÄN</t>
        </is>
      </c>
      <c r="E847" t="inlineStr">
        <is>
          <t>SKELLEFTEÅ</t>
        </is>
      </c>
      <c r="G847" t="n">
        <v>10.7</v>
      </c>
      <c r="H847" t="n">
        <v>0</v>
      </c>
      <c r="I847" t="n">
        <v>0</v>
      </c>
      <c r="J847" t="n">
        <v>0</v>
      </c>
      <c r="K847" t="n">
        <v>0</v>
      </c>
      <c r="L847" t="n">
        <v>0</v>
      </c>
      <c r="M847" t="n">
        <v>0</v>
      </c>
      <c r="N847" t="n">
        <v>0</v>
      </c>
      <c r="O847" t="n">
        <v>0</v>
      </c>
      <c r="P847" t="n">
        <v>0</v>
      </c>
      <c r="Q847" t="n">
        <v>0</v>
      </c>
      <c r="R847" s="2" t="inlineStr"/>
    </row>
    <row r="848" ht="15" customHeight="1">
      <c r="A848" t="inlineStr">
        <is>
          <t>A 22568-2021</t>
        </is>
      </c>
      <c r="B848" s="1" t="n">
        <v>44322</v>
      </c>
      <c r="C848" s="1" t="n">
        <v>45641</v>
      </c>
      <c r="D848" t="inlineStr">
        <is>
          <t>VÄSTERBOTTENS LÄN</t>
        </is>
      </c>
      <c r="E848" t="inlineStr">
        <is>
          <t>SKELLEFTEÅ</t>
        </is>
      </c>
      <c r="G848" t="n">
        <v>1.4</v>
      </c>
      <c r="H848" t="n">
        <v>0</v>
      </c>
      <c r="I848" t="n">
        <v>0</v>
      </c>
      <c r="J848" t="n">
        <v>0</v>
      </c>
      <c r="K848" t="n">
        <v>0</v>
      </c>
      <c r="L848" t="n">
        <v>0</v>
      </c>
      <c r="M848" t="n">
        <v>0</v>
      </c>
      <c r="N848" t="n">
        <v>0</v>
      </c>
      <c r="O848" t="n">
        <v>0</v>
      </c>
      <c r="P848" t="n">
        <v>0</v>
      </c>
      <c r="Q848" t="n">
        <v>0</v>
      </c>
      <c r="R848" s="2" t="inlineStr"/>
    </row>
    <row r="849" ht="15" customHeight="1">
      <c r="A849" t="inlineStr">
        <is>
          <t>A 22626-2021</t>
        </is>
      </c>
      <c r="B849" s="1" t="n">
        <v>44326</v>
      </c>
      <c r="C849" s="1" t="n">
        <v>45641</v>
      </c>
      <c r="D849" t="inlineStr">
        <is>
          <t>VÄSTERBOTTENS LÄN</t>
        </is>
      </c>
      <c r="E849" t="inlineStr">
        <is>
          <t>SKELLEFTEÅ</t>
        </is>
      </c>
      <c r="G849" t="n">
        <v>8.4</v>
      </c>
      <c r="H849" t="n">
        <v>0</v>
      </c>
      <c r="I849" t="n">
        <v>0</v>
      </c>
      <c r="J849" t="n">
        <v>0</v>
      </c>
      <c r="K849" t="n">
        <v>0</v>
      </c>
      <c r="L849" t="n">
        <v>0</v>
      </c>
      <c r="M849" t="n">
        <v>0</v>
      </c>
      <c r="N849" t="n">
        <v>0</v>
      </c>
      <c r="O849" t="n">
        <v>0</v>
      </c>
      <c r="P849" t="n">
        <v>0</v>
      </c>
      <c r="Q849" t="n">
        <v>0</v>
      </c>
      <c r="R849" s="2" t="inlineStr"/>
    </row>
    <row r="850" ht="15" customHeight="1">
      <c r="A850" t="inlineStr">
        <is>
          <t>A 23132-2021</t>
        </is>
      </c>
      <c r="B850" s="1" t="n">
        <v>44331</v>
      </c>
      <c r="C850" s="1" t="n">
        <v>45641</v>
      </c>
      <c r="D850" t="inlineStr">
        <is>
          <t>VÄSTERBOTTENS LÄN</t>
        </is>
      </c>
      <c r="E850" t="inlineStr">
        <is>
          <t>SKELLEFTEÅ</t>
        </is>
      </c>
      <c r="G850" t="n">
        <v>2.6</v>
      </c>
      <c r="H850" t="n">
        <v>0</v>
      </c>
      <c r="I850" t="n">
        <v>0</v>
      </c>
      <c r="J850" t="n">
        <v>0</v>
      </c>
      <c r="K850" t="n">
        <v>0</v>
      </c>
      <c r="L850" t="n">
        <v>0</v>
      </c>
      <c r="M850" t="n">
        <v>0</v>
      </c>
      <c r="N850" t="n">
        <v>0</v>
      </c>
      <c r="O850" t="n">
        <v>0</v>
      </c>
      <c r="P850" t="n">
        <v>0</v>
      </c>
      <c r="Q850" t="n">
        <v>0</v>
      </c>
      <c r="R850" s="2" t="inlineStr"/>
    </row>
    <row r="851" ht="15" customHeight="1">
      <c r="A851" t="inlineStr">
        <is>
          <t>A 23408-2021</t>
        </is>
      </c>
      <c r="B851" s="1" t="n">
        <v>44333</v>
      </c>
      <c r="C851" s="1" t="n">
        <v>45641</v>
      </c>
      <c r="D851" t="inlineStr">
        <is>
          <t>VÄSTERBOTTENS LÄN</t>
        </is>
      </c>
      <c r="E851" t="inlineStr">
        <is>
          <t>SKELLEFTEÅ</t>
        </is>
      </c>
      <c r="F851" t="inlineStr">
        <is>
          <t>Holmen skog AB</t>
        </is>
      </c>
      <c r="G851" t="n">
        <v>4.2</v>
      </c>
      <c r="H851" t="n">
        <v>0</v>
      </c>
      <c r="I851" t="n">
        <v>0</v>
      </c>
      <c r="J851" t="n">
        <v>0</v>
      </c>
      <c r="K851" t="n">
        <v>0</v>
      </c>
      <c r="L851" t="n">
        <v>0</v>
      </c>
      <c r="M851" t="n">
        <v>0</v>
      </c>
      <c r="N851" t="n">
        <v>0</v>
      </c>
      <c r="O851" t="n">
        <v>0</v>
      </c>
      <c r="P851" t="n">
        <v>0</v>
      </c>
      <c r="Q851" t="n">
        <v>0</v>
      </c>
      <c r="R851" s="2" t="inlineStr"/>
    </row>
    <row r="852" ht="15" customHeight="1">
      <c r="A852" t="inlineStr">
        <is>
          <t>A 23801-2021</t>
        </is>
      </c>
      <c r="B852" s="1" t="n">
        <v>44334</v>
      </c>
      <c r="C852" s="1" t="n">
        <v>45641</v>
      </c>
      <c r="D852" t="inlineStr">
        <is>
          <t>VÄSTERBOTTENS LÄN</t>
        </is>
      </c>
      <c r="E852" t="inlineStr">
        <is>
          <t>SKELLEFTEÅ</t>
        </is>
      </c>
      <c r="G852" t="n">
        <v>2.8</v>
      </c>
      <c r="H852" t="n">
        <v>0</v>
      </c>
      <c r="I852" t="n">
        <v>0</v>
      </c>
      <c r="J852" t="n">
        <v>0</v>
      </c>
      <c r="K852" t="n">
        <v>0</v>
      </c>
      <c r="L852" t="n">
        <v>0</v>
      </c>
      <c r="M852" t="n">
        <v>0</v>
      </c>
      <c r="N852" t="n">
        <v>0</v>
      </c>
      <c r="O852" t="n">
        <v>0</v>
      </c>
      <c r="P852" t="n">
        <v>0</v>
      </c>
      <c r="Q852" t="n">
        <v>0</v>
      </c>
      <c r="R852" s="2" t="inlineStr"/>
    </row>
    <row r="853" ht="15" customHeight="1">
      <c r="A853" t="inlineStr">
        <is>
          <t>A 23885-2021</t>
        </is>
      </c>
      <c r="B853" s="1" t="n">
        <v>44335</v>
      </c>
      <c r="C853" s="1" t="n">
        <v>45641</v>
      </c>
      <c r="D853" t="inlineStr">
        <is>
          <t>VÄSTERBOTTENS LÄN</t>
        </is>
      </c>
      <c r="E853" t="inlineStr">
        <is>
          <t>SKELLEFTEÅ</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24238-2021</t>
        </is>
      </c>
      <c r="B854" s="1" t="n">
        <v>44337</v>
      </c>
      <c r="C854" s="1" t="n">
        <v>45641</v>
      </c>
      <c r="D854" t="inlineStr">
        <is>
          <t>VÄSTERBOTTENS LÄN</t>
        </is>
      </c>
      <c r="E854" t="inlineStr">
        <is>
          <t>SKELLEFTEÅ</t>
        </is>
      </c>
      <c r="G854" t="n">
        <v>2.3</v>
      </c>
      <c r="H854" t="n">
        <v>0</v>
      </c>
      <c r="I854" t="n">
        <v>0</v>
      </c>
      <c r="J854" t="n">
        <v>0</v>
      </c>
      <c r="K854" t="n">
        <v>0</v>
      </c>
      <c r="L854" t="n">
        <v>0</v>
      </c>
      <c r="M854" t="n">
        <v>0</v>
      </c>
      <c r="N854" t="n">
        <v>0</v>
      </c>
      <c r="O854" t="n">
        <v>0</v>
      </c>
      <c r="P854" t="n">
        <v>0</v>
      </c>
      <c r="Q854" t="n">
        <v>0</v>
      </c>
      <c r="R854" s="2" t="inlineStr"/>
    </row>
    <row r="855" ht="15" customHeight="1">
      <c r="A855" t="inlineStr">
        <is>
          <t>A 24303-2021</t>
        </is>
      </c>
      <c r="B855" s="1" t="n">
        <v>44337</v>
      </c>
      <c r="C855" s="1" t="n">
        <v>45641</v>
      </c>
      <c r="D855" t="inlineStr">
        <is>
          <t>VÄSTERBOTTENS LÄN</t>
        </is>
      </c>
      <c r="E855" t="inlineStr">
        <is>
          <t>SKELLEFTEÅ</t>
        </is>
      </c>
      <c r="G855" t="n">
        <v>6.1</v>
      </c>
      <c r="H855" t="n">
        <v>0</v>
      </c>
      <c r="I855" t="n">
        <v>0</v>
      </c>
      <c r="J855" t="n">
        <v>0</v>
      </c>
      <c r="K855" t="n">
        <v>0</v>
      </c>
      <c r="L855" t="n">
        <v>0</v>
      </c>
      <c r="M855" t="n">
        <v>0</v>
      </c>
      <c r="N855" t="n">
        <v>0</v>
      </c>
      <c r="O855" t="n">
        <v>0</v>
      </c>
      <c r="P855" t="n">
        <v>0</v>
      </c>
      <c r="Q855" t="n">
        <v>0</v>
      </c>
      <c r="R855" s="2" t="inlineStr"/>
    </row>
    <row r="856" ht="15" customHeight="1">
      <c r="A856" t="inlineStr">
        <is>
          <t>A 24653-2021</t>
        </is>
      </c>
      <c r="B856" s="1" t="n">
        <v>44340</v>
      </c>
      <c r="C856" s="1" t="n">
        <v>45641</v>
      </c>
      <c r="D856" t="inlineStr">
        <is>
          <t>VÄSTERBOTTENS LÄN</t>
        </is>
      </c>
      <c r="E856" t="inlineStr">
        <is>
          <t>SKELLEFTEÅ</t>
        </is>
      </c>
      <c r="G856" t="n">
        <v>6.7</v>
      </c>
      <c r="H856" t="n">
        <v>0</v>
      </c>
      <c r="I856" t="n">
        <v>0</v>
      </c>
      <c r="J856" t="n">
        <v>0</v>
      </c>
      <c r="K856" t="n">
        <v>0</v>
      </c>
      <c r="L856" t="n">
        <v>0</v>
      </c>
      <c r="M856" t="n">
        <v>0</v>
      </c>
      <c r="N856" t="n">
        <v>0</v>
      </c>
      <c r="O856" t="n">
        <v>0</v>
      </c>
      <c r="P856" t="n">
        <v>0</v>
      </c>
      <c r="Q856" t="n">
        <v>0</v>
      </c>
      <c r="R856" s="2" t="inlineStr"/>
    </row>
    <row r="857" ht="15" customHeight="1">
      <c r="A857" t="inlineStr">
        <is>
          <t>A 25513-2021</t>
        </is>
      </c>
      <c r="B857" s="1" t="n">
        <v>44343</v>
      </c>
      <c r="C857" s="1" t="n">
        <v>45641</v>
      </c>
      <c r="D857" t="inlineStr">
        <is>
          <t>VÄSTERBOTTENS LÄN</t>
        </is>
      </c>
      <c r="E857" t="inlineStr">
        <is>
          <t>SKELLEFTEÅ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25512-2021</t>
        </is>
      </c>
      <c r="B858" s="1" t="n">
        <v>44342</v>
      </c>
      <c r="C858" s="1" t="n">
        <v>45641</v>
      </c>
      <c r="D858" t="inlineStr">
        <is>
          <t>VÄSTERBOTTENS LÄN</t>
        </is>
      </c>
      <c r="E858" t="inlineStr">
        <is>
          <t>SKELLEFTEÅ</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25515-2021</t>
        </is>
      </c>
      <c r="B859" s="1" t="n">
        <v>44343</v>
      </c>
      <c r="C859" s="1" t="n">
        <v>45641</v>
      </c>
      <c r="D859" t="inlineStr">
        <is>
          <t>VÄSTERBOTTENS LÄN</t>
        </is>
      </c>
      <c r="E859" t="inlineStr">
        <is>
          <t>SKELLEFTEÅ</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25520-2021</t>
        </is>
      </c>
      <c r="B860" s="1" t="n">
        <v>44343</v>
      </c>
      <c r="C860" s="1" t="n">
        <v>45641</v>
      </c>
      <c r="D860" t="inlineStr">
        <is>
          <t>VÄSTERBOTTENS LÄN</t>
        </is>
      </c>
      <c r="E860" t="inlineStr">
        <is>
          <t>SKELLEFTEÅ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25473-2021</t>
        </is>
      </c>
      <c r="B861" s="1" t="n">
        <v>44342</v>
      </c>
      <c r="C861" s="1" t="n">
        <v>45641</v>
      </c>
      <c r="D861" t="inlineStr">
        <is>
          <t>VÄSTERBOTTENS LÄN</t>
        </is>
      </c>
      <c r="E861" t="inlineStr">
        <is>
          <t>SKELLEFTEÅ</t>
        </is>
      </c>
      <c r="G861" t="n">
        <v>6.6</v>
      </c>
      <c r="H861" t="n">
        <v>0</v>
      </c>
      <c r="I861" t="n">
        <v>0</v>
      </c>
      <c r="J861" t="n">
        <v>0</v>
      </c>
      <c r="K861" t="n">
        <v>0</v>
      </c>
      <c r="L861" t="n">
        <v>0</v>
      </c>
      <c r="M861" t="n">
        <v>0</v>
      </c>
      <c r="N861" t="n">
        <v>0</v>
      </c>
      <c r="O861" t="n">
        <v>0</v>
      </c>
      <c r="P861" t="n">
        <v>0</v>
      </c>
      <c r="Q861" t="n">
        <v>0</v>
      </c>
      <c r="R861" s="2" t="inlineStr"/>
    </row>
    <row r="862" ht="15" customHeight="1">
      <c r="A862" t="inlineStr">
        <is>
          <t>A 25491-2021</t>
        </is>
      </c>
      <c r="B862" s="1" t="n">
        <v>44342</v>
      </c>
      <c r="C862" s="1" t="n">
        <v>45641</v>
      </c>
      <c r="D862" t="inlineStr">
        <is>
          <t>VÄSTERBOTTENS LÄN</t>
        </is>
      </c>
      <c r="E862" t="inlineStr">
        <is>
          <t>SKELLEFTEÅ</t>
        </is>
      </c>
      <c r="G862" t="n">
        <v>2.9</v>
      </c>
      <c r="H862" t="n">
        <v>0</v>
      </c>
      <c r="I862" t="n">
        <v>0</v>
      </c>
      <c r="J862" t="n">
        <v>0</v>
      </c>
      <c r="K862" t="n">
        <v>0</v>
      </c>
      <c r="L862" t="n">
        <v>0</v>
      </c>
      <c r="M862" t="n">
        <v>0</v>
      </c>
      <c r="N862" t="n">
        <v>0</v>
      </c>
      <c r="O862" t="n">
        <v>0</v>
      </c>
      <c r="P862" t="n">
        <v>0</v>
      </c>
      <c r="Q862" t="n">
        <v>0</v>
      </c>
      <c r="R862" s="2" t="inlineStr"/>
    </row>
    <row r="863" ht="15" customHeight="1">
      <c r="A863" t="inlineStr">
        <is>
          <t>A 26129-2021</t>
        </is>
      </c>
      <c r="B863" s="1" t="n">
        <v>44346</v>
      </c>
      <c r="C863" s="1" t="n">
        <v>45641</v>
      </c>
      <c r="D863" t="inlineStr">
        <is>
          <t>VÄSTERBOTTENS LÄN</t>
        </is>
      </c>
      <c r="E863" t="inlineStr">
        <is>
          <t>SKELLEFTEÅ</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26130-2021</t>
        </is>
      </c>
      <c r="B864" s="1" t="n">
        <v>44346</v>
      </c>
      <c r="C864" s="1" t="n">
        <v>45641</v>
      </c>
      <c r="D864" t="inlineStr">
        <is>
          <t>VÄSTERBOTTENS LÄN</t>
        </is>
      </c>
      <c r="E864" t="inlineStr">
        <is>
          <t>SKELLEFTEÅ</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26473-2021</t>
        </is>
      </c>
      <c r="B865" s="1" t="n">
        <v>44348</v>
      </c>
      <c r="C865" s="1" t="n">
        <v>45641</v>
      </c>
      <c r="D865" t="inlineStr">
        <is>
          <t>VÄSTERBOTTENS LÄN</t>
        </is>
      </c>
      <c r="E865" t="inlineStr">
        <is>
          <t>SKELLEFTEÅ</t>
        </is>
      </c>
      <c r="G865" t="n">
        <v>0.3</v>
      </c>
      <c r="H865" t="n">
        <v>0</v>
      </c>
      <c r="I865" t="n">
        <v>0</v>
      </c>
      <c r="J865" t="n">
        <v>0</v>
      </c>
      <c r="K865" t="n">
        <v>0</v>
      </c>
      <c r="L865" t="n">
        <v>0</v>
      </c>
      <c r="M865" t="n">
        <v>0</v>
      </c>
      <c r="N865" t="n">
        <v>0</v>
      </c>
      <c r="O865" t="n">
        <v>0</v>
      </c>
      <c r="P865" t="n">
        <v>0</v>
      </c>
      <c r="Q865" t="n">
        <v>0</v>
      </c>
      <c r="R865" s="2" t="inlineStr"/>
    </row>
    <row r="866" ht="15" customHeight="1">
      <c r="A866" t="inlineStr">
        <is>
          <t>A 26599-2021</t>
        </is>
      </c>
      <c r="B866" s="1" t="n">
        <v>44348</v>
      </c>
      <c r="C866" s="1" t="n">
        <v>45641</v>
      </c>
      <c r="D866" t="inlineStr">
        <is>
          <t>VÄSTERBOTTENS LÄN</t>
        </is>
      </c>
      <c r="E866" t="inlineStr">
        <is>
          <t>SKELLEFTEÅ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26858-2021</t>
        </is>
      </c>
      <c r="B867" s="1" t="n">
        <v>44349</v>
      </c>
      <c r="C867" s="1" t="n">
        <v>45641</v>
      </c>
      <c r="D867" t="inlineStr">
        <is>
          <t>VÄSTERBOTTENS LÄN</t>
        </is>
      </c>
      <c r="E867" t="inlineStr">
        <is>
          <t>SKELLEFTEÅ</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26957-2021</t>
        </is>
      </c>
      <c r="B868" s="1" t="n">
        <v>44350</v>
      </c>
      <c r="C868" s="1" t="n">
        <v>45641</v>
      </c>
      <c r="D868" t="inlineStr">
        <is>
          <t>VÄSTERBOTTENS LÄN</t>
        </is>
      </c>
      <c r="E868" t="inlineStr">
        <is>
          <t>SKELLEFTEÅ</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26975-2021</t>
        </is>
      </c>
      <c r="B869" s="1" t="n">
        <v>44350</v>
      </c>
      <c r="C869" s="1" t="n">
        <v>45641</v>
      </c>
      <c r="D869" t="inlineStr">
        <is>
          <t>VÄSTERBOTTENS LÄN</t>
        </is>
      </c>
      <c r="E869" t="inlineStr">
        <is>
          <t>SKELLEFTEÅ</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27444-2021</t>
        </is>
      </c>
      <c r="B870" s="1" t="n">
        <v>44351</v>
      </c>
      <c r="C870" s="1" t="n">
        <v>45641</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27698-2021</t>
        </is>
      </c>
      <c r="B871" s="1" t="n">
        <v>44354</v>
      </c>
      <c r="C871" s="1" t="n">
        <v>45641</v>
      </c>
      <c r="D871" t="inlineStr">
        <is>
          <t>VÄSTERBOTTENS LÄN</t>
        </is>
      </c>
      <c r="E871" t="inlineStr">
        <is>
          <t>SKELLEFTEÅ</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27643-2021</t>
        </is>
      </c>
      <c r="B872" s="1" t="n">
        <v>44354</v>
      </c>
      <c r="C872" s="1" t="n">
        <v>45641</v>
      </c>
      <c r="D872" t="inlineStr">
        <is>
          <t>VÄSTERBOTTENS LÄN</t>
        </is>
      </c>
      <c r="E872" t="inlineStr">
        <is>
          <t>SKELLEFTEÅ</t>
        </is>
      </c>
      <c r="F872" t="inlineStr">
        <is>
          <t>Holmen skog AB</t>
        </is>
      </c>
      <c r="G872" t="n">
        <v>3.7</v>
      </c>
      <c r="H872" t="n">
        <v>0</v>
      </c>
      <c r="I872" t="n">
        <v>0</v>
      </c>
      <c r="J872" t="n">
        <v>0</v>
      </c>
      <c r="K872" t="n">
        <v>0</v>
      </c>
      <c r="L872" t="n">
        <v>0</v>
      </c>
      <c r="M872" t="n">
        <v>0</v>
      </c>
      <c r="N872" t="n">
        <v>0</v>
      </c>
      <c r="O872" t="n">
        <v>0</v>
      </c>
      <c r="P872" t="n">
        <v>0</v>
      </c>
      <c r="Q872" t="n">
        <v>0</v>
      </c>
      <c r="R872" s="2" t="inlineStr"/>
    </row>
    <row r="873" ht="15" customHeight="1">
      <c r="A873" t="inlineStr">
        <is>
          <t>A 27774-2021</t>
        </is>
      </c>
      <c r="B873" s="1" t="n">
        <v>44354</v>
      </c>
      <c r="C873" s="1" t="n">
        <v>45641</v>
      </c>
      <c r="D873" t="inlineStr">
        <is>
          <t>VÄSTERBOTTENS LÄN</t>
        </is>
      </c>
      <c r="E873" t="inlineStr">
        <is>
          <t>SKELLEFTEÅ</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28121-2021</t>
        </is>
      </c>
      <c r="B874" s="1" t="n">
        <v>44355</v>
      </c>
      <c r="C874" s="1" t="n">
        <v>45641</v>
      </c>
      <c r="D874" t="inlineStr">
        <is>
          <t>VÄSTERBOTTENS LÄN</t>
        </is>
      </c>
      <c r="E874" t="inlineStr">
        <is>
          <t>SKELLEFTEÅ</t>
        </is>
      </c>
      <c r="G874" t="n">
        <v>1.8</v>
      </c>
      <c r="H874" t="n">
        <v>0</v>
      </c>
      <c r="I874" t="n">
        <v>0</v>
      </c>
      <c r="J874" t="n">
        <v>0</v>
      </c>
      <c r="K874" t="n">
        <v>0</v>
      </c>
      <c r="L874" t="n">
        <v>0</v>
      </c>
      <c r="M874" t="n">
        <v>0</v>
      </c>
      <c r="N874" t="n">
        <v>0</v>
      </c>
      <c r="O874" t="n">
        <v>0</v>
      </c>
      <c r="P874" t="n">
        <v>0</v>
      </c>
      <c r="Q874" t="n">
        <v>0</v>
      </c>
      <c r="R874" s="2" t="inlineStr"/>
    </row>
    <row r="875" ht="15" customHeight="1">
      <c r="A875" t="inlineStr">
        <is>
          <t>A 28191-2021</t>
        </is>
      </c>
      <c r="B875" s="1" t="n">
        <v>44355</v>
      </c>
      <c r="C875" s="1" t="n">
        <v>45641</v>
      </c>
      <c r="D875" t="inlineStr">
        <is>
          <t>VÄSTERBOTTENS LÄN</t>
        </is>
      </c>
      <c r="E875" t="inlineStr">
        <is>
          <t>SKELLEFTEÅ</t>
        </is>
      </c>
      <c r="G875" t="n">
        <v>7.6</v>
      </c>
      <c r="H875" t="n">
        <v>0</v>
      </c>
      <c r="I875" t="n">
        <v>0</v>
      </c>
      <c r="J875" t="n">
        <v>0</v>
      </c>
      <c r="K875" t="n">
        <v>0</v>
      </c>
      <c r="L875" t="n">
        <v>0</v>
      </c>
      <c r="M875" t="n">
        <v>0</v>
      </c>
      <c r="N875" t="n">
        <v>0</v>
      </c>
      <c r="O875" t="n">
        <v>0</v>
      </c>
      <c r="P875" t="n">
        <v>0</v>
      </c>
      <c r="Q875" t="n">
        <v>0</v>
      </c>
      <c r="R875" s="2" t="inlineStr"/>
    </row>
    <row r="876" ht="15" customHeight="1">
      <c r="A876" t="inlineStr">
        <is>
          <t>A 28196-2021</t>
        </is>
      </c>
      <c r="B876" s="1" t="n">
        <v>44355</v>
      </c>
      <c r="C876" s="1" t="n">
        <v>45641</v>
      </c>
      <c r="D876" t="inlineStr">
        <is>
          <t>VÄSTERBOTTENS LÄN</t>
        </is>
      </c>
      <c r="E876" t="inlineStr">
        <is>
          <t>SKELLEFTEÅ</t>
        </is>
      </c>
      <c r="F876" t="inlineStr">
        <is>
          <t>Holmen skog AB</t>
        </is>
      </c>
      <c r="G876" t="n">
        <v>7.5</v>
      </c>
      <c r="H876" t="n">
        <v>0</v>
      </c>
      <c r="I876" t="n">
        <v>0</v>
      </c>
      <c r="J876" t="n">
        <v>0</v>
      </c>
      <c r="K876" t="n">
        <v>0</v>
      </c>
      <c r="L876" t="n">
        <v>0</v>
      </c>
      <c r="M876" t="n">
        <v>0</v>
      </c>
      <c r="N876" t="n">
        <v>0</v>
      </c>
      <c r="O876" t="n">
        <v>0</v>
      </c>
      <c r="P876" t="n">
        <v>0</v>
      </c>
      <c r="Q876" t="n">
        <v>0</v>
      </c>
      <c r="R876" s="2" t="inlineStr"/>
    </row>
    <row r="877" ht="15" customHeight="1">
      <c r="A877" t="inlineStr">
        <is>
          <t>A 28244-2021</t>
        </is>
      </c>
      <c r="B877" s="1" t="n">
        <v>44355</v>
      </c>
      <c r="C877" s="1" t="n">
        <v>45641</v>
      </c>
      <c r="D877" t="inlineStr">
        <is>
          <t>VÄSTERBOTTENS LÄN</t>
        </is>
      </c>
      <c r="E877" t="inlineStr">
        <is>
          <t>SKELLEFTEÅ</t>
        </is>
      </c>
      <c r="F877" t="inlineStr">
        <is>
          <t>Holmen skog AB</t>
        </is>
      </c>
      <c r="G877" t="n">
        <v>1.5</v>
      </c>
      <c r="H877" t="n">
        <v>0</v>
      </c>
      <c r="I877" t="n">
        <v>0</v>
      </c>
      <c r="J877" t="n">
        <v>0</v>
      </c>
      <c r="K877" t="n">
        <v>0</v>
      </c>
      <c r="L877" t="n">
        <v>0</v>
      </c>
      <c r="M877" t="n">
        <v>0</v>
      </c>
      <c r="N877" t="n">
        <v>0</v>
      </c>
      <c r="O877" t="n">
        <v>0</v>
      </c>
      <c r="P877" t="n">
        <v>0</v>
      </c>
      <c r="Q877" t="n">
        <v>0</v>
      </c>
      <c r="R877" s="2" t="inlineStr"/>
    </row>
    <row r="878" ht="15" customHeight="1">
      <c r="A878" t="inlineStr">
        <is>
          <t>A 28291-2021</t>
        </is>
      </c>
      <c r="B878" s="1" t="n">
        <v>44356</v>
      </c>
      <c r="C878" s="1" t="n">
        <v>45641</v>
      </c>
      <c r="D878" t="inlineStr">
        <is>
          <t>VÄSTERBOTTENS LÄN</t>
        </is>
      </c>
      <c r="E878" t="inlineStr">
        <is>
          <t>SKELLEFTEÅ</t>
        </is>
      </c>
      <c r="G878" t="n">
        <v>10.1</v>
      </c>
      <c r="H878" t="n">
        <v>0</v>
      </c>
      <c r="I878" t="n">
        <v>0</v>
      </c>
      <c r="J878" t="n">
        <v>0</v>
      </c>
      <c r="K878" t="n">
        <v>0</v>
      </c>
      <c r="L878" t="n">
        <v>0</v>
      </c>
      <c r="M878" t="n">
        <v>0</v>
      </c>
      <c r="N878" t="n">
        <v>0</v>
      </c>
      <c r="O878" t="n">
        <v>0</v>
      </c>
      <c r="P878" t="n">
        <v>0</v>
      </c>
      <c r="Q878" t="n">
        <v>0</v>
      </c>
      <c r="R878" s="2" t="inlineStr"/>
    </row>
    <row r="879" ht="15" customHeight="1">
      <c r="A879" t="inlineStr">
        <is>
          <t>A 28525-2021</t>
        </is>
      </c>
      <c r="B879" s="1" t="n">
        <v>44356</v>
      </c>
      <c r="C879" s="1" t="n">
        <v>45641</v>
      </c>
      <c r="D879" t="inlineStr">
        <is>
          <t>VÄSTERBOTTENS LÄN</t>
        </is>
      </c>
      <c r="E879" t="inlineStr">
        <is>
          <t>SKELLEFTEÅ</t>
        </is>
      </c>
      <c r="F879" t="inlineStr">
        <is>
          <t>Kyrkan</t>
        </is>
      </c>
      <c r="G879" t="n">
        <v>2</v>
      </c>
      <c r="H879" t="n">
        <v>0</v>
      </c>
      <c r="I879" t="n">
        <v>0</v>
      </c>
      <c r="J879" t="n">
        <v>0</v>
      </c>
      <c r="K879" t="n">
        <v>0</v>
      </c>
      <c r="L879" t="n">
        <v>0</v>
      </c>
      <c r="M879" t="n">
        <v>0</v>
      </c>
      <c r="N879" t="n">
        <v>0</v>
      </c>
      <c r="O879" t="n">
        <v>0</v>
      </c>
      <c r="P879" t="n">
        <v>0</v>
      </c>
      <c r="Q879" t="n">
        <v>0</v>
      </c>
      <c r="R879" s="2" t="inlineStr"/>
    </row>
    <row r="880" ht="15" customHeight="1">
      <c r="A880" t="inlineStr">
        <is>
          <t>A 28666-2021</t>
        </is>
      </c>
      <c r="B880" s="1" t="n">
        <v>44357</v>
      </c>
      <c r="C880" s="1" t="n">
        <v>45641</v>
      </c>
      <c r="D880" t="inlineStr">
        <is>
          <t>VÄSTERBOTTENS LÄN</t>
        </is>
      </c>
      <c r="E880" t="inlineStr">
        <is>
          <t>SKELLEFTEÅ</t>
        </is>
      </c>
      <c r="G880" t="n">
        <v>1.5</v>
      </c>
      <c r="H880" t="n">
        <v>0</v>
      </c>
      <c r="I880" t="n">
        <v>0</v>
      </c>
      <c r="J880" t="n">
        <v>0</v>
      </c>
      <c r="K880" t="n">
        <v>0</v>
      </c>
      <c r="L880" t="n">
        <v>0</v>
      </c>
      <c r="M880" t="n">
        <v>0</v>
      </c>
      <c r="N880" t="n">
        <v>0</v>
      </c>
      <c r="O880" t="n">
        <v>0</v>
      </c>
      <c r="P880" t="n">
        <v>0</v>
      </c>
      <c r="Q880" t="n">
        <v>0</v>
      </c>
      <c r="R880" s="2" t="inlineStr"/>
    </row>
    <row r="881" ht="15" customHeight="1">
      <c r="A881" t="inlineStr">
        <is>
          <t>A 28822-2021</t>
        </is>
      </c>
      <c r="B881" s="1" t="n">
        <v>44357</v>
      </c>
      <c r="C881" s="1" t="n">
        <v>45641</v>
      </c>
      <c r="D881" t="inlineStr">
        <is>
          <t>VÄSTERBOTTENS LÄN</t>
        </is>
      </c>
      <c r="E881" t="inlineStr">
        <is>
          <t>SKELLEFTEÅ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29115-2021</t>
        </is>
      </c>
      <c r="B882" s="1" t="n">
        <v>44358</v>
      </c>
      <c r="C882" s="1" t="n">
        <v>45641</v>
      </c>
      <c r="D882" t="inlineStr">
        <is>
          <t>VÄSTERBOTTENS LÄN</t>
        </is>
      </c>
      <c r="E882" t="inlineStr">
        <is>
          <t>SKELLEFTEÅ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28959-2021</t>
        </is>
      </c>
      <c r="B883" s="1" t="n">
        <v>44358</v>
      </c>
      <c r="C883" s="1" t="n">
        <v>45641</v>
      </c>
      <c r="D883" t="inlineStr">
        <is>
          <t>VÄSTERBOTTENS LÄN</t>
        </is>
      </c>
      <c r="E883" t="inlineStr">
        <is>
          <t>SKELLEFTEÅ</t>
        </is>
      </c>
      <c r="G883" t="n">
        <v>4.9</v>
      </c>
      <c r="H883" t="n">
        <v>0</v>
      </c>
      <c r="I883" t="n">
        <v>0</v>
      </c>
      <c r="J883" t="n">
        <v>0</v>
      </c>
      <c r="K883" t="n">
        <v>0</v>
      </c>
      <c r="L883" t="n">
        <v>0</v>
      </c>
      <c r="M883" t="n">
        <v>0</v>
      </c>
      <c r="N883" t="n">
        <v>0</v>
      </c>
      <c r="O883" t="n">
        <v>0</v>
      </c>
      <c r="P883" t="n">
        <v>0</v>
      </c>
      <c r="Q883" t="n">
        <v>0</v>
      </c>
      <c r="R883" s="2" t="inlineStr"/>
    </row>
    <row r="884" ht="15" customHeight="1">
      <c r="A884" t="inlineStr">
        <is>
          <t>A 29319-2021</t>
        </is>
      </c>
      <c r="B884" s="1" t="n">
        <v>44361</v>
      </c>
      <c r="C884" s="1" t="n">
        <v>45641</v>
      </c>
      <c r="D884" t="inlineStr">
        <is>
          <t>VÄSTERBOTTENS LÄN</t>
        </is>
      </c>
      <c r="E884" t="inlineStr">
        <is>
          <t>SKELLEFTEÅ</t>
        </is>
      </c>
      <c r="G884" t="n">
        <v>3.5</v>
      </c>
      <c r="H884" t="n">
        <v>0</v>
      </c>
      <c r="I884" t="n">
        <v>0</v>
      </c>
      <c r="J884" t="n">
        <v>0</v>
      </c>
      <c r="K884" t="n">
        <v>0</v>
      </c>
      <c r="L884" t="n">
        <v>0</v>
      </c>
      <c r="M884" t="n">
        <v>0</v>
      </c>
      <c r="N884" t="n">
        <v>0</v>
      </c>
      <c r="O884" t="n">
        <v>0</v>
      </c>
      <c r="P884" t="n">
        <v>0</v>
      </c>
      <c r="Q884" t="n">
        <v>0</v>
      </c>
      <c r="R884" s="2" t="inlineStr"/>
    </row>
    <row r="885" ht="15" customHeight="1">
      <c r="A885" t="inlineStr">
        <is>
          <t>A 29276-2021</t>
        </is>
      </c>
      <c r="B885" s="1" t="n">
        <v>44361</v>
      </c>
      <c r="C885" s="1" t="n">
        <v>45641</v>
      </c>
      <c r="D885" t="inlineStr">
        <is>
          <t>VÄSTERBOTTENS LÄN</t>
        </is>
      </c>
      <c r="E885" t="inlineStr">
        <is>
          <t>SKELLEFTEÅ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29407-2021</t>
        </is>
      </c>
      <c r="B886" s="1" t="n">
        <v>44361</v>
      </c>
      <c r="C886" s="1" t="n">
        <v>45641</v>
      </c>
      <c r="D886" t="inlineStr">
        <is>
          <t>VÄSTERBOTTENS LÄN</t>
        </is>
      </c>
      <c r="E886" t="inlineStr">
        <is>
          <t>SKELLEFTEÅ</t>
        </is>
      </c>
      <c r="F886" t="inlineStr">
        <is>
          <t>Holmen skog AB</t>
        </is>
      </c>
      <c r="G886" t="n">
        <v>3.2</v>
      </c>
      <c r="H886" t="n">
        <v>0</v>
      </c>
      <c r="I886" t="n">
        <v>0</v>
      </c>
      <c r="J886" t="n">
        <v>0</v>
      </c>
      <c r="K886" t="n">
        <v>0</v>
      </c>
      <c r="L886" t="n">
        <v>0</v>
      </c>
      <c r="M886" t="n">
        <v>0</v>
      </c>
      <c r="N886" t="n">
        <v>0</v>
      </c>
      <c r="O886" t="n">
        <v>0</v>
      </c>
      <c r="P886" t="n">
        <v>0</v>
      </c>
      <c r="Q886" t="n">
        <v>0</v>
      </c>
      <c r="R886" s="2" t="inlineStr"/>
    </row>
    <row r="887" ht="15" customHeight="1">
      <c r="A887" t="inlineStr">
        <is>
          <t>A 29687-2021</t>
        </is>
      </c>
      <c r="B887" s="1" t="n">
        <v>44362</v>
      </c>
      <c r="C887" s="1" t="n">
        <v>45641</v>
      </c>
      <c r="D887" t="inlineStr">
        <is>
          <t>VÄSTERBOTTENS LÄN</t>
        </is>
      </c>
      <c r="E887" t="inlineStr">
        <is>
          <t>SKELLEFTEÅ</t>
        </is>
      </c>
      <c r="G887" t="n">
        <v>1.9</v>
      </c>
      <c r="H887" t="n">
        <v>0</v>
      </c>
      <c r="I887" t="n">
        <v>0</v>
      </c>
      <c r="J887" t="n">
        <v>0</v>
      </c>
      <c r="K887" t="n">
        <v>0</v>
      </c>
      <c r="L887" t="n">
        <v>0</v>
      </c>
      <c r="M887" t="n">
        <v>0</v>
      </c>
      <c r="N887" t="n">
        <v>0</v>
      </c>
      <c r="O887" t="n">
        <v>0</v>
      </c>
      <c r="P887" t="n">
        <v>0</v>
      </c>
      <c r="Q887" t="n">
        <v>0</v>
      </c>
      <c r="R887" s="2" t="inlineStr"/>
    </row>
    <row r="888" ht="15" customHeight="1">
      <c r="A888" t="inlineStr">
        <is>
          <t>A 29649-2021</t>
        </is>
      </c>
      <c r="B888" s="1" t="n">
        <v>44362</v>
      </c>
      <c r="C888" s="1" t="n">
        <v>45641</v>
      </c>
      <c r="D888" t="inlineStr">
        <is>
          <t>VÄSTERBOTTENS LÄN</t>
        </is>
      </c>
      <c r="E888" t="inlineStr">
        <is>
          <t>SKELLEFTEÅ</t>
        </is>
      </c>
      <c r="G888" t="n">
        <v>1.7</v>
      </c>
      <c r="H888" t="n">
        <v>0</v>
      </c>
      <c r="I888" t="n">
        <v>0</v>
      </c>
      <c r="J888" t="n">
        <v>0</v>
      </c>
      <c r="K888" t="n">
        <v>0</v>
      </c>
      <c r="L888" t="n">
        <v>0</v>
      </c>
      <c r="M888" t="n">
        <v>0</v>
      </c>
      <c r="N888" t="n">
        <v>0</v>
      </c>
      <c r="O888" t="n">
        <v>0</v>
      </c>
      <c r="P888" t="n">
        <v>0</v>
      </c>
      <c r="Q888" t="n">
        <v>0</v>
      </c>
      <c r="R888" s="2" t="inlineStr"/>
    </row>
    <row r="889" ht="15" customHeight="1">
      <c r="A889" t="inlineStr">
        <is>
          <t>A 29731-2021</t>
        </is>
      </c>
      <c r="B889" s="1" t="n">
        <v>44362</v>
      </c>
      <c r="C889" s="1" t="n">
        <v>45641</v>
      </c>
      <c r="D889" t="inlineStr">
        <is>
          <t>VÄSTERBOTTENS LÄN</t>
        </is>
      </c>
      <c r="E889" t="inlineStr">
        <is>
          <t>SKELLEFTEÅ</t>
        </is>
      </c>
      <c r="F889" t="inlineStr">
        <is>
          <t>Holmen skog AB</t>
        </is>
      </c>
      <c r="G889" t="n">
        <v>15.1</v>
      </c>
      <c r="H889" t="n">
        <v>0</v>
      </c>
      <c r="I889" t="n">
        <v>0</v>
      </c>
      <c r="J889" t="n">
        <v>0</v>
      </c>
      <c r="K889" t="n">
        <v>0</v>
      </c>
      <c r="L889" t="n">
        <v>0</v>
      </c>
      <c r="M889" t="n">
        <v>0</v>
      </c>
      <c r="N889" t="n">
        <v>0</v>
      </c>
      <c r="O889" t="n">
        <v>0</v>
      </c>
      <c r="P889" t="n">
        <v>0</v>
      </c>
      <c r="Q889" t="n">
        <v>0</v>
      </c>
      <c r="R889" s="2" t="inlineStr"/>
    </row>
    <row r="890" ht="15" customHeight="1">
      <c r="A890" t="inlineStr">
        <is>
          <t>A 30086-2021</t>
        </is>
      </c>
      <c r="B890" s="1" t="n">
        <v>44363</v>
      </c>
      <c r="C890" s="1" t="n">
        <v>45641</v>
      </c>
      <c r="D890" t="inlineStr">
        <is>
          <t>VÄSTERBOTTENS LÄN</t>
        </is>
      </c>
      <c r="E890" t="inlineStr">
        <is>
          <t>SKELLEFTEÅ</t>
        </is>
      </c>
      <c r="G890" t="n">
        <v>1.8</v>
      </c>
      <c r="H890" t="n">
        <v>0</v>
      </c>
      <c r="I890" t="n">
        <v>0</v>
      </c>
      <c r="J890" t="n">
        <v>0</v>
      </c>
      <c r="K890" t="n">
        <v>0</v>
      </c>
      <c r="L890" t="n">
        <v>0</v>
      </c>
      <c r="M890" t="n">
        <v>0</v>
      </c>
      <c r="N890" t="n">
        <v>0</v>
      </c>
      <c r="O890" t="n">
        <v>0</v>
      </c>
      <c r="P890" t="n">
        <v>0</v>
      </c>
      <c r="Q890" t="n">
        <v>0</v>
      </c>
      <c r="R890" s="2" t="inlineStr"/>
    </row>
    <row r="891" ht="15" customHeight="1">
      <c r="A891" t="inlineStr">
        <is>
          <t>A 30194-2021</t>
        </is>
      </c>
      <c r="B891" s="1" t="n">
        <v>44363</v>
      </c>
      <c r="C891" s="1" t="n">
        <v>45641</v>
      </c>
      <c r="D891" t="inlineStr">
        <is>
          <t>VÄSTERBOTTENS LÄN</t>
        </is>
      </c>
      <c r="E891" t="inlineStr">
        <is>
          <t>SKELLEFTEÅ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30449-2021</t>
        </is>
      </c>
      <c r="B892" s="1" t="n">
        <v>44364</v>
      </c>
      <c r="C892" s="1" t="n">
        <v>45641</v>
      </c>
      <c r="D892" t="inlineStr">
        <is>
          <t>VÄSTERBOTTENS LÄN</t>
        </is>
      </c>
      <c r="E892" t="inlineStr">
        <is>
          <t>SKELLEFTEÅ</t>
        </is>
      </c>
      <c r="G892" t="n">
        <v>2.6</v>
      </c>
      <c r="H892" t="n">
        <v>0</v>
      </c>
      <c r="I892" t="n">
        <v>0</v>
      </c>
      <c r="J892" t="n">
        <v>0</v>
      </c>
      <c r="K892" t="n">
        <v>0</v>
      </c>
      <c r="L892" t="n">
        <v>0</v>
      </c>
      <c r="M892" t="n">
        <v>0</v>
      </c>
      <c r="N892" t="n">
        <v>0</v>
      </c>
      <c r="O892" t="n">
        <v>0</v>
      </c>
      <c r="P892" t="n">
        <v>0</v>
      </c>
      <c r="Q892" t="n">
        <v>0</v>
      </c>
      <c r="R892" s="2" t="inlineStr"/>
    </row>
    <row r="893" ht="15" customHeight="1">
      <c r="A893" t="inlineStr">
        <is>
          <t>A 30332-2021</t>
        </is>
      </c>
      <c r="B893" s="1" t="n">
        <v>44364</v>
      </c>
      <c r="C893" s="1" t="n">
        <v>45641</v>
      </c>
      <c r="D893" t="inlineStr">
        <is>
          <t>VÄSTERBOTTENS LÄN</t>
        </is>
      </c>
      <c r="E893" t="inlineStr">
        <is>
          <t>SKELLEFTEÅ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30744-2021</t>
        </is>
      </c>
      <c r="B894" s="1" t="n">
        <v>44365</v>
      </c>
      <c r="C894" s="1" t="n">
        <v>45641</v>
      </c>
      <c r="D894" t="inlineStr">
        <is>
          <t>VÄSTERBOTTENS LÄN</t>
        </is>
      </c>
      <c r="E894" t="inlineStr">
        <is>
          <t>SKELLEFTEÅ</t>
        </is>
      </c>
      <c r="G894" t="n">
        <v>38.3</v>
      </c>
      <c r="H894" t="n">
        <v>0</v>
      </c>
      <c r="I894" t="n">
        <v>0</v>
      </c>
      <c r="J894" t="n">
        <v>0</v>
      </c>
      <c r="K894" t="n">
        <v>0</v>
      </c>
      <c r="L894" t="n">
        <v>0</v>
      </c>
      <c r="M894" t="n">
        <v>0</v>
      </c>
      <c r="N894" t="n">
        <v>0</v>
      </c>
      <c r="O894" t="n">
        <v>0</v>
      </c>
      <c r="P894" t="n">
        <v>0</v>
      </c>
      <c r="Q894" t="n">
        <v>0</v>
      </c>
      <c r="R894" s="2" t="inlineStr"/>
    </row>
    <row r="895" ht="15" customHeight="1">
      <c r="A895" t="inlineStr">
        <is>
          <t>A 30719-2021</t>
        </is>
      </c>
      <c r="B895" s="1" t="n">
        <v>44365</v>
      </c>
      <c r="C895" s="1" t="n">
        <v>45641</v>
      </c>
      <c r="D895" t="inlineStr">
        <is>
          <t>VÄSTERBOTTENS LÄN</t>
        </is>
      </c>
      <c r="E895" t="inlineStr">
        <is>
          <t>SKELLEFTEÅ</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30704-2021</t>
        </is>
      </c>
      <c r="B896" s="1" t="n">
        <v>44365</v>
      </c>
      <c r="C896" s="1" t="n">
        <v>45641</v>
      </c>
      <c r="D896" t="inlineStr">
        <is>
          <t>VÄSTERBOTTENS LÄN</t>
        </is>
      </c>
      <c r="E896" t="inlineStr">
        <is>
          <t>SKELLEFTEÅ</t>
        </is>
      </c>
      <c r="G896" t="n">
        <v>20.2</v>
      </c>
      <c r="H896" t="n">
        <v>0</v>
      </c>
      <c r="I896" t="n">
        <v>0</v>
      </c>
      <c r="J896" t="n">
        <v>0</v>
      </c>
      <c r="K896" t="n">
        <v>0</v>
      </c>
      <c r="L896" t="n">
        <v>0</v>
      </c>
      <c r="M896" t="n">
        <v>0</v>
      </c>
      <c r="N896" t="n">
        <v>0</v>
      </c>
      <c r="O896" t="n">
        <v>0</v>
      </c>
      <c r="P896" t="n">
        <v>0</v>
      </c>
      <c r="Q896" t="n">
        <v>0</v>
      </c>
      <c r="R896" s="2" t="inlineStr"/>
    </row>
    <row r="897" ht="15" customHeight="1">
      <c r="A897" t="inlineStr">
        <is>
          <t>A 30754-2021</t>
        </is>
      </c>
      <c r="B897" s="1" t="n">
        <v>44365</v>
      </c>
      <c r="C897" s="1" t="n">
        <v>45641</v>
      </c>
      <c r="D897" t="inlineStr">
        <is>
          <t>VÄSTERBOTTENS LÄN</t>
        </is>
      </c>
      <c r="E897" t="inlineStr">
        <is>
          <t>SKELLEFTEÅ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30870-2021</t>
        </is>
      </c>
      <c r="B898" s="1" t="n">
        <v>44365</v>
      </c>
      <c r="C898" s="1" t="n">
        <v>45641</v>
      </c>
      <c r="D898" t="inlineStr">
        <is>
          <t>VÄSTERBOTTENS LÄN</t>
        </is>
      </c>
      <c r="E898" t="inlineStr">
        <is>
          <t>SKELLEFTEÅ</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30959-2021</t>
        </is>
      </c>
      <c r="B899" s="1" t="n">
        <v>44365</v>
      </c>
      <c r="C899" s="1" t="n">
        <v>45641</v>
      </c>
      <c r="D899" t="inlineStr">
        <is>
          <t>VÄSTERBOTTENS LÄN</t>
        </is>
      </c>
      <c r="E899" t="inlineStr">
        <is>
          <t>SKELLEFTEÅ</t>
        </is>
      </c>
      <c r="G899" t="n">
        <v>2.7</v>
      </c>
      <c r="H899" t="n">
        <v>0</v>
      </c>
      <c r="I899" t="n">
        <v>0</v>
      </c>
      <c r="J899" t="n">
        <v>0</v>
      </c>
      <c r="K899" t="n">
        <v>0</v>
      </c>
      <c r="L899" t="n">
        <v>0</v>
      </c>
      <c r="M899" t="n">
        <v>0</v>
      </c>
      <c r="N899" t="n">
        <v>0</v>
      </c>
      <c r="O899" t="n">
        <v>0</v>
      </c>
      <c r="P899" t="n">
        <v>0</v>
      </c>
      <c r="Q899" t="n">
        <v>0</v>
      </c>
      <c r="R899" s="2" t="inlineStr"/>
    </row>
    <row r="900" ht="15" customHeight="1">
      <c r="A900" t="inlineStr">
        <is>
          <t>A 31185-2021</t>
        </is>
      </c>
      <c r="B900" s="1" t="n">
        <v>44367</v>
      </c>
      <c r="C900" s="1" t="n">
        <v>45641</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31186-2021</t>
        </is>
      </c>
      <c r="B901" s="1" t="n">
        <v>44368</v>
      </c>
      <c r="C901" s="1" t="n">
        <v>45641</v>
      </c>
      <c r="D901" t="inlineStr">
        <is>
          <t>VÄSTERBOTTENS LÄN</t>
        </is>
      </c>
      <c r="E901" t="inlineStr">
        <is>
          <t>SKELLEFTEÅ</t>
        </is>
      </c>
      <c r="G901" t="n">
        <v>2.7</v>
      </c>
      <c r="H901" t="n">
        <v>0</v>
      </c>
      <c r="I901" t="n">
        <v>0</v>
      </c>
      <c r="J901" t="n">
        <v>0</v>
      </c>
      <c r="K901" t="n">
        <v>0</v>
      </c>
      <c r="L901" t="n">
        <v>0</v>
      </c>
      <c r="M901" t="n">
        <v>0</v>
      </c>
      <c r="N901" t="n">
        <v>0</v>
      </c>
      <c r="O901" t="n">
        <v>0</v>
      </c>
      <c r="P901" t="n">
        <v>0</v>
      </c>
      <c r="Q901" t="n">
        <v>0</v>
      </c>
      <c r="R901" s="2" t="inlineStr"/>
    </row>
    <row r="902" ht="15" customHeight="1">
      <c r="A902" t="inlineStr">
        <is>
          <t>A 31181-2021</t>
        </is>
      </c>
      <c r="B902" s="1" t="n">
        <v>44368</v>
      </c>
      <c r="C902" s="1" t="n">
        <v>45641</v>
      </c>
      <c r="D902" t="inlineStr">
        <is>
          <t>VÄSTERBOTTENS LÄN</t>
        </is>
      </c>
      <c r="E902" t="inlineStr">
        <is>
          <t>SKELLEFTEÅ</t>
        </is>
      </c>
      <c r="G902" t="n">
        <v>6.3</v>
      </c>
      <c r="H902" t="n">
        <v>0</v>
      </c>
      <c r="I902" t="n">
        <v>0</v>
      </c>
      <c r="J902" t="n">
        <v>0</v>
      </c>
      <c r="K902" t="n">
        <v>0</v>
      </c>
      <c r="L902" t="n">
        <v>0</v>
      </c>
      <c r="M902" t="n">
        <v>0</v>
      </c>
      <c r="N902" t="n">
        <v>0</v>
      </c>
      <c r="O902" t="n">
        <v>0</v>
      </c>
      <c r="P902" t="n">
        <v>0</v>
      </c>
      <c r="Q902" t="n">
        <v>0</v>
      </c>
      <c r="R902" s="2" t="inlineStr"/>
    </row>
    <row r="903" ht="15" customHeight="1">
      <c r="A903" t="inlineStr">
        <is>
          <t>A 31197-2021</t>
        </is>
      </c>
      <c r="B903" s="1" t="n">
        <v>44368</v>
      </c>
      <c r="C903" s="1" t="n">
        <v>45641</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31251-2021</t>
        </is>
      </c>
      <c r="B904" s="1" t="n">
        <v>44368</v>
      </c>
      <c r="C904" s="1" t="n">
        <v>45641</v>
      </c>
      <c r="D904" t="inlineStr">
        <is>
          <t>VÄSTERBOTTENS LÄN</t>
        </is>
      </c>
      <c r="E904" t="inlineStr">
        <is>
          <t>SKELLEFTEÅ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31419-2021</t>
        </is>
      </c>
      <c r="B905" s="1" t="n">
        <v>44368</v>
      </c>
      <c r="C905" s="1" t="n">
        <v>45641</v>
      </c>
      <c r="D905" t="inlineStr">
        <is>
          <t>VÄSTERBOTTENS LÄN</t>
        </is>
      </c>
      <c r="E905" t="inlineStr">
        <is>
          <t>SKELLEFTEÅ</t>
        </is>
      </c>
      <c r="G905" t="n">
        <v>29</v>
      </c>
      <c r="H905" t="n">
        <v>0</v>
      </c>
      <c r="I905" t="n">
        <v>0</v>
      </c>
      <c r="J905" t="n">
        <v>0</v>
      </c>
      <c r="K905" t="n">
        <v>0</v>
      </c>
      <c r="L905" t="n">
        <v>0</v>
      </c>
      <c r="M905" t="n">
        <v>0</v>
      </c>
      <c r="N905" t="n">
        <v>0</v>
      </c>
      <c r="O905" t="n">
        <v>0</v>
      </c>
      <c r="P905" t="n">
        <v>0</v>
      </c>
      <c r="Q905" t="n">
        <v>0</v>
      </c>
      <c r="R905" s="2" t="inlineStr"/>
    </row>
    <row r="906" ht="15" customHeight="1">
      <c r="A906" t="inlineStr">
        <is>
          <t>A 31395-2021</t>
        </is>
      </c>
      <c r="B906" s="1" t="n">
        <v>44369</v>
      </c>
      <c r="C906" s="1" t="n">
        <v>45641</v>
      </c>
      <c r="D906" t="inlineStr">
        <is>
          <t>VÄSTERBOTTENS LÄN</t>
        </is>
      </c>
      <c r="E906" t="inlineStr">
        <is>
          <t>SKELLEFTEÅ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31766-2021</t>
        </is>
      </c>
      <c r="B907" s="1" t="n">
        <v>44369</v>
      </c>
      <c r="C907" s="1" t="n">
        <v>45641</v>
      </c>
      <c r="D907" t="inlineStr">
        <is>
          <t>VÄSTERBOTTENS LÄN</t>
        </is>
      </c>
      <c r="E907" t="inlineStr">
        <is>
          <t>SKELLEFTEÅ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32114-2021</t>
        </is>
      </c>
      <c r="B908" s="1" t="n">
        <v>44371</v>
      </c>
      <c r="C908" s="1" t="n">
        <v>45641</v>
      </c>
      <c r="D908" t="inlineStr">
        <is>
          <t>VÄSTERBOTTENS LÄN</t>
        </is>
      </c>
      <c r="E908" t="inlineStr">
        <is>
          <t>SKELLEFTEÅ</t>
        </is>
      </c>
      <c r="G908" t="n">
        <v>0.5</v>
      </c>
      <c r="H908" t="n">
        <v>0</v>
      </c>
      <c r="I908" t="n">
        <v>0</v>
      </c>
      <c r="J908" t="n">
        <v>0</v>
      </c>
      <c r="K908" t="n">
        <v>0</v>
      </c>
      <c r="L908" t="n">
        <v>0</v>
      </c>
      <c r="M908" t="n">
        <v>0</v>
      </c>
      <c r="N908" t="n">
        <v>0</v>
      </c>
      <c r="O908" t="n">
        <v>0</v>
      </c>
      <c r="P908" t="n">
        <v>0</v>
      </c>
      <c r="Q908" t="n">
        <v>0</v>
      </c>
      <c r="R908" s="2" t="inlineStr"/>
    </row>
    <row r="909" ht="15" customHeight="1">
      <c r="A909" t="inlineStr">
        <is>
          <t>A 32439-2021</t>
        </is>
      </c>
      <c r="B909" s="1" t="n">
        <v>44371</v>
      </c>
      <c r="C909" s="1" t="n">
        <v>45641</v>
      </c>
      <c r="D909" t="inlineStr">
        <is>
          <t>VÄSTERBOTTENS LÄN</t>
        </is>
      </c>
      <c r="E909" t="inlineStr">
        <is>
          <t>SKELLEFTEÅ</t>
        </is>
      </c>
      <c r="G909" t="n">
        <v>2.5</v>
      </c>
      <c r="H909" t="n">
        <v>0</v>
      </c>
      <c r="I909" t="n">
        <v>0</v>
      </c>
      <c r="J909" t="n">
        <v>0</v>
      </c>
      <c r="K909" t="n">
        <v>0</v>
      </c>
      <c r="L909" t="n">
        <v>0</v>
      </c>
      <c r="M909" t="n">
        <v>0</v>
      </c>
      <c r="N909" t="n">
        <v>0</v>
      </c>
      <c r="O909" t="n">
        <v>0</v>
      </c>
      <c r="P909" t="n">
        <v>0</v>
      </c>
      <c r="Q909" t="n">
        <v>0</v>
      </c>
      <c r="R909" s="2" t="inlineStr"/>
    </row>
    <row r="910" ht="15" customHeight="1">
      <c r="A910" t="inlineStr">
        <is>
          <t>A 32438-2021</t>
        </is>
      </c>
      <c r="B910" s="1" t="n">
        <v>44371</v>
      </c>
      <c r="C910" s="1" t="n">
        <v>45641</v>
      </c>
      <c r="D910" t="inlineStr">
        <is>
          <t>VÄSTERBOTTENS LÄN</t>
        </is>
      </c>
      <c r="E910" t="inlineStr">
        <is>
          <t>SKELLEFTEÅ</t>
        </is>
      </c>
      <c r="G910" t="n">
        <v>4.7</v>
      </c>
      <c r="H910" t="n">
        <v>0</v>
      </c>
      <c r="I910" t="n">
        <v>0</v>
      </c>
      <c r="J910" t="n">
        <v>0</v>
      </c>
      <c r="K910" t="n">
        <v>0</v>
      </c>
      <c r="L910" t="n">
        <v>0</v>
      </c>
      <c r="M910" t="n">
        <v>0</v>
      </c>
      <c r="N910" t="n">
        <v>0</v>
      </c>
      <c r="O910" t="n">
        <v>0</v>
      </c>
      <c r="P910" t="n">
        <v>0</v>
      </c>
      <c r="Q910" t="n">
        <v>0</v>
      </c>
      <c r="R910" s="2" t="inlineStr"/>
    </row>
    <row r="911" ht="15" customHeight="1">
      <c r="A911" t="inlineStr">
        <is>
          <t>A 32616-2021</t>
        </is>
      </c>
      <c r="B911" s="1" t="n">
        <v>44371</v>
      </c>
      <c r="C911" s="1" t="n">
        <v>45641</v>
      </c>
      <c r="D911" t="inlineStr">
        <is>
          <t>VÄSTERBOTTENS LÄN</t>
        </is>
      </c>
      <c r="E911" t="inlineStr">
        <is>
          <t>SKELLEFTEÅ</t>
        </is>
      </c>
      <c r="G911" t="n">
        <v>2.4</v>
      </c>
      <c r="H911" t="n">
        <v>0</v>
      </c>
      <c r="I911" t="n">
        <v>0</v>
      </c>
      <c r="J911" t="n">
        <v>0</v>
      </c>
      <c r="K911" t="n">
        <v>0</v>
      </c>
      <c r="L911" t="n">
        <v>0</v>
      </c>
      <c r="M911" t="n">
        <v>0</v>
      </c>
      <c r="N911" t="n">
        <v>0</v>
      </c>
      <c r="O911" t="n">
        <v>0</v>
      </c>
      <c r="P911" t="n">
        <v>0</v>
      </c>
      <c r="Q911" t="n">
        <v>0</v>
      </c>
      <c r="R911" s="2" t="inlineStr"/>
    </row>
    <row r="912" ht="15" customHeight="1">
      <c r="A912" t="inlineStr">
        <is>
          <t>A 32585-2021</t>
        </is>
      </c>
      <c r="B912" s="1" t="n">
        <v>44375</v>
      </c>
      <c r="C912" s="1" t="n">
        <v>45641</v>
      </c>
      <c r="D912" t="inlineStr">
        <is>
          <t>VÄSTERBOTTENS LÄN</t>
        </is>
      </c>
      <c r="E912" t="inlineStr">
        <is>
          <t>SKELLEFTEÅ</t>
        </is>
      </c>
      <c r="F912" t="inlineStr">
        <is>
          <t>Holmen skog AB</t>
        </is>
      </c>
      <c r="G912" t="n">
        <v>4.6</v>
      </c>
      <c r="H912" t="n">
        <v>0</v>
      </c>
      <c r="I912" t="n">
        <v>0</v>
      </c>
      <c r="J912" t="n">
        <v>0</v>
      </c>
      <c r="K912" t="n">
        <v>0</v>
      </c>
      <c r="L912" t="n">
        <v>0</v>
      </c>
      <c r="M912" t="n">
        <v>0</v>
      </c>
      <c r="N912" t="n">
        <v>0</v>
      </c>
      <c r="O912" t="n">
        <v>0</v>
      </c>
      <c r="P912" t="n">
        <v>0</v>
      </c>
      <c r="Q912" t="n">
        <v>0</v>
      </c>
      <c r="R912" s="2" t="inlineStr"/>
    </row>
    <row r="913" ht="15" customHeight="1">
      <c r="A913" t="inlineStr">
        <is>
          <t>A 32917-2021</t>
        </is>
      </c>
      <c r="B913" s="1" t="n">
        <v>44375</v>
      </c>
      <c r="C913" s="1" t="n">
        <v>45641</v>
      </c>
      <c r="D913" t="inlineStr">
        <is>
          <t>VÄSTERBOTTENS LÄN</t>
        </is>
      </c>
      <c r="E913" t="inlineStr">
        <is>
          <t>SKELLEFTEÅ</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33236-2021</t>
        </is>
      </c>
      <c r="B914" s="1" t="n">
        <v>44376</v>
      </c>
      <c r="C914" s="1" t="n">
        <v>45641</v>
      </c>
      <c r="D914" t="inlineStr">
        <is>
          <t>VÄSTERBOTTENS LÄN</t>
        </is>
      </c>
      <c r="E914" t="inlineStr">
        <is>
          <t>SKELLEFTEÅ</t>
        </is>
      </c>
      <c r="G914" t="n">
        <v>5.4</v>
      </c>
      <c r="H914" t="n">
        <v>0</v>
      </c>
      <c r="I914" t="n">
        <v>0</v>
      </c>
      <c r="J914" t="n">
        <v>0</v>
      </c>
      <c r="K914" t="n">
        <v>0</v>
      </c>
      <c r="L914" t="n">
        <v>0</v>
      </c>
      <c r="M914" t="n">
        <v>0</v>
      </c>
      <c r="N914" t="n">
        <v>0</v>
      </c>
      <c r="O914" t="n">
        <v>0</v>
      </c>
      <c r="P914" t="n">
        <v>0</v>
      </c>
      <c r="Q914" t="n">
        <v>0</v>
      </c>
      <c r="R914" s="2" t="inlineStr"/>
    </row>
    <row r="915" ht="15" customHeight="1">
      <c r="A915" t="inlineStr">
        <is>
          <t>A 33283-2021</t>
        </is>
      </c>
      <c r="B915" s="1" t="n">
        <v>44377</v>
      </c>
      <c r="C915" s="1" t="n">
        <v>45641</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33284-2021</t>
        </is>
      </c>
      <c r="B916" s="1" t="n">
        <v>44377</v>
      </c>
      <c r="C916" s="1" t="n">
        <v>45641</v>
      </c>
      <c r="D916" t="inlineStr">
        <is>
          <t>VÄSTERBOTTENS LÄN</t>
        </is>
      </c>
      <c r="E916" t="inlineStr">
        <is>
          <t>SKELLEFTEÅ</t>
        </is>
      </c>
      <c r="G916" t="n">
        <v>3.6</v>
      </c>
      <c r="H916" t="n">
        <v>0</v>
      </c>
      <c r="I916" t="n">
        <v>0</v>
      </c>
      <c r="J916" t="n">
        <v>0</v>
      </c>
      <c r="K916" t="n">
        <v>0</v>
      </c>
      <c r="L916" t="n">
        <v>0</v>
      </c>
      <c r="M916" t="n">
        <v>0</v>
      </c>
      <c r="N916" t="n">
        <v>0</v>
      </c>
      <c r="O916" t="n">
        <v>0</v>
      </c>
      <c r="P916" t="n">
        <v>0</v>
      </c>
      <c r="Q916" t="n">
        <v>0</v>
      </c>
      <c r="R916" s="2" t="inlineStr"/>
    </row>
    <row r="917" ht="15" customHeight="1">
      <c r="A917" t="inlineStr">
        <is>
          <t>A 33373-2021</t>
        </is>
      </c>
      <c r="B917" s="1" t="n">
        <v>44377</v>
      </c>
      <c r="C917" s="1" t="n">
        <v>45641</v>
      </c>
      <c r="D917" t="inlineStr">
        <is>
          <t>VÄSTERBOTTENS LÄN</t>
        </is>
      </c>
      <c r="E917" t="inlineStr">
        <is>
          <t>SKELLEFTEÅ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33473-2021</t>
        </is>
      </c>
      <c r="B918" s="1" t="n">
        <v>44377</v>
      </c>
      <c r="C918" s="1" t="n">
        <v>45641</v>
      </c>
      <c r="D918" t="inlineStr">
        <is>
          <t>VÄSTERBOTTENS LÄN</t>
        </is>
      </c>
      <c r="E918" t="inlineStr">
        <is>
          <t>SKELLEFTEÅ</t>
        </is>
      </c>
      <c r="G918" t="n">
        <v>5.3</v>
      </c>
      <c r="H918" t="n">
        <v>0</v>
      </c>
      <c r="I918" t="n">
        <v>0</v>
      </c>
      <c r="J918" t="n">
        <v>0</v>
      </c>
      <c r="K918" t="n">
        <v>0</v>
      </c>
      <c r="L918" t="n">
        <v>0</v>
      </c>
      <c r="M918" t="n">
        <v>0</v>
      </c>
      <c r="N918" t="n">
        <v>0</v>
      </c>
      <c r="O918" t="n">
        <v>0</v>
      </c>
      <c r="P918" t="n">
        <v>0</v>
      </c>
      <c r="Q918" t="n">
        <v>0</v>
      </c>
      <c r="R918" s="2" t="inlineStr"/>
    </row>
    <row r="919" ht="15" customHeight="1">
      <c r="A919" t="inlineStr">
        <is>
          <t>A 33520-2021</t>
        </is>
      </c>
      <c r="B919" s="1" t="n">
        <v>44377</v>
      </c>
      <c r="C919" s="1" t="n">
        <v>45641</v>
      </c>
      <c r="D919" t="inlineStr">
        <is>
          <t>VÄSTERBOTTENS LÄN</t>
        </is>
      </c>
      <c r="E919" t="inlineStr">
        <is>
          <t>SKELLEFTEÅ</t>
        </is>
      </c>
      <c r="G919" t="n">
        <v>3</v>
      </c>
      <c r="H919" t="n">
        <v>0</v>
      </c>
      <c r="I919" t="n">
        <v>0</v>
      </c>
      <c r="J919" t="n">
        <v>0</v>
      </c>
      <c r="K919" t="n">
        <v>0</v>
      </c>
      <c r="L919" t="n">
        <v>0</v>
      </c>
      <c r="M919" t="n">
        <v>0</v>
      </c>
      <c r="N919" t="n">
        <v>0</v>
      </c>
      <c r="O919" t="n">
        <v>0</v>
      </c>
      <c r="P919" t="n">
        <v>0</v>
      </c>
      <c r="Q919" t="n">
        <v>0</v>
      </c>
      <c r="R919" s="2" t="inlineStr"/>
    </row>
    <row r="920" ht="15" customHeight="1">
      <c r="A920" t="inlineStr">
        <is>
          <t>A 33576-2021</t>
        </is>
      </c>
      <c r="B920" s="1" t="n">
        <v>44378</v>
      </c>
      <c r="C920" s="1" t="n">
        <v>45641</v>
      </c>
      <c r="D920" t="inlineStr">
        <is>
          <t>VÄSTERBOTTENS LÄN</t>
        </is>
      </c>
      <c r="E920" t="inlineStr">
        <is>
          <t>SKELLEFTEÅ</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33519-2021</t>
        </is>
      </c>
      <c r="B921" s="1" t="n">
        <v>44377</v>
      </c>
      <c r="C921" s="1" t="n">
        <v>45641</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33680-2021</t>
        </is>
      </c>
      <c r="B922" s="1" t="n">
        <v>44378</v>
      </c>
      <c r="C922" s="1" t="n">
        <v>45641</v>
      </c>
      <c r="D922" t="inlineStr">
        <is>
          <t>VÄSTERBOTTENS LÄN</t>
        </is>
      </c>
      <c r="E922" t="inlineStr">
        <is>
          <t>SKELLEFTEÅ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33661-2021</t>
        </is>
      </c>
      <c r="B923" s="1" t="n">
        <v>44378</v>
      </c>
      <c r="C923" s="1" t="n">
        <v>45641</v>
      </c>
      <c r="D923" t="inlineStr">
        <is>
          <t>VÄSTERBOTTENS LÄN</t>
        </is>
      </c>
      <c r="E923" t="inlineStr">
        <is>
          <t>SKELLEFTEÅ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33687-2021</t>
        </is>
      </c>
      <c r="B924" s="1" t="n">
        <v>44378</v>
      </c>
      <c r="C924" s="1" t="n">
        <v>45641</v>
      </c>
      <c r="D924" t="inlineStr">
        <is>
          <t>VÄSTERBOTTENS LÄN</t>
        </is>
      </c>
      <c r="E924" t="inlineStr">
        <is>
          <t>SKELLEFTEÅ</t>
        </is>
      </c>
      <c r="G924" t="n">
        <v>0.1</v>
      </c>
      <c r="H924" t="n">
        <v>0</v>
      </c>
      <c r="I924" t="n">
        <v>0</v>
      </c>
      <c r="J924" t="n">
        <v>0</v>
      </c>
      <c r="K924" t="n">
        <v>0</v>
      </c>
      <c r="L924" t="n">
        <v>0</v>
      </c>
      <c r="M924" t="n">
        <v>0</v>
      </c>
      <c r="N924" t="n">
        <v>0</v>
      </c>
      <c r="O924" t="n">
        <v>0</v>
      </c>
      <c r="P924" t="n">
        <v>0</v>
      </c>
      <c r="Q924" t="n">
        <v>0</v>
      </c>
      <c r="R924" s="2" t="inlineStr"/>
    </row>
    <row r="925" ht="15" customHeight="1">
      <c r="A925" t="inlineStr">
        <is>
          <t>A 33841-2021</t>
        </is>
      </c>
      <c r="B925" s="1" t="n">
        <v>44378</v>
      </c>
      <c r="C925" s="1" t="n">
        <v>45641</v>
      </c>
      <c r="D925" t="inlineStr">
        <is>
          <t>VÄSTERBOTTENS LÄN</t>
        </is>
      </c>
      <c r="E925" t="inlineStr">
        <is>
          <t>SKELLEFTEÅ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34111-2021</t>
        </is>
      </c>
      <c r="B926" s="1" t="n">
        <v>44379</v>
      </c>
      <c r="C926" s="1" t="n">
        <v>45641</v>
      </c>
      <c r="D926" t="inlineStr">
        <is>
          <t>VÄSTERBOTTENS LÄN</t>
        </is>
      </c>
      <c r="E926" t="inlineStr">
        <is>
          <t>SKELLEFTEÅ</t>
        </is>
      </c>
      <c r="G926" t="n">
        <v>0.9</v>
      </c>
      <c r="H926" t="n">
        <v>0</v>
      </c>
      <c r="I926" t="n">
        <v>0</v>
      </c>
      <c r="J926" t="n">
        <v>0</v>
      </c>
      <c r="K926" t="n">
        <v>0</v>
      </c>
      <c r="L926" t="n">
        <v>0</v>
      </c>
      <c r="M926" t="n">
        <v>0</v>
      </c>
      <c r="N926" t="n">
        <v>0</v>
      </c>
      <c r="O926" t="n">
        <v>0</v>
      </c>
      <c r="P926" t="n">
        <v>0</v>
      </c>
      <c r="Q926" t="n">
        <v>0</v>
      </c>
      <c r="R926" s="2" t="inlineStr"/>
    </row>
    <row r="927" ht="15" customHeight="1">
      <c r="A927" t="inlineStr">
        <is>
          <t>A 34633-2021</t>
        </is>
      </c>
      <c r="B927" s="1" t="n">
        <v>44382</v>
      </c>
      <c r="C927" s="1" t="n">
        <v>45641</v>
      </c>
      <c r="D927" t="inlineStr">
        <is>
          <t>VÄSTERBOTTENS LÄN</t>
        </is>
      </c>
      <c r="E927" t="inlineStr">
        <is>
          <t>SKELLEFTEÅ</t>
        </is>
      </c>
      <c r="G927" t="n">
        <v>4.2</v>
      </c>
      <c r="H927" t="n">
        <v>0</v>
      </c>
      <c r="I927" t="n">
        <v>0</v>
      </c>
      <c r="J927" t="n">
        <v>0</v>
      </c>
      <c r="K927" t="n">
        <v>0</v>
      </c>
      <c r="L927" t="n">
        <v>0</v>
      </c>
      <c r="M927" t="n">
        <v>0</v>
      </c>
      <c r="N927" t="n">
        <v>0</v>
      </c>
      <c r="O927" t="n">
        <v>0</v>
      </c>
      <c r="P927" t="n">
        <v>0</v>
      </c>
      <c r="Q927" t="n">
        <v>0</v>
      </c>
      <c r="R927" s="2" t="inlineStr"/>
    </row>
    <row r="928" ht="15" customHeight="1">
      <c r="A928" t="inlineStr">
        <is>
          <t>A 34773-2021</t>
        </is>
      </c>
      <c r="B928" s="1" t="n">
        <v>44382</v>
      </c>
      <c r="C928" s="1" t="n">
        <v>45641</v>
      </c>
      <c r="D928" t="inlineStr">
        <is>
          <t>VÄSTERBOTTENS LÄN</t>
        </is>
      </c>
      <c r="E928" t="inlineStr">
        <is>
          <t>SKELLEFTEÅ</t>
        </is>
      </c>
      <c r="G928" t="n">
        <v>0.7</v>
      </c>
      <c r="H928" t="n">
        <v>0</v>
      </c>
      <c r="I928" t="n">
        <v>0</v>
      </c>
      <c r="J928" t="n">
        <v>0</v>
      </c>
      <c r="K928" t="n">
        <v>0</v>
      </c>
      <c r="L928" t="n">
        <v>0</v>
      </c>
      <c r="M928" t="n">
        <v>0</v>
      </c>
      <c r="N928" t="n">
        <v>0</v>
      </c>
      <c r="O928" t="n">
        <v>0</v>
      </c>
      <c r="P928" t="n">
        <v>0</v>
      </c>
      <c r="Q928" t="n">
        <v>0</v>
      </c>
      <c r="R928" s="2" t="inlineStr"/>
    </row>
    <row r="929" ht="15" customHeight="1">
      <c r="A929" t="inlineStr">
        <is>
          <t>A 35049-2021</t>
        </is>
      </c>
      <c r="B929" s="1" t="n">
        <v>44384</v>
      </c>
      <c r="C929" s="1" t="n">
        <v>45641</v>
      </c>
      <c r="D929" t="inlineStr">
        <is>
          <t>VÄSTERBOTTENS LÄN</t>
        </is>
      </c>
      <c r="E929" t="inlineStr">
        <is>
          <t>SKELLEFTEÅ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35087-2021</t>
        </is>
      </c>
      <c r="B930" s="1" t="n">
        <v>44383</v>
      </c>
      <c r="C930" s="1" t="n">
        <v>45641</v>
      </c>
      <c r="D930" t="inlineStr">
        <is>
          <t>VÄSTERBOTTENS LÄN</t>
        </is>
      </c>
      <c r="E930" t="inlineStr">
        <is>
          <t>SKELLEFTEÅ</t>
        </is>
      </c>
      <c r="G930" t="n">
        <v>7</v>
      </c>
      <c r="H930" t="n">
        <v>0</v>
      </c>
      <c r="I930" t="n">
        <v>0</v>
      </c>
      <c r="J930" t="n">
        <v>0</v>
      </c>
      <c r="K930" t="n">
        <v>0</v>
      </c>
      <c r="L930" t="n">
        <v>0</v>
      </c>
      <c r="M930" t="n">
        <v>0</v>
      </c>
      <c r="N930" t="n">
        <v>0</v>
      </c>
      <c r="O930" t="n">
        <v>0</v>
      </c>
      <c r="P930" t="n">
        <v>0</v>
      </c>
      <c r="Q930" t="n">
        <v>0</v>
      </c>
      <c r="R930" s="2" t="inlineStr"/>
    </row>
    <row r="931" ht="15" customHeight="1">
      <c r="A931" t="inlineStr">
        <is>
          <t>A 35078-2021</t>
        </is>
      </c>
      <c r="B931" s="1" t="n">
        <v>44384</v>
      </c>
      <c r="C931" s="1" t="n">
        <v>45641</v>
      </c>
      <c r="D931" t="inlineStr">
        <is>
          <t>VÄSTERBOTTENS LÄN</t>
        </is>
      </c>
      <c r="E931" t="inlineStr">
        <is>
          <t>SKELLEFTEÅ</t>
        </is>
      </c>
      <c r="G931" t="n">
        <v>3.2</v>
      </c>
      <c r="H931" t="n">
        <v>0</v>
      </c>
      <c r="I931" t="n">
        <v>0</v>
      </c>
      <c r="J931" t="n">
        <v>0</v>
      </c>
      <c r="K931" t="n">
        <v>0</v>
      </c>
      <c r="L931" t="n">
        <v>0</v>
      </c>
      <c r="M931" t="n">
        <v>0</v>
      </c>
      <c r="N931" t="n">
        <v>0</v>
      </c>
      <c r="O931" t="n">
        <v>0</v>
      </c>
      <c r="P931" t="n">
        <v>0</v>
      </c>
      <c r="Q931" t="n">
        <v>0</v>
      </c>
      <c r="R931" s="2" t="inlineStr"/>
    </row>
    <row r="932" ht="15" customHeight="1">
      <c r="A932" t="inlineStr">
        <is>
          <t>A 35442-2021</t>
        </is>
      </c>
      <c r="B932" s="1" t="n">
        <v>44384</v>
      </c>
      <c r="C932" s="1" t="n">
        <v>45641</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35435-2021</t>
        </is>
      </c>
      <c r="B933" s="1" t="n">
        <v>44385</v>
      </c>
      <c r="C933" s="1" t="n">
        <v>45641</v>
      </c>
      <c r="D933" t="inlineStr">
        <is>
          <t>VÄSTERBOTTENS LÄN</t>
        </is>
      </c>
      <c r="E933" t="inlineStr">
        <is>
          <t>SKELLEFTEÅ</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35578-2021</t>
        </is>
      </c>
      <c r="B934" s="1" t="n">
        <v>44386</v>
      </c>
      <c r="C934" s="1" t="n">
        <v>45641</v>
      </c>
      <c r="D934" t="inlineStr">
        <is>
          <t>VÄSTERBOTTENS LÄN</t>
        </is>
      </c>
      <c r="E934" t="inlineStr">
        <is>
          <t>SKELLEFTEÅ</t>
        </is>
      </c>
      <c r="F934" t="inlineStr">
        <is>
          <t>Sveaskog</t>
        </is>
      </c>
      <c r="G934" t="n">
        <v>15.5</v>
      </c>
      <c r="H934" t="n">
        <v>0</v>
      </c>
      <c r="I934" t="n">
        <v>0</v>
      </c>
      <c r="J934" t="n">
        <v>0</v>
      </c>
      <c r="K934" t="n">
        <v>0</v>
      </c>
      <c r="L934" t="n">
        <v>0</v>
      </c>
      <c r="M934" t="n">
        <v>0</v>
      </c>
      <c r="N934" t="n">
        <v>0</v>
      </c>
      <c r="O934" t="n">
        <v>0</v>
      </c>
      <c r="P934" t="n">
        <v>0</v>
      </c>
      <c r="Q934" t="n">
        <v>0</v>
      </c>
      <c r="R934" s="2" t="inlineStr"/>
    </row>
    <row r="935" ht="15" customHeight="1">
      <c r="A935" t="inlineStr">
        <is>
          <t>A 35650-2021</t>
        </is>
      </c>
      <c r="B935" s="1" t="n">
        <v>44386</v>
      </c>
      <c r="C935" s="1" t="n">
        <v>45641</v>
      </c>
      <c r="D935" t="inlineStr">
        <is>
          <t>VÄSTERBOTTENS LÄN</t>
        </is>
      </c>
      <c r="E935" t="inlineStr">
        <is>
          <t>SKELLEFTEÅ</t>
        </is>
      </c>
      <c r="F935" t="inlineStr">
        <is>
          <t>Holmen skog AB</t>
        </is>
      </c>
      <c r="G935" t="n">
        <v>5.5</v>
      </c>
      <c r="H935" t="n">
        <v>0</v>
      </c>
      <c r="I935" t="n">
        <v>0</v>
      </c>
      <c r="J935" t="n">
        <v>0</v>
      </c>
      <c r="K935" t="n">
        <v>0</v>
      </c>
      <c r="L935" t="n">
        <v>0</v>
      </c>
      <c r="M935" t="n">
        <v>0</v>
      </c>
      <c r="N935" t="n">
        <v>0</v>
      </c>
      <c r="O935" t="n">
        <v>0</v>
      </c>
      <c r="P935" t="n">
        <v>0</v>
      </c>
      <c r="Q935" t="n">
        <v>0</v>
      </c>
      <c r="R935" s="2" t="inlineStr"/>
    </row>
    <row r="936" ht="15" customHeight="1">
      <c r="A936" t="inlineStr">
        <is>
          <t>A 36086-2021</t>
        </is>
      </c>
      <c r="B936" s="1" t="n">
        <v>44386</v>
      </c>
      <c r="C936" s="1" t="n">
        <v>45641</v>
      </c>
      <c r="D936" t="inlineStr">
        <is>
          <t>VÄSTERBOTTENS LÄN</t>
        </is>
      </c>
      <c r="E936" t="inlineStr">
        <is>
          <t>SKELLEFTEÅ</t>
        </is>
      </c>
      <c r="G936" t="n">
        <v>2.9</v>
      </c>
      <c r="H936" t="n">
        <v>0</v>
      </c>
      <c r="I936" t="n">
        <v>0</v>
      </c>
      <c r="J936" t="n">
        <v>0</v>
      </c>
      <c r="K936" t="n">
        <v>0</v>
      </c>
      <c r="L936" t="n">
        <v>0</v>
      </c>
      <c r="M936" t="n">
        <v>0</v>
      </c>
      <c r="N936" t="n">
        <v>0</v>
      </c>
      <c r="O936" t="n">
        <v>0</v>
      </c>
      <c r="P936" t="n">
        <v>0</v>
      </c>
      <c r="Q936" t="n">
        <v>0</v>
      </c>
      <c r="R936" s="2" t="inlineStr"/>
    </row>
    <row r="937" ht="15" customHeight="1">
      <c r="A937" t="inlineStr">
        <is>
          <t>A 36564-2021</t>
        </is>
      </c>
      <c r="B937" s="1" t="n">
        <v>44391</v>
      </c>
      <c r="C937" s="1" t="n">
        <v>45641</v>
      </c>
      <c r="D937" t="inlineStr">
        <is>
          <t>VÄSTERBOTTENS LÄN</t>
        </is>
      </c>
      <c r="E937" t="inlineStr">
        <is>
          <t>SKELLEFTEÅ</t>
        </is>
      </c>
      <c r="G937" t="n">
        <v>0.7</v>
      </c>
      <c r="H937" t="n">
        <v>0</v>
      </c>
      <c r="I937" t="n">
        <v>0</v>
      </c>
      <c r="J937" t="n">
        <v>0</v>
      </c>
      <c r="K937" t="n">
        <v>0</v>
      </c>
      <c r="L937" t="n">
        <v>0</v>
      </c>
      <c r="M937" t="n">
        <v>0</v>
      </c>
      <c r="N937" t="n">
        <v>0</v>
      </c>
      <c r="O937" t="n">
        <v>0</v>
      </c>
      <c r="P937" t="n">
        <v>0</v>
      </c>
      <c r="Q937" t="n">
        <v>0</v>
      </c>
      <c r="R937" s="2" t="inlineStr"/>
    </row>
    <row r="938" ht="15" customHeight="1">
      <c r="A938" t="inlineStr">
        <is>
          <t>A 36588-2021</t>
        </is>
      </c>
      <c r="B938" s="1" t="n">
        <v>44391</v>
      </c>
      <c r="C938" s="1" t="n">
        <v>45641</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36603-2021</t>
        </is>
      </c>
      <c r="B939" s="1" t="n">
        <v>44391</v>
      </c>
      <c r="C939" s="1" t="n">
        <v>45641</v>
      </c>
      <c r="D939" t="inlineStr">
        <is>
          <t>VÄSTERBOTTENS LÄN</t>
        </is>
      </c>
      <c r="E939" t="inlineStr">
        <is>
          <t>SKELLEFTEÅ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36609-2021</t>
        </is>
      </c>
      <c r="B940" s="1" t="n">
        <v>44391</v>
      </c>
      <c r="C940" s="1" t="n">
        <v>45641</v>
      </c>
      <c r="D940" t="inlineStr">
        <is>
          <t>VÄSTERBOTTENS LÄN</t>
        </is>
      </c>
      <c r="E940" t="inlineStr">
        <is>
          <t>SKELLEFTEÅ</t>
        </is>
      </c>
      <c r="G940" t="n">
        <v>10.6</v>
      </c>
      <c r="H940" t="n">
        <v>0</v>
      </c>
      <c r="I940" t="n">
        <v>0</v>
      </c>
      <c r="J940" t="n">
        <v>0</v>
      </c>
      <c r="K940" t="n">
        <v>0</v>
      </c>
      <c r="L940" t="n">
        <v>0</v>
      </c>
      <c r="M940" t="n">
        <v>0</v>
      </c>
      <c r="N940" t="n">
        <v>0</v>
      </c>
      <c r="O940" t="n">
        <v>0</v>
      </c>
      <c r="P940" t="n">
        <v>0</v>
      </c>
      <c r="Q940" t="n">
        <v>0</v>
      </c>
      <c r="R940" s="2" t="inlineStr"/>
    </row>
    <row r="941" ht="15" customHeight="1">
      <c r="A941" t="inlineStr">
        <is>
          <t>A 37210-2021</t>
        </is>
      </c>
      <c r="B941" s="1" t="n">
        <v>44396</v>
      </c>
      <c r="C941" s="1" t="n">
        <v>45641</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37211-2021</t>
        </is>
      </c>
      <c r="B942" s="1" t="n">
        <v>44396</v>
      </c>
      <c r="C942" s="1" t="n">
        <v>45641</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37208-2021</t>
        </is>
      </c>
      <c r="B943" s="1" t="n">
        <v>44396</v>
      </c>
      <c r="C943" s="1" t="n">
        <v>45641</v>
      </c>
      <c r="D943" t="inlineStr">
        <is>
          <t>VÄSTERBOTTENS LÄN</t>
        </is>
      </c>
      <c r="E943" t="inlineStr">
        <is>
          <t>SKELLEFTEÅ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37498-2021</t>
        </is>
      </c>
      <c r="B944" s="1" t="n">
        <v>44399</v>
      </c>
      <c r="C944" s="1" t="n">
        <v>45641</v>
      </c>
      <c r="D944" t="inlineStr">
        <is>
          <t>VÄSTERBOTTENS LÄN</t>
        </is>
      </c>
      <c r="E944" t="inlineStr">
        <is>
          <t>SKELLEFTEÅ</t>
        </is>
      </c>
      <c r="G944" t="n">
        <v>12.8</v>
      </c>
      <c r="H944" t="n">
        <v>0</v>
      </c>
      <c r="I944" t="n">
        <v>0</v>
      </c>
      <c r="J944" t="n">
        <v>0</v>
      </c>
      <c r="K944" t="n">
        <v>0</v>
      </c>
      <c r="L944" t="n">
        <v>0</v>
      </c>
      <c r="M944" t="n">
        <v>0</v>
      </c>
      <c r="N944" t="n">
        <v>0</v>
      </c>
      <c r="O944" t="n">
        <v>0</v>
      </c>
      <c r="P944" t="n">
        <v>0</v>
      </c>
      <c r="Q944" t="n">
        <v>0</v>
      </c>
      <c r="R944" s="2" t="inlineStr"/>
    </row>
    <row r="945" ht="15" customHeight="1">
      <c r="A945" t="inlineStr">
        <is>
          <t>A 37792-2021</t>
        </is>
      </c>
      <c r="B945" s="1" t="n">
        <v>44401</v>
      </c>
      <c r="C945" s="1" t="n">
        <v>45641</v>
      </c>
      <c r="D945" t="inlineStr">
        <is>
          <t>VÄSTERBOTTENS LÄN</t>
        </is>
      </c>
      <c r="E945" t="inlineStr">
        <is>
          <t>SKELLEFTEÅ</t>
        </is>
      </c>
      <c r="G945" t="n">
        <v>2.5</v>
      </c>
      <c r="H945" t="n">
        <v>0</v>
      </c>
      <c r="I945" t="n">
        <v>0</v>
      </c>
      <c r="J945" t="n">
        <v>0</v>
      </c>
      <c r="K945" t="n">
        <v>0</v>
      </c>
      <c r="L945" t="n">
        <v>0</v>
      </c>
      <c r="M945" t="n">
        <v>0</v>
      </c>
      <c r="N945" t="n">
        <v>0</v>
      </c>
      <c r="O945" t="n">
        <v>0</v>
      </c>
      <c r="P945" t="n">
        <v>0</v>
      </c>
      <c r="Q945" t="n">
        <v>0</v>
      </c>
      <c r="R945" s="2" t="inlineStr"/>
    </row>
    <row r="946" ht="15" customHeight="1">
      <c r="A946" t="inlineStr">
        <is>
          <t>A 37937-2021</t>
        </is>
      </c>
      <c r="B946" s="1" t="n">
        <v>44403</v>
      </c>
      <c r="C946" s="1" t="n">
        <v>45641</v>
      </c>
      <c r="D946" t="inlineStr">
        <is>
          <t>VÄSTERBOTTENS LÄN</t>
        </is>
      </c>
      <c r="E946" t="inlineStr">
        <is>
          <t>SKELLEFTEÅ</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37938-2021</t>
        </is>
      </c>
      <c r="B947" s="1" t="n">
        <v>44403</v>
      </c>
      <c r="C947" s="1" t="n">
        <v>45641</v>
      </c>
      <c r="D947" t="inlineStr">
        <is>
          <t>VÄSTERBOTTENS LÄN</t>
        </is>
      </c>
      <c r="E947" t="inlineStr">
        <is>
          <t>SKELLEFTEÅ</t>
        </is>
      </c>
      <c r="G947" t="n">
        <v>3</v>
      </c>
      <c r="H947" t="n">
        <v>0</v>
      </c>
      <c r="I947" t="n">
        <v>0</v>
      </c>
      <c r="J947" t="n">
        <v>0</v>
      </c>
      <c r="K947" t="n">
        <v>0</v>
      </c>
      <c r="L947" t="n">
        <v>0</v>
      </c>
      <c r="M947" t="n">
        <v>0</v>
      </c>
      <c r="N947" t="n">
        <v>0</v>
      </c>
      <c r="O947" t="n">
        <v>0</v>
      </c>
      <c r="P947" t="n">
        <v>0</v>
      </c>
      <c r="Q947" t="n">
        <v>0</v>
      </c>
      <c r="R947" s="2" t="inlineStr"/>
    </row>
    <row r="948" ht="15" customHeight="1">
      <c r="A948" t="inlineStr">
        <is>
          <t>A 38026-2021</t>
        </is>
      </c>
      <c r="B948" s="1" t="n">
        <v>44404</v>
      </c>
      <c r="C948" s="1" t="n">
        <v>45641</v>
      </c>
      <c r="D948" t="inlineStr">
        <is>
          <t>VÄSTERBOTTENS LÄN</t>
        </is>
      </c>
      <c r="E948" t="inlineStr">
        <is>
          <t>SKELLEFTEÅ</t>
        </is>
      </c>
      <c r="F948" t="inlineStr">
        <is>
          <t>Holmen skog AB</t>
        </is>
      </c>
      <c r="G948" t="n">
        <v>7.8</v>
      </c>
      <c r="H948" t="n">
        <v>0</v>
      </c>
      <c r="I948" t="n">
        <v>0</v>
      </c>
      <c r="J948" t="n">
        <v>0</v>
      </c>
      <c r="K948" t="n">
        <v>0</v>
      </c>
      <c r="L948" t="n">
        <v>0</v>
      </c>
      <c r="M948" t="n">
        <v>0</v>
      </c>
      <c r="N948" t="n">
        <v>0</v>
      </c>
      <c r="O948" t="n">
        <v>0</v>
      </c>
      <c r="P948" t="n">
        <v>0</v>
      </c>
      <c r="Q948" t="n">
        <v>0</v>
      </c>
      <c r="R948" s="2" t="inlineStr"/>
    </row>
    <row r="949" ht="15" customHeight="1">
      <c r="A949" t="inlineStr">
        <is>
          <t>A 38260-2021</t>
        </is>
      </c>
      <c r="B949" s="1" t="n">
        <v>44405</v>
      </c>
      <c r="C949" s="1" t="n">
        <v>45641</v>
      </c>
      <c r="D949" t="inlineStr">
        <is>
          <t>VÄSTERBOTTENS LÄN</t>
        </is>
      </c>
      <c r="E949" t="inlineStr">
        <is>
          <t>SKELLEFTEÅ</t>
        </is>
      </c>
      <c r="G949" t="n">
        <v>8.5</v>
      </c>
      <c r="H949" t="n">
        <v>0</v>
      </c>
      <c r="I949" t="n">
        <v>0</v>
      </c>
      <c r="J949" t="n">
        <v>0</v>
      </c>
      <c r="K949" t="n">
        <v>0</v>
      </c>
      <c r="L949" t="n">
        <v>0</v>
      </c>
      <c r="M949" t="n">
        <v>0</v>
      </c>
      <c r="N949" t="n">
        <v>0</v>
      </c>
      <c r="O949" t="n">
        <v>0</v>
      </c>
      <c r="P949" t="n">
        <v>0</v>
      </c>
      <c r="Q949" t="n">
        <v>0</v>
      </c>
      <c r="R949" s="2" t="inlineStr"/>
    </row>
    <row r="950" ht="15" customHeight="1">
      <c r="A950" t="inlineStr">
        <is>
          <t>A 38504-2021</t>
        </is>
      </c>
      <c r="B950" s="1" t="n">
        <v>44407</v>
      </c>
      <c r="C950" s="1" t="n">
        <v>45641</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38506-2021</t>
        </is>
      </c>
      <c r="B951" s="1" t="n">
        <v>44407</v>
      </c>
      <c r="C951" s="1" t="n">
        <v>45641</v>
      </c>
      <c r="D951" t="inlineStr">
        <is>
          <t>VÄSTERBOTTENS LÄN</t>
        </is>
      </c>
      <c r="E951" t="inlineStr">
        <is>
          <t>SKELLEFTEÅ</t>
        </is>
      </c>
      <c r="G951" t="n">
        <v>1.9</v>
      </c>
      <c r="H951" t="n">
        <v>0</v>
      </c>
      <c r="I951" t="n">
        <v>0</v>
      </c>
      <c r="J951" t="n">
        <v>0</v>
      </c>
      <c r="K951" t="n">
        <v>0</v>
      </c>
      <c r="L951" t="n">
        <v>0</v>
      </c>
      <c r="M951" t="n">
        <v>0</v>
      </c>
      <c r="N951" t="n">
        <v>0</v>
      </c>
      <c r="O951" t="n">
        <v>0</v>
      </c>
      <c r="P951" t="n">
        <v>0</v>
      </c>
      <c r="Q951" t="n">
        <v>0</v>
      </c>
      <c r="R951" s="2" t="inlineStr"/>
    </row>
    <row r="952" ht="15" customHeight="1">
      <c r="A952" t="inlineStr">
        <is>
          <t>A 38505-2021</t>
        </is>
      </c>
      <c r="B952" s="1" t="n">
        <v>44407</v>
      </c>
      <c r="C952" s="1" t="n">
        <v>45641</v>
      </c>
      <c r="D952" t="inlineStr">
        <is>
          <t>VÄSTERBOTTENS LÄN</t>
        </is>
      </c>
      <c r="E952" t="inlineStr">
        <is>
          <t>SKELLEFTEÅ</t>
        </is>
      </c>
      <c r="G952" t="n">
        <v>2.7</v>
      </c>
      <c r="H952" t="n">
        <v>0</v>
      </c>
      <c r="I952" t="n">
        <v>0</v>
      </c>
      <c r="J952" t="n">
        <v>0</v>
      </c>
      <c r="K952" t="n">
        <v>0</v>
      </c>
      <c r="L952" t="n">
        <v>0</v>
      </c>
      <c r="M952" t="n">
        <v>0</v>
      </c>
      <c r="N952" t="n">
        <v>0</v>
      </c>
      <c r="O952" t="n">
        <v>0</v>
      </c>
      <c r="P952" t="n">
        <v>0</v>
      </c>
      <c r="Q952" t="n">
        <v>0</v>
      </c>
      <c r="R952" s="2" t="inlineStr"/>
    </row>
    <row r="953" ht="15" customHeight="1">
      <c r="A953" t="inlineStr">
        <is>
          <t>A 39035-2021</t>
        </is>
      </c>
      <c r="B953" s="1" t="n">
        <v>44411</v>
      </c>
      <c r="C953" s="1" t="n">
        <v>45641</v>
      </c>
      <c r="D953" t="inlineStr">
        <is>
          <t>VÄSTERBOTTENS LÄN</t>
        </is>
      </c>
      <c r="E953" t="inlineStr">
        <is>
          <t>SKELLEFTEÅ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39623-2021</t>
        </is>
      </c>
      <c r="B954" s="1" t="n">
        <v>44413</v>
      </c>
      <c r="C954" s="1" t="n">
        <v>45641</v>
      </c>
      <c r="D954" t="inlineStr">
        <is>
          <t>VÄSTERBOTTENS LÄN</t>
        </is>
      </c>
      <c r="E954" t="inlineStr">
        <is>
          <t>SKELLEFTEÅ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39185-2021</t>
        </is>
      </c>
      <c r="B955" s="1" t="n">
        <v>44413</v>
      </c>
      <c r="C955" s="1" t="n">
        <v>45641</v>
      </c>
      <c r="D955" t="inlineStr">
        <is>
          <t>VÄSTERBOTTENS LÄN</t>
        </is>
      </c>
      <c r="E955" t="inlineStr">
        <is>
          <t>SKELLEFTEÅ</t>
        </is>
      </c>
      <c r="G955" t="n">
        <v>2.6</v>
      </c>
      <c r="H955" t="n">
        <v>0</v>
      </c>
      <c r="I955" t="n">
        <v>0</v>
      </c>
      <c r="J955" t="n">
        <v>0</v>
      </c>
      <c r="K955" t="n">
        <v>0</v>
      </c>
      <c r="L955" t="n">
        <v>0</v>
      </c>
      <c r="M955" t="n">
        <v>0</v>
      </c>
      <c r="N955" t="n">
        <v>0</v>
      </c>
      <c r="O955" t="n">
        <v>0</v>
      </c>
      <c r="P955" t="n">
        <v>0</v>
      </c>
      <c r="Q955" t="n">
        <v>0</v>
      </c>
      <c r="R955" s="2" t="inlineStr"/>
    </row>
    <row r="956" ht="15" customHeight="1">
      <c r="A956" t="inlineStr">
        <is>
          <t>A 39277-2021</t>
        </is>
      </c>
      <c r="B956" s="1" t="n">
        <v>44413</v>
      </c>
      <c r="C956" s="1" t="n">
        <v>45641</v>
      </c>
      <c r="D956" t="inlineStr">
        <is>
          <t>VÄSTERBOTTENS LÄN</t>
        </is>
      </c>
      <c r="E956" t="inlineStr">
        <is>
          <t>SKELLEFTEÅ</t>
        </is>
      </c>
      <c r="F956" t="inlineStr">
        <is>
          <t>Holmen skog AB</t>
        </is>
      </c>
      <c r="G956" t="n">
        <v>6.3</v>
      </c>
      <c r="H956" t="n">
        <v>0</v>
      </c>
      <c r="I956" t="n">
        <v>0</v>
      </c>
      <c r="J956" t="n">
        <v>0</v>
      </c>
      <c r="K956" t="n">
        <v>0</v>
      </c>
      <c r="L956" t="n">
        <v>0</v>
      </c>
      <c r="M956" t="n">
        <v>0</v>
      </c>
      <c r="N956" t="n">
        <v>0</v>
      </c>
      <c r="O956" t="n">
        <v>0</v>
      </c>
      <c r="P956" t="n">
        <v>0</v>
      </c>
      <c r="Q956" t="n">
        <v>0</v>
      </c>
      <c r="R956" s="2" t="inlineStr"/>
    </row>
    <row r="957" ht="15" customHeight="1">
      <c r="A957" t="inlineStr">
        <is>
          <t>A 39192-2021</t>
        </is>
      </c>
      <c r="B957" s="1" t="n">
        <v>44413</v>
      </c>
      <c r="C957" s="1" t="n">
        <v>45641</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39226-2021</t>
        </is>
      </c>
      <c r="B958" s="1" t="n">
        <v>44413</v>
      </c>
      <c r="C958" s="1" t="n">
        <v>45641</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39589-2021</t>
        </is>
      </c>
      <c r="B959" s="1" t="n">
        <v>44413</v>
      </c>
      <c r="C959" s="1" t="n">
        <v>45641</v>
      </c>
      <c r="D959" t="inlineStr">
        <is>
          <t>VÄSTERBOTTENS LÄN</t>
        </is>
      </c>
      <c r="E959" t="inlineStr">
        <is>
          <t>SKELLEFTEÅ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39590-2021</t>
        </is>
      </c>
      <c r="B960" s="1" t="n">
        <v>44413</v>
      </c>
      <c r="C960" s="1" t="n">
        <v>45641</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39553-2021</t>
        </is>
      </c>
      <c r="B961" s="1" t="n">
        <v>44416</v>
      </c>
      <c r="C961" s="1" t="n">
        <v>45641</v>
      </c>
      <c r="D961" t="inlineStr">
        <is>
          <t>VÄSTERBOTTENS LÄN</t>
        </is>
      </c>
      <c r="E961" t="inlineStr">
        <is>
          <t>SKELLEFTEÅ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39827-2021</t>
        </is>
      </c>
      <c r="B962" s="1" t="n">
        <v>44417</v>
      </c>
      <c r="C962" s="1" t="n">
        <v>45641</v>
      </c>
      <c r="D962" t="inlineStr">
        <is>
          <t>VÄSTERBOTTENS LÄN</t>
        </is>
      </c>
      <c r="E962" t="inlineStr">
        <is>
          <t>SKELLEFTEÅ</t>
        </is>
      </c>
      <c r="G962" t="n">
        <v>3.8</v>
      </c>
      <c r="H962" t="n">
        <v>0</v>
      </c>
      <c r="I962" t="n">
        <v>0</v>
      </c>
      <c r="J962" t="n">
        <v>0</v>
      </c>
      <c r="K962" t="n">
        <v>0</v>
      </c>
      <c r="L962" t="n">
        <v>0</v>
      </c>
      <c r="M962" t="n">
        <v>0</v>
      </c>
      <c r="N962" t="n">
        <v>0</v>
      </c>
      <c r="O962" t="n">
        <v>0</v>
      </c>
      <c r="P962" t="n">
        <v>0</v>
      </c>
      <c r="Q962" t="n">
        <v>0</v>
      </c>
      <c r="R962" s="2" t="inlineStr"/>
    </row>
    <row r="963" ht="15" customHeight="1">
      <c r="A963" t="inlineStr">
        <is>
          <t>A 40683-2021</t>
        </is>
      </c>
      <c r="B963" s="1" t="n">
        <v>44420</v>
      </c>
      <c r="C963" s="1" t="n">
        <v>45641</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40828-2021</t>
        </is>
      </c>
      <c r="B964" s="1" t="n">
        <v>44421</v>
      </c>
      <c r="C964" s="1" t="n">
        <v>45641</v>
      </c>
      <c r="D964" t="inlineStr">
        <is>
          <t>VÄSTERBOTTENS LÄN</t>
        </is>
      </c>
      <c r="E964" t="inlineStr">
        <is>
          <t>SKELLEFTEÅ</t>
        </is>
      </c>
      <c r="G964" t="n">
        <v>23</v>
      </c>
      <c r="H964" t="n">
        <v>0</v>
      </c>
      <c r="I964" t="n">
        <v>0</v>
      </c>
      <c r="J964" t="n">
        <v>0</v>
      </c>
      <c r="K964" t="n">
        <v>0</v>
      </c>
      <c r="L964" t="n">
        <v>0</v>
      </c>
      <c r="M964" t="n">
        <v>0</v>
      </c>
      <c r="N964" t="n">
        <v>0</v>
      </c>
      <c r="O964" t="n">
        <v>0</v>
      </c>
      <c r="P964" t="n">
        <v>0</v>
      </c>
      <c r="Q964" t="n">
        <v>0</v>
      </c>
      <c r="R964" s="2" t="inlineStr"/>
    </row>
    <row r="965" ht="15" customHeight="1">
      <c r="A965" t="inlineStr">
        <is>
          <t>A 40906-2021</t>
        </is>
      </c>
      <c r="B965" s="1" t="n">
        <v>44421</v>
      </c>
      <c r="C965" s="1" t="n">
        <v>45641</v>
      </c>
      <c r="D965" t="inlineStr">
        <is>
          <t>VÄSTERBOTTENS LÄN</t>
        </is>
      </c>
      <c r="E965" t="inlineStr">
        <is>
          <t>SKELLEFTEÅ</t>
        </is>
      </c>
      <c r="F965" t="inlineStr">
        <is>
          <t>Holmen skog AB</t>
        </is>
      </c>
      <c r="G965" t="n">
        <v>2.3</v>
      </c>
      <c r="H965" t="n">
        <v>0</v>
      </c>
      <c r="I965" t="n">
        <v>0</v>
      </c>
      <c r="J965" t="n">
        <v>0</v>
      </c>
      <c r="K965" t="n">
        <v>0</v>
      </c>
      <c r="L965" t="n">
        <v>0</v>
      </c>
      <c r="M965" t="n">
        <v>0</v>
      </c>
      <c r="N965" t="n">
        <v>0</v>
      </c>
      <c r="O965" t="n">
        <v>0</v>
      </c>
      <c r="P965" t="n">
        <v>0</v>
      </c>
      <c r="Q965" t="n">
        <v>0</v>
      </c>
      <c r="R965" s="2" t="inlineStr"/>
    </row>
    <row r="966" ht="15" customHeight="1">
      <c r="A966" t="inlineStr">
        <is>
          <t>A 40929-2021</t>
        </is>
      </c>
      <c r="B966" s="1" t="n">
        <v>44421</v>
      </c>
      <c r="C966" s="1" t="n">
        <v>45641</v>
      </c>
      <c r="D966" t="inlineStr">
        <is>
          <t>VÄSTERBOTTENS LÄN</t>
        </is>
      </c>
      <c r="E966" t="inlineStr">
        <is>
          <t>SKELLEFTEÅ</t>
        </is>
      </c>
      <c r="F966" t="inlineStr">
        <is>
          <t>Holmen skog AB</t>
        </is>
      </c>
      <c r="G966" t="n">
        <v>2.8</v>
      </c>
      <c r="H966" t="n">
        <v>0</v>
      </c>
      <c r="I966" t="n">
        <v>0</v>
      </c>
      <c r="J966" t="n">
        <v>0</v>
      </c>
      <c r="K966" t="n">
        <v>0</v>
      </c>
      <c r="L966" t="n">
        <v>0</v>
      </c>
      <c r="M966" t="n">
        <v>0</v>
      </c>
      <c r="N966" t="n">
        <v>0</v>
      </c>
      <c r="O966" t="n">
        <v>0</v>
      </c>
      <c r="P966" t="n">
        <v>0</v>
      </c>
      <c r="Q966" t="n">
        <v>0</v>
      </c>
      <c r="R966" s="2" t="inlineStr"/>
    </row>
    <row r="967" ht="15" customHeight="1">
      <c r="A967" t="inlineStr">
        <is>
          <t>A 40898-2021</t>
        </is>
      </c>
      <c r="B967" s="1" t="n">
        <v>44421</v>
      </c>
      <c r="C967" s="1" t="n">
        <v>45641</v>
      </c>
      <c r="D967" t="inlineStr">
        <is>
          <t>VÄSTERBOTTENS LÄN</t>
        </is>
      </c>
      <c r="E967" t="inlineStr">
        <is>
          <t>SKELLEFTEÅ</t>
        </is>
      </c>
      <c r="G967" t="n">
        <v>5.3</v>
      </c>
      <c r="H967" t="n">
        <v>0</v>
      </c>
      <c r="I967" t="n">
        <v>0</v>
      </c>
      <c r="J967" t="n">
        <v>0</v>
      </c>
      <c r="K967" t="n">
        <v>0</v>
      </c>
      <c r="L967" t="n">
        <v>0</v>
      </c>
      <c r="M967" t="n">
        <v>0</v>
      </c>
      <c r="N967" t="n">
        <v>0</v>
      </c>
      <c r="O967" t="n">
        <v>0</v>
      </c>
      <c r="P967" t="n">
        <v>0</v>
      </c>
      <c r="Q967" t="n">
        <v>0</v>
      </c>
      <c r="R967" s="2" t="inlineStr"/>
    </row>
    <row r="968" ht="15" customHeight="1">
      <c r="A968" t="inlineStr">
        <is>
          <t>A 41464-2021</t>
        </is>
      </c>
      <c r="B968" s="1" t="n">
        <v>44424</v>
      </c>
      <c r="C968" s="1" t="n">
        <v>45641</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41507-2021</t>
        </is>
      </c>
      <c r="B969" s="1" t="n">
        <v>44425</v>
      </c>
      <c r="C969" s="1" t="n">
        <v>45641</v>
      </c>
      <c r="D969" t="inlineStr">
        <is>
          <t>VÄSTERBOTTENS LÄN</t>
        </is>
      </c>
      <c r="E969" t="inlineStr">
        <is>
          <t>SKELLEFTEÅ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42057-2021</t>
        </is>
      </c>
      <c r="B970" s="1" t="n">
        <v>44426</v>
      </c>
      <c r="C970" s="1" t="n">
        <v>45641</v>
      </c>
      <c r="D970" t="inlineStr">
        <is>
          <t>VÄSTERBOTTENS LÄN</t>
        </is>
      </c>
      <c r="E970" t="inlineStr">
        <is>
          <t>SKELLEFTEÅ</t>
        </is>
      </c>
      <c r="F970" t="inlineStr">
        <is>
          <t>Sveaskog</t>
        </is>
      </c>
      <c r="G970" t="n">
        <v>3.8</v>
      </c>
      <c r="H970" t="n">
        <v>0</v>
      </c>
      <c r="I970" t="n">
        <v>0</v>
      </c>
      <c r="J970" t="n">
        <v>0</v>
      </c>
      <c r="K970" t="n">
        <v>0</v>
      </c>
      <c r="L970" t="n">
        <v>0</v>
      </c>
      <c r="M970" t="n">
        <v>0</v>
      </c>
      <c r="N970" t="n">
        <v>0</v>
      </c>
      <c r="O970" t="n">
        <v>0</v>
      </c>
      <c r="P970" t="n">
        <v>0</v>
      </c>
      <c r="Q970" t="n">
        <v>0</v>
      </c>
      <c r="R970" s="2" t="inlineStr"/>
    </row>
    <row r="971" ht="15" customHeight="1">
      <c r="A971" t="inlineStr">
        <is>
          <t>A 41993-2021</t>
        </is>
      </c>
      <c r="B971" s="1" t="n">
        <v>44426</v>
      </c>
      <c r="C971" s="1" t="n">
        <v>45641</v>
      </c>
      <c r="D971" t="inlineStr">
        <is>
          <t>VÄSTERBOTTENS LÄN</t>
        </is>
      </c>
      <c r="E971" t="inlineStr">
        <is>
          <t>SKELLEFTEÅ</t>
        </is>
      </c>
      <c r="F971" t="inlineStr">
        <is>
          <t>Sveaskog</t>
        </is>
      </c>
      <c r="G971" t="n">
        <v>14.3</v>
      </c>
      <c r="H971" t="n">
        <v>0</v>
      </c>
      <c r="I971" t="n">
        <v>0</v>
      </c>
      <c r="J971" t="n">
        <v>0</v>
      </c>
      <c r="K971" t="n">
        <v>0</v>
      </c>
      <c r="L971" t="n">
        <v>0</v>
      </c>
      <c r="M971" t="n">
        <v>0</v>
      </c>
      <c r="N971" t="n">
        <v>0</v>
      </c>
      <c r="O971" t="n">
        <v>0</v>
      </c>
      <c r="P971" t="n">
        <v>0</v>
      </c>
      <c r="Q971" t="n">
        <v>0</v>
      </c>
      <c r="R971" s="2" t="inlineStr"/>
    </row>
    <row r="972" ht="15" customHeight="1">
      <c r="A972" t="inlineStr">
        <is>
          <t>A 42026-2021</t>
        </is>
      </c>
      <c r="B972" s="1" t="n">
        <v>44426</v>
      </c>
      <c r="C972" s="1" t="n">
        <v>45641</v>
      </c>
      <c r="D972" t="inlineStr">
        <is>
          <t>VÄSTERBOTTENS LÄN</t>
        </is>
      </c>
      <c r="E972" t="inlineStr">
        <is>
          <t>SKELLEFTEÅ</t>
        </is>
      </c>
      <c r="G972" t="n">
        <v>1.6</v>
      </c>
      <c r="H972" t="n">
        <v>0</v>
      </c>
      <c r="I972" t="n">
        <v>0</v>
      </c>
      <c r="J972" t="n">
        <v>0</v>
      </c>
      <c r="K972" t="n">
        <v>0</v>
      </c>
      <c r="L972" t="n">
        <v>0</v>
      </c>
      <c r="M972" t="n">
        <v>0</v>
      </c>
      <c r="N972" t="n">
        <v>0</v>
      </c>
      <c r="O972" t="n">
        <v>0</v>
      </c>
      <c r="P972" t="n">
        <v>0</v>
      </c>
      <c r="Q972" t="n">
        <v>0</v>
      </c>
      <c r="R972" s="2" t="inlineStr"/>
    </row>
    <row r="973" ht="15" customHeight="1">
      <c r="A973" t="inlineStr">
        <is>
          <t>A 42323-2021</t>
        </is>
      </c>
      <c r="B973" s="1" t="n">
        <v>44426</v>
      </c>
      <c r="C973" s="1" t="n">
        <v>45641</v>
      </c>
      <c r="D973" t="inlineStr">
        <is>
          <t>VÄSTERBOTTENS LÄN</t>
        </is>
      </c>
      <c r="E973" t="inlineStr">
        <is>
          <t>SKELLEFTEÅ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42367-2021</t>
        </is>
      </c>
      <c r="B974" s="1" t="n">
        <v>44427</v>
      </c>
      <c r="C974" s="1" t="n">
        <v>45641</v>
      </c>
      <c r="D974" t="inlineStr">
        <is>
          <t>VÄSTERBOTTENS LÄN</t>
        </is>
      </c>
      <c r="E974" t="inlineStr">
        <is>
          <t>SKELLEFTEÅ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42557-2021</t>
        </is>
      </c>
      <c r="B975" s="1" t="n">
        <v>44428</v>
      </c>
      <c r="C975" s="1" t="n">
        <v>45641</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42609-2021</t>
        </is>
      </c>
      <c r="B976" s="1" t="n">
        <v>44428</v>
      </c>
      <c r="C976" s="1" t="n">
        <v>45641</v>
      </c>
      <c r="D976" t="inlineStr">
        <is>
          <t>VÄSTERBOTTENS LÄN</t>
        </is>
      </c>
      <c r="E976" t="inlineStr">
        <is>
          <t>SKELLEFTEÅ</t>
        </is>
      </c>
      <c r="G976" t="n">
        <v>0.7</v>
      </c>
      <c r="H976" t="n">
        <v>0</v>
      </c>
      <c r="I976" t="n">
        <v>0</v>
      </c>
      <c r="J976" t="n">
        <v>0</v>
      </c>
      <c r="K976" t="n">
        <v>0</v>
      </c>
      <c r="L976" t="n">
        <v>0</v>
      </c>
      <c r="M976" t="n">
        <v>0</v>
      </c>
      <c r="N976" t="n">
        <v>0</v>
      </c>
      <c r="O976" t="n">
        <v>0</v>
      </c>
      <c r="P976" t="n">
        <v>0</v>
      </c>
      <c r="Q976" t="n">
        <v>0</v>
      </c>
      <c r="R976" s="2" t="inlineStr"/>
    </row>
    <row r="977" ht="15" customHeight="1">
      <c r="A977" t="inlineStr">
        <is>
          <t>A 43228-2021</t>
        </is>
      </c>
      <c r="B977" s="1" t="n">
        <v>44432</v>
      </c>
      <c r="C977" s="1" t="n">
        <v>45641</v>
      </c>
      <c r="D977" t="inlineStr">
        <is>
          <t>VÄSTERBOTTENS LÄN</t>
        </is>
      </c>
      <c r="E977" t="inlineStr">
        <is>
          <t>SKELLEFTEÅ</t>
        </is>
      </c>
      <c r="G977" t="n">
        <v>10.6</v>
      </c>
      <c r="H977" t="n">
        <v>0</v>
      </c>
      <c r="I977" t="n">
        <v>0</v>
      </c>
      <c r="J977" t="n">
        <v>0</v>
      </c>
      <c r="K977" t="n">
        <v>0</v>
      </c>
      <c r="L977" t="n">
        <v>0</v>
      </c>
      <c r="M977" t="n">
        <v>0</v>
      </c>
      <c r="N977" t="n">
        <v>0</v>
      </c>
      <c r="O977" t="n">
        <v>0</v>
      </c>
      <c r="P977" t="n">
        <v>0</v>
      </c>
      <c r="Q977" t="n">
        <v>0</v>
      </c>
      <c r="R977" s="2" t="inlineStr"/>
    </row>
    <row r="978" ht="15" customHeight="1">
      <c r="A978" t="inlineStr">
        <is>
          <t>A 43252-2021</t>
        </is>
      </c>
      <c r="B978" s="1" t="n">
        <v>44432</v>
      </c>
      <c r="C978" s="1" t="n">
        <v>45641</v>
      </c>
      <c r="D978" t="inlineStr">
        <is>
          <t>VÄSTERBOTTENS LÄN</t>
        </is>
      </c>
      <c r="E978" t="inlineStr">
        <is>
          <t>SKELLEFTEÅ</t>
        </is>
      </c>
      <c r="G978" t="n">
        <v>2.3</v>
      </c>
      <c r="H978" t="n">
        <v>0</v>
      </c>
      <c r="I978" t="n">
        <v>0</v>
      </c>
      <c r="J978" t="n">
        <v>0</v>
      </c>
      <c r="K978" t="n">
        <v>0</v>
      </c>
      <c r="L978" t="n">
        <v>0</v>
      </c>
      <c r="M978" t="n">
        <v>0</v>
      </c>
      <c r="N978" t="n">
        <v>0</v>
      </c>
      <c r="O978" t="n">
        <v>0</v>
      </c>
      <c r="P978" t="n">
        <v>0</v>
      </c>
      <c r="Q978" t="n">
        <v>0</v>
      </c>
      <c r="R978" s="2" t="inlineStr"/>
    </row>
    <row r="979" ht="15" customHeight="1">
      <c r="A979" t="inlineStr">
        <is>
          <t>A 43863-2021</t>
        </is>
      </c>
      <c r="B979" s="1" t="n">
        <v>44433</v>
      </c>
      <c r="C979" s="1" t="n">
        <v>45641</v>
      </c>
      <c r="D979" t="inlineStr">
        <is>
          <t>VÄSTERBOTTENS LÄN</t>
        </is>
      </c>
      <c r="E979" t="inlineStr">
        <is>
          <t>SKELLEFTEÅ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44090-2021</t>
        </is>
      </c>
      <c r="B980" s="1" t="n">
        <v>44434</v>
      </c>
      <c r="C980" s="1" t="n">
        <v>45641</v>
      </c>
      <c r="D980" t="inlineStr">
        <is>
          <t>VÄSTERBOTTENS LÄN</t>
        </is>
      </c>
      <c r="E980" t="inlineStr">
        <is>
          <t>SKELLEFTEÅ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44570-2021</t>
        </is>
      </c>
      <c r="B981" s="1" t="n">
        <v>44435</v>
      </c>
      <c r="C981" s="1" t="n">
        <v>45641</v>
      </c>
      <c r="D981" t="inlineStr">
        <is>
          <t>VÄSTERBOTTENS LÄN</t>
        </is>
      </c>
      <c r="E981" t="inlineStr">
        <is>
          <t>SKELLEFTEÅ</t>
        </is>
      </c>
      <c r="F981" t="inlineStr">
        <is>
          <t>Sveaskog</t>
        </is>
      </c>
      <c r="G981" t="n">
        <v>11.4</v>
      </c>
      <c r="H981" t="n">
        <v>0</v>
      </c>
      <c r="I981" t="n">
        <v>0</v>
      </c>
      <c r="J981" t="n">
        <v>0</v>
      </c>
      <c r="K981" t="n">
        <v>0</v>
      </c>
      <c r="L981" t="n">
        <v>0</v>
      </c>
      <c r="M981" t="n">
        <v>0</v>
      </c>
      <c r="N981" t="n">
        <v>0</v>
      </c>
      <c r="O981" t="n">
        <v>0</v>
      </c>
      <c r="P981" t="n">
        <v>0</v>
      </c>
      <c r="Q981" t="n">
        <v>0</v>
      </c>
      <c r="R981" s="2" t="inlineStr"/>
    </row>
    <row r="982" ht="15" customHeight="1">
      <c r="A982" t="inlineStr">
        <is>
          <t>A 45043-2021</t>
        </is>
      </c>
      <c r="B982" s="1" t="n">
        <v>44438</v>
      </c>
      <c r="C982" s="1" t="n">
        <v>45641</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45036-2021</t>
        </is>
      </c>
      <c r="B983" s="1" t="n">
        <v>44438</v>
      </c>
      <c r="C983" s="1" t="n">
        <v>45641</v>
      </c>
      <c r="D983" t="inlineStr">
        <is>
          <t>VÄSTERBOTTENS LÄN</t>
        </is>
      </c>
      <c r="E983" t="inlineStr">
        <is>
          <t>SKELLEFTEÅ</t>
        </is>
      </c>
      <c r="G983" t="n">
        <v>5.1</v>
      </c>
      <c r="H983" t="n">
        <v>0</v>
      </c>
      <c r="I983" t="n">
        <v>0</v>
      </c>
      <c r="J983" t="n">
        <v>0</v>
      </c>
      <c r="K983" t="n">
        <v>0</v>
      </c>
      <c r="L983" t="n">
        <v>0</v>
      </c>
      <c r="M983" t="n">
        <v>0</v>
      </c>
      <c r="N983" t="n">
        <v>0</v>
      </c>
      <c r="O983" t="n">
        <v>0</v>
      </c>
      <c r="P983" t="n">
        <v>0</v>
      </c>
      <c r="Q983" t="n">
        <v>0</v>
      </c>
      <c r="R983" s="2" t="inlineStr"/>
    </row>
    <row r="984" ht="15" customHeight="1">
      <c r="A984" t="inlineStr">
        <is>
          <t>A 45384-2021</t>
        </is>
      </c>
      <c r="B984" s="1" t="n">
        <v>44440</v>
      </c>
      <c r="C984" s="1" t="n">
        <v>45641</v>
      </c>
      <c r="D984" t="inlineStr">
        <is>
          <t>VÄSTERBOTTENS LÄN</t>
        </is>
      </c>
      <c r="E984" t="inlineStr">
        <is>
          <t>SKELLEFTEÅ</t>
        </is>
      </c>
      <c r="G984" t="n">
        <v>1.8</v>
      </c>
      <c r="H984" t="n">
        <v>0</v>
      </c>
      <c r="I984" t="n">
        <v>0</v>
      </c>
      <c r="J984" t="n">
        <v>0</v>
      </c>
      <c r="K984" t="n">
        <v>0</v>
      </c>
      <c r="L984" t="n">
        <v>0</v>
      </c>
      <c r="M984" t="n">
        <v>0</v>
      </c>
      <c r="N984" t="n">
        <v>0</v>
      </c>
      <c r="O984" t="n">
        <v>0</v>
      </c>
      <c r="P984" t="n">
        <v>0</v>
      </c>
      <c r="Q984" t="n">
        <v>0</v>
      </c>
      <c r="R984" s="2" t="inlineStr"/>
    </row>
    <row r="985" ht="15" customHeight="1">
      <c r="A985" t="inlineStr">
        <is>
          <t>A 45406-2021</t>
        </is>
      </c>
      <c r="B985" s="1" t="n">
        <v>44440</v>
      </c>
      <c r="C985" s="1" t="n">
        <v>45641</v>
      </c>
      <c r="D985" t="inlineStr">
        <is>
          <t>VÄSTERBOTTENS LÄN</t>
        </is>
      </c>
      <c r="E985" t="inlineStr">
        <is>
          <t>SKELLEFTEÅ</t>
        </is>
      </c>
      <c r="G985" t="n">
        <v>3.3</v>
      </c>
      <c r="H985" t="n">
        <v>0</v>
      </c>
      <c r="I985" t="n">
        <v>0</v>
      </c>
      <c r="J985" t="n">
        <v>0</v>
      </c>
      <c r="K985" t="n">
        <v>0</v>
      </c>
      <c r="L985" t="n">
        <v>0</v>
      </c>
      <c r="M985" t="n">
        <v>0</v>
      </c>
      <c r="N985" t="n">
        <v>0</v>
      </c>
      <c r="O985" t="n">
        <v>0</v>
      </c>
      <c r="P985" t="n">
        <v>0</v>
      </c>
      <c r="Q985" t="n">
        <v>0</v>
      </c>
      <c r="R985" s="2" t="inlineStr"/>
    </row>
    <row r="986" ht="15" customHeight="1">
      <c r="A986" t="inlineStr">
        <is>
          <t>A 45389-2021</t>
        </is>
      </c>
      <c r="B986" s="1" t="n">
        <v>44440</v>
      </c>
      <c r="C986" s="1" t="n">
        <v>45641</v>
      </c>
      <c r="D986" t="inlineStr">
        <is>
          <t>VÄSTERBOTTENS LÄN</t>
        </is>
      </c>
      <c r="E986" t="inlineStr">
        <is>
          <t>SKELLEFTEÅ</t>
        </is>
      </c>
      <c r="G986" t="n">
        <v>0.3</v>
      </c>
      <c r="H986" t="n">
        <v>0</v>
      </c>
      <c r="I986" t="n">
        <v>0</v>
      </c>
      <c r="J986" t="n">
        <v>0</v>
      </c>
      <c r="K986" t="n">
        <v>0</v>
      </c>
      <c r="L986" t="n">
        <v>0</v>
      </c>
      <c r="M986" t="n">
        <v>0</v>
      </c>
      <c r="N986" t="n">
        <v>0</v>
      </c>
      <c r="O986" t="n">
        <v>0</v>
      </c>
      <c r="P986" t="n">
        <v>0</v>
      </c>
      <c r="Q986" t="n">
        <v>0</v>
      </c>
      <c r="R986" s="2" t="inlineStr"/>
    </row>
    <row r="987" ht="15" customHeight="1">
      <c r="A987" t="inlineStr">
        <is>
          <t>A 46005-2021</t>
        </is>
      </c>
      <c r="B987" s="1" t="n">
        <v>44441</v>
      </c>
      <c r="C987" s="1" t="n">
        <v>45641</v>
      </c>
      <c r="D987" t="inlineStr">
        <is>
          <t>VÄSTERBOTTENS LÄN</t>
        </is>
      </c>
      <c r="E987" t="inlineStr">
        <is>
          <t>SKELLEFTEÅ</t>
        </is>
      </c>
      <c r="G987" t="n">
        <v>2.9</v>
      </c>
      <c r="H987" t="n">
        <v>0</v>
      </c>
      <c r="I987" t="n">
        <v>0</v>
      </c>
      <c r="J987" t="n">
        <v>0</v>
      </c>
      <c r="K987" t="n">
        <v>0</v>
      </c>
      <c r="L987" t="n">
        <v>0</v>
      </c>
      <c r="M987" t="n">
        <v>0</v>
      </c>
      <c r="N987" t="n">
        <v>0</v>
      </c>
      <c r="O987" t="n">
        <v>0</v>
      </c>
      <c r="P987" t="n">
        <v>0</v>
      </c>
      <c r="Q987" t="n">
        <v>0</v>
      </c>
      <c r="R987" s="2" t="inlineStr"/>
    </row>
    <row r="988" ht="15" customHeight="1">
      <c r="A988" t="inlineStr">
        <is>
          <t>A 46006-2021</t>
        </is>
      </c>
      <c r="B988" s="1" t="n">
        <v>44441</v>
      </c>
      <c r="C988" s="1" t="n">
        <v>45641</v>
      </c>
      <c r="D988" t="inlineStr">
        <is>
          <t>VÄSTERBOTTENS LÄN</t>
        </is>
      </c>
      <c r="E988" t="inlineStr">
        <is>
          <t>SKELLEFTEÅ</t>
        </is>
      </c>
      <c r="G988" t="n">
        <v>6.1</v>
      </c>
      <c r="H988" t="n">
        <v>0</v>
      </c>
      <c r="I988" t="n">
        <v>0</v>
      </c>
      <c r="J988" t="n">
        <v>0</v>
      </c>
      <c r="K988" t="n">
        <v>0</v>
      </c>
      <c r="L988" t="n">
        <v>0</v>
      </c>
      <c r="M988" t="n">
        <v>0</v>
      </c>
      <c r="N988" t="n">
        <v>0</v>
      </c>
      <c r="O988" t="n">
        <v>0</v>
      </c>
      <c r="P988" t="n">
        <v>0</v>
      </c>
      <c r="Q988" t="n">
        <v>0</v>
      </c>
      <c r="R988" s="2" t="inlineStr"/>
    </row>
    <row r="989" ht="15" customHeight="1">
      <c r="A989" t="inlineStr">
        <is>
          <t>A 46178-2021</t>
        </is>
      </c>
      <c r="B989" s="1" t="n">
        <v>44441</v>
      </c>
      <c r="C989" s="1" t="n">
        <v>45641</v>
      </c>
      <c r="D989" t="inlineStr">
        <is>
          <t>VÄSTERBOTTENS LÄN</t>
        </is>
      </c>
      <c r="E989" t="inlineStr">
        <is>
          <t>SKELLEFTEÅ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46619-2021</t>
        </is>
      </c>
      <c r="B990" s="1" t="n">
        <v>44442</v>
      </c>
      <c r="C990" s="1" t="n">
        <v>45641</v>
      </c>
      <c r="D990" t="inlineStr">
        <is>
          <t>VÄSTERBOTTENS LÄN</t>
        </is>
      </c>
      <c r="E990" t="inlineStr">
        <is>
          <t>SKELLEFTEÅ</t>
        </is>
      </c>
      <c r="G990" t="n">
        <v>0</v>
      </c>
      <c r="H990" t="n">
        <v>0</v>
      </c>
      <c r="I990" t="n">
        <v>0</v>
      </c>
      <c r="J990" t="n">
        <v>0</v>
      </c>
      <c r="K990" t="n">
        <v>0</v>
      </c>
      <c r="L990" t="n">
        <v>0</v>
      </c>
      <c r="M990" t="n">
        <v>0</v>
      </c>
      <c r="N990" t="n">
        <v>0</v>
      </c>
      <c r="O990" t="n">
        <v>0</v>
      </c>
      <c r="P990" t="n">
        <v>0</v>
      </c>
      <c r="Q990" t="n">
        <v>0</v>
      </c>
      <c r="R990" s="2" t="inlineStr"/>
    </row>
    <row r="991" ht="15" customHeight="1">
      <c r="A991" t="inlineStr">
        <is>
          <t>A 46628-2021</t>
        </is>
      </c>
      <c r="B991" s="1" t="n">
        <v>44445</v>
      </c>
      <c r="C991" s="1" t="n">
        <v>45641</v>
      </c>
      <c r="D991" t="inlineStr">
        <is>
          <t>VÄSTERBOTTENS LÄN</t>
        </is>
      </c>
      <c r="E991" t="inlineStr">
        <is>
          <t>SKELLEFTEÅ</t>
        </is>
      </c>
      <c r="G991" t="n">
        <v>1.7</v>
      </c>
      <c r="H991" t="n">
        <v>0</v>
      </c>
      <c r="I991" t="n">
        <v>0</v>
      </c>
      <c r="J991" t="n">
        <v>0</v>
      </c>
      <c r="K991" t="n">
        <v>0</v>
      </c>
      <c r="L991" t="n">
        <v>0</v>
      </c>
      <c r="M991" t="n">
        <v>0</v>
      </c>
      <c r="N991" t="n">
        <v>0</v>
      </c>
      <c r="O991" t="n">
        <v>0</v>
      </c>
      <c r="P991" t="n">
        <v>0</v>
      </c>
      <c r="Q991" t="n">
        <v>0</v>
      </c>
      <c r="R991" s="2" t="inlineStr"/>
    </row>
    <row r="992" ht="15" customHeight="1">
      <c r="A992" t="inlineStr">
        <is>
          <t>A 47039-2021</t>
        </is>
      </c>
      <c r="B992" s="1" t="n">
        <v>44446</v>
      </c>
      <c r="C992" s="1" t="n">
        <v>45641</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47610-2021</t>
        </is>
      </c>
      <c r="B993" s="1" t="n">
        <v>44448</v>
      </c>
      <c r="C993" s="1" t="n">
        <v>45641</v>
      </c>
      <c r="D993" t="inlineStr">
        <is>
          <t>VÄSTERBOTTENS LÄN</t>
        </is>
      </c>
      <c r="E993" t="inlineStr">
        <is>
          <t>SKELLEFTEÅ</t>
        </is>
      </c>
      <c r="G993" t="n">
        <v>7.9</v>
      </c>
      <c r="H993" t="n">
        <v>0</v>
      </c>
      <c r="I993" t="n">
        <v>0</v>
      </c>
      <c r="J993" t="n">
        <v>0</v>
      </c>
      <c r="K993" t="n">
        <v>0</v>
      </c>
      <c r="L993" t="n">
        <v>0</v>
      </c>
      <c r="M993" t="n">
        <v>0</v>
      </c>
      <c r="N993" t="n">
        <v>0</v>
      </c>
      <c r="O993" t="n">
        <v>0</v>
      </c>
      <c r="P993" t="n">
        <v>0</v>
      </c>
      <c r="Q993" t="n">
        <v>0</v>
      </c>
      <c r="R993" s="2" t="inlineStr"/>
    </row>
    <row r="994" ht="15" customHeight="1">
      <c r="A994" t="inlineStr">
        <is>
          <t>A 47974-2021</t>
        </is>
      </c>
      <c r="B994" s="1" t="n">
        <v>44448</v>
      </c>
      <c r="C994" s="1" t="n">
        <v>45641</v>
      </c>
      <c r="D994" t="inlineStr">
        <is>
          <t>VÄSTERBOTTENS LÄN</t>
        </is>
      </c>
      <c r="E994" t="inlineStr">
        <is>
          <t>SKELLEFTEÅ</t>
        </is>
      </c>
      <c r="G994" t="n">
        <v>5.9</v>
      </c>
      <c r="H994" t="n">
        <v>0</v>
      </c>
      <c r="I994" t="n">
        <v>0</v>
      </c>
      <c r="J994" t="n">
        <v>0</v>
      </c>
      <c r="K994" t="n">
        <v>0</v>
      </c>
      <c r="L994" t="n">
        <v>0</v>
      </c>
      <c r="M994" t="n">
        <v>0</v>
      </c>
      <c r="N994" t="n">
        <v>0</v>
      </c>
      <c r="O994" t="n">
        <v>0</v>
      </c>
      <c r="P994" t="n">
        <v>0</v>
      </c>
      <c r="Q994" t="n">
        <v>0</v>
      </c>
      <c r="R994" s="2" t="inlineStr"/>
    </row>
    <row r="995" ht="15" customHeight="1">
      <c r="A995" t="inlineStr">
        <is>
          <t>A 48015-2021</t>
        </is>
      </c>
      <c r="B995" s="1" t="n">
        <v>44449</v>
      </c>
      <c r="C995" s="1" t="n">
        <v>45641</v>
      </c>
      <c r="D995" t="inlineStr">
        <is>
          <t>VÄSTERBOTTENS LÄN</t>
        </is>
      </c>
      <c r="E995" t="inlineStr">
        <is>
          <t>SKELLEFTEÅ</t>
        </is>
      </c>
      <c r="G995" t="n">
        <v>7</v>
      </c>
      <c r="H995" t="n">
        <v>0</v>
      </c>
      <c r="I995" t="n">
        <v>0</v>
      </c>
      <c r="J995" t="n">
        <v>0</v>
      </c>
      <c r="K995" t="n">
        <v>0</v>
      </c>
      <c r="L995" t="n">
        <v>0</v>
      </c>
      <c r="M995" t="n">
        <v>0</v>
      </c>
      <c r="N995" t="n">
        <v>0</v>
      </c>
      <c r="O995" t="n">
        <v>0</v>
      </c>
      <c r="P995" t="n">
        <v>0</v>
      </c>
      <c r="Q995" t="n">
        <v>0</v>
      </c>
      <c r="R995" s="2" t="inlineStr"/>
    </row>
    <row r="996" ht="15" customHeight="1">
      <c r="A996" t="inlineStr">
        <is>
          <t>A 48538-2021</t>
        </is>
      </c>
      <c r="B996" s="1" t="n">
        <v>44451</v>
      </c>
      <c r="C996" s="1" t="n">
        <v>45641</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50603-2021</t>
        </is>
      </c>
      <c r="B997" s="1" t="n">
        <v>44459</v>
      </c>
      <c r="C997" s="1" t="n">
        <v>45641</v>
      </c>
      <c r="D997" t="inlineStr">
        <is>
          <t>VÄSTERBOTTENS LÄN</t>
        </is>
      </c>
      <c r="E997" t="inlineStr">
        <is>
          <t>SKELLEFTEÅ</t>
        </is>
      </c>
      <c r="G997" t="n">
        <v>7.2</v>
      </c>
      <c r="H997" t="n">
        <v>0</v>
      </c>
      <c r="I997" t="n">
        <v>0</v>
      </c>
      <c r="J997" t="n">
        <v>0</v>
      </c>
      <c r="K997" t="n">
        <v>0</v>
      </c>
      <c r="L997" t="n">
        <v>0</v>
      </c>
      <c r="M997" t="n">
        <v>0</v>
      </c>
      <c r="N997" t="n">
        <v>0</v>
      </c>
      <c r="O997" t="n">
        <v>0</v>
      </c>
      <c r="P997" t="n">
        <v>0</v>
      </c>
      <c r="Q997" t="n">
        <v>0</v>
      </c>
      <c r="R997" s="2" t="inlineStr"/>
    </row>
    <row r="998" ht="15" customHeight="1">
      <c r="A998" t="inlineStr">
        <is>
          <t>A 50772-2021</t>
        </is>
      </c>
      <c r="B998" s="1" t="n">
        <v>44460</v>
      </c>
      <c r="C998" s="1" t="n">
        <v>45641</v>
      </c>
      <c r="D998" t="inlineStr">
        <is>
          <t>VÄSTERBOTTENS LÄN</t>
        </is>
      </c>
      <c r="E998" t="inlineStr">
        <is>
          <t>SKELLEFTEÅ</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51789-2021</t>
        </is>
      </c>
      <c r="B999" s="1" t="n">
        <v>44461</v>
      </c>
      <c r="C999" s="1" t="n">
        <v>45641</v>
      </c>
      <c r="D999" t="inlineStr">
        <is>
          <t>VÄSTERBOTTENS LÄN</t>
        </is>
      </c>
      <c r="E999" t="inlineStr">
        <is>
          <t>SKELLEFTEÅ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51734-2021</t>
        </is>
      </c>
      <c r="B1000" s="1" t="n">
        <v>44461</v>
      </c>
      <c r="C1000" s="1" t="n">
        <v>45641</v>
      </c>
      <c r="D1000" t="inlineStr">
        <is>
          <t>VÄSTERBOTTENS LÄN</t>
        </is>
      </c>
      <c r="E1000" t="inlineStr">
        <is>
          <t>SKELLEFTEÅ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51476-2021</t>
        </is>
      </c>
      <c r="B1001" s="1" t="n">
        <v>44462</v>
      </c>
      <c r="C1001" s="1" t="n">
        <v>45641</v>
      </c>
      <c r="D1001" t="inlineStr">
        <is>
          <t>VÄSTERBOTTENS LÄN</t>
        </is>
      </c>
      <c r="E1001" t="inlineStr">
        <is>
          <t>SKELLEFTEÅ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51587-2021</t>
        </is>
      </c>
      <c r="B1002" s="1" t="n">
        <v>44462</v>
      </c>
      <c r="C1002" s="1" t="n">
        <v>45641</v>
      </c>
      <c r="D1002" t="inlineStr">
        <is>
          <t>VÄSTERBOTTENS LÄN</t>
        </is>
      </c>
      <c r="E1002" t="inlineStr">
        <is>
          <t>SKELLEFTEÅ</t>
        </is>
      </c>
      <c r="F1002" t="inlineStr">
        <is>
          <t>Holmen skog AB</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51544-2021</t>
        </is>
      </c>
      <c r="B1003" s="1" t="n">
        <v>44462</v>
      </c>
      <c r="C1003" s="1" t="n">
        <v>45641</v>
      </c>
      <c r="D1003" t="inlineStr">
        <is>
          <t>VÄSTERBOTTENS LÄN</t>
        </is>
      </c>
      <c r="E1003" t="inlineStr">
        <is>
          <t>SKELLEFTEÅ</t>
        </is>
      </c>
      <c r="F1003" t="inlineStr">
        <is>
          <t>Holmen skog AB</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52069-2021</t>
        </is>
      </c>
      <c r="B1004" s="1" t="n">
        <v>44462</v>
      </c>
      <c r="C1004" s="1" t="n">
        <v>45641</v>
      </c>
      <c r="D1004" t="inlineStr">
        <is>
          <t>VÄSTERBOTTENS LÄN</t>
        </is>
      </c>
      <c r="E1004" t="inlineStr">
        <is>
          <t>SKELLEFTEÅ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52080-2021</t>
        </is>
      </c>
      <c r="B1005" s="1" t="n">
        <v>44463</v>
      </c>
      <c r="C1005" s="1" t="n">
        <v>45641</v>
      </c>
      <c r="D1005" t="inlineStr">
        <is>
          <t>VÄSTERBOTTENS LÄN</t>
        </is>
      </c>
      <c r="E1005" t="inlineStr">
        <is>
          <t>SKELLEFTEÅ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52086-2021</t>
        </is>
      </c>
      <c r="B1006" s="1" t="n">
        <v>44463</v>
      </c>
      <c r="C1006" s="1" t="n">
        <v>45641</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52453-2021</t>
        </is>
      </c>
      <c r="B1007" s="1" t="n">
        <v>44463</v>
      </c>
      <c r="C1007" s="1" t="n">
        <v>45641</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52462-2021</t>
        </is>
      </c>
      <c r="B1008" s="1" t="n">
        <v>44463</v>
      </c>
      <c r="C1008" s="1" t="n">
        <v>45641</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52746-2021</t>
        </is>
      </c>
      <c r="B1009" s="1" t="n">
        <v>44467</v>
      </c>
      <c r="C1009" s="1" t="n">
        <v>45641</v>
      </c>
      <c r="D1009" t="inlineStr">
        <is>
          <t>VÄSTERBOTTENS LÄN</t>
        </is>
      </c>
      <c r="E1009" t="inlineStr">
        <is>
          <t>SKELLEFTEÅ</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53152-2021</t>
        </is>
      </c>
      <c r="B1010" s="1" t="n">
        <v>44468</v>
      </c>
      <c r="C1010" s="1" t="n">
        <v>45641</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54193-2021</t>
        </is>
      </c>
      <c r="B1011" s="1" t="n">
        <v>44470</v>
      </c>
      <c r="C1011" s="1" t="n">
        <v>45641</v>
      </c>
      <c r="D1011" t="inlineStr">
        <is>
          <t>VÄSTERBOTTENS LÄN</t>
        </is>
      </c>
      <c r="E1011" t="inlineStr">
        <is>
          <t>SKELLEFTEÅ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54280-2021</t>
        </is>
      </c>
      <c r="B1012" s="1" t="n">
        <v>44470</v>
      </c>
      <c r="C1012" s="1" t="n">
        <v>45641</v>
      </c>
      <c r="D1012" t="inlineStr">
        <is>
          <t>VÄSTERBOTTENS LÄN</t>
        </is>
      </c>
      <c r="E1012" t="inlineStr">
        <is>
          <t>SKELLEFTEÅ</t>
        </is>
      </c>
      <c r="F1012" t="inlineStr">
        <is>
          <t>Sveaskog</t>
        </is>
      </c>
      <c r="G1012" t="n">
        <v>22.6</v>
      </c>
      <c r="H1012" t="n">
        <v>0</v>
      </c>
      <c r="I1012" t="n">
        <v>0</v>
      </c>
      <c r="J1012" t="n">
        <v>0</v>
      </c>
      <c r="K1012" t="n">
        <v>0</v>
      </c>
      <c r="L1012" t="n">
        <v>0</v>
      </c>
      <c r="M1012" t="n">
        <v>0</v>
      </c>
      <c r="N1012" t="n">
        <v>0</v>
      </c>
      <c r="O1012" t="n">
        <v>0</v>
      </c>
      <c r="P1012" t="n">
        <v>0</v>
      </c>
      <c r="Q1012" t="n">
        <v>0</v>
      </c>
      <c r="R1012" s="2" t="inlineStr"/>
    </row>
    <row r="1013" ht="15" customHeight="1">
      <c r="A1013" t="inlineStr">
        <is>
          <t>A 54288-2021</t>
        </is>
      </c>
      <c r="B1013" s="1" t="n">
        <v>44471</v>
      </c>
      <c r="C1013" s="1" t="n">
        <v>45641</v>
      </c>
      <c r="D1013" t="inlineStr">
        <is>
          <t>VÄSTERBOTTENS LÄN</t>
        </is>
      </c>
      <c r="E1013" t="inlineStr">
        <is>
          <t>SKELLEFTEÅ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54287-2021</t>
        </is>
      </c>
      <c r="B1014" s="1" t="n">
        <v>44471</v>
      </c>
      <c r="C1014" s="1" t="n">
        <v>45641</v>
      </c>
      <c r="D1014" t="inlineStr">
        <is>
          <t>VÄSTERBOTTENS LÄN</t>
        </is>
      </c>
      <c r="E1014" t="inlineStr">
        <is>
          <t>SKELLEFTEÅ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54384-2021</t>
        </is>
      </c>
      <c r="B1015" s="1" t="n">
        <v>44473</v>
      </c>
      <c r="C1015" s="1" t="n">
        <v>45641</v>
      </c>
      <c r="D1015" t="inlineStr">
        <is>
          <t>VÄSTERBOTTENS LÄN</t>
        </is>
      </c>
      <c r="E1015" t="inlineStr">
        <is>
          <t>SKELLEFTEÅ</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54863-2021</t>
        </is>
      </c>
      <c r="B1016" s="1" t="n">
        <v>44473</v>
      </c>
      <c r="C1016" s="1" t="n">
        <v>45641</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54850-2021</t>
        </is>
      </c>
      <c r="B1017" s="1" t="n">
        <v>44473</v>
      </c>
      <c r="C1017" s="1" t="n">
        <v>45641</v>
      </c>
      <c r="D1017" t="inlineStr">
        <is>
          <t>VÄSTERBOTTENS LÄN</t>
        </is>
      </c>
      <c r="E1017" t="inlineStr">
        <is>
          <t>SKELLEFTEÅ</t>
        </is>
      </c>
      <c r="G1017" t="n">
        <v>18.4</v>
      </c>
      <c r="H1017" t="n">
        <v>0</v>
      </c>
      <c r="I1017" t="n">
        <v>0</v>
      </c>
      <c r="J1017" t="n">
        <v>0</v>
      </c>
      <c r="K1017" t="n">
        <v>0</v>
      </c>
      <c r="L1017" t="n">
        <v>0</v>
      </c>
      <c r="M1017" t="n">
        <v>0</v>
      </c>
      <c r="N1017" t="n">
        <v>0</v>
      </c>
      <c r="O1017" t="n">
        <v>0</v>
      </c>
      <c r="P1017" t="n">
        <v>0</v>
      </c>
      <c r="Q1017" t="n">
        <v>0</v>
      </c>
      <c r="R1017" s="2" t="inlineStr"/>
    </row>
    <row r="1018" ht="15" customHeight="1">
      <c r="A1018" t="inlineStr">
        <is>
          <t>A 55067-2021</t>
        </is>
      </c>
      <c r="B1018" s="1" t="n">
        <v>44474</v>
      </c>
      <c r="C1018" s="1" t="n">
        <v>45641</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55032-2021</t>
        </is>
      </c>
      <c r="B1019" s="1" t="n">
        <v>44474</v>
      </c>
      <c r="C1019" s="1" t="n">
        <v>45641</v>
      </c>
      <c r="D1019" t="inlineStr">
        <is>
          <t>VÄSTERBOTTENS LÄN</t>
        </is>
      </c>
      <c r="E1019" t="inlineStr">
        <is>
          <t>SKELLEFTEÅ</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55168-2021</t>
        </is>
      </c>
      <c r="B1020" s="1" t="n">
        <v>44475</v>
      </c>
      <c r="C1020" s="1" t="n">
        <v>45641</v>
      </c>
      <c r="D1020" t="inlineStr">
        <is>
          <t>VÄSTERBOTTENS LÄN</t>
        </is>
      </c>
      <c r="E1020" t="inlineStr">
        <is>
          <t>SKELLEFTEÅ</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55206-2021</t>
        </is>
      </c>
      <c r="B1021" s="1" t="n">
        <v>44475</v>
      </c>
      <c r="C1021" s="1" t="n">
        <v>45641</v>
      </c>
      <c r="D1021" t="inlineStr">
        <is>
          <t>VÄSTERBOTTENS LÄN</t>
        </is>
      </c>
      <c r="E1021" t="inlineStr">
        <is>
          <t>SKELLEFTEÅ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55182-2021</t>
        </is>
      </c>
      <c r="B1022" s="1" t="n">
        <v>44475</v>
      </c>
      <c r="C1022" s="1" t="n">
        <v>45641</v>
      </c>
      <c r="D1022" t="inlineStr">
        <is>
          <t>VÄSTERBOTTENS LÄN</t>
        </is>
      </c>
      <c r="E1022" t="inlineStr">
        <is>
          <t>SKELLEFTEÅ</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55471-2021</t>
        </is>
      </c>
      <c r="B1023" s="1" t="n">
        <v>44475</v>
      </c>
      <c r="C1023" s="1" t="n">
        <v>45641</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55568-2021</t>
        </is>
      </c>
      <c r="B1024" s="1" t="n">
        <v>44475</v>
      </c>
      <c r="C1024" s="1" t="n">
        <v>45641</v>
      </c>
      <c r="D1024" t="inlineStr">
        <is>
          <t>VÄSTERBOTTENS LÄN</t>
        </is>
      </c>
      <c r="E1024" t="inlineStr">
        <is>
          <t>SKELLEFTEÅ</t>
        </is>
      </c>
      <c r="F1024" t="inlineStr">
        <is>
          <t>Sveaskog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55814-2021</t>
        </is>
      </c>
      <c r="B1025" s="1" t="n">
        <v>44476</v>
      </c>
      <c r="C1025" s="1" t="n">
        <v>45641</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56084-2021</t>
        </is>
      </c>
      <c r="B1026" s="1" t="n">
        <v>44477</v>
      </c>
      <c r="C1026" s="1" t="n">
        <v>45641</v>
      </c>
      <c r="D1026" t="inlineStr">
        <is>
          <t>VÄSTERBOTTENS LÄN</t>
        </is>
      </c>
      <c r="E1026" t="inlineStr">
        <is>
          <t>SKELLEFTEÅ</t>
        </is>
      </c>
      <c r="F1026" t="inlineStr">
        <is>
          <t>Holmen skog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56134-2021</t>
        </is>
      </c>
      <c r="B1027" s="1" t="n">
        <v>44477</v>
      </c>
      <c r="C1027" s="1" t="n">
        <v>45641</v>
      </c>
      <c r="D1027" t="inlineStr">
        <is>
          <t>VÄSTERBOTTENS LÄN</t>
        </is>
      </c>
      <c r="E1027" t="inlineStr">
        <is>
          <t>SKELLEFTEÅ</t>
        </is>
      </c>
      <c r="F1027" t="inlineStr">
        <is>
          <t>Holmen skog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56001-2021</t>
        </is>
      </c>
      <c r="B1028" s="1" t="n">
        <v>44477</v>
      </c>
      <c r="C1028" s="1" t="n">
        <v>45641</v>
      </c>
      <c r="D1028" t="inlineStr">
        <is>
          <t>VÄSTERBOTTENS LÄN</t>
        </is>
      </c>
      <c r="E1028" t="inlineStr">
        <is>
          <t>SKELLEFTEÅ</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56536-2021</t>
        </is>
      </c>
      <c r="B1029" s="1" t="n">
        <v>44480</v>
      </c>
      <c r="C1029" s="1" t="n">
        <v>45641</v>
      </c>
      <c r="D1029" t="inlineStr">
        <is>
          <t>VÄSTERBOTTENS LÄN</t>
        </is>
      </c>
      <c r="E1029" t="inlineStr">
        <is>
          <t>SKELLEFTEÅ</t>
        </is>
      </c>
      <c r="F1029" t="inlineStr">
        <is>
          <t>Holmen skog AB</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56540-2021</t>
        </is>
      </c>
      <c r="B1030" s="1" t="n">
        <v>44480</v>
      </c>
      <c r="C1030" s="1" t="n">
        <v>45641</v>
      </c>
      <c r="D1030" t="inlineStr">
        <is>
          <t>VÄSTERBOTTENS LÄN</t>
        </is>
      </c>
      <c r="E1030" t="inlineStr">
        <is>
          <t>SKELLEFTEÅ</t>
        </is>
      </c>
      <c r="G1030" t="n">
        <v>10.5</v>
      </c>
      <c r="H1030" t="n">
        <v>0</v>
      </c>
      <c r="I1030" t="n">
        <v>0</v>
      </c>
      <c r="J1030" t="n">
        <v>0</v>
      </c>
      <c r="K1030" t="n">
        <v>0</v>
      </c>
      <c r="L1030" t="n">
        <v>0</v>
      </c>
      <c r="M1030" t="n">
        <v>0</v>
      </c>
      <c r="N1030" t="n">
        <v>0</v>
      </c>
      <c r="O1030" t="n">
        <v>0</v>
      </c>
      <c r="P1030" t="n">
        <v>0</v>
      </c>
      <c r="Q1030" t="n">
        <v>0</v>
      </c>
      <c r="R1030" s="2" t="inlineStr"/>
    </row>
    <row r="1031" ht="15" customHeight="1">
      <c r="A1031" t="inlineStr">
        <is>
          <t>A 56627-2021</t>
        </is>
      </c>
      <c r="B1031" s="1" t="n">
        <v>44480</v>
      </c>
      <c r="C1031" s="1" t="n">
        <v>45641</v>
      </c>
      <c r="D1031" t="inlineStr">
        <is>
          <t>VÄSTERBOTTENS LÄN</t>
        </is>
      </c>
      <c r="E1031" t="inlineStr">
        <is>
          <t>SKELLEFTEÅ</t>
        </is>
      </c>
      <c r="F1031" t="inlineStr">
        <is>
          <t>Sveaskog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57197-2021</t>
        </is>
      </c>
      <c r="B1032" s="1" t="n">
        <v>44483</v>
      </c>
      <c r="C1032" s="1" t="n">
        <v>45641</v>
      </c>
      <c r="D1032" t="inlineStr">
        <is>
          <t>VÄSTERBOTTENS LÄN</t>
        </is>
      </c>
      <c r="E1032" t="inlineStr">
        <is>
          <t>SKELLEFTEÅ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57370-2021</t>
        </is>
      </c>
      <c r="B1033" s="1" t="n">
        <v>44483</v>
      </c>
      <c r="C1033" s="1" t="n">
        <v>45641</v>
      </c>
      <c r="D1033" t="inlineStr">
        <is>
          <t>VÄSTERBOTTENS LÄN</t>
        </is>
      </c>
      <c r="E1033" t="inlineStr">
        <is>
          <t>SKELLEFTEÅ</t>
        </is>
      </c>
      <c r="F1033" t="inlineStr">
        <is>
          <t>Holmen skog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57530-2021</t>
        </is>
      </c>
      <c r="B1034" s="1" t="n">
        <v>44483</v>
      </c>
      <c r="C1034" s="1" t="n">
        <v>45641</v>
      </c>
      <c r="D1034" t="inlineStr">
        <is>
          <t>VÄSTERBOTTENS LÄN</t>
        </is>
      </c>
      <c r="E1034" t="inlineStr">
        <is>
          <t>SKELLEFTEÅ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57978-2021</t>
        </is>
      </c>
      <c r="B1035" s="1" t="n">
        <v>44484</v>
      </c>
      <c r="C1035" s="1" t="n">
        <v>45641</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57714-2021</t>
        </is>
      </c>
      <c r="B1036" s="1" t="n">
        <v>44484</v>
      </c>
      <c r="C1036" s="1" t="n">
        <v>45641</v>
      </c>
      <c r="D1036" t="inlineStr">
        <is>
          <t>VÄSTERBOTTENS LÄN</t>
        </is>
      </c>
      <c r="E1036" t="inlineStr">
        <is>
          <t>SKELLEFTEÅ</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57966-2021</t>
        </is>
      </c>
      <c r="B1037" s="1" t="n">
        <v>44484</v>
      </c>
      <c r="C1037" s="1" t="n">
        <v>45641</v>
      </c>
      <c r="D1037" t="inlineStr">
        <is>
          <t>VÄSTERBOTTENS LÄN</t>
        </is>
      </c>
      <c r="E1037" t="inlineStr">
        <is>
          <t>SKELLEFTEÅ</t>
        </is>
      </c>
      <c r="F1037" t="inlineStr">
        <is>
          <t>Holmen skog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58303-2021</t>
        </is>
      </c>
      <c r="B1038" s="1" t="n">
        <v>44488</v>
      </c>
      <c r="C1038" s="1" t="n">
        <v>45641</v>
      </c>
      <c r="D1038" t="inlineStr">
        <is>
          <t>VÄSTERBOTTENS LÄN</t>
        </is>
      </c>
      <c r="E1038" t="inlineStr">
        <is>
          <t>SKELLEFTEÅ</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58570-2021</t>
        </is>
      </c>
      <c r="B1039" s="1" t="n">
        <v>44489</v>
      </c>
      <c r="C1039" s="1" t="n">
        <v>45641</v>
      </c>
      <c r="D1039" t="inlineStr">
        <is>
          <t>VÄSTERBOTTENS LÄN</t>
        </is>
      </c>
      <c r="E1039" t="inlineStr">
        <is>
          <t>SKELLEFTEÅ</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58808-2021</t>
        </is>
      </c>
      <c r="B1040" s="1" t="n">
        <v>44489</v>
      </c>
      <c r="C1040" s="1" t="n">
        <v>45641</v>
      </c>
      <c r="D1040" t="inlineStr">
        <is>
          <t>VÄSTERBOTTENS LÄN</t>
        </is>
      </c>
      <c r="E1040" t="inlineStr">
        <is>
          <t>SKELLEFTEÅ</t>
        </is>
      </c>
      <c r="F1040" t="inlineStr">
        <is>
          <t>Sveaskog</t>
        </is>
      </c>
      <c r="G1040" t="n">
        <v>15.5</v>
      </c>
      <c r="H1040" t="n">
        <v>0</v>
      </c>
      <c r="I1040" t="n">
        <v>0</v>
      </c>
      <c r="J1040" t="n">
        <v>0</v>
      </c>
      <c r="K1040" t="n">
        <v>0</v>
      </c>
      <c r="L1040" t="n">
        <v>0</v>
      </c>
      <c r="M1040" t="n">
        <v>0</v>
      </c>
      <c r="N1040" t="n">
        <v>0</v>
      </c>
      <c r="O1040" t="n">
        <v>0</v>
      </c>
      <c r="P1040" t="n">
        <v>0</v>
      </c>
      <c r="Q1040" t="n">
        <v>0</v>
      </c>
      <c r="R1040" s="2" t="inlineStr"/>
    </row>
    <row r="1041" ht="15" customHeight="1">
      <c r="A1041" t="inlineStr">
        <is>
          <t>A 58844-2021</t>
        </is>
      </c>
      <c r="B1041" s="1" t="n">
        <v>44489</v>
      </c>
      <c r="C1041" s="1" t="n">
        <v>45641</v>
      </c>
      <c r="D1041" t="inlineStr">
        <is>
          <t>VÄSTERBOTTENS LÄN</t>
        </is>
      </c>
      <c r="E1041" t="inlineStr">
        <is>
          <t>SKELLEFTEÅ</t>
        </is>
      </c>
      <c r="F1041" t="inlineStr">
        <is>
          <t>Sveaskog</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58813-2021</t>
        </is>
      </c>
      <c r="B1042" s="1" t="n">
        <v>44489</v>
      </c>
      <c r="C1042" s="1" t="n">
        <v>45641</v>
      </c>
      <c r="D1042" t="inlineStr">
        <is>
          <t>VÄSTERBOTTENS LÄN</t>
        </is>
      </c>
      <c r="E1042" t="inlineStr">
        <is>
          <t>SKELLEFTEÅ</t>
        </is>
      </c>
      <c r="F1042" t="inlineStr">
        <is>
          <t>Sveaskog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58847-2021</t>
        </is>
      </c>
      <c r="B1043" s="1" t="n">
        <v>44489</v>
      </c>
      <c r="C1043" s="1" t="n">
        <v>45641</v>
      </c>
      <c r="D1043" t="inlineStr">
        <is>
          <t>VÄSTERBOTTENS LÄN</t>
        </is>
      </c>
      <c r="E1043" t="inlineStr">
        <is>
          <t>SKELLEFTEÅ</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58872-2021</t>
        </is>
      </c>
      <c r="B1044" s="1" t="n">
        <v>44489</v>
      </c>
      <c r="C1044" s="1" t="n">
        <v>45641</v>
      </c>
      <c r="D1044" t="inlineStr">
        <is>
          <t>VÄSTERBOTTENS LÄN</t>
        </is>
      </c>
      <c r="E1044" t="inlineStr">
        <is>
          <t>SKELLEFTEÅ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58811-2021</t>
        </is>
      </c>
      <c r="B1045" s="1" t="n">
        <v>44489</v>
      </c>
      <c r="C1045" s="1" t="n">
        <v>45641</v>
      </c>
      <c r="D1045" t="inlineStr">
        <is>
          <t>VÄSTERBOTTENS LÄN</t>
        </is>
      </c>
      <c r="E1045" t="inlineStr">
        <is>
          <t>SKELLEFTEÅ</t>
        </is>
      </c>
      <c r="F1045" t="inlineStr">
        <is>
          <t>Holmen skog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59180-2021</t>
        </is>
      </c>
      <c r="B1046" s="1" t="n">
        <v>44489</v>
      </c>
      <c r="C1046" s="1" t="n">
        <v>45641</v>
      </c>
      <c r="D1046" t="inlineStr">
        <is>
          <t>VÄSTERBOTTENS LÄN</t>
        </is>
      </c>
      <c r="E1046" t="inlineStr">
        <is>
          <t>SKELLEFTEÅ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59171-2021</t>
        </is>
      </c>
      <c r="B1047" s="1" t="n">
        <v>44489</v>
      </c>
      <c r="C1047" s="1" t="n">
        <v>45641</v>
      </c>
      <c r="D1047" t="inlineStr">
        <is>
          <t>VÄSTERBOTTENS LÄN</t>
        </is>
      </c>
      <c r="E1047" t="inlineStr">
        <is>
          <t>SKELLEFTEÅ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58892-2021</t>
        </is>
      </c>
      <c r="B1048" s="1" t="n">
        <v>44489</v>
      </c>
      <c r="C1048" s="1" t="n">
        <v>45641</v>
      </c>
      <c r="D1048" t="inlineStr">
        <is>
          <t>VÄSTERBOTTENS LÄN</t>
        </is>
      </c>
      <c r="E1048" t="inlineStr">
        <is>
          <t>SKELLEFTEÅ</t>
        </is>
      </c>
      <c r="F1048" t="inlineStr">
        <is>
          <t>Sveaskog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59457-2021</t>
        </is>
      </c>
      <c r="B1049" s="1" t="n">
        <v>44491</v>
      </c>
      <c r="C1049" s="1" t="n">
        <v>45641</v>
      </c>
      <c r="D1049" t="inlineStr">
        <is>
          <t>VÄSTERBOTTENS LÄN</t>
        </is>
      </c>
      <c r="E1049" t="inlineStr">
        <is>
          <t>SKELLEFTEÅ</t>
        </is>
      </c>
      <c r="F1049" t="inlineStr">
        <is>
          <t>Sveaskog</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59372-2021</t>
        </is>
      </c>
      <c r="B1050" s="1" t="n">
        <v>44491</v>
      </c>
      <c r="C1050" s="1" t="n">
        <v>45641</v>
      </c>
      <c r="D1050" t="inlineStr">
        <is>
          <t>VÄSTERBOTTENS LÄN</t>
        </is>
      </c>
      <c r="E1050" t="inlineStr">
        <is>
          <t>SKELLEFTEÅ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59851-2021</t>
        </is>
      </c>
      <c r="B1051" s="1" t="n">
        <v>44491</v>
      </c>
      <c r="C1051" s="1" t="n">
        <v>45641</v>
      </c>
      <c r="D1051" t="inlineStr">
        <is>
          <t>VÄSTERBOTTENS LÄN</t>
        </is>
      </c>
      <c r="E1051" t="inlineStr">
        <is>
          <t>SKELLEFTEÅ</t>
        </is>
      </c>
      <c r="G1051" t="n">
        <v>11.6</v>
      </c>
      <c r="H1051" t="n">
        <v>0</v>
      </c>
      <c r="I1051" t="n">
        <v>0</v>
      </c>
      <c r="J1051" t="n">
        <v>0</v>
      </c>
      <c r="K1051" t="n">
        <v>0</v>
      </c>
      <c r="L1051" t="n">
        <v>0</v>
      </c>
      <c r="M1051" t="n">
        <v>0</v>
      </c>
      <c r="N1051" t="n">
        <v>0</v>
      </c>
      <c r="O1051" t="n">
        <v>0</v>
      </c>
      <c r="P1051" t="n">
        <v>0</v>
      </c>
      <c r="Q1051" t="n">
        <v>0</v>
      </c>
      <c r="R1051" s="2" t="inlineStr"/>
    </row>
    <row r="1052" ht="15" customHeight="1">
      <c r="A1052" t="inlineStr">
        <is>
          <t>A 59522-2021</t>
        </is>
      </c>
      <c r="B1052" s="1" t="n">
        <v>44491</v>
      </c>
      <c r="C1052" s="1" t="n">
        <v>45641</v>
      </c>
      <c r="D1052" t="inlineStr">
        <is>
          <t>VÄSTERBOTTENS LÄN</t>
        </is>
      </c>
      <c r="E1052" t="inlineStr">
        <is>
          <t>SKELLEFTEÅ</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59659-2021</t>
        </is>
      </c>
      <c r="B1053" s="1" t="n">
        <v>44491</v>
      </c>
      <c r="C1053" s="1" t="n">
        <v>45641</v>
      </c>
      <c r="D1053" t="inlineStr">
        <is>
          <t>VÄSTERBOTTENS LÄN</t>
        </is>
      </c>
      <c r="E1053" t="inlineStr">
        <is>
          <t>SKELLEFTEÅ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59647-2021</t>
        </is>
      </c>
      <c r="B1054" s="1" t="n">
        <v>44493</v>
      </c>
      <c r="C1054" s="1" t="n">
        <v>45641</v>
      </c>
      <c r="D1054" t="inlineStr">
        <is>
          <t>VÄSTERBOTTENS LÄN</t>
        </is>
      </c>
      <c r="E1054" t="inlineStr">
        <is>
          <t>SKELLEFTEÅ</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59711-2021</t>
        </is>
      </c>
      <c r="B1055" s="1" t="n">
        <v>44494</v>
      </c>
      <c r="C1055" s="1" t="n">
        <v>45641</v>
      </c>
      <c r="D1055" t="inlineStr">
        <is>
          <t>VÄSTERBOTTENS LÄN</t>
        </is>
      </c>
      <c r="E1055" t="inlineStr">
        <is>
          <t>SKELLEFTEÅ</t>
        </is>
      </c>
      <c r="F1055" t="inlineStr">
        <is>
          <t>Sveaskog</t>
        </is>
      </c>
      <c r="G1055" t="n">
        <v>33.9</v>
      </c>
      <c r="H1055" t="n">
        <v>0</v>
      </c>
      <c r="I1055" t="n">
        <v>0</v>
      </c>
      <c r="J1055" t="n">
        <v>0</v>
      </c>
      <c r="K1055" t="n">
        <v>0</v>
      </c>
      <c r="L1055" t="n">
        <v>0</v>
      </c>
      <c r="M1055" t="n">
        <v>0</v>
      </c>
      <c r="N1055" t="n">
        <v>0</v>
      </c>
      <c r="O1055" t="n">
        <v>0</v>
      </c>
      <c r="P1055" t="n">
        <v>0</v>
      </c>
      <c r="Q1055" t="n">
        <v>0</v>
      </c>
      <c r="R1055" s="2" t="inlineStr"/>
    </row>
    <row r="1056" ht="15" customHeight="1">
      <c r="A1056" t="inlineStr">
        <is>
          <t>A 59748-2021</t>
        </is>
      </c>
      <c r="B1056" s="1" t="n">
        <v>44494</v>
      </c>
      <c r="C1056" s="1" t="n">
        <v>45641</v>
      </c>
      <c r="D1056" t="inlineStr">
        <is>
          <t>VÄSTERBOTTENS LÄN</t>
        </is>
      </c>
      <c r="E1056" t="inlineStr">
        <is>
          <t>SKELLEFTEÅ</t>
        </is>
      </c>
      <c r="F1056" t="inlineStr">
        <is>
          <t>Sveaskog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59717-2021</t>
        </is>
      </c>
      <c r="B1057" s="1" t="n">
        <v>44494</v>
      </c>
      <c r="C1057" s="1" t="n">
        <v>45641</v>
      </c>
      <c r="D1057" t="inlineStr">
        <is>
          <t>VÄSTERBOTTENS LÄN</t>
        </is>
      </c>
      <c r="E1057" t="inlineStr">
        <is>
          <t>SKELLEFTEÅ</t>
        </is>
      </c>
      <c r="F1057" t="inlineStr">
        <is>
          <t>Sveaskog</t>
        </is>
      </c>
      <c r="G1057" t="n">
        <v>16.2</v>
      </c>
      <c r="H1057" t="n">
        <v>0</v>
      </c>
      <c r="I1057" t="n">
        <v>0</v>
      </c>
      <c r="J1057" t="n">
        <v>0</v>
      </c>
      <c r="K1057" t="n">
        <v>0</v>
      </c>
      <c r="L1057" t="n">
        <v>0</v>
      </c>
      <c r="M1057" t="n">
        <v>0</v>
      </c>
      <c r="N1057" t="n">
        <v>0</v>
      </c>
      <c r="O1057" t="n">
        <v>0</v>
      </c>
      <c r="P1057" t="n">
        <v>0</v>
      </c>
      <c r="Q1057" t="n">
        <v>0</v>
      </c>
      <c r="R1057" s="2" t="inlineStr"/>
    </row>
    <row r="1058" ht="15" customHeight="1">
      <c r="A1058" t="inlineStr">
        <is>
          <t>A 59736-2021</t>
        </is>
      </c>
      <c r="B1058" s="1" t="n">
        <v>44494</v>
      </c>
      <c r="C1058" s="1" t="n">
        <v>45641</v>
      </c>
      <c r="D1058" t="inlineStr">
        <is>
          <t>VÄSTERBOTTENS LÄN</t>
        </is>
      </c>
      <c r="E1058" t="inlineStr">
        <is>
          <t>SKELLEFTEÅ</t>
        </is>
      </c>
      <c r="F1058" t="inlineStr">
        <is>
          <t>Sveaskog</t>
        </is>
      </c>
      <c r="G1058" t="n">
        <v>13.1</v>
      </c>
      <c r="H1058" t="n">
        <v>0</v>
      </c>
      <c r="I1058" t="n">
        <v>0</v>
      </c>
      <c r="J1058" t="n">
        <v>0</v>
      </c>
      <c r="K1058" t="n">
        <v>0</v>
      </c>
      <c r="L1058" t="n">
        <v>0</v>
      </c>
      <c r="M1058" t="n">
        <v>0</v>
      </c>
      <c r="N1058" t="n">
        <v>0</v>
      </c>
      <c r="O1058" t="n">
        <v>0</v>
      </c>
      <c r="P1058" t="n">
        <v>0</v>
      </c>
      <c r="Q1058" t="n">
        <v>0</v>
      </c>
      <c r="R1058" s="2" t="inlineStr"/>
    </row>
    <row r="1059" ht="15" customHeight="1">
      <c r="A1059" t="inlineStr">
        <is>
          <t>A 59859-2021</t>
        </is>
      </c>
      <c r="B1059" s="1" t="n">
        <v>44494</v>
      </c>
      <c r="C1059" s="1" t="n">
        <v>45641</v>
      </c>
      <c r="D1059" t="inlineStr">
        <is>
          <t>VÄSTERBOTTENS LÄN</t>
        </is>
      </c>
      <c r="E1059" t="inlineStr">
        <is>
          <t>SKELLEFTEÅ</t>
        </is>
      </c>
      <c r="F1059" t="inlineStr">
        <is>
          <t>Holmen skog AB</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60066-2021</t>
        </is>
      </c>
      <c r="B1060" s="1" t="n">
        <v>44494</v>
      </c>
      <c r="C1060" s="1" t="n">
        <v>45641</v>
      </c>
      <c r="D1060" t="inlineStr">
        <is>
          <t>VÄSTERBOTTENS LÄN</t>
        </is>
      </c>
      <c r="E1060" t="inlineStr">
        <is>
          <t>SKELLEFTEÅ</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60107-2021</t>
        </is>
      </c>
      <c r="B1061" s="1" t="n">
        <v>44495</v>
      </c>
      <c r="C1061" s="1" t="n">
        <v>45641</v>
      </c>
      <c r="D1061" t="inlineStr">
        <is>
          <t>VÄSTERBOTTENS LÄN</t>
        </is>
      </c>
      <c r="E1061" t="inlineStr">
        <is>
          <t>SKELLEFTEÅ</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60539-2021</t>
        </is>
      </c>
      <c r="B1062" s="1" t="n">
        <v>44495</v>
      </c>
      <c r="C1062" s="1" t="n">
        <v>45641</v>
      </c>
      <c r="D1062" t="inlineStr">
        <is>
          <t>VÄSTERBOTTENS LÄN</t>
        </is>
      </c>
      <c r="E1062" t="inlineStr">
        <is>
          <t>SKELLEFTEÅ</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61656-2021</t>
        </is>
      </c>
      <c r="B1063" s="1" t="n">
        <v>44501</v>
      </c>
      <c r="C1063" s="1" t="n">
        <v>45641</v>
      </c>
      <c r="D1063" t="inlineStr">
        <is>
          <t>VÄSTERBOTTENS LÄN</t>
        </is>
      </c>
      <c r="E1063" t="inlineStr">
        <is>
          <t>SKELLEFTEÅ</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61811-2021</t>
        </is>
      </c>
      <c r="B1064" s="1" t="n">
        <v>44501</v>
      </c>
      <c r="C1064" s="1" t="n">
        <v>45641</v>
      </c>
      <c r="D1064" t="inlineStr">
        <is>
          <t>VÄSTERBOTTENS LÄN</t>
        </is>
      </c>
      <c r="E1064" t="inlineStr">
        <is>
          <t>SKELLEFTEÅ</t>
        </is>
      </c>
      <c r="F1064" t="inlineStr">
        <is>
          <t>Sveaskog</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61844-2021</t>
        </is>
      </c>
      <c r="B1065" s="1" t="n">
        <v>44501</v>
      </c>
      <c r="C1065" s="1" t="n">
        <v>45641</v>
      </c>
      <c r="D1065" t="inlineStr">
        <is>
          <t>VÄSTERBOTTENS LÄN</t>
        </is>
      </c>
      <c r="E1065" t="inlineStr">
        <is>
          <t>SKELLEFTEÅ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62227-2021</t>
        </is>
      </c>
      <c r="B1066" s="1" t="n">
        <v>44501</v>
      </c>
      <c r="C1066" s="1" t="n">
        <v>45641</v>
      </c>
      <c r="D1066" t="inlineStr">
        <is>
          <t>VÄSTERBOTTENS LÄN</t>
        </is>
      </c>
      <c r="E1066" t="inlineStr">
        <is>
          <t>SKELLEFTEÅ</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62345-2021</t>
        </is>
      </c>
      <c r="B1067" s="1" t="n">
        <v>44503</v>
      </c>
      <c r="C1067" s="1" t="n">
        <v>45641</v>
      </c>
      <c r="D1067" t="inlineStr">
        <is>
          <t>VÄSTERBOTTENS LÄN</t>
        </is>
      </c>
      <c r="E1067" t="inlineStr">
        <is>
          <t>SKELLEFTEÅ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62486-2021</t>
        </is>
      </c>
      <c r="B1068" s="1" t="n">
        <v>44503</v>
      </c>
      <c r="C1068" s="1" t="n">
        <v>45641</v>
      </c>
      <c r="D1068" t="inlineStr">
        <is>
          <t>VÄSTERBOTTENS LÄN</t>
        </is>
      </c>
      <c r="E1068" t="inlineStr">
        <is>
          <t>SKELLEFTEÅ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62651-2021</t>
        </is>
      </c>
      <c r="B1069" s="1" t="n">
        <v>44503</v>
      </c>
      <c r="C1069" s="1" t="n">
        <v>45641</v>
      </c>
      <c r="D1069" t="inlineStr">
        <is>
          <t>VÄSTERBOTTENS LÄN</t>
        </is>
      </c>
      <c r="E1069" t="inlineStr">
        <is>
          <t>SKELLEFTEÅ</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63145-2021</t>
        </is>
      </c>
      <c r="B1070" s="1" t="n">
        <v>44505</v>
      </c>
      <c r="C1070" s="1" t="n">
        <v>45641</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63171-2021</t>
        </is>
      </c>
      <c r="B1071" s="1" t="n">
        <v>44506</v>
      </c>
      <c r="C1071" s="1" t="n">
        <v>45641</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63502-2021</t>
        </is>
      </c>
      <c r="B1072" s="1" t="n">
        <v>44508</v>
      </c>
      <c r="C1072" s="1" t="n">
        <v>45641</v>
      </c>
      <c r="D1072" t="inlineStr">
        <is>
          <t>VÄSTERBOTTENS LÄN</t>
        </is>
      </c>
      <c r="E1072" t="inlineStr">
        <is>
          <t>SKELLEFTEÅ</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63801-2021</t>
        </is>
      </c>
      <c r="B1073" s="1" t="n">
        <v>44508</v>
      </c>
      <c r="C1073" s="1" t="n">
        <v>45641</v>
      </c>
      <c r="D1073" t="inlineStr">
        <is>
          <t>VÄSTERBOTTENS LÄN</t>
        </is>
      </c>
      <c r="E1073" t="inlineStr">
        <is>
          <t>SKELLEFTEÅ</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63620-2021</t>
        </is>
      </c>
      <c r="B1074" s="1" t="n">
        <v>44509</v>
      </c>
      <c r="C1074" s="1" t="n">
        <v>45641</v>
      </c>
      <c r="D1074" t="inlineStr">
        <is>
          <t>VÄSTERBOTTENS LÄN</t>
        </is>
      </c>
      <c r="E1074" t="inlineStr">
        <is>
          <t>SKELLEFTEÅ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64087-2021</t>
        </is>
      </c>
      <c r="B1075" s="1" t="n">
        <v>44509</v>
      </c>
      <c r="C1075" s="1" t="n">
        <v>45641</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64409-2021</t>
        </is>
      </c>
      <c r="B1076" s="1" t="n">
        <v>44510</v>
      </c>
      <c r="C1076" s="1" t="n">
        <v>45641</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64316-2021</t>
        </is>
      </c>
      <c r="B1077" s="1" t="n">
        <v>44510</v>
      </c>
      <c r="C1077" s="1" t="n">
        <v>45641</v>
      </c>
      <c r="D1077" t="inlineStr">
        <is>
          <t>VÄSTERBOTTENS LÄN</t>
        </is>
      </c>
      <c r="E1077" t="inlineStr">
        <is>
          <t>SKELLEFTEÅ</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64391-2021</t>
        </is>
      </c>
      <c r="B1078" s="1" t="n">
        <v>44511</v>
      </c>
      <c r="C1078" s="1" t="n">
        <v>45641</v>
      </c>
      <c r="D1078" t="inlineStr">
        <is>
          <t>VÄSTERBOTTENS LÄN</t>
        </is>
      </c>
      <c r="E1078" t="inlineStr">
        <is>
          <t>SKELLEFTEÅ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64399-2021</t>
        </is>
      </c>
      <c r="B1079" s="1" t="n">
        <v>44511</v>
      </c>
      <c r="C1079" s="1" t="n">
        <v>45641</v>
      </c>
      <c r="D1079" t="inlineStr">
        <is>
          <t>VÄSTERBOTTENS LÄN</t>
        </is>
      </c>
      <c r="E1079" t="inlineStr">
        <is>
          <t>SKELLEFTEÅ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64593-2021</t>
        </is>
      </c>
      <c r="B1080" s="1" t="n">
        <v>44511</v>
      </c>
      <c r="C1080" s="1" t="n">
        <v>45641</v>
      </c>
      <c r="D1080" t="inlineStr">
        <is>
          <t>VÄSTERBOTTENS LÄN</t>
        </is>
      </c>
      <c r="E1080" t="inlineStr">
        <is>
          <t>SKELLEFTEÅ</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64580-2021</t>
        </is>
      </c>
      <c r="B1081" s="1" t="n">
        <v>44511</v>
      </c>
      <c r="C1081" s="1" t="n">
        <v>45641</v>
      </c>
      <c r="D1081" t="inlineStr">
        <is>
          <t>VÄSTERBOTTENS LÄN</t>
        </is>
      </c>
      <c r="E1081" t="inlineStr">
        <is>
          <t>SKELLEFTEÅ</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64761-2021</t>
        </is>
      </c>
      <c r="B1082" s="1" t="n">
        <v>44511</v>
      </c>
      <c r="C1082" s="1" t="n">
        <v>45641</v>
      </c>
      <c r="D1082" t="inlineStr">
        <is>
          <t>VÄSTERBOTTENS LÄN</t>
        </is>
      </c>
      <c r="E1082" t="inlineStr">
        <is>
          <t>SKELLEFTEÅ</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64765-2021</t>
        </is>
      </c>
      <c r="B1083" s="1" t="n">
        <v>44511</v>
      </c>
      <c r="C1083" s="1" t="n">
        <v>45641</v>
      </c>
      <c r="D1083" t="inlineStr">
        <is>
          <t>VÄSTERBOTTENS LÄN</t>
        </is>
      </c>
      <c r="E1083" t="inlineStr">
        <is>
          <t>SKELLEFTEÅ</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65455-2021</t>
        </is>
      </c>
      <c r="B1084" s="1" t="n">
        <v>44516</v>
      </c>
      <c r="C1084" s="1" t="n">
        <v>45641</v>
      </c>
      <c r="D1084" t="inlineStr">
        <is>
          <t>VÄSTERBOTTENS LÄN</t>
        </is>
      </c>
      <c r="E1084" t="inlineStr">
        <is>
          <t>SKELLEFTEÅ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66250-2021</t>
        </is>
      </c>
      <c r="B1085" s="1" t="n">
        <v>44518</v>
      </c>
      <c r="C1085" s="1" t="n">
        <v>45641</v>
      </c>
      <c r="D1085" t="inlineStr">
        <is>
          <t>VÄSTERBOTTENS LÄN</t>
        </is>
      </c>
      <c r="E1085" t="inlineStr">
        <is>
          <t>SKELLEFTEÅ</t>
        </is>
      </c>
      <c r="F1085" t="inlineStr">
        <is>
          <t>Holmen skog AB</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66463-2021</t>
        </is>
      </c>
      <c r="B1086" s="1" t="n">
        <v>44518</v>
      </c>
      <c r="C1086" s="1" t="n">
        <v>45641</v>
      </c>
      <c r="D1086" t="inlineStr">
        <is>
          <t>VÄSTERBOTTENS LÄN</t>
        </is>
      </c>
      <c r="E1086" t="inlineStr">
        <is>
          <t>SKELLEFTEÅ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66465-2021</t>
        </is>
      </c>
      <c r="B1087" s="1" t="n">
        <v>44518</v>
      </c>
      <c r="C1087" s="1" t="n">
        <v>45641</v>
      </c>
      <c r="D1087" t="inlineStr">
        <is>
          <t>VÄSTERBOTTENS LÄN</t>
        </is>
      </c>
      <c r="E1087" t="inlineStr">
        <is>
          <t>SKELLEFTEÅ</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66501-2021</t>
        </is>
      </c>
      <c r="B1088" s="1" t="n">
        <v>44519</v>
      </c>
      <c r="C1088" s="1" t="n">
        <v>45641</v>
      </c>
      <c r="D1088" t="inlineStr">
        <is>
          <t>VÄSTERBOTTENS LÄN</t>
        </is>
      </c>
      <c r="E1088" t="inlineStr">
        <is>
          <t>SKELLEFTEÅ</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66500-2021</t>
        </is>
      </c>
      <c r="B1089" s="1" t="n">
        <v>44519</v>
      </c>
      <c r="C1089" s="1" t="n">
        <v>45641</v>
      </c>
      <c r="D1089" t="inlineStr">
        <is>
          <t>VÄSTERBOTTENS LÄN</t>
        </is>
      </c>
      <c r="E1089" t="inlineStr">
        <is>
          <t>SKELLEFTEÅ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66499-2021</t>
        </is>
      </c>
      <c r="B1090" s="1" t="n">
        <v>44519</v>
      </c>
      <c r="C1090" s="1" t="n">
        <v>45641</v>
      </c>
      <c r="D1090" t="inlineStr">
        <is>
          <t>VÄSTERBOTTENS LÄN</t>
        </is>
      </c>
      <c r="E1090" t="inlineStr">
        <is>
          <t>SKELLEFTEÅ</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66502-2021</t>
        </is>
      </c>
      <c r="B1091" s="1" t="n">
        <v>44519</v>
      </c>
      <c r="C1091" s="1" t="n">
        <v>45641</v>
      </c>
      <c r="D1091" t="inlineStr">
        <is>
          <t>VÄSTERBOTTENS LÄN</t>
        </is>
      </c>
      <c r="E1091" t="inlineStr">
        <is>
          <t>SKELLEFTEÅ</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66756-2021</t>
        </is>
      </c>
      <c r="B1092" s="1" t="n">
        <v>44521</v>
      </c>
      <c r="C1092" s="1" t="n">
        <v>45641</v>
      </c>
      <c r="D1092" t="inlineStr">
        <is>
          <t>VÄSTERBOTTENS LÄN</t>
        </is>
      </c>
      <c r="E1092" t="inlineStr">
        <is>
          <t>SKELLEFTEÅ</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66949-2021</t>
        </is>
      </c>
      <c r="B1093" s="1" t="n">
        <v>44522</v>
      </c>
      <c r="C1093" s="1" t="n">
        <v>45641</v>
      </c>
      <c r="D1093" t="inlineStr">
        <is>
          <t>VÄSTERBOTTENS LÄN</t>
        </is>
      </c>
      <c r="E1093" t="inlineStr">
        <is>
          <t>SKELLEFTEÅ</t>
        </is>
      </c>
      <c r="G1093" t="n">
        <v>1.6</v>
      </c>
      <c r="H1093" t="n">
        <v>0</v>
      </c>
      <c r="I1093" t="n">
        <v>0</v>
      </c>
      <c r="J1093" t="n">
        <v>0</v>
      </c>
      <c r="K1093" t="n">
        <v>0</v>
      </c>
      <c r="L1093" t="n">
        <v>0</v>
      </c>
      <c r="M1093" t="n">
        <v>0</v>
      </c>
      <c r="N1093" t="n">
        <v>0</v>
      </c>
      <c r="O1093" t="n">
        <v>0</v>
      </c>
      <c r="P1093" t="n">
        <v>0</v>
      </c>
      <c r="Q1093" t="n">
        <v>0</v>
      </c>
      <c r="R1093" s="2" t="inlineStr"/>
      <c r="U1093">
        <f>HYPERLINK("https://klasma.github.io/Logging_2482/knärot/A 66949-2021 karta knärot.png", "A 66949-2021")</f>
        <v/>
      </c>
      <c r="V1093">
        <f>HYPERLINK("https://klasma.github.io/Logging_2482/klagomål/A 66949-2021 FSC-klagomål.docx", "A 66949-2021")</f>
        <v/>
      </c>
      <c r="W1093">
        <f>HYPERLINK("https://klasma.github.io/Logging_2482/klagomålsmail/A 66949-2021 FSC-klagomål mail.docx", "A 66949-2021")</f>
        <v/>
      </c>
      <c r="X1093">
        <f>HYPERLINK("https://klasma.github.io/Logging_2482/tillsyn/A 66949-2021 tillsynsbegäran.docx", "A 66949-2021")</f>
        <v/>
      </c>
      <c r="Y1093">
        <f>HYPERLINK("https://klasma.github.io/Logging_2482/tillsynsmail/A 66949-2021 tillsynsbegäran mail.docx", "A 66949-2021")</f>
        <v/>
      </c>
    </row>
    <row r="1094" ht="15" customHeight="1">
      <c r="A1094" t="inlineStr">
        <is>
          <t>A 67450-2021</t>
        </is>
      </c>
      <c r="B1094" s="1" t="n">
        <v>44524</v>
      </c>
      <c r="C1094" s="1" t="n">
        <v>45641</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67893-2021</t>
        </is>
      </c>
      <c r="B1095" s="1" t="n">
        <v>44525</v>
      </c>
      <c r="C1095" s="1" t="n">
        <v>45641</v>
      </c>
      <c r="D1095" t="inlineStr">
        <is>
          <t>VÄSTERBOTTENS LÄN</t>
        </is>
      </c>
      <c r="E1095" t="inlineStr">
        <is>
          <t>SKELLEFTEÅ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68251-2021</t>
        </is>
      </c>
      <c r="B1096" s="1" t="n">
        <v>44525</v>
      </c>
      <c r="C1096" s="1" t="n">
        <v>45641</v>
      </c>
      <c r="D1096" t="inlineStr">
        <is>
          <t>VÄSTERBOTTENS LÄN</t>
        </is>
      </c>
      <c r="E1096" t="inlineStr">
        <is>
          <t>SKELLEFTEÅ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68334-2021</t>
        </is>
      </c>
      <c r="B1097" s="1" t="n">
        <v>44527</v>
      </c>
      <c r="C1097" s="1" t="n">
        <v>45641</v>
      </c>
      <c r="D1097" t="inlineStr">
        <is>
          <t>VÄSTERBOTTENS LÄN</t>
        </is>
      </c>
      <c r="E1097" t="inlineStr">
        <is>
          <t>SKELLEFTEÅ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69106-2021</t>
        </is>
      </c>
      <c r="B1098" s="1" t="n">
        <v>44530</v>
      </c>
      <c r="C1098" s="1" t="n">
        <v>45641</v>
      </c>
      <c r="D1098" t="inlineStr">
        <is>
          <t>VÄSTERBOTTENS LÄN</t>
        </is>
      </c>
      <c r="E1098" t="inlineStr">
        <is>
          <t>SKELLEFTEÅ</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69262-2021</t>
        </is>
      </c>
      <c r="B1099" s="1" t="n">
        <v>44531</v>
      </c>
      <c r="C1099" s="1" t="n">
        <v>45641</v>
      </c>
      <c r="D1099" t="inlineStr">
        <is>
          <t>VÄSTERBOTTENS LÄN</t>
        </is>
      </c>
      <c r="E1099" t="inlineStr">
        <is>
          <t>SKELLEFTEÅ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69315-2021</t>
        </is>
      </c>
      <c r="B1100" s="1" t="n">
        <v>44531</v>
      </c>
      <c r="C1100" s="1" t="n">
        <v>45641</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70168-2021</t>
        </is>
      </c>
      <c r="B1101" s="1" t="n">
        <v>44533</v>
      </c>
      <c r="C1101" s="1" t="n">
        <v>45641</v>
      </c>
      <c r="D1101" t="inlineStr">
        <is>
          <t>VÄSTERBOTTENS LÄN</t>
        </is>
      </c>
      <c r="E1101" t="inlineStr">
        <is>
          <t>SKELLEFTEÅ</t>
        </is>
      </c>
      <c r="F1101" t="inlineStr">
        <is>
          <t>Sveaskog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70176-2021</t>
        </is>
      </c>
      <c r="B1102" s="1" t="n">
        <v>44533</v>
      </c>
      <c r="C1102" s="1" t="n">
        <v>45641</v>
      </c>
      <c r="D1102" t="inlineStr">
        <is>
          <t>VÄSTERBOTTENS LÄN</t>
        </is>
      </c>
      <c r="E1102" t="inlineStr">
        <is>
          <t>SKELLEFTEÅ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70029-2021</t>
        </is>
      </c>
      <c r="B1103" s="1" t="n">
        <v>44533</v>
      </c>
      <c r="C1103" s="1" t="n">
        <v>45641</v>
      </c>
      <c r="D1103" t="inlineStr">
        <is>
          <t>VÄSTERBOTTENS LÄN</t>
        </is>
      </c>
      <c r="E1103" t="inlineStr">
        <is>
          <t>SKELLEFTEÅ</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69992-2021</t>
        </is>
      </c>
      <c r="B1104" s="1" t="n">
        <v>44533</v>
      </c>
      <c r="C1104" s="1" t="n">
        <v>45641</v>
      </c>
      <c r="D1104" t="inlineStr">
        <is>
          <t>VÄSTERBOTTENS LÄN</t>
        </is>
      </c>
      <c r="E1104" t="inlineStr">
        <is>
          <t>SKELLEFTEÅ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69996-2021</t>
        </is>
      </c>
      <c r="B1105" s="1" t="n">
        <v>44533</v>
      </c>
      <c r="C1105" s="1" t="n">
        <v>45641</v>
      </c>
      <c r="D1105" t="inlineStr">
        <is>
          <t>VÄSTERBOTTENS LÄN</t>
        </is>
      </c>
      <c r="E1105" t="inlineStr">
        <is>
          <t>SKELLEFTEÅ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69991-2021</t>
        </is>
      </c>
      <c r="B1106" s="1" t="n">
        <v>44533</v>
      </c>
      <c r="C1106" s="1" t="n">
        <v>45641</v>
      </c>
      <c r="D1106" t="inlineStr">
        <is>
          <t>VÄSTERBOTTENS LÄN</t>
        </is>
      </c>
      <c r="E1106" t="inlineStr">
        <is>
          <t>SKELLEFTEÅ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69978-2021</t>
        </is>
      </c>
      <c r="B1107" s="1" t="n">
        <v>44533</v>
      </c>
      <c r="C1107" s="1" t="n">
        <v>45641</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70229-2021</t>
        </is>
      </c>
      <c r="B1108" s="1" t="n">
        <v>44533</v>
      </c>
      <c r="C1108" s="1" t="n">
        <v>45641</v>
      </c>
      <c r="D1108" t="inlineStr">
        <is>
          <t>VÄSTERBOTTENS LÄN</t>
        </is>
      </c>
      <c r="E1108" t="inlineStr">
        <is>
          <t>SKELLEFTEÅ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70272-2021</t>
        </is>
      </c>
      <c r="B1109" s="1" t="n">
        <v>44536</v>
      </c>
      <c r="C1109" s="1" t="n">
        <v>45641</v>
      </c>
      <c r="D1109" t="inlineStr">
        <is>
          <t>VÄSTERBOTTENS LÄN</t>
        </is>
      </c>
      <c r="E1109" t="inlineStr">
        <is>
          <t>SKELLEFTEÅ</t>
        </is>
      </c>
      <c r="F1109" t="inlineStr">
        <is>
          <t>Kyrkan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70339-2021</t>
        </is>
      </c>
      <c r="B1110" s="1" t="n">
        <v>44536</v>
      </c>
      <c r="C1110" s="1" t="n">
        <v>45641</v>
      </c>
      <c r="D1110" t="inlineStr">
        <is>
          <t>VÄSTERBOTTENS LÄN</t>
        </is>
      </c>
      <c r="E1110" t="inlineStr">
        <is>
          <t>SKELLEFTEÅ</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70508-2021</t>
        </is>
      </c>
      <c r="B1111" s="1" t="n">
        <v>44536</v>
      </c>
      <c r="C1111" s="1" t="n">
        <v>45641</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70703-2021</t>
        </is>
      </c>
      <c r="B1112" s="1" t="n">
        <v>44536</v>
      </c>
      <c r="C1112" s="1" t="n">
        <v>45641</v>
      </c>
      <c r="D1112" t="inlineStr">
        <is>
          <t>VÄSTERBOTTENS LÄN</t>
        </is>
      </c>
      <c r="E1112" t="inlineStr">
        <is>
          <t>SKELLEFTEÅ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70718-2021</t>
        </is>
      </c>
      <c r="B1113" s="1" t="n">
        <v>44536</v>
      </c>
      <c r="C1113" s="1" t="n">
        <v>45641</v>
      </c>
      <c r="D1113" t="inlineStr">
        <is>
          <t>VÄSTERBOTTENS LÄN</t>
        </is>
      </c>
      <c r="E1113" t="inlineStr">
        <is>
          <t>SKELLEFTEÅ</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70851-2021</t>
        </is>
      </c>
      <c r="B1114" s="1" t="n">
        <v>44536</v>
      </c>
      <c r="C1114" s="1" t="n">
        <v>45641</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70558-2021</t>
        </is>
      </c>
      <c r="B1115" s="1" t="n">
        <v>44537</v>
      </c>
      <c r="C1115" s="1" t="n">
        <v>45641</v>
      </c>
      <c r="D1115" t="inlineStr">
        <is>
          <t>VÄSTERBOTTENS LÄN</t>
        </is>
      </c>
      <c r="E1115" t="inlineStr">
        <is>
          <t>SKELLEFTEÅ</t>
        </is>
      </c>
      <c r="F1115" t="inlineStr">
        <is>
          <t>Sveaskog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70748-2021</t>
        </is>
      </c>
      <c r="B1116" s="1" t="n">
        <v>44537</v>
      </c>
      <c r="C1116" s="1" t="n">
        <v>45641</v>
      </c>
      <c r="D1116" t="inlineStr">
        <is>
          <t>VÄSTERBOTTENS LÄN</t>
        </is>
      </c>
      <c r="E1116" t="inlineStr">
        <is>
          <t>SKELLEFTEÅ</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71019-2021</t>
        </is>
      </c>
      <c r="B1117" s="1" t="n">
        <v>44538</v>
      </c>
      <c r="C1117" s="1" t="n">
        <v>45641</v>
      </c>
      <c r="D1117" t="inlineStr">
        <is>
          <t>VÄSTERBOTTENS LÄN</t>
        </is>
      </c>
      <c r="E1117" t="inlineStr">
        <is>
          <t>SKELLEFTEÅ</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71410-2021</t>
        </is>
      </c>
      <c r="B1118" s="1" t="n">
        <v>44540</v>
      </c>
      <c r="C1118" s="1" t="n">
        <v>45641</v>
      </c>
      <c r="D1118" t="inlineStr">
        <is>
          <t>VÄSTERBOTTENS LÄN</t>
        </is>
      </c>
      <c r="E1118" t="inlineStr">
        <is>
          <t>SKELLEFTEÅ</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71422-2021</t>
        </is>
      </c>
      <c r="B1119" s="1" t="n">
        <v>44540</v>
      </c>
      <c r="C1119" s="1" t="n">
        <v>45641</v>
      </c>
      <c r="D1119" t="inlineStr">
        <is>
          <t>VÄSTERBOTTENS LÄN</t>
        </is>
      </c>
      <c r="E1119" t="inlineStr">
        <is>
          <t>SKELLEFTEÅ</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71445-2021</t>
        </is>
      </c>
      <c r="B1120" s="1" t="n">
        <v>44540</v>
      </c>
      <c r="C1120" s="1" t="n">
        <v>45641</v>
      </c>
      <c r="D1120" t="inlineStr">
        <is>
          <t>VÄSTERBOTTENS LÄN</t>
        </is>
      </c>
      <c r="E1120" t="inlineStr">
        <is>
          <t>SKELLEFTEÅ</t>
        </is>
      </c>
      <c r="F1120" t="inlineStr">
        <is>
          <t>Sveaskog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71464-2021</t>
        </is>
      </c>
      <c r="B1121" s="1" t="n">
        <v>44540</v>
      </c>
      <c r="C1121" s="1" t="n">
        <v>45641</v>
      </c>
      <c r="D1121" t="inlineStr">
        <is>
          <t>VÄSTERBOTTENS LÄN</t>
        </is>
      </c>
      <c r="E1121" t="inlineStr">
        <is>
          <t>SKELLEFTEÅ</t>
        </is>
      </c>
      <c r="F1121" t="inlineStr">
        <is>
          <t>Sveaskog</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71434-2021</t>
        </is>
      </c>
      <c r="B1122" s="1" t="n">
        <v>44540</v>
      </c>
      <c r="C1122" s="1" t="n">
        <v>45641</v>
      </c>
      <c r="D1122" t="inlineStr">
        <is>
          <t>VÄSTERBOTTENS LÄN</t>
        </is>
      </c>
      <c r="E1122" t="inlineStr">
        <is>
          <t>SKELLEFTEÅ</t>
        </is>
      </c>
      <c r="F1122" t="inlineStr">
        <is>
          <t>Sveaskog</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71565-2021</t>
        </is>
      </c>
      <c r="B1123" s="1" t="n">
        <v>44540</v>
      </c>
      <c r="C1123" s="1" t="n">
        <v>45641</v>
      </c>
      <c r="D1123" t="inlineStr">
        <is>
          <t>VÄSTERBOTTENS LÄN</t>
        </is>
      </c>
      <c r="E1123" t="inlineStr">
        <is>
          <t>SKELLEFTEÅ</t>
        </is>
      </c>
      <c r="F1123" t="inlineStr">
        <is>
          <t>Sveaskog</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71400-2021</t>
        </is>
      </c>
      <c r="B1124" s="1" t="n">
        <v>44540</v>
      </c>
      <c r="C1124" s="1" t="n">
        <v>45641</v>
      </c>
      <c r="D1124" t="inlineStr">
        <is>
          <t>VÄSTERBOTTENS LÄN</t>
        </is>
      </c>
      <c r="E1124" t="inlineStr">
        <is>
          <t>SKELLEFTEÅ</t>
        </is>
      </c>
      <c r="F1124" t="inlineStr">
        <is>
          <t>Sveaskog</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71460-2021</t>
        </is>
      </c>
      <c r="B1125" s="1" t="n">
        <v>44540</v>
      </c>
      <c r="C1125" s="1" t="n">
        <v>45641</v>
      </c>
      <c r="D1125" t="inlineStr">
        <is>
          <t>VÄSTERBOTTENS LÄN</t>
        </is>
      </c>
      <c r="E1125" t="inlineStr">
        <is>
          <t>SKELLEFTEÅ</t>
        </is>
      </c>
      <c r="F1125" t="inlineStr">
        <is>
          <t>Sveaskog</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71459-2021</t>
        </is>
      </c>
      <c r="B1126" s="1" t="n">
        <v>44540</v>
      </c>
      <c r="C1126" s="1" t="n">
        <v>45641</v>
      </c>
      <c r="D1126" t="inlineStr">
        <is>
          <t>VÄSTERBOTTENS LÄN</t>
        </is>
      </c>
      <c r="E1126" t="inlineStr">
        <is>
          <t>SKELLEFTEÅ</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71798-2021</t>
        </is>
      </c>
      <c r="B1127" s="1" t="n">
        <v>44543</v>
      </c>
      <c r="C1127" s="1" t="n">
        <v>45641</v>
      </c>
      <c r="D1127" t="inlineStr">
        <is>
          <t>VÄSTERBOTTENS LÄN</t>
        </is>
      </c>
      <c r="E1127" t="inlineStr">
        <is>
          <t>SKELLEFTEÅ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71924-2021</t>
        </is>
      </c>
      <c r="B1128" s="1" t="n">
        <v>44543</v>
      </c>
      <c r="C1128" s="1" t="n">
        <v>45641</v>
      </c>
      <c r="D1128" t="inlineStr">
        <is>
          <t>VÄSTERBOTTENS LÄN</t>
        </is>
      </c>
      <c r="E1128" t="inlineStr">
        <is>
          <t>SKELLEFTEÅ</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71943-2021</t>
        </is>
      </c>
      <c r="B1129" s="1" t="n">
        <v>44543</v>
      </c>
      <c r="C1129" s="1" t="n">
        <v>45641</v>
      </c>
      <c r="D1129" t="inlineStr">
        <is>
          <t>VÄSTERBOTTENS LÄN</t>
        </is>
      </c>
      <c r="E1129" t="inlineStr">
        <is>
          <t>SKELLEFTEÅ</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71931-2021</t>
        </is>
      </c>
      <c r="B1130" s="1" t="n">
        <v>44543</v>
      </c>
      <c r="C1130" s="1" t="n">
        <v>45641</v>
      </c>
      <c r="D1130" t="inlineStr">
        <is>
          <t>VÄSTERBOTTENS LÄN</t>
        </is>
      </c>
      <c r="E1130" t="inlineStr">
        <is>
          <t>SKELLEFTEÅ</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72203-2021</t>
        </is>
      </c>
      <c r="B1131" s="1" t="n">
        <v>44543</v>
      </c>
      <c r="C1131" s="1" t="n">
        <v>45641</v>
      </c>
      <c r="D1131" t="inlineStr">
        <is>
          <t>VÄSTERBOTTENS LÄN</t>
        </is>
      </c>
      <c r="E1131" t="inlineStr">
        <is>
          <t>SKELLEFTEÅ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71934-2021</t>
        </is>
      </c>
      <c r="B1132" s="1" t="n">
        <v>44543</v>
      </c>
      <c r="C1132" s="1" t="n">
        <v>45641</v>
      </c>
      <c r="D1132" t="inlineStr">
        <is>
          <t>VÄSTERBOTTENS LÄN</t>
        </is>
      </c>
      <c r="E1132" t="inlineStr">
        <is>
          <t>SKELLEFTEÅ</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72033-2021</t>
        </is>
      </c>
      <c r="B1133" s="1" t="n">
        <v>44544</v>
      </c>
      <c r="C1133" s="1" t="n">
        <v>45641</v>
      </c>
      <c r="D1133" t="inlineStr">
        <is>
          <t>VÄSTERBOTTENS LÄN</t>
        </is>
      </c>
      <c r="E1133" t="inlineStr">
        <is>
          <t>SKELLEFTEÅ</t>
        </is>
      </c>
      <c r="F1133" t="inlineStr">
        <is>
          <t>Sveaskog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72183-2021</t>
        </is>
      </c>
      <c r="B1134" s="1" t="n">
        <v>44544</v>
      </c>
      <c r="C1134" s="1" t="n">
        <v>45641</v>
      </c>
      <c r="D1134" t="inlineStr">
        <is>
          <t>VÄSTERBOTTENS LÄN</t>
        </is>
      </c>
      <c r="E1134" t="inlineStr">
        <is>
          <t>SKELLEFTEÅ</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72692-2021</t>
        </is>
      </c>
      <c r="B1135" s="1" t="n">
        <v>44545</v>
      </c>
      <c r="C1135" s="1" t="n">
        <v>45641</v>
      </c>
      <c r="D1135" t="inlineStr">
        <is>
          <t>VÄSTERBOTTENS LÄN</t>
        </is>
      </c>
      <c r="E1135" t="inlineStr">
        <is>
          <t>SKELLEFTEÅ</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72545-2021</t>
        </is>
      </c>
      <c r="B1136" s="1" t="n">
        <v>44546</v>
      </c>
      <c r="C1136" s="1" t="n">
        <v>45641</v>
      </c>
      <c r="D1136" t="inlineStr">
        <is>
          <t>VÄSTERBOTTENS LÄN</t>
        </is>
      </c>
      <c r="E1136" t="inlineStr">
        <is>
          <t>SKELLEFTEÅ</t>
        </is>
      </c>
      <c r="F1136" t="inlineStr">
        <is>
          <t>Holmen skog AB</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73159-2021</t>
        </is>
      </c>
      <c r="B1137" s="1" t="n">
        <v>44550</v>
      </c>
      <c r="C1137" s="1" t="n">
        <v>45641</v>
      </c>
      <c r="D1137" t="inlineStr">
        <is>
          <t>VÄSTERBOTTENS LÄN</t>
        </is>
      </c>
      <c r="E1137" t="inlineStr">
        <is>
          <t>SKELLEFTEÅ</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73556-2021</t>
        </is>
      </c>
      <c r="B1138" s="1" t="n">
        <v>44551</v>
      </c>
      <c r="C1138" s="1" t="n">
        <v>45641</v>
      </c>
      <c r="D1138" t="inlineStr">
        <is>
          <t>VÄSTERBOTTENS LÄN</t>
        </is>
      </c>
      <c r="E1138" t="inlineStr">
        <is>
          <t>SKELLEFTEÅ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73614-2021</t>
        </is>
      </c>
      <c r="B1139" s="1" t="n">
        <v>44551</v>
      </c>
      <c r="C1139" s="1" t="n">
        <v>45641</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73684-2021</t>
        </is>
      </c>
      <c r="B1140" s="1" t="n">
        <v>44551</v>
      </c>
      <c r="C1140" s="1" t="n">
        <v>45641</v>
      </c>
      <c r="D1140" t="inlineStr">
        <is>
          <t>VÄSTERBOTTENS LÄN</t>
        </is>
      </c>
      <c r="E1140" t="inlineStr">
        <is>
          <t>SKELLEFTEÅ</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73833-2021</t>
        </is>
      </c>
      <c r="B1141" s="1" t="n">
        <v>44552</v>
      </c>
      <c r="C1141" s="1" t="n">
        <v>45641</v>
      </c>
      <c r="D1141" t="inlineStr">
        <is>
          <t>VÄSTERBOTTENS LÄN</t>
        </is>
      </c>
      <c r="E1141" t="inlineStr">
        <is>
          <t>SKELLEFTEÅ</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73956-2021</t>
        </is>
      </c>
      <c r="B1142" s="1" t="n">
        <v>44553</v>
      </c>
      <c r="C1142" s="1" t="n">
        <v>45641</v>
      </c>
      <c r="D1142" t="inlineStr">
        <is>
          <t>VÄSTERBOTTENS LÄN</t>
        </is>
      </c>
      <c r="E1142" t="inlineStr">
        <is>
          <t>SKELLEFTEÅ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73957-2021</t>
        </is>
      </c>
      <c r="B1143" s="1" t="n">
        <v>44553</v>
      </c>
      <c r="C1143" s="1" t="n">
        <v>45641</v>
      </c>
      <c r="D1143" t="inlineStr">
        <is>
          <t>VÄSTERBOTTENS LÄN</t>
        </is>
      </c>
      <c r="E1143" t="inlineStr">
        <is>
          <t>SKELLEFTEÅ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73950-2021</t>
        </is>
      </c>
      <c r="B1144" s="1" t="n">
        <v>44553</v>
      </c>
      <c r="C1144" s="1" t="n">
        <v>45641</v>
      </c>
      <c r="D1144" t="inlineStr">
        <is>
          <t>VÄSTERBOTTENS LÄN</t>
        </is>
      </c>
      <c r="E1144" t="inlineStr">
        <is>
          <t>SKELLEFTEÅ</t>
        </is>
      </c>
      <c r="F1144" t="inlineStr">
        <is>
          <t>Sveaskog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73985-2021</t>
        </is>
      </c>
      <c r="B1145" s="1" t="n">
        <v>44555</v>
      </c>
      <c r="C1145" s="1" t="n">
        <v>45641</v>
      </c>
      <c r="D1145" t="inlineStr">
        <is>
          <t>VÄSTERBOTTENS LÄN</t>
        </is>
      </c>
      <c r="E1145" t="inlineStr">
        <is>
          <t>SKELLEFTEÅ</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74077-2021</t>
        </is>
      </c>
      <c r="B1146" s="1" t="n">
        <v>44557</v>
      </c>
      <c r="C1146" s="1" t="n">
        <v>45641</v>
      </c>
      <c r="D1146" t="inlineStr">
        <is>
          <t>VÄSTERBOTTENS LÄN</t>
        </is>
      </c>
      <c r="E1146" t="inlineStr">
        <is>
          <t>SKELLEFTEÅ</t>
        </is>
      </c>
      <c r="F1146" t="inlineStr">
        <is>
          <t>Holmen skog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74205-2021</t>
        </is>
      </c>
      <c r="B1147" s="1" t="n">
        <v>44558</v>
      </c>
      <c r="C1147" s="1" t="n">
        <v>45641</v>
      </c>
      <c r="D1147" t="inlineStr">
        <is>
          <t>VÄSTERBOTTENS LÄN</t>
        </is>
      </c>
      <c r="E1147" t="inlineStr">
        <is>
          <t>SKELLEFTEÅ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528-2022</t>
        </is>
      </c>
      <c r="B1148" s="1" t="n">
        <v>44566</v>
      </c>
      <c r="C1148" s="1" t="n">
        <v>45641</v>
      </c>
      <c r="D1148" t="inlineStr">
        <is>
          <t>VÄSTERBOTTENS LÄN</t>
        </is>
      </c>
      <c r="E1148" t="inlineStr">
        <is>
          <t>SKELLEFTEÅ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808-2022</t>
        </is>
      </c>
      <c r="B1149" s="1" t="n">
        <v>44568</v>
      </c>
      <c r="C1149" s="1" t="n">
        <v>45641</v>
      </c>
      <c r="D1149" t="inlineStr">
        <is>
          <t>VÄSTERBOTTENS LÄN</t>
        </is>
      </c>
      <c r="E1149" t="inlineStr">
        <is>
          <t>SKELLEFTEÅ</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1626-2022</t>
        </is>
      </c>
      <c r="B1150" s="1" t="n">
        <v>44573</v>
      </c>
      <c r="C1150" s="1" t="n">
        <v>45641</v>
      </c>
      <c r="D1150" t="inlineStr">
        <is>
          <t>VÄSTERBOTTENS LÄN</t>
        </is>
      </c>
      <c r="E1150" t="inlineStr">
        <is>
          <t>SKELLEFTEÅ</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1750-2022</t>
        </is>
      </c>
      <c r="B1151" s="1" t="n">
        <v>44574</v>
      </c>
      <c r="C1151" s="1" t="n">
        <v>45641</v>
      </c>
      <c r="D1151" t="inlineStr">
        <is>
          <t>VÄSTERBOTTENS LÄN</t>
        </is>
      </c>
      <c r="E1151" t="inlineStr">
        <is>
          <t>SKELLEFTEÅ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1834-2022</t>
        </is>
      </c>
      <c r="B1152" s="1" t="n">
        <v>44574</v>
      </c>
      <c r="C1152" s="1" t="n">
        <v>45641</v>
      </c>
      <c r="D1152" t="inlineStr">
        <is>
          <t>VÄSTERBOTTENS LÄN</t>
        </is>
      </c>
      <c r="E1152" t="inlineStr">
        <is>
          <t>SKELLEFTEÅ</t>
        </is>
      </c>
      <c r="G1152" t="n">
        <v>9.9</v>
      </c>
      <c r="H1152" t="n">
        <v>0</v>
      </c>
      <c r="I1152" t="n">
        <v>0</v>
      </c>
      <c r="J1152" t="n">
        <v>0</v>
      </c>
      <c r="K1152" t="n">
        <v>0</v>
      </c>
      <c r="L1152" t="n">
        <v>0</v>
      </c>
      <c r="M1152" t="n">
        <v>0</v>
      </c>
      <c r="N1152" t="n">
        <v>0</v>
      </c>
      <c r="O1152" t="n">
        <v>0</v>
      </c>
      <c r="P1152" t="n">
        <v>0</v>
      </c>
      <c r="Q1152" t="n">
        <v>0</v>
      </c>
      <c r="R1152" s="2" t="inlineStr"/>
    </row>
    <row r="1153" ht="15" customHeight="1">
      <c r="A1153" t="inlineStr">
        <is>
          <t>A 2486-2022</t>
        </is>
      </c>
      <c r="B1153" s="1" t="n">
        <v>44579</v>
      </c>
      <c r="C1153" s="1" t="n">
        <v>45641</v>
      </c>
      <c r="D1153" t="inlineStr">
        <is>
          <t>VÄSTERBOTTENS LÄN</t>
        </is>
      </c>
      <c r="E1153" t="inlineStr">
        <is>
          <t>SKELLEFTEÅ</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2607-2022</t>
        </is>
      </c>
      <c r="B1154" s="1" t="n">
        <v>44580</v>
      </c>
      <c r="C1154" s="1" t="n">
        <v>45641</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2813-2022</t>
        </is>
      </c>
      <c r="B1155" s="1" t="n">
        <v>44580</v>
      </c>
      <c r="C1155" s="1" t="n">
        <v>45641</v>
      </c>
      <c r="D1155" t="inlineStr">
        <is>
          <t>VÄSTERBOTTENS LÄN</t>
        </is>
      </c>
      <c r="E1155" t="inlineStr">
        <is>
          <t>SKELLEFTEÅ</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3006-2022</t>
        </is>
      </c>
      <c r="B1156" s="1" t="n">
        <v>44581</v>
      </c>
      <c r="C1156" s="1" t="n">
        <v>45641</v>
      </c>
      <c r="D1156" t="inlineStr">
        <is>
          <t>VÄSTERBOTTENS LÄN</t>
        </is>
      </c>
      <c r="E1156" t="inlineStr">
        <is>
          <t>SKELLEFTEÅ</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3009-2022</t>
        </is>
      </c>
      <c r="B1157" s="1" t="n">
        <v>44581</v>
      </c>
      <c r="C1157" s="1" t="n">
        <v>45641</v>
      </c>
      <c r="D1157" t="inlineStr">
        <is>
          <t>VÄSTERBOTTENS LÄN</t>
        </is>
      </c>
      <c r="E1157" t="inlineStr">
        <is>
          <t>SKELLEFTEÅ</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3268-2022</t>
        </is>
      </c>
      <c r="B1158" s="1" t="n">
        <v>44583</v>
      </c>
      <c r="C1158" s="1" t="n">
        <v>45641</v>
      </c>
      <c r="D1158" t="inlineStr">
        <is>
          <t>VÄSTERBOTTENS LÄN</t>
        </is>
      </c>
      <c r="E1158" t="inlineStr">
        <is>
          <t>SKELLEFTEÅ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3265-2022</t>
        </is>
      </c>
      <c r="B1159" s="1" t="n">
        <v>44583</v>
      </c>
      <c r="C1159" s="1" t="n">
        <v>45641</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3266-2022</t>
        </is>
      </c>
      <c r="B1160" s="1" t="n">
        <v>44583</v>
      </c>
      <c r="C1160" s="1" t="n">
        <v>45641</v>
      </c>
      <c r="D1160" t="inlineStr">
        <is>
          <t>VÄSTERBOTTENS LÄN</t>
        </is>
      </c>
      <c r="E1160" t="inlineStr">
        <is>
          <t>SKELLEFTEÅ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3362-2022</t>
        </is>
      </c>
      <c r="B1161" s="1" t="n">
        <v>44585</v>
      </c>
      <c r="C1161" s="1" t="n">
        <v>45641</v>
      </c>
      <c r="D1161" t="inlineStr">
        <is>
          <t>VÄSTERBOTTENS LÄN</t>
        </is>
      </c>
      <c r="E1161" t="inlineStr">
        <is>
          <t>SKELLEFTEÅ</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3616-2022</t>
        </is>
      </c>
      <c r="B1162" s="1" t="n">
        <v>44586</v>
      </c>
      <c r="C1162" s="1" t="n">
        <v>45641</v>
      </c>
      <c r="D1162" t="inlineStr">
        <is>
          <t>VÄSTERBOTTENS LÄN</t>
        </is>
      </c>
      <c r="E1162" t="inlineStr">
        <is>
          <t>SKELLEFTEÅ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3600-2022</t>
        </is>
      </c>
      <c r="B1163" s="1" t="n">
        <v>44586</v>
      </c>
      <c r="C1163" s="1" t="n">
        <v>45641</v>
      </c>
      <c r="D1163" t="inlineStr">
        <is>
          <t>VÄSTERBOTTENS LÄN</t>
        </is>
      </c>
      <c r="E1163" t="inlineStr">
        <is>
          <t>SKELLEFTEÅ</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3876-2022</t>
        </is>
      </c>
      <c r="B1164" s="1" t="n">
        <v>44587</v>
      </c>
      <c r="C1164" s="1" t="n">
        <v>45641</v>
      </c>
      <c r="D1164" t="inlineStr">
        <is>
          <t>VÄSTERBOTTENS LÄN</t>
        </is>
      </c>
      <c r="E1164" t="inlineStr">
        <is>
          <t>SKELLEFTEÅ</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3924-2022</t>
        </is>
      </c>
      <c r="B1165" s="1" t="n">
        <v>44587</v>
      </c>
      <c r="C1165" s="1" t="n">
        <v>45641</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3882-2022</t>
        </is>
      </c>
      <c r="B1166" s="1" t="n">
        <v>44587</v>
      </c>
      <c r="C1166" s="1" t="n">
        <v>45641</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3944-2022</t>
        </is>
      </c>
      <c r="B1167" s="1" t="n">
        <v>44587</v>
      </c>
      <c r="C1167" s="1" t="n">
        <v>45641</v>
      </c>
      <c r="D1167" t="inlineStr">
        <is>
          <t>VÄSTERBOTTENS LÄN</t>
        </is>
      </c>
      <c r="E1167" t="inlineStr">
        <is>
          <t>SKELLEFTEÅ</t>
        </is>
      </c>
      <c r="F1167" t="inlineStr">
        <is>
          <t>Kommuner</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3987-2022</t>
        </is>
      </c>
      <c r="B1168" s="1" t="n">
        <v>44587</v>
      </c>
      <c r="C1168" s="1" t="n">
        <v>45641</v>
      </c>
      <c r="D1168" t="inlineStr">
        <is>
          <t>VÄSTERBOTTENS LÄN</t>
        </is>
      </c>
      <c r="E1168" t="inlineStr">
        <is>
          <t>SKELLEFTEÅ</t>
        </is>
      </c>
      <c r="F1168" t="inlineStr">
        <is>
          <t>Sveaskog</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4008-2022</t>
        </is>
      </c>
      <c r="B1169" s="1" t="n">
        <v>44587</v>
      </c>
      <c r="C1169" s="1" t="n">
        <v>45641</v>
      </c>
      <c r="D1169" t="inlineStr">
        <is>
          <t>VÄSTERBOTTENS LÄN</t>
        </is>
      </c>
      <c r="E1169" t="inlineStr">
        <is>
          <t>SKELLEFTEÅ</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3963-2022</t>
        </is>
      </c>
      <c r="B1170" s="1" t="n">
        <v>44587</v>
      </c>
      <c r="C1170" s="1" t="n">
        <v>45641</v>
      </c>
      <c r="D1170" t="inlineStr">
        <is>
          <t>VÄSTERBOTTENS LÄN</t>
        </is>
      </c>
      <c r="E1170" t="inlineStr">
        <is>
          <t>SKELLEFTEÅ</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4005-2022</t>
        </is>
      </c>
      <c r="B1171" s="1" t="n">
        <v>44587</v>
      </c>
      <c r="C1171" s="1" t="n">
        <v>45641</v>
      </c>
      <c r="D1171" t="inlineStr">
        <is>
          <t>VÄSTERBOTTENS LÄN</t>
        </is>
      </c>
      <c r="E1171" t="inlineStr">
        <is>
          <t>SKELLEFTEÅ</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4603-2022</t>
        </is>
      </c>
      <c r="B1172" s="1" t="n">
        <v>44592</v>
      </c>
      <c r="C1172" s="1" t="n">
        <v>45641</v>
      </c>
      <c r="D1172" t="inlineStr">
        <is>
          <t>VÄSTERBOTTENS LÄN</t>
        </is>
      </c>
      <c r="E1172" t="inlineStr">
        <is>
          <t>SKELLEFTEÅ</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4653-2022</t>
        </is>
      </c>
      <c r="B1173" s="1" t="n">
        <v>44592</v>
      </c>
      <c r="C1173" s="1" t="n">
        <v>45641</v>
      </c>
      <c r="D1173" t="inlineStr">
        <is>
          <t>VÄSTERBOTTENS LÄN</t>
        </is>
      </c>
      <c r="E1173" t="inlineStr">
        <is>
          <t>SKELLEFTEÅ</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4762-2022</t>
        </is>
      </c>
      <c r="B1174" s="1" t="n">
        <v>44592</v>
      </c>
      <c r="C1174" s="1" t="n">
        <v>45641</v>
      </c>
      <c r="D1174" t="inlineStr">
        <is>
          <t>VÄSTERBOTTENS LÄN</t>
        </is>
      </c>
      <c r="E1174" t="inlineStr">
        <is>
          <t>SKELLEFTEÅ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4844-2022</t>
        </is>
      </c>
      <c r="B1175" s="1" t="n">
        <v>44592</v>
      </c>
      <c r="C1175" s="1" t="n">
        <v>45641</v>
      </c>
      <c r="D1175" t="inlineStr">
        <is>
          <t>VÄSTERBOTTENS LÄN</t>
        </is>
      </c>
      <c r="E1175" t="inlineStr">
        <is>
          <t>SKELLEFTEÅ</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4791-2022</t>
        </is>
      </c>
      <c r="B1176" s="1" t="n">
        <v>44592</v>
      </c>
      <c r="C1176" s="1" t="n">
        <v>45641</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5817-2022</t>
        </is>
      </c>
      <c r="B1177" s="1" t="n">
        <v>44596</v>
      </c>
      <c r="C1177" s="1" t="n">
        <v>45641</v>
      </c>
      <c r="D1177" t="inlineStr">
        <is>
          <t>VÄSTERBOTTENS LÄN</t>
        </is>
      </c>
      <c r="E1177" t="inlineStr">
        <is>
          <t>SKELLEFTEÅ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5826-2022</t>
        </is>
      </c>
      <c r="B1178" s="1" t="n">
        <v>44596</v>
      </c>
      <c r="C1178" s="1" t="n">
        <v>45641</v>
      </c>
      <c r="D1178" t="inlineStr">
        <is>
          <t>VÄSTERBOTTENS LÄN</t>
        </is>
      </c>
      <c r="E1178" t="inlineStr">
        <is>
          <t>SKELLEFTEÅ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5828-2022</t>
        </is>
      </c>
      <c r="B1179" s="1" t="n">
        <v>44596</v>
      </c>
      <c r="C1179" s="1" t="n">
        <v>45641</v>
      </c>
      <c r="D1179" t="inlineStr">
        <is>
          <t>VÄSTERBOTTENS LÄN</t>
        </is>
      </c>
      <c r="E1179" t="inlineStr">
        <is>
          <t>SKELLEFTEÅ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5972-2022</t>
        </is>
      </c>
      <c r="B1180" s="1" t="n">
        <v>44599</v>
      </c>
      <c r="C1180" s="1" t="n">
        <v>45641</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6635-2022</t>
        </is>
      </c>
      <c r="B1181" s="1" t="n">
        <v>44601</v>
      </c>
      <c r="C1181" s="1" t="n">
        <v>45641</v>
      </c>
      <c r="D1181" t="inlineStr">
        <is>
          <t>VÄSTERBOTTENS LÄN</t>
        </is>
      </c>
      <c r="E1181" t="inlineStr">
        <is>
          <t>SKELLEFTEÅ</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6666-2022</t>
        </is>
      </c>
      <c r="B1182" s="1" t="n">
        <v>44602</v>
      </c>
      <c r="C1182" s="1" t="n">
        <v>45641</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6837-2022</t>
        </is>
      </c>
      <c r="B1183" s="1" t="n">
        <v>44602</v>
      </c>
      <c r="C1183" s="1" t="n">
        <v>45641</v>
      </c>
      <c r="D1183" t="inlineStr">
        <is>
          <t>VÄSTERBOTTENS LÄN</t>
        </is>
      </c>
      <c r="E1183" t="inlineStr">
        <is>
          <t>SKELLEFTEÅ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6834-2022</t>
        </is>
      </c>
      <c r="B1184" s="1" t="n">
        <v>44602</v>
      </c>
      <c r="C1184" s="1" t="n">
        <v>45641</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7006-2022</t>
        </is>
      </c>
      <c r="B1185" s="1" t="n">
        <v>44602</v>
      </c>
      <c r="C1185" s="1" t="n">
        <v>45641</v>
      </c>
      <c r="D1185" t="inlineStr">
        <is>
          <t>VÄSTERBOTTENS LÄN</t>
        </is>
      </c>
      <c r="E1185" t="inlineStr">
        <is>
          <t>SKELLEFTEÅ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7052-2022</t>
        </is>
      </c>
      <c r="B1186" s="1" t="n">
        <v>44603</v>
      </c>
      <c r="C1186" s="1" t="n">
        <v>45641</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7127-2022</t>
        </is>
      </c>
      <c r="B1187" s="1" t="n">
        <v>44603</v>
      </c>
      <c r="C1187" s="1" t="n">
        <v>45641</v>
      </c>
      <c r="D1187" t="inlineStr">
        <is>
          <t>VÄSTERBOTTENS LÄN</t>
        </is>
      </c>
      <c r="E1187" t="inlineStr">
        <is>
          <t>SKELLEFTEÅ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7462-2022</t>
        </is>
      </c>
      <c r="B1188" s="1" t="n">
        <v>44606</v>
      </c>
      <c r="C1188" s="1" t="n">
        <v>45641</v>
      </c>
      <c r="D1188" t="inlineStr">
        <is>
          <t>VÄSTERBOTTENS LÄN</t>
        </is>
      </c>
      <c r="E1188" t="inlineStr">
        <is>
          <t>SKELLEFTEÅ</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7495-2022</t>
        </is>
      </c>
      <c r="B1189" s="1" t="n">
        <v>44607</v>
      </c>
      <c r="C1189" s="1" t="n">
        <v>45641</v>
      </c>
      <c r="D1189" t="inlineStr">
        <is>
          <t>VÄSTERBOTTENS LÄN</t>
        </is>
      </c>
      <c r="E1189" t="inlineStr">
        <is>
          <t>SKELLEFTEÅ</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7518-2022</t>
        </is>
      </c>
      <c r="B1190" s="1" t="n">
        <v>44607</v>
      </c>
      <c r="C1190" s="1" t="n">
        <v>45641</v>
      </c>
      <c r="D1190" t="inlineStr">
        <is>
          <t>VÄSTERBOTTENS LÄN</t>
        </is>
      </c>
      <c r="E1190" t="inlineStr">
        <is>
          <t>SKELLEFTEÅ</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7579-2022</t>
        </is>
      </c>
      <c r="B1191" s="1" t="n">
        <v>44607</v>
      </c>
      <c r="C1191" s="1" t="n">
        <v>45641</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8023-2022</t>
        </is>
      </c>
      <c r="B1192" s="1" t="n">
        <v>44609</v>
      </c>
      <c r="C1192" s="1" t="n">
        <v>45641</v>
      </c>
      <c r="D1192" t="inlineStr">
        <is>
          <t>VÄSTERBOTTENS LÄN</t>
        </is>
      </c>
      <c r="E1192" t="inlineStr">
        <is>
          <t>SKELLEFTEÅ</t>
        </is>
      </c>
      <c r="F1192" t="inlineStr">
        <is>
          <t>Kyrkan</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8203-2022</t>
        </is>
      </c>
      <c r="B1193" s="1" t="n">
        <v>44609</v>
      </c>
      <c r="C1193" s="1" t="n">
        <v>45641</v>
      </c>
      <c r="D1193" t="inlineStr">
        <is>
          <t>VÄSTERBOTTENS LÄN</t>
        </is>
      </c>
      <c r="E1193" t="inlineStr">
        <is>
          <t>SKELLEFTEÅ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8456-2022</t>
        </is>
      </c>
      <c r="B1194" s="1" t="n">
        <v>44612</v>
      </c>
      <c r="C1194" s="1" t="n">
        <v>45641</v>
      </c>
      <c r="D1194" t="inlineStr">
        <is>
          <t>VÄSTERBOTTENS LÄN</t>
        </is>
      </c>
      <c r="E1194" t="inlineStr">
        <is>
          <t>SKELLEFTEÅ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8436-2022</t>
        </is>
      </c>
      <c r="B1195" s="1" t="n">
        <v>44612</v>
      </c>
      <c r="C1195" s="1" t="n">
        <v>45641</v>
      </c>
      <c r="D1195" t="inlineStr">
        <is>
          <t>VÄSTERBOTTENS LÄN</t>
        </is>
      </c>
      <c r="E1195" t="inlineStr">
        <is>
          <t>SKELLEFTEÅ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8600-2022</t>
        </is>
      </c>
      <c r="B1196" s="1" t="n">
        <v>44613</v>
      </c>
      <c r="C1196" s="1" t="n">
        <v>45641</v>
      </c>
      <c r="D1196" t="inlineStr">
        <is>
          <t>VÄSTERBOTTENS LÄN</t>
        </is>
      </c>
      <c r="E1196" t="inlineStr">
        <is>
          <t>SKELLEFTEÅ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8603-2022</t>
        </is>
      </c>
      <c r="B1197" s="1" t="n">
        <v>44613</v>
      </c>
      <c r="C1197" s="1" t="n">
        <v>45641</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8598-2022</t>
        </is>
      </c>
      <c r="B1198" s="1" t="n">
        <v>44613</v>
      </c>
      <c r="C1198" s="1" t="n">
        <v>45641</v>
      </c>
      <c r="D1198" t="inlineStr">
        <is>
          <t>VÄSTERBOTTENS LÄN</t>
        </is>
      </c>
      <c r="E1198" t="inlineStr">
        <is>
          <t>SKELLEFTEÅ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8595-2022</t>
        </is>
      </c>
      <c r="B1199" s="1" t="n">
        <v>44613</v>
      </c>
      <c r="C1199" s="1" t="n">
        <v>45641</v>
      </c>
      <c r="D1199" t="inlineStr">
        <is>
          <t>VÄSTERBOTTENS LÄN</t>
        </is>
      </c>
      <c r="E1199" t="inlineStr">
        <is>
          <t>SKELLEFTEÅ</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8539-2022</t>
        </is>
      </c>
      <c r="B1200" s="1" t="n">
        <v>44613</v>
      </c>
      <c r="C1200" s="1" t="n">
        <v>45641</v>
      </c>
      <c r="D1200" t="inlineStr">
        <is>
          <t>VÄSTERBOTTENS LÄN</t>
        </is>
      </c>
      <c r="E1200" t="inlineStr">
        <is>
          <t>SKELLEFTEÅ</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9053-2022</t>
        </is>
      </c>
      <c r="B1201" s="1" t="n">
        <v>44615</v>
      </c>
      <c r="C1201" s="1" t="n">
        <v>45641</v>
      </c>
      <c r="D1201" t="inlineStr">
        <is>
          <t>VÄSTERBOTTENS LÄN</t>
        </is>
      </c>
      <c r="E1201" t="inlineStr">
        <is>
          <t>SKELLEFTEÅ</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9500-2022</t>
        </is>
      </c>
      <c r="B1202" s="1" t="n">
        <v>44616</v>
      </c>
      <c r="C1202" s="1" t="n">
        <v>45641</v>
      </c>
      <c r="D1202" t="inlineStr">
        <is>
          <t>VÄSTERBOTTENS LÄN</t>
        </is>
      </c>
      <c r="E1202" t="inlineStr">
        <is>
          <t>SKELLEFTEÅ</t>
        </is>
      </c>
      <c r="F1202" t="inlineStr">
        <is>
          <t>SCA</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9579-2022</t>
        </is>
      </c>
      <c r="B1203" s="1" t="n">
        <v>44617</v>
      </c>
      <c r="C1203" s="1" t="n">
        <v>45641</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9925-2022</t>
        </is>
      </c>
      <c r="B1204" s="1" t="n">
        <v>44620</v>
      </c>
      <c r="C1204" s="1" t="n">
        <v>45641</v>
      </c>
      <c r="D1204" t="inlineStr">
        <is>
          <t>VÄSTERBOTTENS LÄN</t>
        </is>
      </c>
      <c r="E1204" t="inlineStr">
        <is>
          <t>SKELLEFTEÅ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9950-2022</t>
        </is>
      </c>
      <c r="B1205" s="1" t="n">
        <v>44620</v>
      </c>
      <c r="C1205" s="1" t="n">
        <v>45641</v>
      </c>
      <c r="D1205" t="inlineStr">
        <is>
          <t>VÄSTERBOTTENS LÄN</t>
        </is>
      </c>
      <c r="E1205" t="inlineStr">
        <is>
          <t>SKELLEFTEÅ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10132-2022</t>
        </is>
      </c>
      <c r="B1206" s="1" t="n">
        <v>44621</v>
      </c>
      <c r="C1206" s="1" t="n">
        <v>45641</v>
      </c>
      <c r="D1206" t="inlineStr">
        <is>
          <t>VÄSTERBOTTENS LÄN</t>
        </is>
      </c>
      <c r="E1206" t="inlineStr">
        <is>
          <t>SKELLEFTEÅ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10578-2022</t>
        </is>
      </c>
      <c r="B1207" s="1" t="n">
        <v>44624</v>
      </c>
      <c r="C1207" s="1" t="n">
        <v>45641</v>
      </c>
      <c r="D1207" t="inlineStr">
        <is>
          <t>VÄSTERBOTTENS LÄN</t>
        </is>
      </c>
      <c r="E1207" t="inlineStr">
        <is>
          <t>SKELLEFTEÅ</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10568-2022</t>
        </is>
      </c>
      <c r="B1208" s="1" t="n">
        <v>44624</v>
      </c>
      <c r="C1208" s="1" t="n">
        <v>45641</v>
      </c>
      <c r="D1208" t="inlineStr">
        <is>
          <t>VÄSTERBOTTENS LÄN</t>
        </is>
      </c>
      <c r="E1208" t="inlineStr">
        <is>
          <t>SKELLEFTEÅ</t>
        </is>
      </c>
      <c r="F1208" t="inlineStr">
        <is>
          <t>Holmen skog AB</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10723-2022</t>
        </is>
      </c>
      <c r="B1209" s="1" t="n">
        <v>44624</v>
      </c>
      <c r="C1209" s="1" t="n">
        <v>45641</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11226-2022</t>
        </is>
      </c>
      <c r="B1210" s="1" t="n">
        <v>44624</v>
      </c>
      <c r="C1210" s="1" t="n">
        <v>45641</v>
      </c>
      <c r="D1210" t="inlineStr">
        <is>
          <t>VÄSTERBOTTENS LÄN</t>
        </is>
      </c>
      <c r="E1210" t="inlineStr">
        <is>
          <t>SKELLEFTEÅ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11260-2022</t>
        </is>
      </c>
      <c r="B1211" s="1" t="n">
        <v>44629</v>
      </c>
      <c r="C1211" s="1" t="n">
        <v>45641</v>
      </c>
      <c r="D1211" t="inlineStr">
        <is>
          <t>VÄSTERBOTTENS LÄN</t>
        </is>
      </c>
      <c r="E1211" t="inlineStr">
        <is>
          <t>SKELLEFTEÅ</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11468-2022</t>
        </is>
      </c>
      <c r="B1212" s="1" t="n">
        <v>44630</v>
      </c>
      <c r="C1212" s="1" t="n">
        <v>45641</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11685-2022</t>
        </is>
      </c>
      <c r="B1213" s="1" t="n">
        <v>44634</v>
      </c>
      <c r="C1213" s="1" t="n">
        <v>45641</v>
      </c>
      <c r="D1213" t="inlineStr">
        <is>
          <t>VÄSTERBOTTENS LÄN</t>
        </is>
      </c>
      <c r="E1213" t="inlineStr">
        <is>
          <t>SKELLEFTEÅ</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11790-2022</t>
        </is>
      </c>
      <c r="B1214" s="1" t="n">
        <v>44634</v>
      </c>
      <c r="C1214" s="1" t="n">
        <v>45641</v>
      </c>
      <c r="D1214" t="inlineStr">
        <is>
          <t>VÄSTERBOTTENS LÄN</t>
        </is>
      </c>
      <c r="E1214" t="inlineStr">
        <is>
          <t>SKELLEFTEÅ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11879-2022</t>
        </is>
      </c>
      <c r="B1215" s="1" t="n">
        <v>44635</v>
      </c>
      <c r="C1215" s="1" t="n">
        <v>45641</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12009-2022</t>
        </is>
      </c>
      <c r="B1216" s="1" t="n">
        <v>44635</v>
      </c>
      <c r="C1216" s="1" t="n">
        <v>45641</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12326-2022</t>
        </is>
      </c>
      <c r="B1217" s="1" t="n">
        <v>44637</v>
      </c>
      <c r="C1217" s="1" t="n">
        <v>45641</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12512-2022</t>
        </is>
      </c>
      <c r="B1218" s="1" t="n">
        <v>44638</v>
      </c>
      <c r="C1218" s="1" t="n">
        <v>45641</v>
      </c>
      <c r="D1218" t="inlineStr">
        <is>
          <t>VÄSTERBOTTENS LÄN</t>
        </is>
      </c>
      <c r="E1218" t="inlineStr">
        <is>
          <t>SKELLEFTEÅ</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12518-2022</t>
        </is>
      </c>
      <c r="B1219" s="1" t="n">
        <v>44638</v>
      </c>
      <c r="C1219" s="1" t="n">
        <v>45641</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12529-2022</t>
        </is>
      </c>
      <c r="B1220" s="1" t="n">
        <v>44638</v>
      </c>
      <c r="C1220" s="1" t="n">
        <v>45641</v>
      </c>
      <c r="D1220" t="inlineStr">
        <is>
          <t>VÄSTERBOTTENS LÄN</t>
        </is>
      </c>
      <c r="E1220" t="inlineStr">
        <is>
          <t>SKELLEFTEÅ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12516-2022</t>
        </is>
      </c>
      <c r="B1221" s="1" t="n">
        <v>44638</v>
      </c>
      <c r="C1221" s="1" t="n">
        <v>45641</v>
      </c>
      <c r="D1221" t="inlineStr">
        <is>
          <t>VÄSTERBOTTENS LÄN</t>
        </is>
      </c>
      <c r="E1221" t="inlineStr">
        <is>
          <t>SKELLEFTEÅ</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12511-2022</t>
        </is>
      </c>
      <c r="B1222" s="1" t="n">
        <v>44638</v>
      </c>
      <c r="C1222" s="1" t="n">
        <v>45641</v>
      </c>
      <c r="D1222" t="inlineStr">
        <is>
          <t>VÄSTERBOTTENS LÄN</t>
        </is>
      </c>
      <c r="E1222" t="inlineStr">
        <is>
          <t>SKELLEFTEÅ</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12509-2022</t>
        </is>
      </c>
      <c r="B1223" s="1" t="n">
        <v>44638</v>
      </c>
      <c r="C1223" s="1" t="n">
        <v>45641</v>
      </c>
      <c r="D1223" t="inlineStr">
        <is>
          <t>VÄSTERBOTTENS LÄN</t>
        </is>
      </c>
      <c r="E1223" t="inlineStr">
        <is>
          <t>SKELLEFTEÅ</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12715-2022</t>
        </is>
      </c>
      <c r="B1224" s="1" t="n">
        <v>44641</v>
      </c>
      <c r="C1224" s="1" t="n">
        <v>45641</v>
      </c>
      <c r="D1224" t="inlineStr">
        <is>
          <t>VÄSTERBOTTENS LÄN</t>
        </is>
      </c>
      <c r="E1224" t="inlineStr">
        <is>
          <t>SKELLEFTEÅ</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13131-2022</t>
        </is>
      </c>
      <c r="B1225" s="1" t="n">
        <v>44644</v>
      </c>
      <c r="C1225" s="1" t="n">
        <v>45641</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13430-2022</t>
        </is>
      </c>
      <c r="B1226" s="1" t="n">
        <v>44645</v>
      </c>
      <c r="C1226" s="1" t="n">
        <v>45641</v>
      </c>
      <c r="D1226" t="inlineStr">
        <is>
          <t>VÄSTERBOTTENS LÄN</t>
        </is>
      </c>
      <c r="E1226" t="inlineStr">
        <is>
          <t>SKELLEFTEÅ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13391-2022</t>
        </is>
      </c>
      <c r="B1227" s="1" t="n">
        <v>44645</v>
      </c>
      <c r="C1227" s="1" t="n">
        <v>45641</v>
      </c>
      <c r="D1227" t="inlineStr">
        <is>
          <t>VÄSTERBOTTENS LÄN</t>
        </is>
      </c>
      <c r="E1227" t="inlineStr">
        <is>
          <t>SKELLEFTEÅ</t>
        </is>
      </c>
      <c r="G1227" t="n">
        <v>11.7</v>
      </c>
      <c r="H1227" t="n">
        <v>0</v>
      </c>
      <c r="I1227" t="n">
        <v>0</v>
      </c>
      <c r="J1227" t="n">
        <v>0</v>
      </c>
      <c r="K1227" t="n">
        <v>0</v>
      </c>
      <c r="L1227" t="n">
        <v>0</v>
      </c>
      <c r="M1227" t="n">
        <v>0</v>
      </c>
      <c r="N1227" t="n">
        <v>0</v>
      </c>
      <c r="O1227" t="n">
        <v>0</v>
      </c>
      <c r="P1227" t="n">
        <v>0</v>
      </c>
      <c r="Q1227" t="n">
        <v>0</v>
      </c>
      <c r="R1227" s="2" t="inlineStr"/>
    </row>
    <row r="1228" ht="15" customHeight="1">
      <c r="A1228" t="inlineStr">
        <is>
          <t>A 13530-2022</t>
        </is>
      </c>
      <c r="B1228" s="1" t="n">
        <v>44648</v>
      </c>
      <c r="C1228" s="1" t="n">
        <v>45641</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13693-2022</t>
        </is>
      </c>
      <c r="B1229" s="1" t="n">
        <v>44648</v>
      </c>
      <c r="C1229" s="1" t="n">
        <v>45641</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14088-2022</t>
        </is>
      </c>
      <c r="B1230" s="1" t="n">
        <v>44650</v>
      </c>
      <c r="C1230" s="1" t="n">
        <v>45641</v>
      </c>
      <c r="D1230" t="inlineStr">
        <is>
          <t>VÄSTERBOTTENS LÄN</t>
        </is>
      </c>
      <c r="E1230" t="inlineStr">
        <is>
          <t>SKELLEFTEÅ</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14096-2022</t>
        </is>
      </c>
      <c r="B1231" s="1" t="n">
        <v>44651</v>
      </c>
      <c r="C1231" s="1" t="n">
        <v>45641</v>
      </c>
      <c r="D1231" t="inlineStr">
        <is>
          <t>VÄSTERBOTTENS LÄN</t>
        </is>
      </c>
      <c r="E1231" t="inlineStr">
        <is>
          <t>SKELLEFTEÅ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14627-2022</t>
        </is>
      </c>
      <c r="B1232" s="1" t="n">
        <v>44655</v>
      </c>
      <c r="C1232" s="1" t="n">
        <v>45641</v>
      </c>
      <c r="D1232" t="inlineStr">
        <is>
          <t>VÄSTERBOTTENS LÄN</t>
        </is>
      </c>
      <c r="E1232" t="inlineStr">
        <is>
          <t>SKELLEFTEÅ</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14759-2022</t>
        </is>
      </c>
      <c r="B1233" s="1" t="n">
        <v>44656</v>
      </c>
      <c r="C1233" s="1" t="n">
        <v>45641</v>
      </c>
      <c r="D1233" t="inlineStr">
        <is>
          <t>VÄSTERBOTTENS LÄN</t>
        </is>
      </c>
      <c r="E1233" t="inlineStr">
        <is>
          <t>SKELLEFTEÅ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14756-2022</t>
        </is>
      </c>
      <c r="B1234" s="1" t="n">
        <v>44656</v>
      </c>
      <c r="C1234" s="1" t="n">
        <v>45641</v>
      </c>
      <c r="D1234" t="inlineStr">
        <is>
          <t>VÄSTERBOTTENS LÄN</t>
        </is>
      </c>
      <c r="E1234" t="inlineStr">
        <is>
          <t>SKELLEFTEÅ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14952-2022</t>
        </is>
      </c>
      <c r="B1235" s="1" t="n">
        <v>44657</v>
      </c>
      <c r="C1235" s="1" t="n">
        <v>45641</v>
      </c>
      <c r="D1235" t="inlineStr">
        <is>
          <t>VÄSTERBOTTENS LÄN</t>
        </is>
      </c>
      <c r="E1235" t="inlineStr">
        <is>
          <t>SKELLEFTEÅ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15441-2022</t>
        </is>
      </c>
      <c r="B1236" s="1" t="n">
        <v>44659</v>
      </c>
      <c r="C1236" s="1" t="n">
        <v>45641</v>
      </c>
      <c r="D1236" t="inlineStr">
        <is>
          <t>VÄSTERBOTTENS LÄN</t>
        </is>
      </c>
      <c r="E1236" t="inlineStr">
        <is>
          <t>SKELLEFTEÅ</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15740-2022</t>
        </is>
      </c>
      <c r="B1237" s="1" t="n">
        <v>44663</v>
      </c>
      <c r="C1237" s="1" t="n">
        <v>45641</v>
      </c>
      <c r="D1237" t="inlineStr">
        <is>
          <t>VÄSTERBOTTENS LÄN</t>
        </is>
      </c>
      <c r="E1237" t="inlineStr">
        <is>
          <t>SKELLEFTEÅ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16139-2022</t>
        </is>
      </c>
      <c r="B1238" s="1" t="n">
        <v>44665</v>
      </c>
      <c r="C1238" s="1" t="n">
        <v>45641</v>
      </c>
      <c r="D1238" t="inlineStr">
        <is>
          <t>VÄSTERBOTTENS LÄN</t>
        </is>
      </c>
      <c r="E1238" t="inlineStr">
        <is>
          <t>SKELLEFTEÅ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16198-2022</t>
        </is>
      </c>
      <c r="B1239" s="1" t="n">
        <v>44665</v>
      </c>
      <c r="C1239" s="1" t="n">
        <v>45641</v>
      </c>
      <c r="D1239" t="inlineStr">
        <is>
          <t>VÄSTERBOTTENS LÄN</t>
        </is>
      </c>
      <c r="E1239" t="inlineStr">
        <is>
          <t>SKELLEFTEÅ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16653-2022</t>
        </is>
      </c>
      <c r="B1240" s="1" t="n">
        <v>44672</v>
      </c>
      <c r="C1240" s="1" t="n">
        <v>45641</v>
      </c>
      <c r="D1240" t="inlineStr">
        <is>
          <t>VÄSTERBOTTENS LÄN</t>
        </is>
      </c>
      <c r="E1240" t="inlineStr">
        <is>
          <t>SKELLEFTEÅ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16802-2022</t>
        </is>
      </c>
      <c r="B1241" s="1" t="n">
        <v>44673</v>
      </c>
      <c r="C1241" s="1" t="n">
        <v>45641</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16837-2022</t>
        </is>
      </c>
      <c r="B1242" s="1" t="n">
        <v>44674</v>
      </c>
      <c r="C1242" s="1" t="n">
        <v>45641</v>
      </c>
      <c r="D1242" t="inlineStr">
        <is>
          <t>VÄSTERBOTTENS LÄN</t>
        </is>
      </c>
      <c r="E1242" t="inlineStr">
        <is>
          <t>SKELLEFTEÅ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16750-2022</t>
        </is>
      </c>
      <c r="B1243" s="1" t="n">
        <v>44673</v>
      </c>
      <c r="C1243" s="1" t="n">
        <v>45641</v>
      </c>
      <c r="D1243" t="inlineStr">
        <is>
          <t>VÄSTERBOTTENS LÄN</t>
        </is>
      </c>
      <c r="E1243" t="inlineStr">
        <is>
          <t>SKELLEFTEÅ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16842-2022</t>
        </is>
      </c>
      <c r="B1244" s="1" t="n">
        <v>44674</v>
      </c>
      <c r="C1244" s="1" t="n">
        <v>45641</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17197-2022</t>
        </is>
      </c>
      <c r="B1245" s="1" t="n">
        <v>44677</v>
      </c>
      <c r="C1245" s="1" t="n">
        <v>45641</v>
      </c>
      <c r="D1245" t="inlineStr">
        <is>
          <t>VÄSTERBOTTENS LÄN</t>
        </is>
      </c>
      <c r="E1245" t="inlineStr">
        <is>
          <t>SKELLEFTEÅ</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17257-2022</t>
        </is>
      </c>
      <c r="B1246" s="1" t="n">
        <v>44678</v>
      </c>
      <c r="C1246" s="1" t="n">
        <v>45641</v>
      </c>
      <c r="D1246" t="inlineStr">
        <is>
          <t>VÄSTERBOTTENS LÄN</t>
        </is>
      </c>
      <c r="E1246" t="inlineStr">
        <is>
          <t>SKELLEFTEÅ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17251-2022</t>
        </is>
      </c>
      <c r="B1247" s="1" t="n">
        <v>44678</v>
      </c>
      <c r="C1247" s="1" t="n">
        <v>45641</v>
      </c>
      <c r="D1247" t="inlineStr">
        <is>
          <t>VÄSTERBOTTENS LÄN</t>
        </is>
      </c>
      <c r="E1247" t="inlineStr">
        <is>
          <t>SKELLEFTEÅ</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18056-2022</t>
        </is>
      </c>
      <c r="B1248" s="1" t="n">
        <v>44684</v>
      </c>
      <c r="C1248" s="1" t="n">
        <v>45641</v>
      </c>
      <c r="D1248" t="inlineStr">
        <is>
          <t>VÄSTERBOTTENS LÄN</t>
        </is>
      </c>
      <c r="E1248" t="inlineStr">
        <is>
          <t>SKELLEFTEÅ</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18070-2022</t>
        </is>
      </c>
      <c r="B1249" s="1" t="n">
        <v>44684</v>
      </c>
      <c r="C1249" s="1" t="n">
        <v>45641</v>
      </c>
      <c r="D1249" t="inlineStr">
        <is>
          <t>VÄSTERBOTTENS LÄN</t>
        </is>
      </c>
      <c r="E1249" t="inlineStr">
        <is>
          <t>SKELLEFTEÅ</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18046-2022</t>
        </is>
      </c>
      <c r="B1250" s="1" t="n">
        <v>44684</v>
      </c>
      <c r="C1250" s="1" t="n">
        <v>45641</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18081-2022</t>
        </is>
      </c>
      <c r="B1251" s="1" t="n">
        <v>44684</v>
      </c>
      <c r="C1251" s="1" t="n">
        <v>45641</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18255-2022</t>
        </is>
      </c>
      <c r="B1252" s="1" t="n">
        <v>44685</v>
      </c>
      <c r="C1252" s="1" t="n">
        <v>45641</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18584-2022</t>
        </is>
      </c>
      <c r="B1253" s="1" t="n">
        <v>44687</v>
      </c>
      <c r="C1253" s="1" t="n">
        <v>45641</v>
      </c>
      <c r="D1253" t="inlineStr">
        <is>
          <t>VÄSTERBOTTENS LÄN</t>
        </is>
      </c>
      <c r="E1253" t="inlineStr">
        <is>
          <t>SKELLEFTEÅ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18661-2022</t>
        </is>
      </c>
      <c r="B1254" s="1" t="n">
        <v>44687</v>
      </c>
      <c r="C1254" s="1" t="n">
        <v>45641</v>
      </c>
      <c r="D1254" t="inlineStr">
        <is>
          <t>VÄSTERBOTTENS LÄN</t>
        </is>
      </c>
      <c r="E1254" t="inlineStr">
        <is>
          <t>SKELLEFTEÅ</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19804-2022</t>
        </is>
      </c>
      <c r="B1255" s="1" t="n">
        <v>44694</v>
      </c>
      <c r="C1255" s="1" t="n">
        <v>45641</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19805-2022</t>
        </is>
      </c>
      <c r="B1256" s="1" t="n">
        <v>44694</v>
      </c>
      <c r="C1256" s="1" t="n">
        <v>45641</v>
      </c>
      <c r="D1256" t="inlineStr">
        <is>
          <t>VÄSTERBOTTENS LÄN</t>
        </is>
      </c>
      <c r="E1256" t="inlineStr">
        <is>
          <t>SKELLEFTEÅ</t>
        </is>
      </c>
      <c r="F1256" t="inlineStr">
        <is>
          <t>SCA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19870-2022</t>
        </is>
      </c>
      <c r="B1257" s="1" t="n">
        <v>44694</v>
      </c>
      <c r="C1257" s="1" t="n">
        <v>45641</v>
      </c>
      <c r="D1257" t="inlineStr">
        <is>
          <t>VÄSTERBOTTENS LÄN</t>
        </is>
      </c>
      <c r="E1257" t="inlineStr">
        <is>
          <t>SKELLEFTEÅ</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20515-2022</t>
        </is>
      </c>
      <c r="B1258" s="1" t="n">
        <v>44699</v>
      </c>
      <c r="C1258" s="1" t="n">
        <v>45641</v>
      </c>
      <c r="D1258" t="inlineStr">
        <is>
          <t>VÄSTERBOTTENS LÄN</t>
        </is>
      </c>
      <c r="E1258" t="inlineStr">
        <is>
          <t>SKELLEFTEÅ</t>
        </is>
      </c>
      <c r="G1258" t="n">
        <v>21.5</v>
      </c>
      <c r="H1258" t="n">
        <v>0</v>
      </c>
      <c r="I1258" t="n">
        <v>0</v>
      </c>
      <c r="J1258" t="n">
        <v>0</v>
      </c>
      <c r="K1258" t="n">
        <v>0</v>
      </c>
      <c r="L1258" t="n">
        <v>0</v>
      </c>
      <c r="M1258" t="n">
        <v>0</v>
      </c>
      <c r="N1258" t="n">
        <v>0</v>
      </c>
      <c r="O1258" t="n">
        <v>0</v>
      </c>
      <c r="P1258" t="n">
        <v>0</v>
      </c>
      <c r="Q1258" t="n">
        <v>0</v>
      </c>
      <c r="R1258" s="2" t="inlineStr"/>
    </row>
    <row r="1259" ht="15" customHeight="1">
      <c r="A1259" t="inlineStr">
        <is>
          <t>A 20638-2022</t>
        </is>
      </c>
      <c r="B1259" s="1" t="n">
        <v>44700</v>
      </c>
      <c r="C1259" s="1" t="n">
        <v>45641</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20654-2022</t>
        </is>
      </c>
      <c r="B1260" s="1" t="n">
        <v>44700</v>
      </c>
      <c r="C1260" s="1" t="n">
        <v>45641</v>
      </c>
      <c r="D1260" t="inlineStr">
        <is>
          <t>VÄSTERBOTTENS LÄN</t>
        </is>
      </c>
      <c r="E1260" t="inlineStr">
        <is>
          <t>SKELLEFTEÅ</t>
        </is>
      </c>
      <c r="F1260" t="inlineStr">
        <is>
          <t>Holmen skog AB</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20610-2022</t>
        </is>
      </c>
      <c r="B1261" s="1" t="n">
        <v>44700</v>
      </c>
      <c r="C1261" s="1" t="n">
        <v>45641</v>
      </c>
      <c r="D1261" t="inlineStr">
        <is>
          <t>VÄSTERBOTTENS LÄN</t>
        </is>
      </c>
      <c r="E1261" t="inlineStr">
        <is>
          <t>SKELLEFTEÅ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21035-2022</t>
        </is>
      </c>
      <c r="B1262" s="1" t="n">
        <v>44704</v>
      </c>
      <c r="C1262" s="1" t="n">
        <v>45641</v>
      </c>
      <c r="D1262" t="inlineStr">
        <is>
          <t>VÄSTERBOTTENS LÄN</t>
        </is>
      </c>
      <c r="E1262" t="inlineStr">
        <is>
          <t>SKELLEFTEÅ</t>
        </is>
      </c>
      <c r="G1262" t="n">
        <v>26.9</v>
      </c>
      <c r="H1262" t="n">
        <v>0</v>
      </c>
      <c r="I1262" t="n">
        <v>0</v>
      </c>
      <c r="J1262" t="n">
        <v>0</v>
      </c>
      <c r="K1262" t="n">
        <v>0</v>
      </c>
      <c r="L1262" t="n">
        <v>0</v>
      </c>
      <c r="M1262" t="n">
        <v>0</v>
      </c>
      <c r="N1262" t="n">
        <v>0</v>
      </c>
      <c r="O1262" t="n">
        <v>0</v>
      </c>
      <c r="P1262" t="n">
        <v>0</v>
      </c>
      <c r="Q1262" t="n">
        <v>0</v>
      </c>
      <c r="R1262" s="2" t="inlineStr"/>
    </row>
    <row r="1263" ht="15" customHeight="1">
      <c r="A1263" t="inlineStr">
        <is>
          <t>A 21136-2022</t>
        </is>
      </c>
      <c r="B1263" s="1" t="n">
        <v>44704</v>
      </c>
      <c r="C1263" s="1" t="n">
        <v>45641</v>
      </c>
      <c r="D1263" t="inlineStr">
        <is>
          <t>VÄSTERBOTTENS LÄN</t>
        </is>
      </c>
      <c r="E1263" t="inlineStr">
        <is>
          <t>SKELLEFTEÅ</t>
        </is>
      </c>
      <c r="F1263" t="inlineStr">
        <is>
          <t>Holmen skog AB</t>
        </is>
      </c>
      <c r="G1263" t="n">
        <v>22.6</v>
      </c>
      <c r="H1263" t="n">
        <v>0</v>
      </c>
      <c r="I1263" t="n">
        <v>0</v>
      </c>
      <c r="J1263" t="n">
        <v>0</v>
      </c>
      <c r="K1263" t="n">
        <v>0</v>
      </c>
      <c r="L1263" t="n">
        <v>0</v>
      </c>
      <c r="M1263" t="n">
        <v>0</v>
      </c>
      <c r="N1263" t="n">
        <v>0</v>
      </c>
      <c r="O1263" t="n">
        <v>0</v>
      </c>
      <c r="P1263" t="n">
        <v>0</v>
      </c>
      <c r="Q1263" t="n">
        <v>0</v>
      </c>
      <c r="R1263" s="2" t="inlineStr"/>
    </row>
    <row r="1264" ht="15" customHeight="1">
      <c r="A1264" t="inlineStr">
        <is>
          <t>A 21395-2022</t>
        </is>
      </c>
      <c r="B1264" s="1" t="n">
        <v>44706</v>
      </c>
      <c r="C1264" s="1" t="n">
        <v>45641</v>
      </c>
      <c r="D1264" t="inlineStr">
        <is>
          <t>VÄSTERBOTTENS LÄN</t>
        </is>
      </c>
      <c r="E1264" t="inlineStr">
        <is>
          <t>SKELLEFTEÅ</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21539-2022</t>
        </is>
      </c>
      <c r="B1265" s="1" t="n">
        <v>44706</v>
      </c>
      <c r="C1265" s="1" t="n">
        <v>45641</v>
      </c>
      <c r="D1265" t="inlineStr">
        <is>
          <t>VÄSTERBOTTENS LÄN</t>
        </is>
      </c>
      <c r="E1265" t="inlineStr">
        <is>
          <t>SKELLEFTEÅ</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21843-2022</t>
        </is>
      </c>
      <c r="B1266" s="1" t="n">
        <v>44711</v>
      </c>
      <c r="C1266" s="1" t="n">
        <v>45641</v>
      </c>
      <c r="D1266" t="inlineStr">
        <is>
          <t>VÄSTERBOTTENS LÄN</t>
        </is>
      </c>
      <c r="E1266" t="inlineStr">
        <is>
          <t>SKELLEFTEÅ</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21882-2022</t>
        </is>
      </c>
      <c r="B1267" s="1" t="n">
        <v>44711</v>
      </c>
      <c r="C1267" s="1" t="n">
        <v>45641</v>
      </c>
      <c r="D1267" t="inlineStr">
        <is>
          <t>VÄSTERBOTTENS LÄN</t>
        </is>
      </c>
      <c r="E1267" t="inlineStr">
        <is>
          <t>SKELLEFTEÅ</t>
        </is>
      </c>
      <c r="F1267" t="inlineStr">
        <is>
          <t>Holmen skog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21883-2022</t>
        </is>
      </c>
      <c r="B1268" s="1" t="n">
        <v>44711</v>
      </c>
      <c r="C1268" s="1" t="n">
        <v>45641</v>
      </c>
      <c r="D1268" t="inlineStr">
        <is>
          <t>VÄSTERBOTTENS LÄN</t>
        </is>
      </c>
      <c r="E1268" t="inlineStr">
        <is>
          <t>SKELLEFTEÅ</t>
        </is>
      </c>
      <c r="F1268" t="inlineStr">
        <is>
          <t>Holmen skog AB</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21842-2022</t>
        </is>
      </c>
      <c r="B1269" s="1" t="n">
        <v>44711</v>
      </c>
      <c r="C1269" s="1" t="n">
        <v>45641</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21996-2022</t>
        </is>
      </c>
      <c r="B1270" s="1" t="n">
        <v>44711</v>
      </c>
      <c r="C1270" s="1" t="n">
        <v>45641</v>
      </c>
      <c r="D1270" t="inlineStr">
        <is>
          <t>VÄSTERBOTTENS LÄN</t>
        </is>
      </c>
      <c r="E1270" t="inlineStr">
        <is>
          <t>SKELLEFTEÅ</t>
        </is>
      </c>
      <c r="F1270" t="inlineStr">
        <is>
          <t>Holmen skog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22373-2022</t>
        </is>
      </c>
      <c r="B1271" s="1" t="n">
        <v>44713</v>
      </c>
      <c r="C1271" s="1" t="n">
        <v>45641</v>
      </c>
      <c r="D1271" t="inlineStr">
        <is>
          <t>VÄSTERBOTTENS LÄN</t>
        </is>
      </c>
      <c r="E1271" t="inlineStr">
        <is>
          <t>SKELLEFTEÅ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22364-2022</t>
        </is>
      </c>
      <c r="B1272" s="1" t="n">
        <v>44713</v>
      </c>
      <c r="C1272" s="1" t="n">
        <v>45641</v>
      </c>
      <c r="D1272" t="inlineStr">
        <is>
          <t>VÄSTERBOTTENS LÄN</t>
        </is>
      </c>
      <c r="E1272" t="inlineStr">
        <is>
          <t>SKELLEFTEÅ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22661-2022</t>
        </is>
      </c>
      <c r="B1273" s="1" t="n">
        <v>44714</v>
      </c>
      <c r="C1273" s="1" t="n">
        <v>45641</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22618-2022</t>
        </is>
      </c>
      <c r="B1274" s="1" t="n">
        <v>44714</v>
      </c>
      <c r="C1274" s="1" t="n">
        <v>45641</v>
      </c>
      <c r="D1274" t="inlineStr">
        <is>
          <t>VÄSTERBOTTENS LÄN</t>
        </is>
      </c>
      <c r="E1274" t="inlineStr">
        <is>
          <t>SKELLEFTEÅ</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22758-2022</t>
        </is>
      </c>
      <c r="B1275" s="1" t="n">
        <v>44714</v>
      </c>
      <c r="C1275" s="1" t="n">
        <v>45641</v>
      </c>
      <c r="D1275" t="inlineStr">
        <is>
          <t>VÄSTERBOTTENS LÄN</t>
        </is>
      </c>
      <c r="E1275" t="inlineStr">
        <is>
          <t>SKELLEFTEÅ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22760-2022</t>
        </is>
      </c>
      <c r="B1276" s="1" t="n">
        <v>44714</v>
      </c>
      <c r="C1276" s="1" t="n">
        <v>45641</v>
      </c>
      <c r="D1276" t="inlineStr">
        <is>
          <t>VÄSTERBOTTENS LÄN</t>
        </is>
      </c>
      <c r="E1276" t="inlineStr">
        <is>
          <t>SKELLEFTEÅ</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22822-2022</t>
        </is>
      </c>
      <c r="B1277" s="1" t="n">
        <v>44714</v>
      </c>
      <c r="C1277" s="1" t="n">
        <v>45641</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22763-2022</t>
        </is>
      </c>
      <c r="B1278" s="1" t="n">
        <v>44715</v>
      </c>
      <c r="C1278" s="1" t="n">
        <v>45641</v>
      </c>
      <c r="D1278" t="inlineStr">
        <is>
          <t>VÄSTERBOTTENS LÄN</t>
        </is>
      </c>
      <c r="E1278" t="inlineStr">
        <is>
          <t>SKELLEFTEÅ</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22828-2022</t>
        </is>
      </c>
      <c r="B1279" s="1" t="n">
        <v>44714</v>
      </c>
      <c r="C1279" s="1" t="n">
        <v>45641</v>
      </c>
      <c r="D1279" t="inlineStr">
        <is>
          <t>VÄSTERBOTTENS LÄN</t>
        </is>
      </c>
      <c r="E1279" t="inlineStr">
        <is>
          <t>SKELLEFTEÅ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22896-2022</t>
        </is>
      </c>
      <c r="B1280" s="1" t="n">
        <v>44715</v>
      </c>
      <c r="C1280" s="1" t="n">
        <v>45641</v>
      </c>
      <c r="D1280" t="inlineStr">
        <is>
          <t>VÄSTERBOTTENS LÄN</t>
        </is>
      </c>
      <c r="E1280" t="inlineStr">
        <is>
          <t>SKELLEFTEÅ</t>
        </is>
      </c>
      <c r="F1280" t="inlineStr">
        <is>
          <t>Holmen skog AB</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23042-2022</t>
        </is>
      </c>
      <c r="B1281" s="1" t="n">
        <v>44719</v>
      </c>
      <c r="C1281" s="1" t="n">
        <v>45641</v>
      </c>
      <c r="D1281" t="inlineStr">
        <is>
          <t>VÄSTERBOTTENS LÄN</t>
        </is>
      </c>
      <c r="E1281" t="inlineStr">
        <is>
          <t>SKELLEFTEÅ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23046-2022</t>
        </is>
      </c>
      <c r="B1282" s="1" t="n">
        <v>44719</v>
      </c>
      <c r="C1282" s="1" t="n">
        <v>45641</v>
      </c>
      <c r="D1282" t="inlineStr">
        <is>
          <t>VÄSTERBOTTENS LÄN</t>
        </is>
      </c>
      <c r="E1282" t="inlineStr">
        <is>
          <t>SKELLEFTEÅ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23513-2022</t>
        </is>
      </c>
      <c r="B1283" s="1" t="n">
        <v>44721</v>
      </c>
      <c r="C1283" s="1" t="n">
        <v>45641</v>
      </c>
      <c r="D1283" t="inlineStr">
        <is>
          <t>VÄSTERBOTTENS LÄN</t>
        </is>
      </c>
      <c r="E1283" t="inlineStr">
        <is>
          <t>SKELLEFTEÅ</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23715-2022</t>
        </is>
      </c>
      <c r="B1284" s="1" t="n">
        <v>44721</v>
      </c>
      <c r="C1284" s="1" t="n">
        <v>45641</v>
      </c>
      <c r="D1284" t="inlineStr">
        <is>
          <t>VÄSTERBOTTENS LÄN</t>
        </is>
      </c>
      <c r="E1284" t="inlineStr">
        <is>
          <t>SKELLEFTEÅ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23729-2022</t>
        </is>
      </c>
      <c r="B1285" s="1" t="n">
        <v>44722</v>
      </c>
      <c r="C1285" s="1" t="n">
        <v>45641</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24238-2022</t>
        </is>
      </c>
      <c r="B1286" s="1" t="n">
        <v>44725</v>
      </c>
      <c r="C1286" s="1" t="n">
        <v>45641</v>
      </c>
      <c r="D1286" t="inlineStr">
        <is>
          <t>VÄSTERBOTTENS LÄN</t>
        </is>
      </c>
      <c r="E1286" t="inlineStr">
        <is>
          <t>SKELLEFTEÅ</t>
        </is>
      </c>
      <c r="F1286" t="inlineStr">
        <is>
          <t>Övriga Aktiebolag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24323-2022</t>
        </is>
      </c>
      <c r="B1287" s="1" t="n">
        <v>44725</v>
      </c>
      <c r="C1287" s="1" t="n">
        <v>45641</v>
      </c>
      <c r="D1287" t="inlineStr">
        <is>
          <t>VÄSTERBOTTENS LÄN</t>
        </is>
      </c>
      <c r="E1287" t="inlineStr">
        <is>
          <t>SKELLEFTEÅ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24242-2022</t>
        </is>
      </c>
      <c r="B1288" s="1" t="n">
        <v>44725</v>
      </c>
      <c r="C1288" s="1" t="n">
        <v>45641</v>
      </c>
      <c r="D1288" t="inlineStr">
        <is>
          <t>VÄSTERBOTTENS LÄN</t>
        </is>
      </c>
      <c r="E1288" t="inlineStr">
        <is>
          <t>SKELLEFTEÅ</t>
        </is>
      </c>
      <c r="F1288" t="inlineStr">
        <is>
          <t>Övriga Aktiebolag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24505-2022</t>
        </is>
      </c>
      <c r="B1289" s="1" t="n">
        <v>44727</v>
      </c>
      <c r="C1289" s="1" t="n">
        <v>45641</v>
      </c>
      <c r="D1289" t="inlineStr">
        <is>
          <t>VÄSTERBOTTENS LÄN</t>
        </is>
      </c>
      <c r="E1289" t="inlineStr">
        <is>
          <t>SKELLEFTEÅ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24577-2022</t>
        </is>
      </c>
      <c r="B1290" s="1" t="n">
        <v>44727</v>
      </c>
      <c r="C1290" s="1" t="n">
        <v>45641</v>
      </c>
      <c r="D1290" t="inlineStr">
        <is>
          <t>VÄSTERBOTTENS LÄN</t>
        </is>
      </c>
      <c r="E1290" t="inlineStr">
        <is>
          <t>SKELLEFTEÅ</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24583-2022</t>
        </is>
      </c>
      <c r="B1291" s="1" t="n">
        <v>44727</v>
      </c>
      <c r="C1291" s="1" t="n">
        <v>45641</v>
      </c>
      <c r="D1291" t="inlineStr">
        <is>
          <t>VÄSTERBOTTENS LÄN</t>
        </is>
      </c>
      <c r="E1291" t="inlineStr">
        <is>
          <t>SKELLEFTEÅ</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24663-2022</t>
        </is>
      </c>
      <c r="B1292" s="1" t="n">
        <v>44728</v>
      </c>
      <c r="C1292" s="1" t="n">
        <v>45641</v>
      </c>
      <c r="D1292" t="inlineStr">
        <is>
          <t>VÄSTERBOTTENS LÄN</t>
        </is>
      </c>
      <c r="E1292" t="inlineStr">
        <is>
          <t>SKELLEFTEÅ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24832-2022</t>
        </is>
      </c>
      <c r="B1293" s="1" t="n">
        <v>44728</v>
      </c>
      <c r="C1293" s="1" t="n">
        <v>45641</v>
      </c>
      <c r="D1293" t="inlineStr">
        <is>
          <t>VÄSTERBOTTENS LÄN</t>
        </is>
      </c>
      <c r="E1293" t="inlineStr">
        <is>
          <t>SKELLEFTEÅ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24899-2022</t>
        </is>
      </c>
      <c r="B1294" s="1" t="n">
        <v>44728</v>
      </c>
      <c r="C1294" s="1" t="n">
        <v>45641</v>
      </c>
      <c r="D1294" t="inlineStr">
        <is>
          <t>VÄSTERBOTTENS LÄN</t>
        </is>
      </c>
      <c r="E1294" t="inlineStr">
        <is>
          <t>SKELLEFTEÅ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24941-2022</t>
        </is>
      </c>
      <c r="B1295" s="1" t="n">
        <v>44728</v>
      </c>
      <c r="C1295" s="1" t="n">
        <v>45641</v>
      </c>
      <c r="D1295" t="inlineStr">
        <is>
          <t>VÄSTERBOTTENS LÄN</t>
        </is>
      </c>
      <c r="E1295" t="inlineStr">
        <is>
          <t>SKELLEFTEÅ</t>
        </is>
      </c>
      <c r="F1295" t="inlineStr">
        <is>
          <t>Holmen skog AB</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25009-2022</t>
        </is>
      </c>
      <c r="B1296" s="1" t="n">
        <v>44729</v>
      </c>
      <c r="C1296" s="1" t="n">
        <v>45641</v>
      </c>
      <c r="D1296" t="inlineStr">
        <is>
          <t>VÄSTERBOTTENS LÄN</t>
        </is>
      </c>
      <c r="E1296" t="inlineStr">
        <is>
          <t>SKELLEFTEÅ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25182-2022</t>
        </is>
      </c>
      <c r="B1297" s="1" t="n">
        <v>44729</v>
      </c>
      <c r="C1297" s="1" t="n">
        <v>45641</v>
      </c>
      <c r="D1297" t="inlineStr">
        <is>
          <t>VÄSTERBOTTENS LÄN</t>
        </is>
      </c>
      <c r="E1297" t="inlineStr">
        <is>
          <t>SKELLEFTEÅ</t>
        </is>
      </c>
      <c r="F1297" t="inlineStr">
        <is>
          <t>Holmen skog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25207-2022</t>
        </is>
      </c>
      <c r="B1298" s="1" t="n">
        <v>44729</v>
      </c>
      <c r="C1298" s="1" t="n">
        <v>45641</v>
      </c>
      <c r="D1298" t="inlineStr">
        <is>
          <t>VÄSTERBOTTENS LÄN</t>
        </is>
      </c>
      <c r="E1298" t="inlineStr">
        <is>
          <t>SKELLEFTEÅ</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25336-2022</t>
        </is>
      </c>
      <c r="B1299" s="1" t="n">
        <v>44732</v>
      </c>
      <c r="C1299" s="1" t="n">
        <v>45641</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25404-2022</t>
        </is>
      </c>
      <c r="B1300" s="1" t="n">
        <v>44732</v>
      </c>
      <c r="C1300" s="1" t="n">
        <v>45641</v>
      </c>
      <c r="D1300" t="inlineStr">
        <is>
          <t>VÄSTERBOTTENS LÄN</t>
        </is>
      </c>
      <c r="E1300" t="inlineStr">
        <is>
          <t>SKELLEFTEÅ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25568-2022</t>
        </is>
      </c>
      <c r="B1301" s="1" t="n">
        <v>44732</v>
      </c>
      <c r="C1301" s="1" t="n">
        <v>45641</v>
      </c>
      <c r="D1301" t="inlineStr">
        <is>
          <t>VÄSTERBOTTENS LÄN</t>
        </is>
      </c>
      <c r="E1301" t="inlineStr">
        <is>
          <t>SKELLEFTEÅ</t>
        </is>
      </c>
      <c r="F1301" t="inlineStr">
        <is>
          <t>Holmen skog AB</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25596-2022</t>
        </is>
      </c>
      <c r="B1302" s="1" t="n">
        <v>44732</v>
      </c>
      <c r="C1302" s="1" t="n">
        <v>45641</v>
      </c>
      <c r="D1302" t="inlineStr">
        <is>
          <t>VÄSTERBOTTENS LÄN</t>
        </is>
      </c>
      <c r="E1302" t="inlineStr">
        <is>
          <t>SKELLEFTEÅ</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25674-2022</t>
        </is>
      </c>
      <c r="B1303" s="1" t="n">
        <v>44732</v>
      </c>
      <c r="C1303" s="1" t="n">
        <v>45641</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26031-2022</t>
        </is>
      </c>
      <c r="B1304" s="1" t="n">
        <v>44734</v>
      </c>
      <c r="C1304" s="1" t="n">
        <v>45641</v>
      </c>
      <c r="D1304" t="inlineStr">
        <is>
          <t>VÄSTERBOTTENS LÄN</t>
        </is>
      </c>
      <c r="E1304" t="inlineStr">
        <is>
          <t>SKELLEFTEÅ</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26203-2022</t>
        </is>
      </c>
      <c r="B1305" s="1" t="n">
        <v>44735</v>
      </c>
      <c r="C1305" s="1" t="n">
        <v>45641</v>
      </c>
      <c r="D1305" t="inlineStr">
        <is>
          <t>VÄSTERBOTTENS LÄN</t>
        </is>
      </c>
      <c r="E1305" t="inlineStr">
        <is>
          <t>SKELLEFTEÅ</t>
        </is>
      </c>
      <c r="F1305" t="inlineStr">
        <is>
          <t>Kommuner</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26166-2022</t>
        </is>
      </c>
      <c r="B1306" s="1" t="n">
        <v>44735</v>
      </c>
      <c r="C1306" s="1" t="n">
        <v>45641</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26545-2022</t>
        </is>
      </c>
      <c r="B1307" s="1" t="n">
        <v>44739</v>
      </c>
      <c r="C1307" s="1" t="n">
        <v>45641</v>
      </c>
      <c r="D1307" t="inlineStr">
        <is>
          <t>VÄSTERBOTTENS LÄN</t>
        </is>
      </c>
      <c r="E1307" t="inlineStr">
        <is>
          <t>SKELLEFTEÅ</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26483-2022</t>
        </is>
      </c>
      <c r="B1308" s="1" t="n">
        <v>44739</v>
      </c>
      <c r="C1308" s="1" t="n">
        <v>45641</v>
      </c>
      <c r="D1308" t="inlineStr">
        <is>
          <t>VÄSTERBOTTENS LÄN</t>
        </is>
      </c>
      <c r="E1308" t="inlineStr">
        <is>
          <t>SKELLEFTEÅ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26798-2022</t>
        </is>
      </c>
      <c r="B1309" s="1" t="n">
        <v>44740</v>
      </c>
      <c r="C1309" s="1" t="n">
        <v>45641</v>
      </c>
      <c r="D1309" t="inlineStr">
        <is>
          <t>VÄSTERBOTTENS LÄN</t>
        </is>
      </c>
      <c r="E1309" t="inlineStr">
        <is>
          <t>SKELLEFTEÅ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26807-2022</t>
        </is>
      </c>
      <c r="B1310" s="1" t="n">
        <v>44740</v>
      </c>
      <c r="C1310" s="1" t="n">
        <v>45641</v>
      </c>
      <c r="D1310" t="inlineStr">
        <is>
          <t>VÄSTERBOTTENS LÄN</t>
        </is>
      </c>
      <c r="E1310" t="inlineStr">
        <is>
          <t>SKELLEFTEÅ</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26803-2022</t>
        </is>
      </c>
      <c r="B1311" s="1" t="n">
        <v>44740</v>
      </c>
      <c r="C1311" s="1" t="n">
        <v>45641</v>
      </c>
      <c r="D1311" t="inlineStr">
        <is>
          <t>VÄSTERBOTTENS LÄN</t>
        </is>
      </c>
      <c r="E1311" t="inlineStr">
        <is>
          <t>SKELLEFTEÅ</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26881-2022</t>
        </is>
      </c>
      <c r="B1312" s="1" t="n">
        <v>44740</v>
      </c>
      <c r="C1312" s="1" t="n">
        <v>45641</v>
      </c>
      <c r="D1312" t="inlineStr">
        <is>
          <t>VÄSTERBOTTENS LÄN</t>
        </is>
      </c>
      <c r="E1312" t="inlineStr">
        <is>
          <t>SKELLEFTEÅ</t>
        </is>
      </c>
      <c r="F1312" t="inlineStr">
        <is>
          <t>Holmen skog AB</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26999-2022</t>
        </is>
      </c>
      <c r="B1313" s="1" t="n">
        <v>44740</v>
      </c>
      <c r="C1313" s="1" t="n">
        <v>45641</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27003-2022</t>
        </is>
      </c>
      <c r="B1314" s="1" t="n">
        <v>44741</v>
      </c>
      <c r="C1314" s="1" t="n">
        <v>45641</v>
      </c>
      <c r="D1314" t="inlineStr">
        <is>
          <t>VÄSTERBOTTENS LÄN</t>
        </is>
      </c>
      <c r="E1314" t="inlineStr">
        <is>
          <t>SKELLEFTEÅ</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27028-2022</t>
        </is>
      </c>
      <c r="B1315" s="1" t="n">
        <v>44740</v>
      </c>
      <c r="C1315" s="1" t="n">
        <v>45641</v>
      </c>
      <c r="D1315" t="inlineStr">
        <is>
          <t>VÄSTERBOTTENS LÄN</t>
        </is>
      </c>
      <c r="E1315" t="inlineStr">
        <is>
          <t>SKELLEFTEÅ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27002-2022</t>
        </is>
      </c>
      <c r="B1316" s="1" t="n">
        <v>44740</v>
      </c>
      <c r="C1316" s="1" t="n">
        <v>45641</v>
      </c>
      <c r="D1316" t="inlineStr">
        <is>
          <t>VÄSTERBOTTENS LÄN</t>
        </is>
      </c>
      <c r="E1316" t="inlineStr">
        <is>
          <t>SKELLEFTEÅ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27265-2022</t>
        </is>
      </c>
      <c r="B1317" s="1" t="n">
        <v>44741</v>
      </c>
      <c r="C1317" s="1" t="n">
        <v>45641</v>
      </c>
      <c r="D1317" t="inlineStr">
        <is>
          <t>VÄSTERBOTTENS LÄN</t>
        </is>
      </c>
      <c r="E1317" t="inlineStr">
        <is>
          <t>SKELLEFTEÅ</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27555-2022</t>
        </is>
      </c>
      <c r="B1318" s="1" t="n">
        <v>44743</v>
      </c>
      <c r="C1318" s="1" t="n">
        <v>45641</v>
      </c>
      <c r="D1318" t="inlineStr">
        <is>
          <t>VÄSTERBOTTENS LÄN</t>
        </is>
      </c>
      <c r="E1318" t="inlineStr">
        <is>
          <t>SKELLEFTEÅ</t>
        </is>
      </c>
      <c r="F1318" t="inlineStr">
        <is>
          <t>Kommuner</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27560-2022</t>
        </is>
      </c>
      <c r="B1319" s="1" t="n">
        <v>44743</v>
      </c>
      <c r="C1319" s="1" t="n">
        <v>45641</v>
      </c>
      <c r="D1319" t="inlineStr">
        <is>
          <t>VÄSTERBOTTENS LÄN</t>
        </is>
      </c>
      <c r="E1319" t="inlineStr">
        <is>
          <t>SKELLEFTEÅ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27817-2022</t>
        </is>
      </c>
      <c r="B1320" s="1" t="n">
        <v>44743</v>
      </c>
      <c r="C1320" s="1" t="n">
        <v>45641</v>
      </c>
      <c r="D1320" t="inlineStr">
        <is>
          <t>VÄSTERBOTTENS LÄN</t>
        </is>
      </c>
      <c r="E1320" t="inlineStr">
        <is>
          <t>SKELLEFTEÅ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27637-2022</t>
        </is>
      </c>
      <c r="B1321" s="1" t="n">
        <v>44743</v>
      </c>
      <c r="C1321" s="1" t="n">
        <v>45641</v>
      </c>
      <c r="D1321" t="inlineStr">
        <is>
          <t>VÄSTERBOTTENS LÄN</t>
        </is>
      </c>
      <c r="E1321" t="inlineStr">
        <is>
          <t>SKELLEFTEÅ</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27672-2022</t>
        </is>
      </c>
      <c r="B1322" s="1" t="n">
        <v>44743</v>
      </c>
      <c r="C1322" s="1" t="n">
        <v>45641</v>
      </c>
      <c r="D1322" t="inlineStr">
        <is>
          <t>VÄSTERBOTTENS LÄN</t>
        </is>
      </c>
      <c r="E1322" t="inlineStr">
        <is>
          <t>SKELLEFTEÅ</t>
        </is>
      </c>
      <c r="G1322" t="n">
        <v>9.800000000000001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27631-2022</t>
        </is>
      </c>
      <c r="B1323" s="1" t="n">
        <v>44743</v>
      </c>
      <c r="C1323" s="1" t="n">
        <v>45641</v>
      </c>
      <c r="D1323" t="inlineStr">
        <is>
          <t>VÄSTERBOTTENS LÄN</t>
        </is>
      </c>
      <c r="E1323" t="inlineStr">
        <is>
          <t>SKELLEFTEÅ</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27636-2022</t>
        </is>
      </c>
      <c r="B1324" s="1" t="n">
        <v>44743</v>
      </c>
      <c r="C1324" s="1" t="n">
        <v>45641</v>
      </c>
      <c r="D1324" t="inlineStr">
        <is>
          <t>VÄSTERBOTTENS LÄN</t>
        </is>
      </c>
      <c r="E1324" t="inlineStr">
        <is>
          <t>SKELLEFTEÅ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27907-2022</t>
        </is>
      </c>
      <c r="B1325" s="1" t="n">
        <v>44743</v>
      </c>
      <c r="C1325" s="1" t="n">
        <v>45641</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27901-2022</t>
        </is>
      </c>
      <c r="B1326" s="1" t="n">
        <v>44743</v>
      </c>
      <c r="C1326" s="1" t="n">
        <v>45641</v>
      </c>
      <c r="D1326" t="inlineStr">
        <is>
          <t>VÄSTERBOTTENS LÄN</t>
        </is>
      </c>
      <c r="E1326" t="inlineStr">
        <is>
          <t>SKELLEFTEÅ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28352-2022</t>
        </is>
      </c>
      <c r="B1327" s="1" t="n">
        <v>44747</v>
      </c>
      <c r="C1327" s="1" t="n">
        <v>45641</v>
      </c>
      <c r="D1327" t="inlineStr">
        <is>
          <t>VÄSTERBOTTENS LÄN</t>
        </is>
      </c>
      <c r="E1327" t="inlineStr">
        <is>
          <t>SKELLEFTEÅ</t>
        </is>
      </c>
      <c r="F1327" t="inlineStr">
        <is>
          <t>Holmen skog AB</t>
        </is>
      </c>
      <c r="G1327" t="n">
        <v>21.1</v>
      </c>
      <c r="H1327" t="n">
        <v>0</v>
      </c>
      <c r="I1327" t="n">
        <v>0</v>
      </c>
      <c r="J1327" t="n">
        <v>0</v>
      </c>
      <c r="K1327" t="n">
        <v>0</v>
      </c>
      <c r="L1327" t="n">
        <v>0</v>
      </c>
      <c r="M1327" t="n">
        <v>0</v>
      </c>
      <c r="N1327" t="n">
        <v>0</v>
      </c>
      <c r="O1327" t="n">
        <v>0</v>
      </c>
      <c r="P1327" t="n">
        <v>0</v>
      </c>
      <c r="Q1327" t="n">
        <v>0</v>
      </c>
      <c r="R1327" s="2" t="inlineStr"/>
    </row>
    <row r="1328" ht="15" customHeight="1">
      <c r="A1328" t="inlineStr">
        <is>
          <t>A 29085-2022</t>
        </is>
      </c>
      <c r="B1328" s="1" t="n">
        <v>44749</v>
      </c>
      <c r="C1328" s="1" t="n">
        <v>45641</v>
      </c>
      <c r="D1328" t="inlineStr">
        <is>
          <t>VÄSTERBOTTENS LÄN</t>
        </is>
      </c>
      <c r="E1328" t="inlineStr">
        <is>
          <t>SKELLEFTEÅ</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29030-2022</t>
        </is>
      </c>
      <c r="B1329" s="1" t="n">
        <v>44749</v>
      </c>
      <c r="C1329" s="1" t="n">
        <v>45641</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29028-2022</t>
        </is>
      </c>
      <c r="B1330" s="1" t="n">
        <v>44749</v>
      </c>
      <c r="C1330" s="1" t="n">
        <v>45641</v>
      </c>
      <c r="D1330" t="inlineStr">
        <is>
          <t>VÄSTERBOTTENS LÄN</t>
        </is>
      </c>
      <c r="E1330" t="inlineStr">
        <is>
          <t>SKELLEFTEÅ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29029-2022</t>
        </is>
      </c>
      <c r="B1331" s="1" t="n">
        <v>44749</v>
      </c>
      <c r="C1331" s="1" t="n">
        <v>45641</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29092-2022</t>
        </is>
      </c>
      <c r="B1332" s="1" t="n">
        <v>44750</v>
      </c>
      <c r="C1332" s="1" t="n">
        <v>45641</v>
      </c>
      <c r="D1332" t="inlineStr">
        <is>
          <t>VÄSTERBOTTENS LÄN</t>
        </is>
      </c>
      <c r="E1332" t="inlineStr">
        <is>
          <t>SKELLEFTEÅ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29164-2022</t>
        </is>
      </c>
      <c r="B1333" s="1" t="n">
        <v>44750</v>
      </c>
      <c r="C1333" s="1" t="n">
        <v>45641</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29161-2022</t>
        </is>
      </c>
      <c r="B1334" s="1" t="n">
        <v>44750</v>
      </c>
      <c r="C1334" s="1" t="n">
        <v>45641</v>
      </c>
      <c r="D1334" t="inlineStr">
        <is>
          <t>VÄSTERBOTTENS LÄN</t>
        </is>
      </c>
      <c r="E1334" t="inlineStr">
        <is>
          <t>SKELLEFTEÅ</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29802-2022</t>
        </is>
      </c>
      <c r="B1335" s="1" t="n">
        <v>44755</v>
      </c>
      <c r="C1335" s="1" t="n">
        <v>45641</v>
      </c>
      <c r="D1335" t="inlineStr">
        <is>
          <t>VÄSTERBOTTENS LÄN</t>
        </is>
      </c>
      <c r="E1335" t="inlineStr">
        <is>
          <t>SKELLEFTEÅ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30184-2022</t>
        </is>
      </c>
      <c r="B1336" s="1" t="n">
        <v>44757</v>
      </c>
      <c r="C1336" s="1" t="n">
        <v>45641</v>
      </c>
      <c r="D1336" t="inlineStr">
        <is>
          <t>VÄSTERBOTTENS LÄN</t>
        </is>
      </c>
      <c r="E1336" t="inlineStr">
        <is>
          <t>SKELLEFTEÅ</t>
        </is>
      </c>
      <c r="F1336" t="inlineStr">
        <is>
          <t>Holmen skog AB</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30278-2022</t>
        </is>
      </c>
      <c r="B1337" s="1" t="n">
        <v>44759</v>
      </c>
      <c r="C1337" s="1" t="n">
        <v>45641</v>
      </c>
      <c r="D1337" t="inlineStr">
        <is>
          <t>VÄSTERBOTTENS LÄN</t>
        </is>
      </c>
      <c r="E1337" t="inlineStr">
        <is>
          <t>SKELLEFTEÅ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30905-2022</t>
        </is>
      </c>
      <c r="B1338" s="1" t="n">
        <v>44767</v>
      </c>
      <c r="C1338" s="1" t="n">
        <v>45641</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31124-2022</t>
        </is>
      </c>
      <c r="B1339" s="1" t="n">
        <v>44770</v>
      </c>
      <c r="C1339" s="1" t="n">
        <v>45641</v>
      </c>
      <c r="D1339" t="inlineStr">
        <is>
          <t>VÄSTERBOTTENS LÄN</t>
        </is>
      </c>
      <c r="E1339" t="inlineStr">
        <is>
          <t>SKELLEFTEÅ</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31234-2022</t>
        </is>
      </c>
      <c r="B1340" s="1" t="n">
        <v>44771</v>
      </c>
      <c r="C1340" s="1" t="n">
        <v>45641</v>
      </c>
      <c r="D1340" t="inlineStr">
        <is>
          <t>VÄSTERBOTTENS LÄN</t>
        </is>
      </c>
      <c r="E1340" t="inlineStr">
        <is>
          <t>SKELLEFTEÅ</t>
        </is>
      </c>
      <c r="F1340" t="inlineStr">
        <is>
          <t>Holmen skog AB</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31955-2022</t>
        </is>
      </c>
      <c r="B1341" s="1" t="n">
        <v>44778</v>
      </c>
      <c r="C1341" s="1" t="n">
        <v>45641</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31960-2022</t>
        </is>
      </c>
      <c r="B1342" s="1" t="n">
        <v>44778</v>
      </c>
      <c r="C1342" s="1" t="n">
        <v>45641</v>
      </c>
      <c r="D1342" t="inlineStr">
        <is>
          <t>VÄSTERBOTTENS LÄN</t>
        </is>
      </c>
      <c r="E1342" t="inlineStr">
        <is>
          <t>SKELLEFTEÅ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31954-2022</t>
        </is>
      </c>
      <c r="B1343" s="1" t="n">
        <v>44778</v>
      </c>
      <c r="C1343" s="1" t="n">
        <v>45641</v>
      </c>
      <c r="D1343" t="inlineStr">
        <is>
          <t>VÄSTERBOTTENS LÄN</t>
        </is>
      </c>
      <c r="E1343" t="inlineStr">
        <is>
          <t>SKELLEFTEÅ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32173-2022</t>
        </is>
      </c>
      <c r="B1344" s="1" t="n">
        <v>44781</v>
      </c>
      <c r="C1344" s="1" t="n">
        <v>45641</v>
      </c>
      <c r="D1344" t="inlineStr">
        <is>
          <t>VÄSTERBOTTENS LÄN</t>
        </is>
      </c>
      <c r="E1344" t="inlineStr">
        <is>
          <t>SKELLEFTEÅ</t>
        </is>
      </c>
      <c r="F1344" t="inlineStr">
        <is>
          <t>Kommuner</t>
        </is>
      </c>
      <c r="G1344" t="n">
        <v>18.6</v>
      </c>
      <c r="H1344" t="n">
        <v>0</v>
      </c>
      <c r="I1344" t="n">
        <v>0</v>
      </c>
      <c r="J1344" t="n">
        <v>0</v>
      </c>
      <c r="K1344" t="n">
        <v>0</v>
      </c>
      <c r="L1344" t="n">
        <v>0</v>
      </c>
      <c r="M1344" t="n">
        <v>0</v>
      </c>
      <c r="N1344" t="n">
        <v>0</v>
      </c>
      <c r="O1344" t="n">
        <v>0</v>
      </c>
      <c r="P1344" t="n">
        <v>0</v>
      </c>
      <c r="Q1344" t="n">
        <v>0</v>
      </c>
      <c r="R1344" s="2" t="inlineStr"/>
    </row>
    <row r="1345" ht="15" customHeight="1">
      <c r="A1345" t="inlineStr">
        <is>
          <t>A 32244-2022</t>
        </is>
      </c>
      <c r="B1345" s="1" t="n">
        <v>44781</v>
      </c>
      <c r="C1345" s="1" t="n">
        <v>45641</v>
      </c>
      <c r="D1345" t="inlineStr">
        <is>
          <t>VÄSTERBOTTENS LÄN</t>
        </is>
      </c>
      <c r="E1345" t="inlineStr">
        <is>
          <t>SKELLEFTEÅ</t>
        </is>
      </c>
      <c r="F1345" t="inlineStr">
        <is>
          <t>Holmen skog AB</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32279-2022</t>
        </is>
      </c>
      <c r="B1346" s="1" t="n">
        <v>44781</v>
      </c>
      <c r="C1346" s="1" t="n">
        <v>45641</v>
      </c>
      <c r="D1346" t="inlineStr">
        <is>
          <t>VÄSTERBOTTENS LÄN</t>
        </is>
      </c>
      <c r="E1346" t="inlineStr">
        <is>
          <t>SKELLEFTEÅ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32200-2022</t>
        </is>
      </c>
      <c r="B1347" s="1" t="n">
        <v>44781</v>
      </c>
      <c r="C1347" s="1" t="n">
        <v>45641</v>
      </c>
      <c r="D1347" t="inlineStr">
        <is>
          <t>VÄSTERBOTTENS LÄN</t>
        </is>
      </c>
      <c r="E1347" t="inlineStr">
        <is>
          <t>SKELLEFTEÅ</t>
        </is>
      </c>
      <c r="F1347" t="inlineStr">
        <is>
          <t>Kommuner</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32344-2022</t>
        </is>
      </c>
      <c r="B1348" s="1" t="n">
        <v>44781</v>
      </c>
      <c r="C1348" s="1" t="n">
        <v>45641</v>
      </c>
      <c r="D1348" t="inlineStr">
        <is>
          <t>VÄSTERBOTTENS LÄN</t>
        </is>
      </c>
      <c r="E1348" t="inlineStr">
        <is>
          <t>SKELLEFTEÅ</t>
        </is>
      </c>
      <c r="F1348" t="inlineStr">
        <is>
          <t>Sveaskog</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32427-2022</t>
        </is>
      </c>
      <c r="B1349" s="1" t="n">
        <v>44782</v>
      </c>
      <c r="C1349" s="1" t="n">
        <v>45641</v>
      </c>
      <c r="D1349" t="inlineStr">
        <is>
          <t>VÄSTERBOTTENS LÄN</t>
        </is>
      </c>
      <c r="E1349" t="inlineStr">
        <is>
          <t>SKELLEFTEÅ</t>
        </is>
      </c>
      <c r="F1349" t="inlineStr">
        <is>
          <t>Kommuner</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32434-2022</t>
        </is>
      </c>
      <c r="B1350" s="1" t="n">
        <v>44782</v>
      </c>
      <c r="C1350" s="1" t="n">
        <v>45641</v>
      </c>
      <c r="D1350" t="inlineStr">
        <is>
          <t>VÄSTERBOTTENS LÄN</t>
        </is>
      </c>
      <c r="E1350" t="inlineStr">
        <is>
          <t>SKELLEFTEÅ</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32415-2022</t>
        </is>
      </c>
      <c r="B1351" s="1" t="n">
        <v>44782</v>
      </c>
      <c r="C1351" s="1" t="n">
        <v>45641</v>
      </c>
      <c r="D1351" t="inlineStr">
        <is>
          <t>VÄSTERBOTTENS LÄN</t>
        </is>
      </c>
      <c r="E1351" t="inlineStr">
        <is>
          <t>SKELLEFTEÅ</t>
        </is>
      </c>
      <c r="F1351" t="inlineStr">
        <is>
          <t>Kommuner</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32436-2022</t>
        </is>
      </c>
      <c r="B1352" s="1" t="n">
        <v>44782</v>
      </c>
      <c r="C1352" s="1" t="n">
        <v>45641</v>
      </c>
      <c r="D1352" t="inlineStr">
        <is>
          <t>VÄSTERBOTTENS LÄN</t>
        </is>
      </c>
      <c r="E1352" t="inlineStr">
        <is>
          <t>SKELLEFTEÅ</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32420-2022</t>
        </is>
      </c>
      <c r="B1353" s="1" t="n">
        <v>44782</v>
      </c>
      <c r="C1353" s="1" t="n">
        <v>45641</v>
      </c>
      <c r="D1353" t="inlineStr">
        <is>
          <t>VÄSTERBOTTENS LÄN</t>
        </is>
      </c>
      <c r="E1353" t="inlineStr">
        <is>
          <t>SKELLEFTEÅ</t>
        </is>
      </c>
      <c r="F1353" t="inlineStr">
        <is>
          <t>Kommuner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32448-2022</t>
        </is>
      </c>
      <c r="B1354" s="1" t="n">
        <v>44782</v>
      </c>
      <c r="C1354" s="1" t="n">
        <v>45641</v>
      </c>
      <c r="D1354" t="inlineStr">
        <is>
          <t>VÄSTERBOTTENS LÄN</t>
        </is>
      </c>
      <c r="E1354" t="inlineStr">
        <is>
          <t>SKELLEFTEÅ</t>
        </is>
      </c>
      <c r="F1354" t="inlineStr">
        <is>
          <t>Kommuner</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32560-2022</t>
        </is>
      </c>
      <c r="B1355" s="1" t="n">
        <v>44783</v>
      </c>
      <c r="C1355" s="1" t="n">
        <v>45641</v>
      </c>
      <c r="D1355" t="inlineStr">
        <is>
          <t>VÄSTERBOTTENS LÄN</t>
        </is>
      </c>
      <c r="E1355" t="inlineStr">
        <is>
          <t>SKELLEFTEÅ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32677-2022</t>
        </is>
      </c>
      <c r="B1356" s="1" t="n">
        <v>44783</v>
      </c>
      <c r="C1356" s="1" t="n">
        <v>45641</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32539-2022</t>
        </is>
      </c>
      <c r="B1357" s="1" t="n">
        <v>44783</v>
      </c>
      <c r="C1357" s="1" t="n">
        <v>45641</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32657-2022</t>
        </is>
      </c>
      <c r="B1358" s="1" t="n">
        <v>44783</v>
      </c>
      <c r="C1358" s="1" t="n">
        <v>45641</v>
      </c>
      <c r="D1358" t="inlineStr">
        <is>
          <t>VÄSTERBOTTENS LÄN</t>
        </is>
      </c>
      <c r="E1358" t="inlineStr">
        <is>
          <t>SKELLEFTEÅ</t>
        </is>
      </c>
      <c r="F1358" t="inlineStr">
        <is>
          <t>Sveaskog</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32985-2022</t>
        </is>
      </c>
      <c r="B1359" s="1" t="n">
        <v>44785</v>
      </c>
      <c r="C1359" s="1" t="n">
        <v>45641</v>
      </c>
      <c r="D1359" t="inlineStr">
        <is>
          <t>VÄSTERBOTTENS LÄN</t>
        </is>
      </c>
      <c r="E1359" t="inlineStr">
        <is>
          <t>SKELLEFTEÅ</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32984-2022</t>
        </is>
      </c>
      <c r="B1360" s="1" t="n">
        <v>44784</v>
      </c>
      <c r="C1360" s="1" t="n">
        <v>45641</v>
      </c>
      <c r="D1360" t="inlineStr">
        <is>
          <t>VÄSTERBOTTENS LÄN</t>
        </is>
      </c>
      <c r="E1360" t="inlineStr">
        <is>
          <t>SKELLEFTEÅ</t>
        </is>
      </c>
      <c r="F1360" t="inlineStr">
        <is>
          <t>SCA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33268-2022</t>
        </is>
      </c>
      <c r="B1361" s="1" t="n">
        <v>44788</v>
      </c>
      <c r="C1361" s="1" t="n">
        <v>45641</v>
      </c>
      <c r="D1361" t="inlineStr">
        <is>
          <t>VÄSTERBOTTENS LÄN</t>
        </is>
      </c>
      <c r="E1361" t="inlineStr">
        <is>
          <t>SKELLEFTEÅ</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33324-2022</t>
        </is>
      </c>
      <c r="B1362" s="1" t="n">
        <v>44788</v>
      </c>
      <c r="C1362" s="1" t="n">
        <v>45641</v>
      </c>
      <c r="D1362" t="inlineStr">
        <is>
          <t>VÄSTERBOTTENS LÄN</t>
        </is>
      </c>
      <c r="E1362" t="inlineStr">
        <is>
          <t>SKELLEFTEÅ</t>
        </is>
      </c>
      <c r="F1362" t="inlineStr">
        <is>
          <t>Holmen skog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33629-2022</t>
        </is>
      </c>
      <c r="B1363" s="1" t="n">
        <v>44789</v>
      </c>
      <c r="C1363" s="1" t="n">
        <v>45641</v>
      </c>
      <c r="D1363" t="inlineStr">
        <is>
          <t>VÄSTERBOTTENS LÄN</t>
        </is>
      </c>
      <c r="E1363" t="inlineStr">
        <is>
          <t>SKELLEFTEÅ</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33984-2022</t>
        </is>
      </c>
      <c r="B1364" s="1" t="n">
        <v>44791</v>
      </c>
      <c r="C1364" s="1" t="n">
        <v>45641</v>
      </c>
      <c r="D1364" t="inlineStr">
        <is>
          <t>VÄSTERBOTTENS LÄN</t>
        </is>
      </c>
      <c r="E1364" t="inlineStr">
        <is>
          <t>SKELLEFTEÅ</t>
        </is>
      </c>
      <c r="F1364" t="inlineStr">
        <is>
          <t>Sveaskog</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34094-2022</t>
        </is>
      </c>
      <c r="B1365" s="1" t="n">
        <v>44791</v>
      </c>
      <c r="C1365" s="1" t="n">
        <v>45641</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34104-2022</t>
        </is>
      </c>
      <c r="B1366" s="1" t="n">
        <v>44791</v>
      </c>
      <c r="C1366" s="1" t="n">
        <v>45641</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34082-2022</t>
        </is>
      </c>
      <c r="B1367" s="1" t="n">
        <v>44791</v>
      </c>
      <c r="C1367" s="1" t="n">
        <v>45641</v>
      </c>
      <c r="D1367" t="inlineStr">
        <is>
          <t>VÄSTERBOTTENS LÄN</t>
        </is>
      </c>
      <c r="E1367" t="inlineStr">
        <is>
          <t>SKELLEFTEÅ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34547-2022</t>
        </is>
      </c>
      <c r="B1368" s="1" t="n">
        <v>44794</v>
      </c>
      <c r="C1368" s="1" t="n">
        <v>45641</v>
      </c>
      <c r="D1368" t="inlineStr">
        <is>
          <t>VÄSTERBOTTENS LÄN</t>
        </is>
      </c>
      <c r="E1368" t="inlineStr">
        <is>
          <t>SKELLEFTEÅ</t>
        </is>
      </c>
      <c r="F1368" t="inlineStr">
        <is>
          <t>SCA</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34639-2022</t>
        </is>
      </c>
      <c r="B1369" s="1" t="n">
        <v>44795</v>
      </c>
      <c r="C1369" s="1" t="n">
        <v>45641</v>
      </c>
      <c r="D1369" t="inlineStr">
        <is>
          <t>VÄSTERBOTTENS LÄN</t>
        </is>
      </c>
      <c r="E1369" t="inlineStr">
        <is>
          <t>SKELLEFTEÅ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34895-2022</t>
        </is>
      </c>
      <c r="B1370" s="1" t="n">
        <v>44796</v>
      </c>
      <c r="C1370" s="1" t="n">
        <v>45641</v>
      </c>
      <c r="D1370" t="inlineStr">
        <is>
          <t>VÄSTERBOTTENS LÄN</t>
        </is>
      </c>
      <c r="E1370" t="inlineStr">
        <is>
          <t>SKELLEFTEÅ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35001-2022</t>
        </is>
      </c>
      <c r="B1371" s="1" t="n">
        <v>44797</v>
      </c>
      <c r="C1371" s="1" t="n">
        <v>45641</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35119-2022</t>
        </is>
      </c>
      <c r="B1372" s="1" t="n">
        <v>44797</v>
      </c>
      <c r="C1372" s="1" t="n">
        <v>45641</v>
      </c>
      <c r="D1372" t="inlineStr">
        <is>
          <t>VÄSTERBOTTENS LÄN</t>
        </is>
      </c>
      <c r="E1372" t="inlineStr">
        <is>
          <t>SKELLEFTEÅ</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35189-2022</t>
        </is>
      </c>
      <c r="B1373" s="1" t="n">
        <v>44797</v>
      </c>
      <c r="C1373" s="1" t="n">
        <v>45641</v>
      </c>
      <c r="D1373" t="inlineStr">
        <is>
          <t>VÄSTERBOTTENS LÄN</t>
        </is>
      </c>
      <c r="E1373" t="inlineStr">
        <is>
          <t>SKELLEFTEÅ</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35491-2022</t>
        </is>
      </c>
      <c r="B1374" s="1" t="n">
        <v>44798</v>
      </c>
      <c r="C1374" s="1" t="n">
        <v>45641</v>
      </c>
      <c r="D1374" t="inlineStr">
        <is>
          <t>VÄSTERBOTTENS LÄN</t>
        </is>
      </c>
      <c r="E1374" t="inlineStr">
        <is>
          <t>SKELLEFTEÅ</t>
        </is>
      </c>
      <c r="F1374" t="inlineStr">
        <is>
          <t>Sveaskog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35558-2022</t>
        </is>
      </c>
      <c r="B1375" s="1" t="n">
        <v>44799</v>
      </c>
      <c r="C1375" s="1" t="n">
        <v>45641</v>
      </c>
      <c r="D1375" t="inlineStr">
        <is>
          <t>VÄSTERBOTTENS LÄN</t>
        </is>
      </c>
      <c r="E1375" t="inlineStr">
        <is>
          <t>SKELLEFTEÅ</t>
        </is>
      </c>
      <c r="F1375" t="inlineStr">
        <is>
          <t>Sveaskog</t>
        </is>
      </c>
      <c r="G1375" t="n">
        <v>21.8</v>
      </c>
      <c r="H1375" t="n">
        <v>0</v>
      </c>
      <c r="I1375" t="n">
        <v>0</v>
      </c>
      <c r="J1375" t="n">
        <v>0</v>
      </c>
      <c r="K1375" t="n">
        <v>0</v>
      </c>
      <c r="L1375" t="n">
        <v>0</v>
      </c>
      <c r="M1375" t="n">
        <v>0</v>
      </c>
      <c r="N1375" t="n">
        <v>0</v>
      </c>
      <c r="O1375" t="n">
        <v>0</v>
      </c>
      <c r="P1375" t="n">
        <v>0</v>
      </c>
      <c r="Q1375" t="n">
        <v>0</v>
      </c>
      <c r="R1375" s="2" t="inlineStr"/>
    </row>
    <row r="1376" ht="15" customHeight="1">
      <c r="A1376" t="inlineStr">
        <is>
          <t>A 35609-2022</t>
        </is>
      </c>
      <c r="B1376" s="1" t="n">
        <v>44799</v>
      </c>
      <c r="C1376" s="1" t="n">
        <v>45641</v>
      </c>
      <c r="D1376" t="inlineStr">
        <is>
          <t>VÄSTERBOTTENS LÄN</t>
        </is>
      </c>
      <c r="E1376" t="inlineStr">
        <is>
          <t>SKELLEFTEÅ</t>
        </is>
      </c>
      <c r="F1376" t="inlineStr">
        <is>
          <t>Holmen skog AB</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35652-2022</t>
        </is>
      </c>
      <c r="B1377" s="1" t="n">
        <v>44799</v>
      </c>
      <c r="C1377" s="1" t="n">
        <v>45641</v>
      </c>
      <c r="D1377" t="inlineStr">
        <is>
          <t>VÄSTERBOTTENS LÄN</t>
        </is>
      </c>
      <c r="E1377" t="inlineStr">
        <is>
          <t>SKELLEFTEÅ</t>
        </is>
      </c>
      <c r="F1377" t="inlineStr">
        <is>
          <t>Sveaskog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35635-2022</t>
        </is>
      </c>
      <c r="B1378" s="1" t="n">
        <v>44799</v>
      </c>
      <c r="C1378" s="1" t="n">
        <v>45641</v>
      </c>
      <c r="D1378" t="inlineStr">
        <is>
          <t>VÄSTERBOTTENS LÄN</t>
        </is>
      </c>
      <c r="E1378" t="inlineStr">
        <is>
          <t>SKELLEFTEÅ</t>
        </is>
      </c>
      <c r="F1378" t="inlineStr">
        <is>
          <t>Holmen skog AB</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35608-2022</t>
        </is>
      </c>
      <c r="B1379" s="1" t="n">
        <v>44799</v>
      </c>
      <c r="C1379" s="1" t="n">
        <v>45641</v>
      </c>
      <c r="D1379" t="inlineStr">
        <is>
          <t>VÄSTERBOTTENS LÄN</t>
        </is>
      </c>
      <c r="E1379" t="inlineStr">
        <is>
          <t>SKELLEFTEÅ</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35794-2022</t>
        </is>
      </c>
      <c r="B1380" s="1" t="n">
        <v>44801</v>
      </c>
      <c r="C1380" s="1" t="n">
        <v>45641</v>
      </c>
      <c r="D1380" t="inlineStr">
        <is>
          <t>VÄSTERBOTTENS LÄN</t>
        </is>
      </c>
      <c r="E1380" t="inlineStr">
        <is>
          <t>SKELLEFTEÅ</t>
        </is>
      </c>
      <c r="F1380" t="inlineStr">
        <is>
          <t>Sveaskog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35771-2022</t>
        </is>
      </c>
      <c r="B1381" s="1" t="n">
        <v>44801</v>
      </c>
      <c r="C1381" s="1" t="n">
        <v>45641</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35809-2022</t>
        </is>
      </c>
      <c r="B1382" s="1" t="n">
        <v>44802</v>
      </c>
      <c r="C1382" s="1" t="n">
        <v>45641</v>
      </c>
      <c r="D1382" t="inlineStr">
        <is>
          <t>VÄSTERBOTTENS LÄN</t>
        </is>
      </c>
      <c r="E1382" t="inlineStr">
        <is>
          <t>SKELLEFTEÅ</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36208-2022</t>
        </is>
      </c>
      <c r="B1383" s="1" t="n">
        <v>44803</v>
      </c>
      <c r="C1383" s="1" t="n">
        <v>45641</v>
      </c>
      <c r="D1383" t="inlineStr">
        <is>
          <t>VÄSTERBOTTENS LÄN</t>
        </is>
      </c>
      <c r="E1383" t="inlineStr">
        <is>
          <t>SKELLEFTEÅ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35888-2022</t>
        </is>
      </c>
      <c r="B1384" s="1" t="n">
        <v>44803</v>
      </c>
      <c r="C1384" s="1" t="n">
        <v>45641</v>
      </c>
      <c r="D1384" t="inlineStr">
        <is>
          <t>VÄSTERBOTTENS LÄN</t>
        </is>
      </c>
      <c r="E1384" t="inlineStr">
        <is>
          <t>SKELLEFTEÅ</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36723-2022</t>
        </is>
      </c>
      <c r="B1385" s="1" t="n">
        <v>44804</v>
      </c>
      <c r="C1385" s="1" t="n">
        <v>45641</v>
      </c>
      <c r="D1385" t="inlineStr">
        <is>
          <t>VÄSTERBOTTENS LÄN</t>
        </is>
      </c>
      <c r="E1385" t="inlineStr">
        <is>
          <t>SKELLEFTEÅ</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36539-2022</t>
        </is>
      </c>
      <c r="B1386" s="1" t="n">
        <v>44804</v>
      </c>
      <c r="C1386" s="1" t="n">
        <v>45641</v>
      </c>
      <c r="D1386" t="inlineStr">
        <is>
          <t>VÄSTERBOTTENS LÄN</t>
        </is>
      </c>
      <c r="E1386" t="inlineStr">
        <is>
          <t>SKELLEFTEÅ</t>
        </is>
      </c>
      <c r="F1386" t="inlineStr">
        <is>
          <t>Kommuner</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36728-2022</t>
        </is>
      </c>
      <c r="B1387" s="1" t="n">
        <v>44804</v>
      </c>
      <c r="C1387" s="1" t="n">
        <v>45641</v>
      </c>
      <c r="D1387" t="inlineStr">
        <is>
          <t>VÄSTERBOTTENS LÄN</t>
        </is>
      </c>
      <c r="E1387" t="inlineStr">
        <is>
          <t>SKELLEFTEÅ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37669-2022</t>
        </is>
      </c>
      <c r="B1388" s="1" t="n">
        <v>44810</v>
      </c>
      <c r="C1388" s="1" t="n">
        <v>45641</v>
      </c>
      <c r="D1388" t="inlineStr">
        <is>
          <t>VÄSTERBOTTENS LÄN</t>
        </is>
      </c>
      <c r="E1388" t="inlineStr">
        <is>
          <t>SKELLEFTEÅ</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37823-2022</t>
        </is>
      </c>
      <c r="B1389" s="1" t="n">
        <v>44811</v>
      </c>
      <c r="C1389" s="1" t="n">
        <v>45641</v>
      </c>
      <c r="D1389" t="inlineStr">
        <is>
          <t>VÄSTERBOTTENS LÄN</t>
        </is>
      </c>
      <c r="E1389" t="inlineStr">
        <is>
          <t>SKELLEFTEÅ</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37819-2022</t>
        </is>
      </c>
      <c r="B1390" s="1" t="n">
        <v>44810</v>
      </c>
      <c r="C1390" s="1" t="n">
        <v>45641</v>
      </c>
      <c r="D1390" t="inlineStr">
        <is>
          <t>VÄSTERBOTTENS LÄN</t>
        </is>
      </c>
      <c r="E1390" t="inlineStr">
        <is>
          <t>SKELLEFTEÅ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37825-2022</t>
        </is>
      </c>
      <c r="B1391" s="1" t="n">
        <v>44811</v>
      </c>
      <c r="C1391" s="1" t="n">
        <v>45641</v>
      </c>
      <c r="D1391" t="inlineStr">
        <is>
          <t>VÄSTERBOTTENS LÄN</t>
        </is>
      </c>
      <c r="E1391" t="inlineStr">
        <is>
          <t>SKELLEFTEÅ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37944-2022</t>
        </is>
      </c>
      <c r="B1392" s="1" t="n">
        <v>44811</v>
      </c>
      <c r="C1392" s="1" t="n">
        <v>45641</v>
      </c>
      <c r="D1392" t="inlineStr">
        <is>
          <t>VÄSTERBOTTENS LÄN</t>
        </is>
      </c>
      <c r="E1392" t="inlineStr">
        <is>
          <t>SKELLEFTEÅ</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37940-2022</t>
        </is>
      </c>
      <c r="B1393" s="1" t="n">
        <v>44811</v>
      </c>
      <c r="C1393" s="1" t="n">
        <v>45641</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37950-2022</t>
        </is>
      </c>
      <c r="B1394" s="1" t="n">
        <v>44811</v>
      </c>
      <c r="C1394" s="1" t="n">
        <v>45641</v>
      </c>
      <c r="D1394" t="inlineStr">
        <is>
          <t>VÄSTERBOTTENS LÄN</t>
        </is>
      </c>
      <c r="E1394" t="inlineStr">
        <is>
          <t>SKELLEFTEÅ</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38275-2022</t>
        </is>
      </c>
      <c r="B1395" s="1" t="n">
        <v>44812</v>
      </c>
      <c r="C1395" s="1" t="n">
        <v>45641</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38457-2022</t>
        </is>
      </c>
      <c r="B1396" s="1" t="n">
        <v>44813</v>
      </c>
      <c r="C1396" s="1" t="n">
        <v>45641</v>
      </c>
      <c r="D1396" t="inlineStr">
        <is>
          <t>VÄSTERBOTTENS LÄN</t>
        </is>
      </c>
      <c r="E1396" t="inlineStr">
        <is>
          <t>SKELLEFTEÅ</t>
        </is>
      </c>
      <c r="F1396" t="inlineStr">
        <is>
          <t>Holmen skog AB</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38578-2022</t>
        </is>
      </c>
      <c r="B1397" s="1" t="n">
        <v>44813</v>
      </c>
      <c r="C1397" s="1" t="n">
        <v>45641</v>
      </c>
      <c r="D1397" t="inlineStr">
        <is>
          <t>VÄSTERBOTTENS LÄN</t>
        </is>
      </c>
      <c r="E1397" t="inlineStr">
        <is>
          <t>SKELLEFTEÅ</t>
        </is>
      </c>
      <c r="F1397" t="inlineStr">
        <is>
          <t>Holmen skog AB</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38514-2022</t>
        </is>
      </c>
      <c r="B1398" s="1" t="n">
        <v>44813</v>
      </c>
      <c r="C1398" s="1" t="n">
        <v>45641</v>
      </c>
      <c r="D1398" t="inlineStr">
        <is>
          <t>VÄSTERBOTTENS LÄN</t>
        </is>
      </c>
      <c r="E1398" t="inlineStr">
        <is>
          <t>SKELLEFTEÅ</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38728-2022</t>
        </is>
      </c>
      <c r="B1399" s="1" t="n">
        <v>44816</v>
      </c>
      <c r="C1399" s="1" t="n">
        <v>45641</v>
      </c>
      <c r="D1399" t="inlineStr">
        <is>
          <t>VÄSTERBOTTENS LÄN</t>
        </is>
      </c>
      <c r="E1399" t="inlineStr">
        <is>
          <t>SKELLEFTEÅ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38727-2022</t>
        </is>
      </c>
      <c r="B1400" s="1" t="n">
        <v>44816</v>
      </c>
      <c r="C1400" s="1" t="n">
        <v>45641</v>
      </c>
      <c r="D1400" t="inlineStr">
        <is>
          <t>VÄSTERBOTTENS LÄN</t>
        </is>
      </c>
      <c r="E1400" t="inlineStr">
        <is>
          <t>SKELLEFTEÅ</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38767-2022</t>
        </is>
      </c>
      <c r="B1401" s="1" t="n">
        <v>44816</v>
      </c>
      <c r="C1401" s="1" t="n">
        <v>45641</v>
      </c>
      <c r="D1401" t="inlineStr">
        <is>
          <t>VÄSTERBOTTENS LÄN</t>
        </is>
      </c>
      <c r="E1401" t="inlineStr">
        <is>
          <t>SKELLEFTEÅ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38873-2022</t>
        </is>
      </c>
      <c r="B1402" s="1" t="n">
        <v>44816</v>
      </c>
      <c r="C1402" s="1" t="n">
        <v>45641</v>
      </c>
      <c r="D1402" t="inlineStr">
        <is>
          <t>VÄSTERBOTTENS LÄN</t>
        </is>
      </c>
      <c r="E1402" t="inlineStr">
        <is>
          <t>SKELLEFTEÅ</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38876-2022</t>
        </is>
      </c>
      <c r="B1403" s="1" t="n">
        <v>44816</v>
      </c>
      <c r="C1403" s="1" t="n">
        <v>45641</v>
      </c>
      <c r="D1403" t="inlineStr">
        <is>
          <t>VÄSTERBOTTENS LÄN</t>
        </is>
      </c>
      <c r="E1403" t="inlineStr">
        <is>
          <t>SKELLEFTEÅ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38932-2022</t>
        </is>
      </c>
      <c r="B1404" s="1" t="n">
        <v>44816</v>
      </c>
      <c r="C1404" s="1" t="n">
        <v>45641</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38940-2022</t>
        </is>
      </c>
      <c r="B1405" s="1" t="n">
        <v>44816</v>
      </c>
      <c r="C1405" s="1" t="n">
        <v>45641</v>
      </c>
      <c r="D1405" t="inlineStr">
        <is>
          <t>VÄSTERBOTTENS LÄN</t>
        </is>
      </c>
      <c r="E1405" t="inlineStr">
        <is>
          <t>SKELLEFTEÅ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38995-2022</t>
        </is>
      </c>
      <c r="B1406" s="1" t="n">
        <v>44816</v>
      </c>
      <c r="C1406" s="1" t="n">
        <v>45641</v>
      </c>
      <c r="D1406" t="inlineStr">
        <is>
          <t>VÄSTERBOTTENS LÄN</t>
        </is>
      </c>
      <c r="E1406" t="inlineStr">
        <is>
          <t>SKELLEFTEÅ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38997-2022</t>
        </is>
      </c>
      <c r="B1407" s="1" t="n">
        <v>44817</v>
      </c>
      <c r="C1407" s="1" t="n">
        <v>45641</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38998-2022</t>
        </is>
      </c>
      <c r="B1408" s="1" t="n">
        <v>44817</v>
      </c>
      <c r="C1408" s="1" t="n">
        <v>45641</v>
      </c>
      <c r="D1408" t="inlineStr">
        <is>
          <t>VÄSTERBOTTENS LÄN</t>
        </is>
      </c>
      <c r="E1408" t="inlineStr">
        <is>
          <t>SKELLEFTEÅ</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38993-2022</t>
        </is>
      </c>
      <c r="B1409" s="1" t="n">
        <v>44816</v>
      </c>
      <c r="C1409" s="1" t="n">
        <v>45641</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39019-2022</t>
        </is>
      </c>
      <c r="B1410" s="1" t="n">
        <v>44817</v>
      </c>
      <c r="C1410" s="1" t="n">
        <v>45641</v>
      </c>
      <c r="D1410" t="inlineStr">
        <is>
          <t>VÄSTERBOTTENS LÄN</t>
        </is>
      </c>
      <c r="E1410" t="inlineStr">
        <is>
          <t>SKELLEFTEÅ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39668-2022</t>
        </is>
      </c>
      <c r="B1411" s="1" t="n">
        <v>44818</v>
      </c>
      <c r="C1411" s="1" t="n">
        <v>45641</v>
      </c>
      <c r="D1411" t="inlineStr">
        <is>
          <t>VÄSTERBOTTENS LÄN</t>
        </is>
      </c>
      <c r="E1411" t="inlineStr">
        <is>
          <t>SKELLEFTEÅ</t>
        </is>
      </c>
      <c r="G1411" t="n">
        <v>13.2</v>
      </c>
      <c r="H1411" t="n">
        <v>0</v>
      </c>
      <c r="I1411" t="n">
        <v>0</v>
      </c>
      <c r="J1411" t="n">
        <v>0</v>
      </c>
      <c r="K1411" t="n">
        <v>0</v>
      </c>
      <c r="L1411" t="n">
        <v>0</v>
      </c>
      <c r="M1411" t="n">
        <v>0</v>
      </c>
      <c r="N1411" t="n">
        <v>0</v>
      </c>
      <c r="O1411" t="n">
        <v>0</v>
      </c>
      <c r="P1411" t="n">
        <v>0</v>
      </c>
      <c r="Q1411" t="n">
        <v>0</v>
      </c>
      <c r="R1411" s="2" t="inlineStr"/>
    </row>
    <row r="1412" ht="15" customHeight="1">
      <c r="A1412" t="inlineStr">
        <is>
          <t>A 39794-2022</t>
        </is>
      </c>
      <c r="B1412" s="1" t="n">
        <v>44819</v>
      </c>
      <c r="C1412" s="1" t="n">
        <v>45641</v>
      </c>
      <c r="D1412" t="inlineStr">
        <is>
          <t>VÄSTERBOTTENS LÄN</t>
        </is>
      </c>
      <c r="E1412" t="inlineStr">
        <is>
          <t>SKELLEFTEÅ</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39732-2022</t>
        </is>
      </c>
      <c r="B1413" s="1" t="n">
        <v>44819</v>
      </c>
      <c r="C1413" s="1" t="n">
        <v>45641</v>
      </c>
      <c r="D1413" t="inlineStr">
        <is>
          <t>VÄSTERBOTTENS LÄN</t>
        </is>
      </c>
      <c r="E1413" t="inlineStr">
        <is>
          <t>SKELLEFTEÅ</t>
        </is>
      </c>
      <c r="F1413" t="inlineStr">
        <is>
          <t>Holmen skog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39918-2022</t>
        </is>
      </c>
      <c r="B1414" s="1" t="n">
        <v>44819</v>
      </c>
      <c r="C1414" s="1" t="n">
        <v>45641</v>
      </c>
      <c r="D1414" t="inlineStr">
        <is>
          <t>VÄSTERBOTTENS LÄN</t>
        </is>
      </c>
      <c r="E1414" t="inlineStr">
        <is>
          <t>SKELLEFTEÅ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39986-2022</t>
        </is>
      </c>
      <c r="B1415" s="1" t="n">
        <v>44820</v>
      </c>
      <c r="C1415" s="1" t="n">
        <v>45641</v>
      </c>
      <c r="D1415" t="inlineStr">
        <is>
          <t>VÄSTERBOTTENS LÄN</t>
        </is>
      </c>
      <c r="E1415" t="inlineStr">
        <is>
          <t>SKELLEFTEÅ</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39998-2022</t>
        </is>
      </c>
      <c r="B1416" s="1" t="n">
        <v>44820</v>
      </c>
      <c r="C1416" s="1" t="n">
        <v>45641</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40013-2022</t>
        </is>
      </c>
      <c r="B1417" s="1" t="n">
        <v>44820</v>
      </c>
      <c r="C1417" s="1" t="n">
        <v>45641</v>
      </c>
      <c r="D1417" t="inlineStr">
        <is>
          <t>VÄSTERBOTTENS LÄN</t>
        </is>
      </c>
      <c r="E1417" t="inlineStr">
        <is>
          <t>SKELLEFTEÅ</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40034-2022</t>
        </is>
      </c>
      <c r="B1418" s="1" t="n">
        <v>44820</v>
      </c>
      <c r="C1418" s="1" t="n">
        <v>45641</v>
      </c>
      <c r="D1418" t="inlineStr">
        <is>
          <t>VÄSTERBOTTENS LÄN</t>
        </is>
      </c>
      <c r="E1418" t="inlineStr">
        <is>
          <t>SKELLEFTEÅ</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39985-2022</t>
        </is>
      </c>
      <c r="B1419" s="1" t="n">
        <v>44820</v>
      </c>
      <c r="C1419" s="1" t="n">
        <v>45641</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40219-2022</t>
        </is>
      </c>
      <c r="B1420" s="1" t="n">
        <v>44820</v>
      </c>
      <c r="C1420" s="1" t="n">
        <v>45641</v>
      </c>
      <c r="D1420" t="inlineStr">
        <is>
          <t>VÄSTERBOTTENS LÄN</t>
        </is>
      </c>
      <c r="E1420" t="inlineStr">
        <is>
          <t>SKELLEFTEÅ</t>
        </is>
      </c>
      <c r="F1420" t="inlineStr">
        <is>
          <t>Sveaskog</t>
        </is>
      </c>
      <c r="G1420" t="n">
        <v>12.7</v>
      </c>
      <c r="H1420" t="n">
        <v>0</v>
      </c>
      <c r="I1420" t="n">
        <v>0</v>
      </c>
      <c r="J1420" t="n">
        <v>0</v>
      </c>
      <c r="K1420" t="n">
        <v>0</v>
      </c>
      <c r="L1420" t="n">
        <v>0</v>
      </c>
      <c r="M1420" t="n">
        <v>0</v>
      </c>
      <c r="N1420" t="n">
        <v>0</v>
      </c>
      <c r="O1420" t="n">
        <v>0</v>
      </c>
      <c r="P1420" t="n">
        <v>0</v>
      </c>
      <c r="Q1420" t="n">
        <v>0</v>
      </c>
      <c r="R1420" s="2" t="inlineStr"/>
    </row>
    <row r="1421" ht="15" customHeight="1">
      <c r="A1421" t="inlineStr">
        <is>
          <t>A 40905-2022</t>
        </is>
      </c>
      <c r="B1421" s="1" t="n">
        <v>44820</v>
      </c>
      <c r="C1421" s="1" t="n">
        <v>45641</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40345-2022</t>
        </is>
      </c>
      <c r="B1422" s="1" t="n">
        <v>44823</v>
      </c>
      <c r="C1422" s="1" t="n">
        <v>45641</v>
      </c>
      <c r="D1422" t="inlineStr">
        <is>
          <t>VÄSTERBOTTENS LÄN</t>
        </is>
      </c>
      <c r="E1422" t="inlineStr">
        <is>
          <t>SKELLEFTEÅ</t>
        </is>
      </c>
      <c r="F1422" t="inlineStr">
        <is>
          <t>Holmen skog AB</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40314-2022</t>
        </is>
      </c>
      <c r="B1423" s="1" t="n">
        <v>44823</v>
      </c>
      <c r="C1423" s="1" t="n">
        <v>45641</v>
      </c>
      <c r="D1423" t="inlineStr">
        <is>
          <t>VÄSTERBOTTENS LÄN</t>
        </is>
      </c>
      <c r="E1423" t="inlineStr">
        <is>
          <t>SKELLEFTEÅ</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40329-2022</t>
        </is>
      </c>
      <c r="B1424" s="1" t="n">
        <v>44823</v>
      </c>
      <c r="C1424" s="1" t="n">
        <v>45641</v>
      </c>
      <c r="D1424" t="inlineStr">
        <is>
          <t>VÄSTERBOTTENS LÄN</t>
        </is>
      </c>
      <c r="E1424" t="inlineStr">
        <is>
          <t>SKELLEFTEÅ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40964-2022</t>
        </is>
      </c>
      <c r="B1425" s="1" t="n">
        <v>44823</v>
      </c>
      <c r="C1425" s="1" t="n">
        <v>45641</v>
      </c>
      <c r="D1425" t="inlineStr">
        <is>
          <t>VÄSTERBOTTENS LÄN</t>
        </is>
      </c>
      <c r="E1425" t="inlineStr">
        <is>
          <t>SKELLEFTEÅ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40969-2022</t>
        </is>
      </c>
      <c r="B1426" s="1" t="n">
        <v>44824</v>
      </c>
      <c r="C1426" s="1" t="n">
        <v>45641</v>
      </c>
      <c r="D1426" t="inlineStr">
        <is>
          <t>VÄSTERBOTTENS LÄN</t>
        </is>
      </c>
      <c r="E1426" t="inlineStr">
        <is>
          <t>SKELLEFTEÅ</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41010-2022</t>
        </is>
      </c>
      <c r="B1427" s="1" t="n">
        <v>44825</v>
      </c>
      <c r="C1427" s="1" t="n">
        <v>45641</v>
      </c>
      <c r="D1427" t="inlineStr">
        <is>
          <t>VÄSTERBOTTENS LÄN</t>
        </is>
      </c>
      <c r="E1427" t="inlineStr">
        <is>
          <t>SKELLEFTEÅ</t>
        </is>
      </c>
      <c r="F1427" t="inlineStr">
        <is>
          <t>Kyrkan</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40851-2022</t>
        </is>
      </c>
      <c r="B1428" s="1" t="n">
        <v>44825</v>
      </c>
      <c r="C1428" s="1" t="n">
        <v>45641</v>
      </c>
      <c r="D1428" t="inlineStr">
        <is>
          <t>VÄSTERBOTTENS LÄN</t>
        </is>
      </c>
      <c r="E1428" t="inlineStr">
        <is>
          <t>SKELLEFTEÅ</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41360-2022</t>
        </is>
      </c>
      <c r="B1429" s="1" t="n">
        <v>44825</v>
      </c>
      <c r="C1429" s="1" t="n">
        <v>45641</v>
      </c>
      <c r="D1429" t="inlineStr">
        <is>
          <t>VÄSTERBOTTENS LÄN</t>
        </is>
      </c>
      <c r="E1429" t="inlineStr">
        <is>
          <t>SKELLEFTEÅ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41409-2022</t>
        </is>
      </c>
      <c r="B1430" s="1" t="n">
        <v>44826</v>
      </c>
      <c r="C1430" s="1" t="n">
        <v>45641</v>
      </c>
      <c r="D1430" t="inlineStr">
        <is>
          <t>VÄSTERBOTTENS LÄN</t>
        </is>
      </c>
      <c r="E1430" t="inlineStr">
        <is>
          <t>SKELLEFTEÅ</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41513-2022</t>
        </is>
      </c>
      <c r="B1431" s="1" t="n">
        <v>44827</v>
      </c>
      <c r="C1431" s="1" t="n">
        <v>45641</v>
      </c>
      <c r="D1431" t="inlineStr">
        <is>
          <t>VÄSTERBOTTENS LÄN</t>
        </is>
      </c>
      <c r="E1431" t="inlineStr">
        <is>
          <t>SKELLEFTEÅ</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41802-2022</t>
        </is>
      </c>
      <c r="B1432" s="1" t="n">
        <v>44827</v>
      </c>
      <c r="C1432" s="1" t="n">
        <v>45641</v>
      </c>
      <c r="D1432" t="inlineStr">
        <is>
          <t>VÄSTERBOTTENS LÄN</t>
        </is>
      </c>
      <c r="E1432" t="inlineStr">
        <is>
          <t>SKELLEFTEÅ</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41803-2022</t>
        </is>
      </c>
      <c r="B1433" s="1" t="n">
        <v>44828</v>
      </c>
      <c r="C1433" s="1" t="n">
        <v>45641</v>
      </c>
      <c r="D1433" t="inlineStr">
        <is>
          <t>VÄSTERBOTTENS LÄN</t>
        </is>
      </c>
      <c r="E1433" t="inlineStr">
        <is>
          <t>SKELLEFTEÅ</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41801-2022</t>
        </is>
      </c>
      <c r="B1434" s="1" t="n">
        <v>44828</v>
      </c>
      <c r="C1434" s="1" t="n">
        <v>45641</v>
      </c>
      <c r="D1434" t="inlineStr">
        <is>
          <t>VÄSTERBOTTENS LÄN</t>
        </is>
      </c>
      <c r="E1434" t="inlineStr">
        <is>
          <t>SKELLEFTEÅ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42357-2022</t>
        </is>
      </c>
      <c r="B1435" s="1" t="n">
        <v>44827</v>
      </c>
      <c r="C1435" s="1" t="n">
        <v>45641</v>
      </c>
      <c r="D1435" t="inlineStr">
        <is>
          <t>VÄSTERBOTTENS LÄN</t>
        </is>
      </c>
      <c r="E1435" t="inlineStr">
        <is>
          <t>SKELLEFTEÅ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42348-2022</t>
        </is>
      </c>
      <c r="B1436" s="1" t="n">
        <v>44827</v>
      </c>
      <c r="C1436" s="1" t="n">
        <v>45641</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42109-2022</t>
        </is>
      </c>
      <c r="B1437" s="1" t="n">
        <v>44827</v>
      </c>
      <c r="C1437" s="1" t="n">
        <v>45641</v>
      </c>
      <c r="D1437" t="inlineStr">
        <is>
          <t>VÄSTERBOTTENS LÄN</t>
        </is>
      </c>
      <c r="E1437" t="inlineStr">
        <is>
          <t>SKELLEFTEÅ</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42099-2022</t>
        </is>
      </c>
      <c r="B1438" s="1" t="n">
        <v>44827</v>
      </c>
      <c r="C1438" s="1" t="n">
        <v>45641</v>
      </c>
      <c r="D1438" t="inlineStr">
        <is>
          <t>VÄSTERBOTTENS LÄN</t>
        </is>
      </c>
      <c r="E1438" t="inlineStr">
        <is>
          <t>SKELLEFTEÅ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41889-2022</t>
        </is>
      </c>
      <c r="B1439" s="1" t="n">
        <v>44830</v>
      </c>
      <c r="C1439" s="1" t="n">
        <v>45641</v>
      </c>
      <c r="D1439" t="inlineStr">
        <is>
          <t>VÄSTERBOTTENS LÄN</t>
        </is>
      </c>
      <c r="E1439" t="inlineStr">
        <is>
          <t>SKELLEFTEÅ</t>
        </is>
      </c>
      <c r="G1439" t="n">
        <v>15.3</v>
      </c>
      <c r="H1439" t="n">
        <v>0</v>
      </c>
      <c r="I1439" t="n">
        <v>0</v>
      </c>
      <c r="J1439" t="n">
        <v>0</v>
      </c>
      <c r="K1439" t="n">
        <v>0</v>
      </c>
      <c r="L1439" t="n">
        <v>0</v>
      </c>
      <c r="M1439" t="n">
        <v>0</v>
      </c>
      <c r="N1439" t="n">
        <v>0</v>
      </c>
      <c r="O1439" t="n">
        <v>0</v>
      </c>
      <c r="P1439" t="n">
        <v>0</v>
      </c>
      <c r="Q1439" t="n">
        <v>0</v>
      </c>
      <c r="R1439" s="2" t="inlineStr"/>
    </row>
    <row r="1440" ht="15" customHeight="1">
      <c r="A1440" t="inlineStr">
        <is>
          <t>A 41956-2022</t>
        </is>
      </c>
      <c r="B1440" s="1" t="n">
        <v>44830</v>
      </c>
      <c r="C1440" s="1" t="n">
        <v>45641</v>
      </c>
      <c r="D1440" t="inlineStr">
        <is>
          <t>VÄSTERBOTTENS LÄN</t>
        </is>
      </c>
      <c r="E1440" t="inlineStr">
        <is>
          <t>SKELLEFTEÅ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41883-2022</t>
        </is>
      </c>
      <c r="B1441" s="1" t="n">
        <v>44830</v>
      </c>
      <c r="C1441" s="1" t="n">
        <v>45641</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42255-2022</t>
        </is>
      </c>
      <c r="B1442" s="1" t="n">
        <v>44830</v>
      </c>
      <c r="C1442" s="1" t="n">
        <v>45641</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42260-2022</t>
        </is>
      </c>
      <c r="B1443" s="1" t="n">
        <v>44830</v>
      </c>
      <c r="C1443" s="1" t="n">
        <v>45641</v>
      </c>
      <c r="D1443" t="inlineStr">
        <is>
          <t>VÄSTERBOTTENS LÄN</t>
        </is>
      </c>
      <c r="E1443" t="inlineStr">
        <is>
          <t>SKELLEFTEÅ</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42682-2022</t>
        </is>
      </c>
      <c r="B1444" s="1" t="n">
        <v>44831</v>
      </c>
      <c r="C1444" s="1" t="n">
        <v>45641</v>
      </c>
      <c r="D1444" t="inlineStr">
        <is>
          <t>VÄSTERBOTTENS LÄN</t>
        </is>
      </c>
      <c r="E1444" t="inlineStr">
        <is>
          <t>SKELLEFTEÅ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42798-2022</t>
        </is>
      </c>
      <c r="B1445" s="1" t="n">
        <v>44832</v>
      </c>
      <c r="C1445" s="1" t="n">
        <v>45641</v>
      </c>
      <c r="D1445" t="inlineStr">
        <is>
          <t>VÄSTERBOTTENS LÄN</t>
        </is>
      </c>
      <c r="E1445" t="inlineStr">
        <is>
          <t>SKELLEFTEÅ</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42808-2022</t>
        </is>
      </c>
      <c r="B1446" s="1" t="n">
        <v>44832</v>
      </c>
      <c r="C1446" s="1" t="n">
        <v>45641</v>
      </c>
      <c r="D1446" t="inlineStr">
        <is>
          <t>VÄSTERBOTTENS LÄN</t>
        </is>
      </c>
      <c r="E1446" t="inlineStr">
        <is>
          <t>SKELLEFTEÅ</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42946-2022</t>
        </is>
      </c>
      <c r="B1447" s="1" t="n">
        <v>44833</v>
      </c>
      <c r="C1447" s="1" t="n">
        <v>45641</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43069-2022</t>
        </is>
      </c>
      <c r="B1448" s="1" t="n">
        <v>44833</v>
      </c>
      <c r="C1448" s="1" t="n">
        <v>45641</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43078-2022</t>
        </is>
      </c>
      <c r="B1449" s="1" t="n">
        <v>44833</v>
      </c>
      <c r="C1449" s="1" t="n">
        <v>45641</v>
      </c>
      <c r="D1449" t="inlineStr">
        <is>
          <t>VÄSTERBOTTENS LÄN</t>
        </is>
      </c>
      <c r="E1449" t="inlineStr">
        <is>
          <t>SKELLEFTEÅ</t>
        </is>
      </c>
      <c r="F1449" t="inlineStr">
        <is>
          <t>Sveaskog</t>
        </is>
      </c>
      <c r="G1449" t="n">
        <v>19.6</v>
      </c>
      <c r="H1449" t="n">
        <v>0</v>
      </c>
      <c r="I1449" t="n">
        <v>0</v>
      </c>
      <c r="J1449" t="n">
        <v>0</v>
      </c>
      <c r="K1449" t="n">
        <v>0</v>
      </c>
      <c r="L1449" t="n">
        <v>0</v>
      </c>
      <c r="M1449" t="n">
        <v>0</v>
      </c>
      <c r="N1449" t="n">
        <v>0</v>
      </c>
      <c r="O1449" t="n">
        <v>0</v>
      </c>
      <c r="P1449" t="n">
        <v>0</v>
      </c>
      <c r="Q1449" t="n">
        <v>0</v>
      </c>
      <c r="R1449" s="2" t="inlineStr"/>
    </row>
    <row r="1450" ht="15" customHeight="1">
      <c r="A1450" t="inlineStr">
        <is>
          <t>A 43515-2022</t>
        </is>
      </c>
      <c r="B1450" s="1" t="n">
        <v>44837</v>
      </c>
      <c r="C1450" s="1" t="n">
        <v>45641</v>
      </c>
      <c r="D1450" t="inlineStr">
        <is>
          <t>VÄSTERBOTTENS LÄN</t>
        </is>
      </c>
      <c r="E1450" t="inlineStr">
        <is>
          <t>SKELLEFTEÅ</t>
        </is>
      </c>
      <c r="F1450" t="inlineStr">
        <is>
          <t>Holmen skog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43544-2022</t>
        </is>
      </c>
      <c r="B1451" s="1" t="n">
        <v>44837</v>
      </c>
      <c r="C1451" s="1" t="n">
        <v>45641</v>
      </c>
      <c r="D1451" t="inlineStr">
        <is>
          <t>VÄSTERBOTTENS LÄN</t>
        </is>
      </c>
      <c r="E1451" t="inlineStr">
        <is>
          <t>SKELLEFTEÅ</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43763-2022</t>
        </is>
      </c>
      <c r="B1452" s="1" t="n">
        <v>44838</v>
      </c>
      <c r="C1452" s="1" t="n">
        <v>45641</v>
      </c>
      <c r="D1452" t="inlineStr">
        <is>
          <t>VÄSTERBOTTENS LÄN</t>
        </is>
      </c>
      <c r="E1452" t="inlineStr">
        <is>
          <t>SKELLEFTEÅ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43917-2022</t>
        </is>
      </c>
      <c r="B1453" s="1" t="n">
        <v>44838</v>
      </c>
      <c r="C1453" s="1" t="n">
        <v>45641</v>
      </c>
      <c r="D1453" t="inlineStr">
        <is>
          <t>VÄSTERBOTTENS LÄN</t>
        </is>
      </c>
      <c r="E1453" t="inlineStr">
        <is>
          <t>SKELLEFTEÅ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44621-2022</t>
        </is>
      </c>
      <c r="B1454" s="1" t="n">
        <v>44838</v>
      </c>
      <c r="C1454" s="1" t="n">
        <v>45641</v>
      </c>
      <c r="D1454" t="inlineStr">
        <is>
          <t>VÄSTERBOTTENS LÄN</t>
        </is>
      </c>
      <c r="E1454" t="inlineStr">
        <is>
          <t>SKELLEFTEÅ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44397-2022</t>
        </is>
      </c>
      <c r="B1455" s="1" t="n">
        <v>44839</v>
      </c>
      <c r="C1455" s="1" t="n">
        <v>45641</v>
      </c>
      <c r="D1455" t="inlineStr">
        <is>
          <t>VÄSTERBOTTENS LÄN</t>
        </is>
      </c>
      <c r="E1455" t="inlineStr">
        <is>
          <t>SKELLEFTEÅ</t>
        </is>
      </c>
      <c r="F1455" t="inlineStr">
        <is>
          <t>Sveaskog</t>
        </is>
      </c>
      <c r="G1455" t="n">
        <v>31.1</v>
      </c>
      <c r="H1455" t="n">
        <v>0</v>
      </c>
      <c r="I1455" t="n">
        <v>0</v>
      </c>
      <c r="J1455" t="n">
        <v>0</v>
      </c>
      <c r="K1455" t="n">
        <v>0</v>
      </c>
      <c r="L1455" t="n">
        <v>0</v>
      </c>
      <c r="M1455" t="n">
        <v>0</v>
      </c>
      <c r="N1455" t="n">
        <v>0</v>
      </c>
      <c r="O1455" t="n">
        <v>0</v>
      </c>
      <c r="P1455" t="n">
        <v>0</v>
      </c>
      <c r="Q1455" t="n">
        <v>0</v>
      </c>
      <c r="R1455" s="2" t="inlineStr"/>
    </row>
    <row r="1456" ht="15" customHeight="1">
      <c r="A1456" t="inlineStr">
        <is>
          <t>A 44398-2022</t>
        </is>
      </c>
      <c r="B1456" s="1" t="n">
        <v>44839</v>
      </c>
      <c r="C1456" s="1" t="n">
        <v>45641</v>
      </c>
      <c r="D1456" t="inlineStr">
        <is>
          <t>VÄSTERBOTTENS LÄN</t>
        </is>
      </c>
      <c r="E1456" t="inlineStr">
        <is>
          <t>SKELLEFTEÅ</t>
        </is>
      </c>
      <c r="F1456" t="inlineStr">
        <is>
          <t>Sveaskog</t>
        </is>
      </c>
      <c r="G1456" t="n">
        <v>22.3</v>
      </c>
      <c r="H1456" t="n">
        <v>0</v>
      </c>
      <c r="I1456" t="n">
        <v>0</v>
      </c>
      <c r="J1456" t="n">
        <v>0</v>
      </c>
      <c r="K1456" t="n">
        <v>0</v>
      </c>
      <c r="L1456" t="n">
        <v>0</v>
      </c>
      <c r="M1456" t="n">
        <v>0</v>
      </c>
      <c r="N1456" t="n">
        <v>0</v>
      </c>
      <c r="O1456" t="n">
        <v>0</v>
      </c>
      <c r="P1456" t="n">
        <v>0</v>
      </c>
      <c r="Q1456" t="n">
        <v>0</v>
      </c>
      <c r="R1456" s="2" t="inlineStr"/>
    </row>
    <row r="1457" ht="15" customHeight="1">
      <c r="A1457" t="inlineStr">
        <is>
          <t>A 44616-2022</t>
        </is>
      </c>
      <c r="B1457" s="1" t="n">
        <v>44839</v>
      </c>
      <c r="C1457" s="1" t="n">
        <v>45641</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44959-2022</t>
        </is>
      </c>
      <c r="B1458" s="1" t="n">
        <v>44839</v>
      </c>
      <c r="C1458" s="1" t="n">
        <v>45641</v>
      </c>
      <c r="D1458" t="inlineStr">
        <is>
          <t>VÄSTERBOTTENS LÄN</t>
        </is>
      </c>
      <c r="E1458" t="inlineStr">
        <is>
          <t>SKELLEFTEÅ</t>
        </is>
      </c>
      <c r="G1458" t="n">
        <v>17.3</v>
      </c>
      <c r="H1458" t="n">
        <v>0</v>
      </c>
      <c r="I1458" t="n">
        <v>0</v>
      </c>
      <c r="J1458" t="n">
        <v>0</v>
      </c>
      <c r="K1458" t="n">
        <v>0</v>
      </c>
      <c r="L1458" t="n">
        <v>0</v>
      </c>
      <c r="M1458" t="n">
        <v>0</v>
      </c>
      <c r="N1458" t="n">
        <v>0</v>
      </c>
      <c r="O1458" t="n">
        <v>0</v>
      </c>
      <c r="P1458" t="n">
        <v>0</v>
      </c>
      <c r="Q1458" t="n">
        <v>0</v>
      </c>
      <c r="R1458" s="2" t="inlineStr"/>
    </row>
    <row r="1459" ht="15" customHeight="1">
      <c r="A1459" t="inlineStr">
        <is>
          <t>A 44724-2022</t>
        </is>
      </c>
      <c r="B1459" s="1" t="n">
        <v>44840</v>
      </c>
      <c r="C1459" s="1" t="n">
        <v>45641</v>
      </c>
      <c r="D1459" t="inlineStr">
        <is>
          <t>VÄSTERBOTTENS LÄN</t>
        </is>
      </c>
      <c r="E1459" t="inlineStr">
        <is>
          <t>SKELLEFTEÅ</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44722-2022</t>
        </is>
      </c>
      <c r="B1460" s="1" t="n">
        <v>44840</v>
      </c>
      <c r="C1460" s="1" t="n">
        <v>45641</v>
      </c>
      <c r="D1460" t="inlineStr">
        <is>
          <t>VÄSTERBOTTENS LÄN</t>
        </is>
      </c>
      <c r="E1460" t="inlineStr">
        <is>
          <t>SKELLEFTEÅ</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45011-2022</t>
        </is>
      </c>
      <c r="B1461" s="1" t="n">
        <v>44840</v>
      </c>
      <c r="C1461" s="1" t="n">
        <v>45641</v>
      </c>
      <c r="D1461" t="inlineStr">
        <is>
          <t>VÄSTERBOTTENS LÄN</t>
        </is>
      </c>
      <c r="E1461" t="inlineStr">
        <is>
          <t>SKELLEFTEÅ</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45266-2022</t>
        </is>
      </c>
      <c r="B1462" s="1" t="n">
        <v>44844</v>
      </c>
      <c r="C1462" s="1" t="n">
        <v>45641</v>
      </c>
      <c r="D1462" t="inlineStr">
        <is>
          <t>VÄSTERBOTTENS LÄN</t>
        </is>
      </c>
      <c r="E1462" t="inlineStr">
        <is>
          <t>SKELLEFTEÅ</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45250-2022</t>
        </is>
      </c>
      <c r="B1463" s="1" t="n">
        <v>44844</v>
      </c>
      <c r="C1463" s="1" t="n">
        <v>45641</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45985-2022</t>
        </is>
      </c>
      <c r="B1464" s="1" t="n">
        <v>44844</v>
      </c>
      <c r="C1464" s="1" t="n">
        <v>45641</v>
      </c>
      <c r="D1464" t="inlineStr">
        <is>
          <t>VÄSTERBOTTENS LÄN</t>
        </is>
      </c>
      <c r="E1464" t="inlineStr">
        <is>
          <t>SKELLEFTEÅ</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45890-2022</t>
        </is>
      </c>
      <c r="B1465" s="1" t="n">
        <v>44844</v>
      </c>
      <c r="C1465" s="1" t="n">
        <v>45641</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45495-2022</t>
        </is>
      </c>
      <c r="B1466" s="1" t="n">
        <v>44845</v>
      </c>
      <c r="C1466" s="1" t="n">
        <v>45641</v>
      </c>
      <c r="D1466" t="inlineStr">
        <is>
          <t>VÄSTERBOTTENS LÄN</t>
        </is>
      </c>
      <c r="E1466" t="inlineStr">
        <is>
          <t>SKELLEFTEÅ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45554-2022</t>
        </is>
      </c>
      <c r="B1467" s="1" t="n">
        <v>44845</v>
      </c>
      <c r="C1467" s="1" t="n">
        <v>45641</v>
      </c>
      <c r="D1467" t="inlineStr">
        <is>
          <t>VÄSTERBOTTENS LÄN</t>
        </is>
      </c>
      <c r="E1467" t="inlineStr">
        <is>
          <t>SKELLEFTEÅ</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45619-2022</t>
        </is>
      </c>
      <c r="B1468" s="1" t="n">
        <v>44845</v>
      </c>
      <c r="C1468" s="1" t="n">
        <v>45641</v>
      </c>
      <c r="D1468" t="inlineStr">
        <is>
          <t>VÄSTERBOTTENS LÄN</t>
        </is>
      </c>
      <c r="E1468" t="inlineStr">
        <is>
          <t>SKELLEFTEÅ</t>
        </is>
      </c>
      <c r="F1468" t="inlineStr">
        <is>
          <t>Holmen skog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46181-2022</t>
        </is>
      </c>
      <c r="B1469" s="1" t="n">
        <v>44845</v>
      </c>
      <c r="C1469" s="1" t="n">
        <v>45641</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46218-2022</t>
        </is>
      </c>
      <c r="B1470" s="1" t="n">
        <v>44845</v>
      </c>
      <c r="C1470" s="1" t="n">
        <v>45641</v>
      </c>
      <c r="D1470" t="inlineStr">
        <is>
          <t>VÄSTERBOTTENS LÄN</t>
        </is>
      </c>
      <c r="E1470" t="inlineStr">
        <is>
          <t>SKELLEFTEÅ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45748-2022</t>
        </is>
      </c>
      <c r="B1471" s="1" t="n">
        <v>44846</v>
      </c>
      <c r="C1471" s="1" t="n">
        <v>45641</v>
      </c>
      <c r="D1471" t="inlineStr">
        <is>
          <t>VÄSTERBOTTENS LÄN</t>
        </is>
      </c>
      <c r="E1471" t="inlineStr">
        <is>
          <t>SKELLEFTEÅ</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46233-2022</t>
        </is>
      </c>
      <c r="B1472" s="1" t="n">
        <v>44847</v>
      </c>
      <c r="C1472" s="1" t="n">
        <v>45641</v>
      </c>
      <c r="D1472" t="inlineStr">
        <is>
          <t>VÄSTERBOTTENS LÄN</t>
        </is>
      </c>
      <c r="E1472" t="inlineStr">
        <is>
          <t>SKELLEFTEÅ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46216-2022</t>
        </is>
      </c>
      <c r="B1473" s="1" t="n">
        <v>44847</v>
      </c>
      <c r="C1473" s="1" t="n">
        <v>45641</v>
      </c>
      <c r="D1473" t="inlineStr">
        <is>
          <t>VÄSTERBOTTENS LÄN</t>
        </is>
      </c>
      <c r="E1473" t="inlineStr">
        <is>
          <t>SKELLEFTEÅ</t>
        </is>
      </c>
      <c r="F1473" t="inlineStr">
        <is>
          <t>Holmen skog AB</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46409-2022</t>
        </is>
      </c>
      <c r="B1474" s="1" t="n">
        <v>44848</v>
      </c>
      <c r="C1474" s="1" t="n">
        <v>45641</v>
      </c>
      <c r="D1474" t="inlineStr">
        <is>
          <t>VÄSTERBOTTENS LÄN</t>
        </is>
      </c>
      <c r="E1474" t="inlineStr">
        <is>
          <t>SKELLEFTEÅ</t>
        </is>
      </c>
      <c r="F1474" t="inlineStr">
        <is>
          <t>Holmen skog AB</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46445-2022</t>
        </is>
      </c>
      <c r="B1475" s="1" t="n">
        <v>44848</v>
      </c>
      <c r="C1475" s="1" t="n">
        <v>45641</v>
      </c>
      <c r="D1475" t="inlineStr">
        <is>
          <t>VÄSTERBOTTENS LÄN</t>
        </is>
      </c>
      <c r="E1475" t="inlineStr">
        <is>
          <t>SKELLEFTEÅ</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46868-2022</t>
        </is>
      </c>
      <c r="B1476" s="1" t="n">
        <v>44848</v>
      </c>
      <c r="C1476" s="1" t="n">
        <v>45641</v>
      </c>
      <c r="D1476" t="inlineStr">
        <is>
          <t>VÄSTERBOTTENS LÄN</t>
        </is>
      </c>
      <c r="E1476" t="inlineStr">
        <is>
          <t>SKELLEFTEÅ</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47637-2022</t>
        </is>
      </c>
      <c r="B1477" s="1" t="n">
        <v>44852</v>
      </c>
      <c r="C1477" s="1" t="n">
        <v>45641</v>
      </c>
      <c r="D1477" t="inlineStr">
        <is>
          <t>VÄSTERBOTTENS LÄN</t>
        </is>
      </c>
      <c r="E1477" t="inlineStr">
        <is>
          <t>SKELLEFTEÅ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47500-2022</t>
        </is>
      </c>
      <c r="B1478" s="1" t="n">
        <v>44852</v>
      </c>
      <c r="C1478" s="1" t="n">
        <v>45641</v>
      </c>
      <c r="D1478" t="inlineStr">
        <is>
          <t>VÄSTERBOTTENS LÄN</t>
        </is>
      </c>
      <c r="E1478" t="inlineStr">
        <is>
          <t>SKELLEFTEÅ</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47410-2022</t>
        </is>
      </c>
      <c r="B1479" s="1" t="n">
        <v>44853</v>
      </c>
      <c r="C1479" s="1" t="n">
        <v>45641</v>
      </c>
      <c r="D1479" t="inlineStr">
        <is>
          <t>VÄSTERBOTTENS LÄN</t>
        </is>
      </c>
      <c r="E1479" t="inlineStr">
        <is>
          <t>SKELLEFTEÅ</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47548-2022</t>
        </is>
      </c>
      <c r="B1480" s="1" t="n">
        <v>44854</v>
      </c>
      <c r="C1480" s="1" t="n">
        <v>45641</v>
      </c>
      <c r="D1480" t="inlineStr">
        <is>
          <t>VÄSTERBOTTENS LÄN</t>
        </is>
      </c>
      <c r="E1480" t="inlineStr">
        <is>
          <t>SKELLEFTEÅ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47554-2022</t>
        </is>
      </c>
      <c r="B1481" s="1" t="n">
        <v>44854</v>
      </c>
      <c r="C1481" s="1" t="n">
        <v>45641</v>
      </c>
      <c r="D1481" t="inlineStr">
        <is>
          <t>VÄSTERBOTTENS LÄN</t>
        </is>
      </c>
      <c r="E1481" t="inlineStr">
        <is>
          <t>SKELLEFTEÅ</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47988-2022</t>
        </is>
      </c>
      <c r="B1482" s="1" t="n">
        <v>44853</v>
      </c>
      <c r="C1482" s="1" t="n">
        <v>45641</v>
      </c>
      <c r="D1482" t="inlineStr">
        <is>
          <t>VÄSTERBOTTENS LÄN</t>
        </is>
      </c>
      <c r="E1482" t="inlineStr">
        <is>
          <t>SKELLEFTEÅ</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47984-2022</t>
        </is>
      </c>
      <c r="B1483" s="1" t="n">
        <v>44853</v>
      </c>
      <c r="C1483" s="1" t="n">
        <v>45641</v>
      </c>
      <c r="D1483" t="inlineStr">
        <is>
          <t>VÄSTERBOTTENS LÄN</t>
        </is>
      </c>
      <c r="E1483" t="inlineStr">
        <is>
          <t>SKELLEFTEÅ</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47991-2022</t>
        </is>
      </c>
      <c r="B1484" s="1" t="n">
        <v>44853</v>
      </c>
      <c r="C1484" s="1" t="n">
        <v>45641</v>
      </c>
      <c r="D1484" t="inlineStr">
        <is>
          <t>VÄSTERBOTTENS LÄN</t>
        </is>
      </c>
      <c r="E1484" t="inlineStr">
        <is>
          <t>SKELLEFTEÅ</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47696-2022</t>
        </is>
      </c>
      <c r="B1485" s="1" t="n">
        <v>44854</v>
      </c>
      <c r="C1485" s="1" t="n">
        <v>45641</v>
      </c>
      <c r="D1485" t="inlineStr">
        <is>
          <t>VÄSTERBOTTENS LÄN</t>
        </is>
      </c>
      <c r="E1485" t="inlineStr">
        <is>
          <t>SKELLEFTEÅ</t>
        </is>
      </c>
      <c r="F1485" t="inlineStr">
        <is>
          <t>Holmen skog AB</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48011-2022</t>
        </is>
      </c>
      <c r="B1486" s="1" t="n">
        <v>44855</v>
      </c>
      <c r="C1486" s="1" t="n">
        <v>45641</v>
      </c>
      <c r="D1486" t="inlineStr">
        <is>
          <t>VÄSTERBOTTENS LÄN</t>
        </is>
      </c>
      <c r="E1486" t="inlineStr">
        <is>
          <t>SKELLEFTEÅ</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48082-2022</t>
        </is>
      </c>
      <c r="B1487" s="1" t="n">
        <v>44856</v>
      </c>
      <c r="C1487" s="1" t="n">
        <v>45641</v>
      </c>
      <c r="D1487" t="inlineStr">
        <is>
          <t>VÄSTERBOTTENS LÄN</t>
        </is>
      </c>
      <c r="E1487" t="inlineStr">
        <is>
          <t>SKELLEFTEÅ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48722-2022</t>
        </is>
      </c>
      <c r="B1488" s="1" t="n">
        <v>44855</v>
      </c>
      <c r="C1488" s="1" t="n">
        <v>45641</v>
      </c>
      <c r="D1488" t="inlineStr">
        <is>
          <t>VÄSTERBOTTENS LÄN</t>
        </is>
      </c>
      <c r="E1488" t="inlineStr">
        <is>
          <t>SKELLEFTEÅ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48125-2022</t>
        </is>
      </c>
      <c r="B1489" s="1" t="n">
        <v>44857</v>
      </c>
      <c r="C1489" s="1" t="n">
        <v>45641</v>
      </c>
      <c r="D1489" t="inlineStr">
        <is>
          <t>VÄSTERBOTTENS LÄN</t>
        </is>
      </c>
      <c r="E1489" t="inlineStr">
        <is>
          <t>SKELLEFTEÅ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48133-2022</t>
        </is>
      </c>
      <c r="B1490" s="1" t="n">
        <v>44857</v>
      </c>
      <c r="C1490" s="1" t="n">
        <v>45641</v>
      </c>
      <c r="D1490" t="inlineStr">
        <is>
          <t>VÄSTERBOTTENS LÄN</t>
        </is>
      </c>
      <c r="E1490" t="inlineStr">
        <is>
          <t>SKELLEFTEÅ</t>
        </is>
      </c>
      <c r="F1490" t="inlineStr">
        <is>
          <t>Sveaskog</t>
        </is>
      </c>
      <c r="G1490" t="n">
        <v>18.3</v>
      </c>
      <c r="H1490" t="n">
        <v>0</v>
      </c>
      <c r="I1490" t="n">
        <v>0</v>
      </c>
      <c r="J1490" t="n">
        <v>0</v>
      </c>
      <c r="K1490" t="n">
        <v>0</v>
      </c>
      <c r="L1490" t="n">
        <v>0</v>
      </c>
      <c r="M1490" t="n">
        <v>0</v>
      </c>
      <c r="N1490" t="n">
        <v>0</v>
      </c>
      <c r="O1490" t="n">
        <v>0</v>
      </c>
      <c r="P1490" t="n">
        <v>0</v>
      </c>
      <c r="Q1490" t="n">
        <v>0</v>
      </c>
      <c r="R1490" s="2" t="inlineStr"/>
    </row>
    <row r="1491" ht="15" customHeight="1">
      <c r="A1491" t="inlineStr">
        <is>
          <t>A 49241-2022</t>
        </is>
      </c>
      <c r="B1491" s="1" t="n">
        <v>44858</v>
      </c>
      <c r="C1491" s="1" t="n">
        <v>45641</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49992-2022</t>
        </is>
      </c>
      <c r="B1492" s="1" t="n">
        <v>44860</v>
      </c>
      <c r="C1492" s="1" t="n">
        <v>45641</v>
      </c>
      <c r="D1492" t="inlineStr">
        <is>
          <t>VÄSTERBOTTENS LÄN</t>
        </is>
      </c>
      <c r="E1492" t="inlineStr">
        <is>
          <t>SKELLEFTEÅ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49246-2022</t>
        </is>
      </c>
      <c r="B1493" s="1" t="n">
        <v>44861</v>
      </c>
      <c r="C1493" s="1" t="n">
        <v>45641</v>
      </c>
      <c r="D1493" t="inlineStr">
        <is>
          <t>VÄSTERBOTTENS LÄN</t>
        </is>
      </c>
      <c r="E1493" t="inlineStr">
        <is>
          <t>SKELLEFTEÅ</t>
        </is>
      </c>
      <c r="F1493" t="inlineStr">
        <is>
          <t>Holmen skog AB</t>
        </is>
      </c>
      <c r="G1493" t="n">
        <v>10.4</v>
      </c>
      <c r="H1493" t="n">
        <v>0</v>
      </c>
      <c r="I1493" t="n">
        <v>0</v>
      </c>
      <c r="J1493" t="n">
        <v>0</v>
      </c>
      <c r="K1493" t="n">
        <v>0</v>
      </c>
      <c r="L1493" t="n">
        <v>0</v>
      </c>
      <c r="M1493" t="n">
        <v>0</v>
      </c>
      <c r="N1493" t="n">
        <v>0</v>
      </c>
      <c r="O1493" t="n">
        <v>0</v>
      </c>
      <c r="P1493" t="n">
        <v>0</v>
      </c>
      <c r="Q1493" t="n">
        <v>0</v>
      </c>
      <c r="R1493" s="2" t="inlineStr"/>
    </row>
    <row r="1494" ht="15" customHeight="1">
      <c r="A1494" t="inlineStr">
        <is>
          <t>A 49328-2022</t>
        </is>
      </c>
      <c r="B1494" s="1" t="n">
        <v>44861</v>
      </c>
      <c r="C1494" s="1" t="n">
        <v>45641</v>
      </c>
      <c r="D1494" t="inlineStr">
        <is>
          <t>VÄSTERBOTTENS LÄN</t>
        </is>
      </c>
      <c r="E1494" t="inlineStr">
        <is>
          <t>SKELLEFTEÅ</t>
        </is>
      </c>
      <c r="F1494" t="inlineStr">
        <is>
          <t>Holmen skog AB</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49382-2022</t>
        </is>
      </c>
      <c r="B1495" s="1" t="n">
        <v>44861</v>
      </c>
      <c r="C1495" s="1" t="n">
        <v>45641</v>
      </c>
      <c r="D1495" t="inlineStr">
        <is>
          <t>VÄSTERBOTTENS LÄN</t>
        </is>
      </c>
      <c r="E1495" t="inlineStr">
        <is>
          <t>SKELLEFTEÅ</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49277-2022</t>
        </is>
      </c>
      <c r="B1496" s="1" t="n">
        <v>44861</v>
      </c>
      <c r="C1496" s="1" t="n">
        <v>45641</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49757-2022</t>
        </is>
      </c>
      <c r="B1497" s="1" t="n">
        <v>44862</v>
      </c>
      <c r="C1497" s="1" t="n">
        <v>45641</v>
      </c>
      <c r="D1497" t="inlineStr">
        <is>
          <t>VÄSTERBOTTENS LÄN</t>
        </is>
      </c>
      <c r="E1497" t="inlineStr">
        <is>
          <t>SKELLEFTEÅ</t>
        </is>
      </c>
      <c r="F1497" t="inlineStr">
        <is>
          <t>Holmen skog AB</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49749-2022</t>
        </is>
      </c>
      <c r="B1498" s="1" t="n">
        <v>44862</v>
      </c>
      <c r="C1498" s="1" t="n">
        <v>45641</v>
      </c>
      <c r="D1498" t="inlineStr">
        <is>
          <t>VÄSTERBOTTENS LÄN</t>
        </is>
      </c>
      <c r="E1498" t="inlineStr">
        <is>
          <t>SKELLEFTEÅ</t>
        </is>
      </c>
      <c r="F1498" t="inlineStr">
        <is>
          <t>Holmen skog AB</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49876-2022</t>
        </is>
      </c>
      <c r="B1499" s="1" t="n">
        <v>44864</v>
      </c>
      <c r="C1499" s="1" t="n">
        <v>45641</v>
      </c>
      <c r="D1499" t="inlineStr">
        <is>
          <t>VÄSTERBOTTENS LÄN</t>
        </is>
      </c>
      <c r="E1499" t="inlineStr">
        <is>
          <t>SKELLEFTEÅ</t>
        </is>
      </c>
      <c r="F1499" t="inlineStr">
        <is>
          <t>SCA</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49875-2022</t>
        </is>
      </c>
      <c r="B1500" s="1" t="n">
        <v>44864</v>
      </c>
      <c r="C1500" s="1" t="n">
        <v>45641</v>
      </c>
      <c r="D1500" t="inlineStr">
        <is>
          <t>VÄSTERBOTTENS LÄN</t>
        </is>
      </c>
      <c r="E1500" t="inlineStr">
        <is>
          <t>SKELLEFTEÅ</t>
        </is>
      </c>
      <c r="F1500" t="inlineStr">
        <is>
          <t>SCA</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49906-2022</t>
        </is>
      </c>
      <c r="B1501" s="1" t="n">
        <v>44864</v>
      </c>
      <c r="C1501" s="1" t="n">
        <v>45641</v>
      </c>
      <c r="D1501" t="inlineStr">
        <is>
          <t>VÄSTERBOTTENS LÄN</t>
        </is>
      </c>
      <c r="E1501" t="inlineStr">
        <is>
          <t>SKELLEFTEÅ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49908-2022</t>
        </is>
      </c>
      <c r="B1502" s="1" t="n">
        <v>44864</v>
      </c>
      <c r="C1502" s="1" t="n">
        <v>45641</v>
      </c>
      <c r="D1502" t="inlineStr">
        <is>
          <t>VÄSTERBOTTENS LÄN</t>
        </is>
      </c>
      <c r="E1502" t="inlineStr">
        <is>
          <t>SKELLEFTEÅ</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49905-2022</t>
        </is>
      </c>
      <c r="B1503" s="1" t="n">
        <v>44864</v>
      </c>
      <c r="C1503" s="1" t="n">
        <v>45641</v>
      </c>
      <c r="D1503" t="inlineStr">
        <is>
          <t>VÄSTERBOTTENS LÄN</t>
        </is>
      </c>
      <c r="E1503" t="inlineStr">
        <is>
          <t>SKELLEFTEÅ</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49907-2022</t>
        </is>
      </c>
      <c r="B1504" s="1" t="n">
        <v>44864</v>
      </c>
      <c r="C1504" s="1" t="n">
        <v>45641</v>
      </c>
      <c r="D1504" t="inlineStr">
        <is>
          <t>VÄSTERBOTTENS LÄN</t>
        </is>
      </c>
      <c r="E1504" t="inlineStr">
        <is>
          <t>SKELLEFTEÅ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50055-2022</t>
        </is>
      </c>
      <c r="B1505" s="1" t="n">
        <v>44865</v>
      </c>
      <c r="C1505" s="1" t="n">
        <v>45641</v>
      </c>
      <c r="D1505" t="inlineStr">
        <is>
          <t>VÄSTERBOTTENS LÄN</t>
        </is>
      </c>
      <c r="E1505" t="inlineStr">
        <is>
          <t>SKELLEFTEÅ</t>
        </is>
      </c>
      <c r="F1505" t="inlineStr">
        <is>
          <t>Holmen skog AB</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49961-2022</t>
        </is>
      </c>
      <c r="B1506" s="1" t="n">
        <v>44865</v>
      </c>
      <c r="C1506" s="1" t="n">
        <v>45641</v>
      </c>
      <c r="D1506" t="inlineStr">
        <is>
          <t>VÄSTERBOTTENS LÄN</t>
        </is>
      </c>
      <c r="E1506" t="inlineStr">
        <is>
          <t>SKELLEFTEÅ</t>
        </is>
      </c>
      <c r="F1506" t="inlineStr">
        <is>
          <t>Holmen skog AB</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50371-2022</t>
        </is>
      </c>
      <c r="B1507" s="1" t="n">
        <v>44866</v>
      </c>
      <c r="C1507" s="1" t="n">
        <v>45641</v>
      </c>
      <c r="D1507" t="inlineStr">
        <is>
          <t>VÄSTERBOTTENS LÄN</t>
        </is>
      </c>
      <c r="E1507" t="inlineStr">
        <is>
          <t>SKELLEFTEÅ</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50366-2022</t>
        </is>
      </c>
      <c r="B1508" s="1" t="n">
        <v>44866</v>
      </c>
      <c r="C1508" s="1" t="n">
        <v>45641</v>
      </c>
      <c r="D1508" t="inlineStr">
        <is>
          <t>VÄSTERBOTTENS LÄN</t>
        </is>
      </c>
      <c r="E1508" t="inlineStr">
        <is>
          <t>SKELLEFTEÅ</t>
        </is>
      </c>
      <c r="F1508" t="inlineStr">
        <is>
          <t>Holmen skog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50529-2022</t>
        </is>
      </c>
      <c r="B1509" s="1" t="n">
        <v>44866</v>
      </c>
      <c r="C1509" s="1" t="n">
        <v>45641</v>
      </c>
      <c r="D1509" t="inlineStr">
        <is>
          <t>VÄSTERBOTTENS LÄN</t>
        </is>
      </c>
      <c r="E1509" t="inlineStr">
        <is>
          <t>SKELLEFTEÅ</t>
        </is>
      </c>
      <c r="F1509" t="inlineStr">
        <is>
          <t>Holmen skog AB</t>
        </is>
      </c>
      <c r="G1509" t="n">
        <v>20.7</v>
      </c>
      <c r="H1509" t="n">
        <v>0</v>
      </c>
      <c r="I1509" t="n">
        <v>0</v>
      </c>
      <c r="J1509" t="n">
        <v>0</v>
      </c>
      <c r="K1509" t="n">
        <v>0</v>
      </c>
      <c r="L1509" t="n">
        <v>0</v>
      </c>
      <c r="M1509" t="n">
        <v>0</v>
      </c>
      <c r="N1509" t="n">
        <v>0</v>
      </c>
      <c r="O1509" t="n">
        <v>0</v>
      </c>
      <c r="P1509" t="n">
        <v>0</v>
      </c>
      <c r="Q1509" t="n">
        <v>0</v>
      </c>
      <c r="R1509" s="2" t="inlineStr"/>
    </row>
    <row r="1510" ht="15" customHeight="1">
      <c r="A1510" t="inlineStr">
        <is>
          <t>A 50409-2022</t>
        </is>
      </c>
      <c r="B1510" s="1" t="n">
        <v>44866</v>
      </c>
      <c r="C1510" s="1" t="n">
        <v>45641</v>
      </c>
      <c r="D1510" t="inlineStr">
        <is>
          <t>VÄSTERBOTTENS LÄN</t>
        </is>
      </c>
      <c r="E1510" t="inlineStr">
        <is>
          <t>SKELLEFTEÅ</t>
        </is>
      </c>
      <c r="F1510" t="inlineStr">
        <is>
          <t>Holmen skog AB</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50538-2022</t>
        </is>
      </c>
      <c r="B1511" s="1" t="n">
        <v>44866</v>
      </c>
      <c r="C1511" s="1" t="n">
        <v>45641</v>
      </c>
      <c r="D1511" t="inlineStr">
        <is>
          <t>VÄSTERBOTTENS LÄN</t>
        </is>
      </c>
      <c r="E1511" t="inlineStr">
        <is>
          <t>SKELLEFTEÅ</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50549-2022</t>
        </is>
      </c>
      <c r="B1512" s="1" t="n">
        <v>44866</v>
      </c>
      <c r="C1512" s="1" t="n">
        <v>45641</v>
      </c>
      <c r="D1512" t="inlineStr">
        <is>
          <t>VÄSTERBOTTENS LÄN</t>
        </is>
      </c>
      <c r="E1512" t="inlineStr">
        <is>
          <t>SKELLEFTEÅ</t>
        </is>
      </c>
      <c r="F1512" t="inlineStr">
        <is>
          <t>Kommuner</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50531-2022</t>
        </is>
      </c>
      <c r="B1513" s="1" t="n">
        <v>44866</v>
      </c>
      <c r="C1513" s="1" t="n">
        <v>45641</v>
      </c>
      <c r="D1513" t="inlineStr">
        <is>
          <t>VÄSTERBOTTENS LÄN</t>
        </is>
      </c>
      <c r="E1513" t="inlineStr">
        <is>
          <t>SKELLEFTEÅ</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50554-2022</t>
        </is>
      </c>
      <c r="B1514" s="1" t="n">
        <v>44866</v>
      </c>
      <c r="C1514" s="1" t="n">
        <v>45641</v>
      </c>
      <c r="D1514" t="inlineStr">
        <is>
          <t>VÄSTERBOTTENS LÄN</t>
        </is>
      </c>
      <c r="E1514" t="inlineStr">
        <is>
          <t>SKELLEFTEÅ</t>
        </is>
      </c>
      <c r="F1514" t="inlineStr">
        <is>
          <t>Kommuner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50872-2022</t>
        </is>
      </c>
      <c r="B1515" s="1" t="n">
        <v>44867</v>
      </c>
      <c r="C1515" s="1" t="n">
        <v>45641</v>
      </c>
      <c r="D1515" t="inlineStr">
        <is>
          <t>VÄSTERBOTTENS LÄN</t>
        </is>
      </c>
      <c r="E1515" t="inlineStr">
        <is>
          <t>SKELLEFTEÅ</t>
        </is>
      </c>
      <c r="F1515" t="inlineStr">
        <is>
          <t>Holmen skog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50838-2022</t>
        </is>
      </c>
      <c r="B1516" s="1" t="n">
        <v>44867</v>
      </c>
      <c r="C1516" s="1" t="n">
        <v>45641</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51222-2022</t>
        </is>
      </c>
      <c r="B1517" s="1" t="n">
        <v>44868</v>
      </c>
      <c r="C1517" s="1" t="n">
        <v>45641</v>
      </c>
      <c r="D1517" t="inlineStr">
        <is>
          <t>VÄSTERBOTTENS LÄN</t>
        </is>
      </c>
      <c r="E1517" t="inlineStr">
        <is>
          <t>SKELLEFTEÅ</t>
        </is>
      </c>
      <c r="F1517" t="inlineStr">
        <is>
          <t>Holmen skog AB</t>
        </is>
      </c>
      <c r="G1517" t="n">
        <v>16.4</v>
      </c>
      <c r="H1517" t="n">
        <v>0</v>
      </c>
      <c r="I1517" t="n">
        <v>0</v>
      </c>
      <c r="J1517" t="n">
        <v>0</v>
      </c>
      <c r="K1517" t="n">
        <v>0</v>
      </c>
      <c r="L1517" t="n">
        <v>0</v>
      </c>
      <c r="M1517" t="n">
        <v>0</v>
      </c>
      <c r="N1517" t="n">
        <v>0</v>
      </c>
      <c r="O1517" t="n">
        <v>0</v>
      </c>
      <c r="P1517" t="n">
        <v>0</v>
      </c>
      <c r="Q1517" t="n">
        <v>0</v>
      </c>
      <c r="R1517" s="2" t="inlineStr"/>
    </row>
    <row r="1518" ht="15" customHeight="1">
      <c r="A1518" t="inlineStr">
        <is>
          <t>A 51160-2022</t>
        </is>
      </c>
      <c r="B1518" s="1" t="n">
        <v>44868</v>
      </c>
      <c r="C1518" s="1" t="n">
        <v>45641</v>
      </c>
      <c r="D1518" t="inlineStr">
        <is>
          <t>VÄSTERBOTTENS LÄN</t>
        </is>
      </c>
      <c r="E1518" t="inlineStr">
        <is>
          <t>SKELLEFTEÅ</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51240-2022</t>
        </is>
      </c>
      <c r="B1519" s="1" t="n">
        <v>44868</v>
      </c>
      <c r="C1519" s="1" t="n">
        <v>45641</v>
      </c>
      <c r="D1519" t="inlineStr">
        <is>
          <t>VÄSTERBOTTENS LÄN</t>
        </is>
      </c>
      <c r="E1519" t="inlineStr">
        <is>
          <t>SKELLEFTEÅ</t>
        </is>
      </c>
      <c r="F1519" t="inlineStr">
        <is>
          <t>Holmen skog AB</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52129-2022</t>
        </is>
      </c>
      <c r="B1520" s="1" t="n">
        <v>44868</v>
      </c>
      <c r="C1520" s="1" t="n">
        <v>45641</v>
      </c>
      <c r="D1520" t="inlineStr">
        <is>
          <t>VÄSTERBOTTENS LÄN</t>
        </is>
      </c>
      <c r="E1520" t="inlineStr">
        <is>
          <t>SKELLEFTEÅ</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52141-2022</t>
        </is>
      </c>
      <c r="B1521" s="1" t="n">
        <v>44868</v>
      </c>
      <c r="C1521" s="1" t="n">
        <v>45641</v>
      </c>
      <c r="D1521" t="inlineStr">
        <is>
          <t>VÄSTERBOTTENS LÄN</t>
        </is>
      </c>
      <c r="E1521" t="inlineStr">
        <is>
          <t>SKELLEFTEÅ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52148-2022</t>
        </is>
      </c>
      <c r="B1522" s="1" t="n">
        <v>44868</v>
      </c>
      <c r="C1522" s="1" t="n">
        <v>45641</v>
      </c>
      <c r="D1522" t="inlineStr">
        <is>
          <t>VÄSTERBOTTENS LÄN</t>
        </is>
      </c>
      <c r="E1522" t="inlineStr">
        <is>
          <t>SKELLEFTEÅ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52135-2022</t>
        </is>
      </c>
      <c r="B1523" s="1" t="n">
        <v>44868</v>
      </c>
      <c r="C1523" s="1" t="n">
        <v>45641</v>
      </c>
      <c r="D1523" t="inlineStr">
        <is>
          <t>VÄSTERBOTTENS LÄN</t>
        </is>
      </c>
      <c r="E1523" t="inlineStr">
        <is>
          <t>SKELLEFTEÅ</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51486-2022</t>
        </is>
      </c>
      <c r="B1524" s="1" t="n">
        <v>44869</v>
      </c>
      <c r="C1524" s="1" t="n">
        <v>45641</v>
      </c>
      <c r="D1524" t="inlineStr">
        <is>
          <t>VÄSTERBOTTENS LÄN</t>
        </is>
      </c>
      <c r="E1524" t="inlineStr">
        <is>
          <t>SKELLEFTEÅ</t>
        </is>
      </c>
      <c r="F1524" t="inlineStr">
        <is>
          <t>Holmen skog AB</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51427-2022</t>
        </is>
      </c>
      <c r="B1525" s="1" t="n">
        <v>44869</v>
      </c>
      <c r="C1525" s="1" t="n">
        <v>45641</v>
      </c>
      <c r="D1525" t="inlineStr">
        <is>
          <t>VÄSTERBOTTENS LÄN</t>
        </is>
      </c>
      <c r="E1525" t="inlineStr">
        <is>
          <t>SKELLEFTEÅ</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51438-2022</t>
        </is>
      </c>
      <c r="B1526" s="1" t="n">
        <v>44869</v>
      </c>
      <c r="C1526" s="1" t="n">
        <v>45641</v>
      </c>
      <c r="D1526" t="inlineStr">
        <is>
          <t>VÄSTERBOTTENS LÄN</t>
        </is>
      </c>
      <c r="E1526" t="inlineStr">
        <is>
          <t>SKELLEFTEÅ</t>
        </is>
      </c>
      <c r="F1526" t="inlineStr">
        <is>
          <t>Holmen skog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52482-2022</t>
        </is>
      </c>
      <c r="B1527" s="1" t="n">
        <v>44869</v>
      </c>
      <c r="C1527" s="1" t="n">
        <v>45641</v>
      </c>
      <c r="D1527" t="inlineStr">
        <is>
          <t>VÄSTERBOTTENS LÄN</t>
        </is>
      </c>
      <c r="E1527" t="inlineStr">
        <is>
          <t>SKELLEFTEÅ</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52500-2022</t>
        </is>
      </c>
      <c r="B1528" s="1" t="n">
        <v>44869</v>
      </c>
      <c r="C1528" s="1" t="n">
        <v>45641</v>
      </c>
      <c r="D1528" t="inlineStr">
        <is>
          <t>VÄSTERBOTTENS LÄN</t>
        </is>
      </c>
      <c r="E1528" t="inlineStr">
        <is>
          <t>SKELLEFTEÅ</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52475-2022</t>
        </is>
      </c>
      <c r="B1529" s="1" t="n">
        <v>44869</v>
      </c>
      <c r="C1529" s="1" t="n">
        <v>45641</v>
      </c>
      <c r="D1529" t="inlineStr">
        <is>
          <t>VÄSTERBOTTENS LÄN</t>
        </is>
      </c>
      <c r="E1529" t="inlineStr">
        <is>
          <t>SKELLEFTEÅ</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52497-2022</t>
        </is>
      </c>
      <c r="B1530" s="1" t="n">
        <v>44869</v>
      </c>
      <c r="C1530" s="1" t="n">
        <v>45641</v>
      </c>
      <c r="D1530" t="inlineStr">
        <is>
          <t>VÄSTERBOTTENS LÄN</t>
        </is>
      </c>
      <c r="E1530" t="inlineStr">
        <is>
          <t>SKELLEFTEÅ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52459-2022</t>
        </is>
      </c>
      <c r="B1531" s="1" t="n">
        <v>44869</v>
      </c>
      <c r="C1531" s="1" t="n">
        <v>45641</v>
      </c>
      <c r="D1531" t="inlineStr">
        <is>
          <t>VÄSTERBOTTENS LÄN</t>
        </is>
      </c>
      <c r="E1531" t="inlineStr">
        <is>
          <t>SKELLEFTEÅ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52492-2022</t>
        </is>
      </c>
      <c r="B1532" s="1" t="n">
        <v>44869</v>
      </c>
      <c r="C1532" s="1" t="n">
        <v>45641</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52488-2022</t>
        </is>
      </c>
      <c r="B1533" s="1" t="n">
        <v>44869</v>
      </c>
      <c r="C1533" s="1" t="n">
        <v>45641</v>
      </c>
      <c r="D1533" t="inlineStr">
        <is>
          <t>VÄSTERBOTTENS LÄN</t>
        </is>
      </c>
      <c r="E1533" t="inlineStr">
        <is>
          <t>SKELLEFTEÅ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51919-2022</t>
        </is>
      </c>
      <c r="B1534" s="1" t="n">
        <v>44872</v>
      </c>
      <c r="C1534" s="1" t="n">
        <v>45641</v>
      </c>
      <c r="D1534" t="inlineStr">
        <is>
          <t>VÄSTERBOTTENS LÄN</t>
        </is>
      </c>
      <c r="E1534" t="inlineStr">
        <is>
          <t>SKELLEFTEÅ</t>
        </is>
      </c>
      <c r="F1534" t="inlineStr">
        <is>
          <t>Holmen skog AB</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51951-2022</t>
        </is>
      </c>
      <c r="B1535" s="1" t="n">
        <v>44872</v>
      </c>
      <c r="C1535" s="1" t="n">
        <v>45641</v>
      </c>
      <c r="D1535" t="inlineStr">
        <is>
          <t>VÄSTERBOTTENS LÄN</t>
        </is>
      </c>
      <c r="E1535" t="inlineStr">
        <is>
          <t>SKELLEFTEÅ</t>
        </is>
      </c>
      <c r="F1535" t="inlineStr">
        <is>
          <t>Holmen skog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52009-2022</t>
        </is>
      </c>
      <c r="B1536" s="1" t="n">
        <v>44872</v>
      </c>
      <c r="C1536" s="1" t="n">
        <v>45641</v>
      </c>
      <c r="D1536" t="inlineStr">
        <is>
          <t>VÄSTERBOTTENS LÄN</t>
        </is>
      </c>
      <c r="E1536" t="inlineStr">
        <is>
          <t>SKELLEFTEÅ</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51982-2022</t>
        </is>
      </c>
      <c r="B1537" s="1" t="n">
        <v>44872</v>
      </c>
      <c r="C1537" s="1" t="n">
        <v>45641</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51874-2022</t>
        </is>
      </c>
      <c r="B1538" s="1" t="n">
        <v>44872</v>
      </c>
      <c r="C1538" s="1" t="n">
        <v>45641</v>
      </c>
      <c r="D1538" t="inlineStr">
        <is>
          <t>VÄSTERBOTTENS LÄN</t>
        </is>
      </c>
      <c r="E1538" t="inlineStr">
        <is>
          <t>SKELLEFTEÅ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52864-2022</t>
        </is>
      </c>
      <c r="B1539" s="1" t="n">
        <v>44872</v>
      </c>
      <c r="C1539" s="1" t="n">
        <v>45641</v>
      </c>
      <c r="D1539" t="inlineStr">
        <is>
          <t>VÄSTERBOTTENS LÄN</t>
        </is>
      </c>
      <c r="E1539" t="inlineStr">
        <is>
          <t>SKELLEFTEÅ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52003-2022</t>
        </is>
      </c>
      <c r="B1540" s="1" t="n">
        <v>44872</v>
      </c>
      <c r="C1540" s="1" t="n">
        <v>45641</v>
      </c>
      <c r="D1540" t="inlineStr">
        <is>
          <t>VÄSTERBOTTENS LÄN</t>
        </is>
      </c>
      <c r="E1540" t="inlineStr">
        <is>
          <t>SKELLEFTEÅ</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52817-2022</t>
        </is>
      </c>
      <c r="B1541" s="1" t="n">
        <v>44872</v>
      </c>
      <c r="C1541" s="1" t="n">
        <v>45641</v>
      </c>
      <c r="D1541" t="inlineStr">
        <is>
          <t>VÄSTERBOTTENS LÄN</t>
        </is>
      </c>
      <c r="E1541" t="inlineStr">
        <is>
          <t>SKELLEFTEÅ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53753-2022</t>
        </is>
      </c>
      <c r="B1542" s="1" t="n">
        <v>44872</v>
      </c>
      <c r="C1542" s="1" t="n">
        <v>45641</v>
      </c>
      <c r="D1542" t="inlineStr">
        <is>
          <t>VÄSTERBOTTENS LÄN</t>
        </is>
      </c>
      <c r="E1542" t="inlineStr">
        <is>
          <t>SKELLEFTEÅ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52871-2022</t>
        </is>
      </c>
      <c r="B1543" s="1" t="n">
        <v>44872</v>
      </c>
      <c r="C1543" s="1" t="n">
        <v>45641</v>
      </c>
      <c r="D1543" t="inlineStr">
        <is>
          <t>VÄSTERBOTTENS LÄN</t>
        </is>
      </c>
      <c r="E1543" t="inlineStr">
        <is>
          <t>SKELLEFTEÅ</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53743-2022</t>
        </is>
      </c>
      <c r="B1544" s="1" t="n">
        <v>44872</v>
      </c>
      <c r="C1544" s="1" t="n">
        <v>45641</v>
      </c>
      <c r="D1544" t="inlineStr">
        <is>
          <t>VÄSTERBOTTENS LÄN</t>
        </is>
      </c>
      <c r="E1544" t="inlineStr">
        <is>
          <t>SKELLEFTEÅ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52855-2022</t>
        </is>
      </c>
      <c r="B1545" s="1" t="n">
        <v>44872</v>
      </c>
      <c r="C1545" s="1" t="n">
        <v>45641</v>
      </c>
      <c r="D1545" t="inlineStr">
        <is>
          <t>VÄSTERBOTTENS LÄN</t>
        </is>
      </c>
      <c r="E1545" t="inlineStr">
        <is>
          <t>SKELLEFTEÅ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52043-2022</t>
        </is>
      </c>
      <c r="B1546" s="1" t="n">
        <v>44873</v>
      </c>
      <c r="C1546" s="1" t="n">
        <v>45641</v>
      </c>
      <c r="D1546" t="inlineStr">
        <is>
          <t>VÄSTERBOTTENS LÄN</t>
        </is>
      </c>
      <c r="E1546" t="inlineStr">
        <is>
          <t>SKELLEFTEÅ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52589-2022</t>
        </is>
      </c>
      <c r="B1547" s="1" t="n">
        <v>44874</v>
      </c>
      <c r="C1547" s="1" t="n">
        <v>45641</v>
      </c>
      <c r="D1547" t="inlineStr">
        <is>
          <t>VÄSTERBOTTENS LÄN</t>
        </is>
      </c>
      <c r="E1547" t="inlineStr">
        <is>
          <t>SKELLEFTEÅ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52548-2022</t>
        </is>
      </c>
      <c r="B1548" s="1" t="n">
        <v>44874</v>
      </c>
      <c r="C1548" s="1" t="n">
        <v>45641</v>
      </c>
      <c r="D1548" t="inlineStr">
        <is>
          <t>VÄSTERBOTTENS LÄN</t>
        </is>
      </c>
      <c r="E1548" t="inlineStr">
        <is>
          <t>SKELLEFTEÅ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52555-2022</t>
        </is>
      </c>
      <c r="B1549" s="1" t="n">
        <v>44874</v>
      </c>
      <c r="C1549" s="1" t="n">
        <v>45641</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52835-2022</t>
        </is>
      </c>
      <c r="B1550" s="1" t="n">
        <v>44875</v>
      </c>
      <c r="C1550" s="1" t="n">
        <v>45641</v>
      </c>
      <c r="D1550" t="inlineStr">
        <is>
          <t>VÄSTERBOTTENS LÄN</t>
        </is>
      </c>
      <c r="E1550" t="inlineStr">
        <is>
          <t>SKELLEFTEÅ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52869-2022</t>
        </is>
      </c>
      <c r="B1551" s="1" t="n">
        <v>44875</v>
      </c>
      <c r="C1551" s="1" t="n">
        <v>45641</v>
      </c>
      <c r="D1551" t="inlineStr">
        <is>
          <t>VÄSTERBOTTENS LÄN</t>
        </is>
      </c>
      <c r="E1551" t="inlineStr">
        <is>
          <t>SKELLEFTEÅ</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52986-2022</t>
        </is>
      </c>
      <c r="B1552" s="1" t="n">
        <v>44875</v>
      </c>
      <c r="C1552" s="1" t="n">
        <v>45641</v>
      </c>
      <c r="D1552" t="inlineStr">
        <is>
          <t>VÄSTERBOTTENS LÄN</t>
        </is>
      </c>
      <c r="E1552" t="inlineStr">
        <is>
          <t>SKELLEFTEÅ</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52988-2022</t>
        </is>
      </c>
      <c r="B1553" s="1" t="n">
        <v>44875</v>
      </c>
      <c r="C1553" s="1" t="n">
        <v>45641</v>
      </c>
      <c r="D1553" t="inlineStr">
        <is>
          <t>VÄSTERBOTTENS LÄN</t>
        </is>
      </c>
      <c r="E1553" t="inlineStr">
        <is>
          <t>SKELLEFTEÅ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53033-2022</t>
        </is>
      </c>
      <c r="B1554" s="1" t="n">
        <v>44876</v>
      </c>
      <c r="C1554" s="1" t="n">
        <v>45641</v>
      </c>
      <c r="D1554" t="inlineStr">
        <is>
          <t>VÄSTERBOTTENS LÄN</t>
        </is>
      </c>
      <c r="E1554" t="inlineStr">
        <is>
          <t>SKELLEFTEÅ</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53075-2022</t>
        </is>
      </c>
      <c r="B1555" s="1" t="n">
        <v>44876</v>
      </c>
      <c r="C1555" s="1" t="n">
        <v>45641</v>
      </c>
      <c r="D1555" t="inlineStr">
        <is>
          <t>VÄSTERBOTTENS LÄN</t>
        </is>
      </c>
      <c r="E1555" t="inlineStr">
        <is>
          <t>SKELLEFTEÅ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53089-2022</t>
        </is>
      </c>
      <c r="B1556" s="1" t="n">
        <v>44876</v>
      </c>
      <c r="C1556" s="1" t="n">
        <v>45641</v>
      </c>
      <c r="D1556" t="inlineStr">
        <is>
          <t>VÄSTERBOTTENS LÄN</t>
        </is>
      </c>
      <c r="E1556" t="inlineStr">
        <is>
          <t>SKELLEFTEÅ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53092-2022</t>
        </is>
      </c>
      <c r="B1557" s="1" t="n">
        <v>44876</v>
      </c>
      <c r="C1557" s="1" t="n">
        <v>45641</v>
      </c>
      <c r="D1557" t="inlineStr">
        <is>
          <t>VÄSTERBOTTENS LÄN</t>
        </is>
      </c>
      <c r="E1557" t="inlineStr">
        <is>
          <t>SKELLEFTEÅ</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53083-2022</t>
        </is>
      </c>
      <c r="B1558" s="1" t="n">
        <v>44876</v>
      </c>
      <c r="C1558" s="1" t="n">
        <v>45641</v>
      </c>
      <c r="D1558" t="inlineStr">
        <is>
          <t>VÄSTERBOTTENS LÄN</t>
        </is>
      </c>
      <c r="E1558" t="inlineStr">
        <is>
          <t>SKELLEFTEÅ</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53639-2022</t>
        </is>
      </c>
      <c r="B1559" s="1" t="n">
        <v>44879</v>
      </c>
      <c r="C1559" s="1" t="n">
        <v>45641</v>
      </c>
      <c r="D1559" t="inlineStr">
        <is>
          <t>VÄSTERBOTTENS LÄN</t>
        </is>
      </c>
      <c r="E1559" t="inlineStr">
        <is>
          <t>SKELLEFTEÅ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53646-2022</t>
        </is>
      </c>
      <c r="B1560" s="1" t="n">
        <v>44879</v>
      </c>
      <c r="C1560" s="1" t="n">
        <v>45641</v>
      </c>
      <c r="D1560" t="inlineStr">
        <is>
          <t>VÄSTERBOTTENS LÄN</t>
        </is>
      </c>
      <c r="E1560" t="inlineStr">
        <is>
          <t>SKELLEFTEÅ</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53642-2022</t>
        </is>
      </c>
      <c r="B1561" s="1" t="n">
        <v>44879</v>
      </c>
      <c r="C1561" s="1" t="n">
        <v>45641</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53641-2022</t>
        </is>
      </c>
      <c r="B1562" s="1" t="n">
        <v>44879</v>
      </c>
      <c r="C1562" s="1" t="n">
        <v>45641</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54316-2022</t>
        </is>
      </c>
      <c r="B1563" s="1" t="n">
        <v>44879</v>
      </c>
      <c r="C1563" s="1" t="n">
        <v>45641</v>
      </c>
      <c r="D1563" t="inlineStr">
        <is>
          <t>VÄSTERBOTTENS LÄN</t>
        </is>
      </c>
      <c r="E1563" t="inlineStr">
        <is>
          <t>SKELLEFTEÅ</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54438-2022</t>
        </is>
      </c>
      <c r="B1564" s="1" t="n">
        <v>44880</v>
      </c>
      <c r="C1564" s="1" t="n">
        <v>45641</v>
      </c>
      <c r="D1564" t="inlineStr">
        <is>
          <t>VÄSTERBOTTENS LÄN</t>
        </is>
      </c>
      <c r="E1564" t="inlineStr">
        <is>
          <t>SKELLEFTEÅ</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53903-2022</t>
        </is>
      </c>
      <c r="B1565" s="1" t="n">
        <v>44880</v>
      </c>
      <c r="C1565" s="1" t="n">
        <v>45641</v>
      </c>
      <c r="D1565" t="inlineStr">
        <is>
          <t>VÄSTERBOTTENS LÄN</t>
        </is>
      </c>
      <c r="E1565" t="inlineStr">
        <is>
          <t>SKELLEFTEÅ</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54456-2022</t>
        </is>
      </c>
      <c r="B1566" s="1" t="n">
        <v>44880</v>
      </c>
      <c r="C1566" s="1" t="n">
        <v>45641</v>
      </c>
      <c r="D1566" t="inlineStr">
        <is>
          <t>VÄSTERBOTTENS LÄN</t>
        </is>
      </c>
      <c r="E1566" t="inlineStr">
        <is>
          <t>SKELLEFTEÅ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54081-2022</t>
        </is>
      </c>
      <c r="B1567" s="1" t="n">
        <v>44881</v>
      </c>
      <c r="C1567" s="1" t="n">
        <v>45641</v>
      </c>
      <c r="D1567" t="inlineStr">
        <is>
          <t>VÄSTERBOTTENS LÄN</t>
        </is>
      </c>
      <c r="E1567" t="inlineStr">
        <is>
          <t>SKELLEFTEÅ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54825-2022</t>
        </is>
      </c>
      <c r="B1568" s="1" t="n">
        <v>44883</v>
      </c>
      <c r="C1568" s="1" t="n">
        <v>45641</v>
      </c>
      <c r="D1568" t="inlineStr">
        <is>
          <t>VÄSTERBOTTENS LÄN</t>
        </is>
      </c>
      <c r="E1568" t="inlineStr">
        <is>
          <t>SKELLEFTEÅ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54635-2022</t>
        </is>
      </c>
      <c r="B1569" s="1" t="n">
        <v>44883</v>
      </c>
      <c r="C1569" s="1" t="n">
        <v>45641</v>
      </c>
      <c r="D1569" t="inlineStr">
        <is>
          <t>VÄSTERBOTTENS LÄN</t>
        </is>
      </c>
      <c r="E1569" t="inlineStr">
        <is>
          <t>SKELLEFTEÅ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55018-2022</t>
        </is>
      </c>
      <c r="B1570" s="1" t="n">
        <v>44886</v>
      </c>
      <c r="C1570" s="1" t="n">
        <v>45641</v>
      </c>
      <c r="D1570" t="inlineStr">
        <is>
          <t>VÄSTERBOTTENS LÄN</t>
        </is>
      </c>
      <c r="E1570" t="inlineStr">
        <is>
          <t>SKELLEFTEÅ</t>
        </is>
      </c>
      <c r="F1570" t="inlineStr">
        <is>
          <t>Holmen skog AB</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55063-2022</t>
        </is>
      </c>
      <c r="B1571" s="1" t="n">
        <v>44886</v>
      </c>
      <c r="C1571" s="1" t="n">
        <v>45641</v>
      </c>
      <c r="D1571" t="inlineStr">
        <is>
          <t>VÄSTERBOTTENS LÄN</t>
        </is>
      </c>
      <c r="E1571" t="inlineStr">
        <is>
          <t>SKELLEFTEÅ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55037-2022</t>
        </is>
      </c>
      <c r="B1572" s="1" t="n">
        <v>44886</v>
      </c>
      <c r="C1572" s="1" t="n">
        <v>45641</v>
      </c>
      <c r="D1572" t="inlineStr">
        <is>
          <t>VÄSTERBOTTENS LÄN</t>
        </is>
      </c>
      <c r="E1572" t="inlineStr">
        <is>
          <t>SKELLEFTEÅ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55176-2022</t>
        </is>
      </c>
      <c r="B1573" s="1" t="n">
        <v>44886</v>
      </c>
      <c r="C1573" s="1" t="n">
        <v>45641</v>
      </c>
      <c r="D1573" t="inlineStr">
        <is>
          <t>VÄSTERBOTTENS LÄN</t>
        </is>
      </c>
      <c r="E1573" t="inlineStr">
        <is>
          <t>SKELLEFTEÅ</t>
        </is>
      </c>
      <c r="F1573" t="inlineStr">
        <is>
          <t>Sveaskog</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56313-2022</t>
        </is>
      </c>
      <c r="B1574" s="1" t="n">
        <v>44887</v>
      </c>
      <c r="C1574" s="1" t="n">
        <v>45641</v>
      </c>
      <c r="D1574" t="inlineStr">
        <is>
          <t>VÄSTERBOTTENS LÄN</t>
        </is>
      </c>
      <c r="E1574" t="inlineStr">
        <is>
          <t>SKELLEFTEÅ</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56299-2022</t>
        </is>
      </c>
      <c r="B1575" s="1" t="n">
        <v>44887</v>
      </c>
      <c r="C1575" s="1" t="n">
        <v>45641</v>
      </c>
      <c r="D1575" t="inlineStr">
        <is>
          <t>VÄSTERBOTTENS LÄN</t>
        </is>
      </c>
      <c r="E1575" t="inlineStr">
        <is>
          <t>SKELLEFTEÅ</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55611-2022</t>
        </is>
      </c>
      <c r="B1576" s="1" t="n">
        <v>44888</v>
      </c>
      <c r="C1576" s="1" t="n">
        <v>45641</v>
      </c>
      <c r="D1576" t="inlineStr">
        <is>
          <t>VÄSTERBOTTENS LÄN</t>
        </is>
      </c>
      <c r="E1576" t="inlineStr">
        <is>
          <t>SKELLEFTEÅ</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55584-2022</t>
        </is>
      </c>
      <c r="B1577" s="1" t="n">
        <v>44888</v>
      </c>
      <c r="C1577" s="1" t="n">
        <v>45641</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55603-2022</t>
        </is>
      </c>
      <c r="B1578" s="1" t="n">
        <v>44888</v>
      </c>
      <c r="C1578" s="1" t="n">
        <v>45641</v>
      </c>
      <c r="D1578" t="inlineStr">
        <is>
          <t>VÄSTERBOTTENS LÄN</t>
        </is>
      </c>
      <c r="E1578" t="inlineStr">
        <is>
          <t>SKELLEFTEÅ</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55623-2022</t>
        </is>
      </c>
      <c r="B1579" s="1" t="n">
        <v>44888</v>
      </c>
      <c r="C1579" s="1" t="n">
        <v>45641</v>
      </c>
      <c r="D1579" t="inlineStr">
        <is>
          <t>VÄSTERBOTTENS LÄN</t>
        </is>
      </c>
      <c r="E1579" t="inlineStr">
        <is>
          <t>SKELLEFTEÅ</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55815-2022</t>
        </is>
      </c>
      <c r="B1580" s="1" t="n">
        <v>44888</v>
      </c>
      <c r="C1580" s="1" t="n">
        <v>45641</v>
      </c>
      <c r="D1580" t="inlineStr">
        <is>
          <t>VÄSTERBOTTENS LÄN</t>
        </is>
      </c>
      <c r="E1580" t="inlineStr">
        <is>
          <t>SKELLEFTEÅ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55827-2022</t>
        </is>
      </c>
      <c r="B1581" s="1" t="n">
        <v>44888</v>
      </c>
      <c r="C1581" s="1" t="n">
        <v>45641</v>
      </c>
      <c r="D1581" t="inlineStr">
        <is>
          <t>VÄSTERBOTTENS LÄN</t>
        </is>
      </c>
      <c r="E1581" t="inlineStr">
        <is>
          <t>SKELLEFTEÅ</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56824-2022</t>
        </is>
      </c>
      <c r="B1582" s="1" t="n">
        <v>44888</v>
      </c>
      <c r="C1582" s="1" t="n">
        <v>45641</v>
      </c>
      <c r="D1582" t="inlineStr">
        <is>
          <t>VÄSTERBOTTENS LÄN</t>
        </is>
      </c>
      <c r="E1582" t="inlineStr">
        <is>
          <t>SKELLEFTEÅ</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56031-2022</t>
        </is>
      </c>
      <c r="B1583" s="1" t="n">
        <v>44889</v>
      </c>
      <c r="C1583" s="1" t="n">
        <v>45641</v>
      </c>
      <c r="D1583" t="inlineStr">
        <is>
          <t>VÄSTERBOTTENS LÄN</t>
        </is>
      </c>
      <c r="E1583" t="inlineStr">
        <is>
          <t>SKELLEFTEÅ</t>
        </is>
      </c>
      <c r="F1583" t="inlineStr">
        <is>
          <t>Sveaskog</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55982-2022</t>
        </is>
      </c>
      <c r="B1584" s="1" t="n">
        <v>44889</v>
      </c>
      <c r="C1584" s="1" t="n">
        <v>45641</v>
      </c>
      <c r="D1584" t="inlineStr">
        <is>
          <t>VÄSTERBOTTENS LÄN</t>
        </is>
      </c>
      <c r="E1584" t="inlineStr">
        <is>
          <t>SKELLEFTEÅ</t>
        </is>
      </c>
      <c r="F1584" t="inlineStr">
        <is>
          <t>Holmen skog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55999-2022</t>
        </is>
      </c>
      <c r="B1585" s="1" t="n">
        <v>44889</v>
      </c>
      <c r="C1585" s="1" t="n">
        <v>45641</v>
      </c>
      <c r="D1585" t="inlineStr">
        <is>
          <t>VÄSTERBOTTENS LÄN</t>
        </is>
      </c>
      <c r="E1585" t="inlineStr">
        <is>
          <t>SKELLEFTEÅ</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56072-2022</t>
        </is>
      </c>
      <c r="B1586" s="1" t="n">
        <v>44889</v>
      </c>
      <c r="C1586" s="1" t="n">
        <v>45641</v>
      </c>
      <c r="D1586" t="inlineStr">
        <is>
          <t>VÄSTERBOTTENS LÄN</t>
        </is>
      </c>
      <c r="E1586" t="inlineStr">
        <is>
          <t>SKELLEFTEÅ</t>
        </is>
      </c>
      <c r="F1586" t="inlineStr">
        <is>
          <t>Holmen skog AB</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56141-2022</t>
        </is>
      </c>
      <c r="B1587" s="1" t="n">
        <v>44889</v>
      </c>
      <c r="C1587" s="1" t="n">
        <v>45641</v>
      </c>
      <c r="D1587" t="inlineStr">
        <is>
          <t>VÄSTERBOTTENS LÄN</t>
        </is>
      </c>
      <c r="E1587" t="inlineStr">
        <is>
          <t>SKELLEFTEÅ</t>
        </is>
      </c>
      <c r="F1587" t="inlineStr">
        <is>
          <t>Sveaskog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56155-2022</t>
        </is>
      </c>
      <c r="B1588" s="1" t="n">
        <v>44889</v>
      </c>
      <c r="C1588" s="1" t="n">
        <v>45641</v>
      </c>
      <c r="D1588" t="inlineStr">
        <is>
          <t>VÄSTERBOTTENS LÄN</t>
        </is>
      </c>
      <c r="E1588" t="inlineStr">
        <is>
          <t>SKELLEFTEÅ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56113-2022</t>
        </is>
      </c>
      <c r="B1589" s="1" t="n">
        <v>44889</v>
      </c>
      <c r="C1589" s="1" t="n">
        <v>45641</v>
      </c>
      <c r="D1589" t="inlineStr">
        <is>
          <t>VÄSTERBOTTENS LÄN</t>
        </is>
      </c>
      <c r="E1589" t="inlineStr">
        <is>
          <t>SKELLEFTEÅ</t>
        </is>
      </c>
      <c r="F1589" t="inlineStr">
        <is>
          <t>Sveaskog</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56156-2022</t>
        </is>
      </c>
      <c r="B1590" s="1" t="n">
        <v>44889</v>
      </c>
      <c r="C1590" s="1" t="n">
        <v>45641</v>
      </c>
      <c r="D1590" t="inlineStr">
        <is>
          <t>VÄSTERBOTTENS LÄN</t>
        </is>
      </c>
      <c r="E1590" t="inlineStr">
        <is>
          <t>SKELLEFTEÅ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57405-2022</t>
        </is>
      </c>
      <c r="B1591" s="1" t="n">
        <v>44889</v>
      </c>
      <c r="C1591" s="1" t="n">
        <v>45641</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57432-2022</t>
        </is>
      </c>
      <c r="B1592" s="1" t="n">
        <v>44889</v>
      </c>
      <c r="C1592" s="1" t="n">
        <v>45641</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56284-2022</t>
        </is>
      </c>
      <c r="B1593" s="1" t="n">
        <v>44890</v>
      </c>
      <c r="C1593" s="1" t="n">
        <v>45641</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56394-2022</t>
        </is>
      </c>
      <c r="B1594" s="1" t="n">
        <v>44890</v>
      </c>
      <c r="C1594" s="1" t="n">
        <v>45641</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56435-2022</t>
        </is>
      </c>
      <c r="B1595" s="1" t="n">
        <v>44892</v>
      </c>
      <c r="C1595" s="1" t="n">
        <v>45641</v>
      </c>
      <c r="D1595" t="inlineStr">
        <is>
          <t>VÄSTERBOTTENS LÄN</t>
        </is>
      </c>
      <c r="E1595" t="inlineStr">
        <is>
          <t>SKELLEFTEÅ</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56503-2022</t>
        </is>
      </c>
      <c r="B1596" s="1" t="n">
        <v>44893</v>
      </c>
      <c r="C1596" s="1" t="n">
        <v>45641</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57406-2022</t>
        </is>
      </c>
      <c r="B1597" s="1" t="n">
        <v>44893</v>
      </c>
      <c r="C1597" s="1" t="n">
        <v>45641</v>
      </c>
      <c r="D1597" t="inlineStr">
        <is>
          <t>VÄSTERBOTTENS LÄN</t>
        </is>
      </c>
      <c r="E1597" t="inlineStr">
        <is>
          <t>SKELLEFTEÅ</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58114-2022</t>
        </is>
      </c>
      <c r="B1598" s="1" t="n">
        <v>44893</v>
      </c>
      <c r="C1598" s="1" t="n">
        <v>45641</v>
      </c>
      <c r="D1598" t="inlineStr">
        <is>
          <t>VÄSTERBOTTENS LÄN</t>
        </is>
      </c>
      <c r="E1598" t="inlineStr">
        <is>
          <t>SKELLEFTEÅ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56993-2022</t>
        </is>
      </c>
      <c r="B1599" s="1" t="n">
        <v>44894</v>
      </c>
      <c r="C1599" s="1" t="n">
        <v>45641</v>
      </c>
      <c r="D1599" t="inlineStr">
        <is>
          <t>VÄSTERBOTTENS LÄN</t>
        </is>
      </c>
      <c r="E1599" t="inlineStr">
        <is>
          <t>SKELLEFTEÅ</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56960-2022</t>
        </is>
      </c>
      <c r="B1600" s="1" t="n">
        <v>44894</v>
      </c>
      <c r="C1600" s="1" t="n">
        <v>45641</v>
      </c>
      <c r="D1600" t="inlineStr">
        <is>
          <t>VÄSTERBOTTENS LÄN</t>
        </is>
      </c>
      <c r="E1600" t="inlineStr">
        <is>
          <t>SKELLEFTEÅ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56995-2022</t>
        </is>
      </c>
      <c r="B1601" s="1" t="n">
        <v>44894</v>
      </c>
      <c r="C1601" s="1" t="n">
        <v>45641</v>
      </c>
      <c r="D1601" t="inlineStr">
        <is>
          <t>VÄSTERBOTTENS LÄN</t>
        </is>
      </c>
      <c r="E1601" t="inlineStr">
        <is>
          <t>SKELLEFTEÅ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58250-2022</t>
        </is>
      </c>
      <c r="B1602" s="1" t="n">
        <v>44894</v>
      </c>
      <c r="C1602" s="1" t="n">
        <v>45641</v>
      </c>
      <c r="D1602" t="inlineStr">
        <is>
          <t>VÄSTERBOTTENS LÄN</t>
        </is>
      </c>
      <c r="E1602" t="inlineStr">
        <is>
          <t>SKELLEFTEÅ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58634-2022</t>
        </is>
      </c>
      <c r="B1603" s="1" t="n">
        <v>44894</v>
      </c>
      <c r="C1603" s="1" t="n">
        <v>45641</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57059-2022</t>
        </is>
      </c>
      <c r="B1604" s="1" t="n">
        <v>44895</v>
      </c>
      <c r="C1604" s="1" t="n">
        <v>45641</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57103-2022</t>
        </is>
      </c>
      <c r="B1605" s="1" t="n">
        <v>44895</v>
      </c>
      <c r="C1605" s="1" t="n">
        <v>45641</v>
      </c>
      <c r="D1605" t="inlineStr">
        <is>
          <t>VÄSTERBOTTENS LÄN</t>
        </is>
      </c>
      <c r="E1605" t="inlineStr">
        <is>
          <t>SKELLEFTEÅ</t>
        </is>
      </c>
      <c r="F1605" t="inlineStr">
        <is>
          <t>Holmen skog AB</t>
        </is>
      </c>
      <c r="G1605" t="n">
        <v>18.7</v>
      </c>
      <c r="H1605" t="n">
        <v>0</v>
      </c>
      <c r="I1605" t="n">
        <v>0</v>
      </c>
      <c r="J1605" t="n">
        <v>0</v>
      </c>
      <c r="K1605" t="n">
        <v>0</v>
      </c>
      <c r="L1605" t="n">
        <v>0</v>
      </c>
      <c r="M1605" t="n">
        <v>0</v>
      </c>
      <c r="N1605" t="n">
        <v>0</v>
      </c>
      <c r="O1605" t="n">
        <v>0</v>
      </c>
      <c r="P1605" t="n">
        <v>0</v>
      </c>
      <c r="Q1605" t="n">
        <v>0</v>
      </c>
      <c r="R1605" s="2" t="inlineStr"/>
    </row>
    <row r="1606" ht="15" customHeight="1">
      <c r="A1606" t="inlineStr">
        <is>
          <t>A 57057-2022</t>
        </is>
      </c>
      <c r="B1606" s="1" t="n">
        <v>44895</v>
      </c>
      <c r="C1606" s="1" t="n">
        <v>45641</v>
      </c>
      <c r="D1606" t="inlineStr">
        <is>
          <t>VÄSTERBOTTENS LÄN</t>
        </is>
      </c>
      <c r="E1606" t="inlineStr">
        <is>
          <t>SKELLEFTEÅ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57054-2022</t>
        </is>
      </c>
      <c r="B1607" s="1" t="n">
        <v>44895</v>
      </c>
      <c r="C1607" s="1" t="n">
        <v>45641</v>
      </c>
      <c r="D1607" t="inlineStr">
        <is>
          <t>VÄSTERBOTTENS LÄN</t>
        </is>
      </c>
      <c r="E1607" t="inlineStr">
        <is>
          <t>SKELLEFTEÅ</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57152-2022</t>
        </is>
      </c>
      <c r="B1608" s="1" t="n">
        <v>44895</v>
      </c>
      <c r="C1608" s="1" t="n">
        <v>45641</v>
      </c>
      <c r="D1608" t="inlineStr">
        <is>
          <t>VÄSTERBOTTENS LÄN</t>
        </is>
      </c>
      <c r="E1608" t="inlineStr">
        <is>
          <t>SKELLEFTEÅ</t>
        </is>
      </c>
      <c r="F1608" t="inlineStr">
        <is>
          <t>Holmen skog AB</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57187-2022</t>
        </is>
      </c>
      <c r="B1609" s="1" t="n">
        <v>44895</v>
      </c>
      <c r="C1609" s="1" t="n">
        <v>45641</v>
      </c>
      <c r="D1609" t="inlineStr">
        <is>
          <t>VÄSTERBOTTENS LÄN</t>
        </is>
      </c>
      <c r="E1609" t="inlineStr">
        <is>
          <t>SKELLEFTEÅ</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58897-2022</t>
        </is>
      </c>
      <c r="B1610" s="1" t="n">
        <v>44895</v>
      </c>
      <c r="C1610" s="1" t="n">
        <v>45641</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58814-2022</t>
        </is>
      </c>
      <c r="B1611" s="1" t="n">
        <v>44895</v>
      </c>
      <c r="C1611" s="1" t="n">
        <v>45641</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57364-2022</t>
        </is>
      </c>
      <c r="B1612" s="1" t="n">
        <v>44896</v>
      </c>
      <c r="C1612" s="1" t="n">
        <v>45641</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57417-2022</t>
        </is>
      </c>
      <c r="B1613" s="1" t="n">
        <v>44896</v>
      </c>
      <c r="C1613" s="1" t="n">
        <v>45641</v>
      </c>
      <c r="D1613" t="inlineStr">
        <is>
          <t>VÄSTERBOTTENS LÄN</t>
        </is>
      </c>
      <c r="E1613" t="inlineStr">
        <is>
          <t>SKELLEFTEÅ</t>
        </is>
      </c>
      <c r="F1613" t="inlineStr">
        <is>
          <t>Holmen skog AB</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57579-2022</t>
        </is>
      </c>
      <c r="B1614" s="1" t="n">
        <v>44896</v>
      </c>
      <c r="C1614" s="1" t="n">
        <v>45641</v>
      </c>
      <c r="D1614" t="inlineStr">
        <is>
          <t>VÄSTERBOTTENS LÄN</t>
        </is>
      </c>
      <c r="E1614" t="inlineStr">
        <is>
          <t>SKELLEFTEÅ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57362-2022</t>
        </is>
      </c>
      <c r="B1615" s="1" t="n">
        <v>44896</v>
      </c>
      <c r="C1615" s="1" t="n">
        <v>45641</v>
      </c>
      <c r="D1615" t="inlineStr">
        <is>
          <t>VÄSTERBOTTENS LÄN</t>
        </is>
      </c>
      <c r="E1615" t="inlineStr">
        <is>
          <t>SKELLEFTEÅ</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57457-2022</t>
        </is>
      </c>
      <c r="B1616" s="1" t="n">
        <v>44896</v>
      </c>
      <c r="C1616" s="1" t="n">
        <v>45641</v>
      </c>
      <c r="D1616" t="inlineStr">
        <is>
          <t>VÄSTERBOTTENS LÄN</t>
        </is>
      </c>
      <c r="E1616" t="inlineStr">
        <is>
          <t>SKELLEFTEÅ</t>
        </is>
      </c>
      <c r="F1616" t="inlineStr">
        <is>
          <t>Holmen skog AB</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57569-2022</t>
        </is>
      </c>
      <c r="B1617" s="1" t="n">
        <v>44896</v>
      </c>
      <c r="C1617" s="1" t="n">
        <v>45641</v>
      </c>
      <c r="D1617" t="inlineStr">
        <is>
          <t>VÄSTERBOTTENS LÄN</t>
        </is>
      </c>
      <c r="E1617" t="inlineStr">
        <is>
          <t>SKELLEFTEÅ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57570-2022</t>
        </is>
      </c>
      <c r="B1618" s="1" t="n">
        <v>44896</v>
      </c>
      <c r="C1618" s="1" t="n">
        <v>45641</v>
      </c>
      <c r="D1618" t="inlineStr">
        <is>
          <t>VÄSTERBOTTENS LÄN</t>
        </is>
      </c>
      <c r="E1618" t="inlineStr">
        <is>
          <t>SKELLEFTEÅ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57577-2022</t>
        </is>
      </c>
      <c r="B1619" s="1" t="n">
        <v>44896</v>
      </c>
      <c r="C1619" s="1" t="n">
        <v>45641</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57583-2022</t>
        </is>
      </c>
      <c r="B1620" s="1" t="n">
        <v>44896</v>
      </c>
      <c r="C1620" s="1" t="n">
        <v>45641</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57582-2022</t>
        </is>
      </c>
      <c r="B1621" s="1" t="n">
        <v>44896</v>
      </c>
      <c r="C1621" s="1" t="n">
        <v>45641</v>
      </c>
      <c r="D1621" t="inlineStr">
        <is>
          <t>VÄSTERBOTTENS LÄN</t>
        </is>
      </c>
      <c r="E1621" t="inlineStr">
        <is>
          <t>SKELLEFTEÅ</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57571-2022</t>
        </is>
      </c>
      <c r="B1622" s="1" t="n">
        <v>44896</v>
      </c>
      <c r="C1622" s="1" t="n">
        <v>45641</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57578-2022</t>
        </is>
      </c>
      <c r="B1623" s="1" t="n">
        <v>44896</v>
      </c>
      <c r="C1623" s="1" t="n">
        <v>45641</v>
      </c>
      <c r="D1623" t="inlineStr">
        <is>
          <t>VÄSTERBOTTENS LÄN</t>
        </is>
      </c>
      <c r="E1623" t="inlineStr">
        <is>
          <t>SKELLEFTEÅ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57584-2022</t>
        </is>
      </c>
      <c r="B1624" s="1" t="n">
        <v>44896</v>
      </c>
      <c r="C1624" s="1" t="n">
        <v>45641</v>
      </c>
      <c r="D1624" t="inlineStr">
        <is>
          <t>VÄSTERBOTTENS LÄN</t>
        </is>
      </c>
      <c r="E1624" t="inlineStr">
        <is>
          <t>SKELLEFTEÅ</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58877-2022</t>
        </is>
      </c>
      <c r="B1625" s="1" t="n">
        <v>44896</v>
      </c>
      <c r="C1625" s="1" t="n">
        <v>45641</v>
      </c>
      <c r="D1625" t="inlineStr">
        <is>
          <t>VÄSTERBOTTENS LÄN</t>
        </is>
      </c>
      <c r="E1625" t="inlineStr">
        <is>
          <t>SKELLEFTEÅ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58926-2022</t>
        </is>
      </c>
      <c r="B1626" s="1" t="n">
        <v>44896</v>
      </c>
      <c r="C1626" s="1" t="n">
        <v>45641</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57646-2022</t>
        </is>
      </c>
      <c r="B1627" s="1" t="n">
        <v>44897</v>
      </c>
      <c r="C1627" s="1" t="n">
        <v>45641</v>
      </c>
      <c r="D1627" t="inlineStr">
        <is>
          <t>VÄSTERBOTTENS LÄN</t>
        </is>
      </c>
      <c r="E1627" t="inlineStr">
        <is>
          <t>SKELLEFTEÅ</t>
        </is>
      </c>
      <c r="F1627" t="inlineStr">
        <is>
          <t>Holmen skog AB</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57770-2022</t>
        </is>
      </c>
      <c r="B1628" s="1" t="n">
        <v>44897</v>
      </c>
      <c r="C1628" s="1" t="n">
        <v>45641</v>
      </c>
      <c r="D1628" t="inlineStr">
        <is>
          <t>VÄSTERBOTTENS LÄN</t>
        </is>
      </c>
      <c r="E1628" t="inlineStr">
        <is>
          <t>SKELLEFTEÅ</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57654-2022</t>
        </is>
      </c>
      <c r="B1629" s="1" t="n">
        <v>44897</v>
      </c>
      <c r="C1629" s="1" t="n">
        <v>45641</v>
      </c>
      <c r="D1629" t="inlineStr">
        <is>
          <t>VÄSTERBOTTENS LÄN</t>
        </is>
      </c>
      <c r="E1629" t="inlineStr">
        <is>
          <t>SKELLEFTEÅ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57659-2022</t>
        </is>
      </c>
      <c r="B1630" s="1" t="n">
        <v>44897</v>
      </c>
      <c r="C1630" s="1" t="n">
        <v>45641</v>
      </c>
      <c r="D1630" t="inlineStr">
        <is>
          <t>VÄSTERBOTTENS LÄN</t>
        </is>
      </c>
      <c r="E1630" t="inlineStr">
        <is>
          <t>SKELLEFTEÅ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59020-2022</t>
        </is>
      </c>
      <c r="B1631" s="1" t="n">
        <v>44897</v>
      </c>
      <c r="C1631" s="1" t="n">
        <v>45641</v>
      </c>
      <c r="D1631" t="inlineStr">
        <is>
          <t>VÄSTERBOTTENS LÄN</t>
        </is>
      </c>
      <c r="E1631" t="inlineStr">
        <is>
          <t>SKELLEFTEÅ</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57847-2022</t>
        </is>
      </c>
      <c r="B1632" s="1" t="n">
        <v>44898</v>
      </c>
      <c r="C1632" s="1" t="n">
        <v>45641</v>
      </c>
      <c r="D1632" t="inlineStr">
        <is>
          <t>VÄSTERBOTTENS LÄN</t>
        </is>
      </c>
      <c r="E1632" t="inlineStr">
        <is>
          <t>SKELLEFTEÅ</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57849-2022</t>
        </is>
      </c>
      <c r="B1633" s="1" t="n">
        <v>44898</v>
      </c>
      <c r="C1633" s="1" t="n">
        <v>45641</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57848-2022</t>
        </is>
      </c>
      <c r="B1634" s="1" t="n">
        <v>44898</v>
      </c>
      <c r="C1634" s="1" t="n">
        <v>45641</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57851-2022</t>
        </is>
      </c>
      <c r="B1635" s="1" t="n">
        <v>44898</v>
      </c>
      <c r="C1635" s="1" t="n">
        <v>45641</v>
      </c>
      <c r="D1635" t="inlineStr">
        <is>
          <t>VÄSTERBOTTENS LÄN</t>
        </is>
      </c>
      <c r="E1635" t="inlineStr">
        <is>
          <t>SKELLEFTEÅ</t>
        </is>
      </c>
      <c r="F1635" t="inlineStr">
        <is>
          <t>Holmen skog AB</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57908-2022</t>
        </is>
      </c>
      <c r="B1636" s="1" t="n">
        <v>44900</v>
      </c>
      <c r="C1636" s="1" t="n">
        <v>45641</v>
      </c>
      <c r="D1636" t="inlineStr">
        <is>
          <t>VÄSTERBOTTENS LÄN</t>
        </is>
      </c>
      <c r="E1636" t="inlineStr">
        <is>
          <t>SKELLEFTEÅ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58053-2022</t>
        </is>
      </c>
      <c r="B1637" s="1" t="n">
        <v>44900</v>
      </c>
      <c r="C1637" s="1" t="n">
        <v>45641</v>
      </c>
      <c r="D1637" t="inlineStr">
        <is>
          <t>VÄSTERBOTTENS LÄN</t>
        </is>
      </c>
      <c r="E1637" t="inlineStr">
        <is>
          <t>SKELLEFTEÅ</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57899-2022</t>
        </is>
      </c>
      <c r="B1638" s="1" t="n">
        <v>44900</v>
      </c>
      <c r="C1638" s="1" t="n">
        <v>45641</v>
      </c>
      <c r="D1638" t="inlineStr">
        <is>
          <t>VÄSTERBOTTENS LÄN</t>
        </is>
      </c>
      <c r="E1638" t="inlineStr">
        <is>
          <t>SKELLEFTEÅ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58063-2022</t>
        </is>
      </c>
      <c r="B1639" s="1" t="n">
        <v>44900</v>
      </c>
      <c r="C1639" s="1" t="n">
        <v>45641</v>
      </c>
      <c r="D1639" t="inlineStr">
        <is>
          <t>VÄSTERBOTTENS LÄN</t>
        </is>
      </c>
      <c r="E1639" t="inlineStr">
        <is>
          <t>SKELLEFTEÅ</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59754-2022</t>
        </is>
      </c>
      <c r="B1640" s="1" t="n">
        <v>44900</v>
      </c>
      <c r="C1640" s="1" t="n">
        <v>45641</v>
      </c>
      <c r="D1640" t="inlineStr">
        <is>
          <t>VÄSTERBOTTENS LÄN</t>
        </is>
      </c>
      <c r="E1640" t="inlineStr">
        <is>
          <t>SKELLEFTEÅ</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58298-2022</t>
        </is>
      </c>
      <c r="B1641" s="1" t="n">
        <v>44901</v>
      </c>
      <c r="C1641" s="1" t="n">
        <v>45641</v>
      </c>
      <c r="D1641" t="inlineStr">
        <is>
          <t>VÄSTERBOTTENS LÄN</t>
        </is>
      </c>
      <c r="E1641" t="inlineStr">
        <is>
          <t>SKELLEFTEÅ</t>
        </is>
      </c>
      <c r="F1641" t="inlineStr">
        <is>
          <t>Sveaskog</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58325-2022</t>
        </is>
      </c>
      <c r="B1642" s="1" t="n">
        <v>44901</v>
      </c>
      <c r="C1642" s="1" t="n">
        <v>45641</v>
      </c>
      <c r="D1642" t="inlineStr">
        <is>
          <t>VÄSTERBOTTENS LÄN</t>
        </is>
      </c>
      <c r="E1642" t="inlineStr">
        <is>
          <t>SKELLEFTEÅ</t>
        </is>
      </c>
      <c r="F1642" t="inlineStr">
        <is>
          <t>Sveaskog</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58376-2022</t>
        </is>
      </c>
      <c r="B1643" s="1" t="n">
        <v>44901</v>
      </c>
      <c r="C1643" s="1" t="n">
        <v>45641</v>
      </c>
      <c r="D1643" t="inlineStr">
        <is>
          <t>VÄSTERBOTTENS LÄN</t>
        </is>
      </c>
      <c r="E1643" t="inlineStr">
        <is>
          <t>SKELLEFTEÅ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58429-2022</t>
        </is>
      </c>
      <c r="B1644" s="1" t="n">
        <v>44901</v>
      </c>
      <c r="C1644" s="1" t="n">
        <v>45641</v>
      </c>
      <c r="D1644" t="inlineStr">
        <is>
          <t>VÄSTERBOTTENS LÄN</t>
        </is>
      </c>
      <c r="E1644" t="inlineStr">
        <is>
          <t>SKELLEFTEÅ</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58304-2022</t>
        </is>
      </c>
      <c r="B1645" s="1" t="n">
        <v>44901</v>
      </c>
      <c r="C1645" s="1" t="n">
        <v>45641</v>
      </c>
      <c r="D1645" t="inlineStr">
        <is>
          <t>VÄSTERBOTTENS LÄN</t>
        </is>
      </c>
      <c r="E1645" t="inlineStr">
        <is>
          <t>SKELLEFTEÅ</t>
        </is>
      </c>
      <c r="F1645" t="inlineStr">
        <is>
          <t>Sveaskog</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58197-2022</t>
        </is>
      </c>
      <c r="B1646" s="1" t="n">
        <v>44901</v>
      </c>
      <c r="C1646" s="1" t="n">
        <v>45641</v>
      </c>
      <c r="D1646" t="inlineStr">
        <is>
          <t>VÄSTERBOTTENS LÄN</t>
        </is>
      </c>
      <c r="E1646" t="inlineStr">
        <is>
          <t>SKELLEFTEÅ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58295-2022</t>
        </is>
      </c>
      <c r="B1647" s="1" t="n">
        <v>44901</v>
      </c>
      <c r="C1647" s="1" t="n">
        <v>45641</v>
      </c>
      <c r="D1647" t="inlineStr">
        <is>
          <t>VÄSTERBOTTENS LÄN</t>
        </is>
      </c>
      <c r="E1647" t="inlineStr">
        <is>
          <t>SKELLEFTEÅ</t>
        </is>
      </c>
      <c r="F1647" t="inlineStr">
        <is>
          <t>Sveaskog</t>
        </is>
      </c>
      <c r="G1647" t="n">
        <v>18.3</v>
      </c>
      <c r="H1647" t="n">
        <v>0</v>
      </c>
      <c r="I1647" t="n">
        <v>0</v>
      </c>
      <c r="J1647" t="n">
        <v>0</v>
      </c>
      <c r="K1647" t="n">
        <v>0</v>
      </c>
      <c r="L1647" t="n">
        <v>0</v>
      </c>
      <c r="M1647" t="n">
        <v>0</v>
      </c>
      <c r="N1647" t="n">
        <v>0</v>
      </c>
      <c r="O1647" t="n">
        <v>0</v>
      </c>
      <c r="P1647" t="n">
        <v>0</v>
      </c>
      <c r="Q1647" t="n">
        <v>0</v>
      </c>
      <c r="R1647" s="2" t="inlineStr"/>
    </row>
    <row r="1648" ht="15" customHeight="1">
      <c r="A1648" t="inlineStr">
        <is>
          <t>A 58349-2022</t>
        </is>
      </c>
      <c r="B1648" s="1" t="n">
        <v>44901</v>
      </c>
      <c r="C1648" s="1" t="n">
        <v>45641</v>
      </c>
      <c r="D1648" t="inlineStr">
        <is>
          <t>VÄSTERBOTTENS LÄN</t>
        </is>
      </c>
      <c r="E1648" t="inlineStr">
        <is>
          <t>SKELLEFTEÅ</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58464-2022</t>
        </is>
      </c>
      <c r="B1649" s="1" t="n">
        <v>44902</v>
      </c>
      <c r="C1649" s="1" t="n">
        <v>45641</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58572-2022</t>
        </is>
      </c>
      <c r="B1650" s="1" t="n">
        <v>44902</v>
      </c>
      <c r="C1650" s="1" t="n">
        <v>45641</v>
      </c>
      <c r="D1650" t="inlineStr">
        <is>
          <t>VÄSTERBOTTENS LÄN</t>
        </is>
      </c>
      <c r="E1650" t="inlineStr">
        <is>
          <t>SKELLEFTEÅ</t>
        </is>
      </c>
      <c r="F1650" t="inlineStr">
        <is>
          <t>Sveaskog</t>
        </is>
      </c>
      <c r="G1650" t="n">
        <v>14.7</v>
      </c>
      <c r="H1650" t="n">
        <v>0</v>
      </c>
      <c r="I1650" t="n">
        <v>0</v>
      </c>
      <c r="J1650" t="n">
        <v>0</v>
      </c>
      <c r="K1650" t="n">
        <v>0</v>
      </c>
      <c r="L1650" t="n">
        <v>0</v>
      </c>
      <c r="M1650" t="n">
        <v>0</v>
      </c>
      <c r="N1650" t="n">
        <v>0</v>
      </c>
      <c r="O1650" t="n">
        <v>0</v>
      </c>
      <c r="P1650" t="n">
        <v>0</v>
      </c>
      <c r="Q1650" t="n">
        <v>0</v>
      </c>
      <c r="R1650" s="2" t="inlineStr"/>
    </row>
    <row r="1651" ht="15" customHeight="1">
      <c r="A1651" t="inlineStr">
        <is>
          <t>A 58676-2022</t>
        </is>
      </c>
      <c r="B1651" s="1" t="n">
        <v>44902</v>
      </c>
      <c r="C1651" s="1" t="n">
        <v>45641</v>
      </c>
      <c r="D1651" t="inlineStr">
        <is>
          <t>VÄSTERBOTTENS LÄN</t>
        </is>
      </c>
      <c r="E1651" t="inlineStr">
        <is>
          <t>SKELLEFTEÅ</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58803-2022</t>
        </is>
      </c>
      <c r="B1652" s="1" t="n">
        <v>44903</v>
      </c>
      <c r="C1652" s="1" t="n">
        <v>45641</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60237-2022</t>
        </is>
      </c>
      <c r="B1653" s="1" t="n">
        <v>44903</v>
      </c>
      <c r="C1653" s="1" t="n">
        <v>45641</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59067-2022</t>
        </is>
      </c>
      <c r="B1654" s="1" t="n">
        <v>44904</v>
      </c>
      <c r="C1654" s="1" t="n">
        <v>45641</v>
      </c>
      <c r="D1654" t="inlineStr">
        <is>
          <t>VÄSTERBOTTENS LÄN</t>
        </is>
      </c>
      <c r="E1654" t="inlineStr">
        <is>
          <t>SKELLEFTEÅ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60558-2022</t>
        </is>
      </c>
      <c r="B1655" s="1" t="n">
        <v>44904</v>
      </c>
      <c r="C1655" s="1" t="n">
        <v>45641</v>
      </c>
      <c r="D1655" t="inlineStr">
        <is>
          <t>VÄSTERBOTTENS LÄN</t>
        </is>
      </c>
      <c r="E1655" t="inlineStr">
        <is>
          <t>SKELLEFTEÅ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60356-2022</t>
        </is>
      </c>
      <c r="B1656" s="1" t="n">
        <v>44904</v>
      </c>
      <c r="C1656" s="1" t="n">
        <v>45641</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59531-2022</t>
        </is>
      </c>
      <c r="B1657" s="1" t="n">
        <v>44907</v>
      </c>
      <c r="C1657" s="1" t="n">
        <v>45641</v>
      </c>
      <c r="D1657" t="inlineStr">
        <is>
          <t>VÄSTERBOTTENS LÄN</t>
        </is>
      </c>
      <c r="E1657" t="inlineStr">
        <is>
          <t>SKELLEFTEÅ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60981-2022</t>
        </is>
      </c>
      <c r="B1658" s="1" t="n">
        <v>44907</v>
      </c>
      <c r="C1658" s="1" t="n">
        <v>45641</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60785-2022</t>
        </is>
      </c>
      <c r="B1659" s="1" t="n">
        <v>44907</v>
      </c>
      <c r="C1659" s="1" t="n">
        <v>45641</v>
      </c>
      <c r="D1659" t="inlineStr">
        <is>
          <t>VÄSTERBOTTENS LÄN</t>
        </is>
      </c>
      <c r="E1659" t="inlineStr">
        <is>
          <t>SKELLEFTEÅ</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60970-2022</t>
        </is>
      </c>
      <c r="B1660" s="1" t="n">
        <v>44907</v>
      </c>
      <c r="C1660" s="1" t="n">
        <v>45641</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59666-2022</t>
        </is>
      </c>
      <c r="B1661" s="1" t="n">
        <v>44908</v>
      </c>
      <c r="C1661" s="1" t="n">
        <v>45641</v>
      </c>
      <c r="D1661" t="inlineStr">
        <is>
          <t>VÄSTERBOTTENS LÄN</t>
        </is>
      </c>
      <c r="E1661" t="inlineStr">
        <is>
          <t>SKELLEFTEÅ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59744-2022</t>
        </is>
      </c>
      <c r="B1662" s="1" t="n">
        <v>44908</v>
      </c>
      <c r="C1662" s="1" t="n">
        <v>45641</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59664-2022</t>
        </is>
      </c>
      <c r="B1663" s="1" t="n">
        <v>44908</v>
      </c>
      <c r="C1663" s="1" t="n">
        <v>45641</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59748-2022</t>
        </is>
      </c>
      <c r="B1664" s="1" t="n">
        <v>44908</v>
      </c>
      <c r="C1664" s="1" t="n">
        <v>45641</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61153-2022</t>
        </is>
      </c>
      <c r="B1665" s="1" t="n">
        <v>44908</v>
      </c>
      <c r="C1665" s="1" t="n">
        <v>45641</v>
      </c>
      <c r="D1665" t="inlineStr">
        <is>
          <t>VÄSTERBOTTENS LÄN</t>
        </is>
      </c>
      <c r="E1665" t="inlineStr">
        <is>
          <t>SKELLEFTEÅ</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60000-2022</t>
        </is>
      </c>
      <c r="B1666" s="1" t="n">
        <v>44909</v>
      </c>
      <c r="C1666" s="1" t="n">
        <v>45641</v>
      </c>
      <c r="D1666" t="inlineStr">
        <is>
          <t>VÄSTERBOTTENS LÄN</t>
        </is>
      </c>
      <c r="E1666" t="inlineStr">
        <is>
          <t>SKELLEFTEÅ</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61275-2022</t>
        </is>
      </c>
      <c r="B1667" s="1" t="n">
        <v>44909</v>
      </c>
      <c r="C1667" s="1" t="n">
        <v>45641</v>
      </c>
      <c r="D1667" t="inlineStr">
        <is>
          <t>VÄSTERBOTTENS LÄN</t>
        </is>
      </c>
      <c r="E1667" t="inlineStr">
        <is>
          <t>SKELLEFTEÅ</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60378-2022</t>
        </is>
      </c>
      <c r="B1668" s="1" t="n">
        <v>44910</v>
      </c>
      <c r="C1668" s="1" t="n">
        <v>45641</v>
      </c>
      <c r="D1668" t="inlineStr">
        <is>
          <t>VÄSTERBOTTENS LÄN</t>
        </is>
      </c>
      <c r="E1668" t="inlineStr">
        <is>
          <t>SKELLEFTEÅ</t>
        </is>
      </c>
      <c r="F1668" t="inlineStr">
        <is>
          <t>Holmen skog AB</t>
        </is>
      </c>
      <c r="G1668" t="n">
        <v>18.8</v>
      </c>
      <c r="H1668" t="n">
        <v>0</v>
      </c>
      <c r="I1668" t="n">
        <v>0</v>
      </c>
      <c r="J1668" t="n">
        <v>0</v>
      </c>
      <c r="K1668" t="n">
        <v>0</v>
      </c>
      <c r="L1668" t="n">
        <v>0</v>
      </c>
      <c r="M1668" t="n">
        <v>0</v>
      </c>
      <c r="N1668" t="n">
        <v>0</v>
      </c>
      <c r="O1668" t="n">
        <v>0</v>
      </c>
      <c r="P1668" t="n">
        <v>0</v>
      </c>
      <c r="Q1668" t="n">
        <v>0</v>
      </c>
      <c r="R1668" s="2" t="inlineStr"/>
    </row>
    <row r="1669" ht="15" customHeight="1">
      <c r="A1669" t="inlineStr">
        <is>
          <t>A 60488-2022</t>
        </is>
      </c>
      <c r="B1669" s="1" t="n">
        <v>44911</v>
      </c>
      <c r="C1669" s="1" t="n">
        <v>45641</v>
      </c>
      <c r="D1669" t="inlineStr">
        <is>
          <t>VÄSTERBOTTENS LÄN</t>
        </is>
      </c>
      <c r="E1669" t="inlineStr">
        <is>
          <t>SKELLEFTEÅ</t>
        </is>
      </c>
      <c r="F1669" t="inlineStr">
        <is>
          <t>Sveaskog</t>
        </is>
      </c>
      <c r="G1669" t="n">
        <v>11.6</v>
      </c>
      <c r="H1669" t="n">
        <v>0</v>
      </c>
      <c r="I1669" t="n">
        <v>0</v>
      </c>
      <c r="J1669" t="n">
        <v>0</v>
      </c>
      <c r="K1669" t="n">
        <v>0</v>
      </c>
      <c r="L1669" t="n">
        <v>0</v>
      </c>
      <c r="M1669" t="n">
        <v>0</v>
      </c>
      <c r="N1669" t="n">
        <v>0</v>
      </c>
      <c r="O1669" t="n">
        <v>0</v>
      </c>
      <c r="P1669" t="n">
        <v>0</v>
      </c>
      <c r="Q1669" t="n">
        <v>0</v>
      </c>
      <c r="R1669" s="2" t="inlineStr"/>
      <c r="U1669">
        <f>HYPERLINK("https://klasma.github.io/Logging_2482/knärot/A 60488-2022 karta knärot.png", "A 60488-2022")</f>
        <v/>
      </c>
      <c r="V1669">
        <f>HYPERLINK("https://klasma.github.io/Logging_2482/klagomål/A 60488-2022 FSC-klagomål.docx", "A 60488-2022")</f>
        <v/>
      </c>
      <c r="W1669">
        <f>HYPERLINK("https://klasma.github.io/Logging_2482/klagomålsmail/A 60488-2022 FSC-klagomål mail.docx", "A 60488-2022")</f>
        <v/>
      </c>
      <c r="X1669">
        <f>HYPERLINK("https://klasma.github.io/Logging_2482/tillsyn/A 60488-2022 tillsynsbegäran.docx", "A 60488-2022")</f>
        <v/>
      </c>
      <c r="Y1669">
        <f>HYPERLINK("https://klasma.github.io/Logging_2482/tillsynsmail/A 60488-2022 tillsynsbegäran mail.docx", "A 60488-2022")</f>
        <v/>
      </c>
    </row>
    <row r="1670" ht="15" customHeight="1">
      <c r="A1670" t="inlineStr">
        <is>
          <t>A 60498-2022</t>
        </is>
      </c>
      <c r="B1670" s="1" t="n">
        <v>44911</v>
      </c>
      <c r="C1670" s="1" t="n">
        <v>45641</v>
      </c>
      <c r="D1670" t="inlineStr">
        <is>
          <t>VÄSTERBOTTENS LÄN</t>
        </is>
      </c>
      <c r="E1670" t="inlineStr">
        <is>
          <t>SKELLEFTEÅ</t>
        </is>
      </c>
      <c r="F1670" t="inlineStr">
        <is>
          <t>Sveaskog</t>
        </is>
      </c>
      <c r="G1670" t="n">
        <v>21.2</v>
      </c>
      <c r="H1670" t="n">
        <v>0</v>
      </c>
      <c r="I1670" t="n">
        <v>0</v>
      </c>
      <c r="J1670" t="n">
        <v>0</v>
      </c>
      <c r="K1670" t="n">
        <v>0</v>
      </c>
      <c r="L1670" t="n">
        <v>0</v>
      </c>
      <c r="M1670" t="n">
        <v>0</v>
      </c>
      <c r="N1670" t="n">
        <v>0</v>
      </c>
      <c r="O1670" t="n">
        <v>0</v>
      </c>
      <c r="P1670" t="n">
        <v>0</v>
      </c>
      <c r="Q1670" t="n">
        <v>0</v>
      </c>
      <c r="R1670" s="2" t="inlineStr"/>
    </row>
    <row r="1671" ht="15" customHeight="1">
      <c r="A1671" t="inlineStr">
        <is>
          <t>A 60582-2022</t>
        </is>
      </c>
      <c r="B1671" s="1" t="n">
        <v>44911</v>
      </c>
      <c r="C1671" s="1" t="n">
        <v>45641</v>
      </c>
      <c r="D1671" t="inlineStr">
        <is>
          <t>VÄSTERBOTTENS LÄN</t>
        </is>
      </c>
      <c r="E1671" t="inlineStr">
        <is>
          <t>SKELLEFTEÅ</t>
        </is>
      </c>
      <c r="F1671" t="inlineStr">
        <is>
          <t>Sveaskog</t>
        </is>
      </c>
      <c r="G1671" t="n">
        <v>27.3</v>
      </c>
      <c r="H1671" t="n">
        <v>0</v>
      </c>
      <c r="I1671" t="n">
        <v>0</v>
      </c>
      <c r="J1671" t="n">
        <v>0</v>
      </c>
      <c r="K1671" t="n">
        <v>0</v>
      </c>
      <c r="L1671" t="n">
        <v>0</v>
      </c>
      <c r="M1671" t="n">
        <v>0</v>
      </c>
      <c r="N1671" t="n">
        <v>0</v>
      </c>
      <c r="O1671" t="n">
        <v>0</v>
      </c>
      <c r="P1671" t="n">
        <v>0</v>
      </c>
      <c r="Q1671" t="n">
        <v>0</v>
      </c>
      <c r="R1671" s="2" t="inlineStr"/>
    </row>
    <row r="1672" ht="15" customHeight="1">
      <c r="A1672" t="inlineStr">
        <is>
          <t>A 60656-2022</t>
        </is>
      </c>
      <c r="B1672" s="1" t="n">
        <v>44911</v>
      </c>
      <c r="C1672" s="1" t="n">
        <v>45641</v>
      </c>
      <c r="D1672" t="inlineStr">
        <is>
          <t>VÄSTERBOTTENS LÄN</t>
        </is>
      </c>
      <c r="E1672" t="inlineStr">
        <is>
          <t>SKELLEFTEÅ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60452-2022</t>
        </is>
      </c>
      <c r="B1673" s="1" t="n">
        <v>44911</v>
      </c>
      <c r="C1673" s="1" t="n">
        <v>45641</v>
      </c>
      <c r="D1673" t="inlineStr">
        <is>
          <t>VÄSTERBOTTENS LÄN</t>
        </is>
      </c>
      <c r="E1673" t="inlineStr">
        <is>
          <t>SKELLEFTEÅ</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60502-2022</t>
        </is>
      </c>
      <c r="B1674" s="1" t="n">
        <v>44911</v>
      </c>
      <c r="C1674" s="1" t="n">
        <v>45641</v>
      </c>
      <c r="D1674" t="inlineStr">
        <is>
          <t>VÄSTERBOTTENS LÄN</t>
        </is>
      </c>
      <c r="E1674" t="inlineStr">
        <is>
          <t>SKELLEFTEÅ</t>
        </is>
      </c>
      <c r="F1674" t="inlineStr">
        <is>
          <t>Sveaskog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60524-2022</t>
        </is>
      </c>
      <c r="B1675" s="1" t="n">
        <v>44911</v>
      </c>
      <c r="C1675" s="1" t="n">
        <v>45641</v>
      </c>
      <c r="D1675" t="inlineStr">
        <is>
          <t>VÄSTERBOTTENS LÄN</t>
        </is>
      </c>
      <c r="E1675" t="inlineStr">
        <is>
          <t>SKELLEFTEÅ</t>
        </is>
      </c>
      <c r="F1675" t="inlineStr">
        <is>
          <t>Sveaskog</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60581-2022</t>
        </is>
      </c>
      <c r="B1676" s="1" t="n">
        <v>44911</v>
      </c>
      <c r="C1676" s="1" t="n">
        <v>45641</v>
      </c>
      <c r="D1676" t="inlineStr">
        <is>
          <t>VÄSTERBOTTENS LÄN</t>
        </is>
      </c>
      <c r="E1676" t="inlineStr">
        <is>
          <t>SKELLEFTEÅ</t>
        </is>
      </c>
      <c r="F1676" t="inlineStr">
        <is>
          <t>Sveaskog</t>
        </is>
      </c>
      <c r="G1676" t="n">
        <v>13.9</v>
      </c>
      <c r="H1676" t="n">
        <v>0</v>
      </c>
      <c r="I1676" t="n">
        <v>0</v>
      </c>
      <c r="J1676" t="n">
        <v>0</v>
      </c>
      <c r="K1676" t="n">
        <v>0</v>
      </c>
      <c r="L1676" t="n">
        <v>0</v>
      </c>
      <c r="M1676" t="n">
        <v>0</v>
      </c>
      <c r="N1676" t="n">
        <v>0</v>
      </c>
      <c r="O1676" t="n">
        <v>0</v>
      </c>
      <c r="P1676" t="n">
        <v>0</v>
      </c>
      <c r="Q1676" t="n">
        <v>0</v>
      </c>
      <c r="R1676" s="2" t="inlineStr"/>
    </row>
    <row r="1677" ht="15" customHeight="1">
      <c r="A1677" t="inlineStr">
        <is>
          <t>A 60655-2022</t>
        </is>
      </c>
      <c r="B1677" s="1" t="n">
        <v>44911</v>
      </c>
      <c r="C1677" s="1" t="n">
        <v>45641</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60506-2022</t>
        </is>
      </c>
      <c r="B1678" s="1" t="n">
        <v>44911</v>
      </c>
      <c r="C1678" s="1" t="n">
        <v>45641</v>
      </c>
      <c r="D1678" t="inlineStr">
        <is>
          <t>VÄSTERBOTTENS LÄN</t>
        </is>
      </c>
      <c r="E1678" t="inlineStr">
        <is>
          <t>SKELLEFTEÅ</t>
        </is>
      </c>
      <c r="F1678" t="inlineStr">
        <is>
          <t>Sveaskog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60484-2022</t>
        </is>
      </c>
      <c r="B1679" s="1" t="n">
        <v>44911</v>
      </c>
      <c r="C1679" s="1" t="n">
        <v>45641</v>
      </c>
      <c r="D1679" t="inlineStr">
        <is>
          <t>VÄSTERBOTTENS LÄN</t>
        </is>
      </c>
      <c r="E1679" t="inlineStr">
        <is>
          <t>SKELLEFTEÅ</t>
        </is>
      </c>
      <c r="G1679" t="n">
        <v>13.8</v>
      </c>
      <c r="H1679" t="n">
        <v>0</v>
      </c>
      <c r="I1679" t="n">
        <v>0</v>
      </c>
      <c r="J1679" t="n">
        <v>0</v>
      </c>
      <c r="K1679" t="n">
        <v>0</v>
      </c>
      <c r="L1679" t="n">
        <v>0</v>
      </c>
      <c r="M1679" t="n">
        <v>0</v>
      </c>
      <c r="N1679" t="n">
        <v>0</v>
      </c>
      <c r="O1679" t="n">
        <v>0</v>
      </c>
      <c r="P1679" t="n">
        <v>0</v>
      </c>
      <c r="Q1679" t="n">
        <v>0</v>
      </c>
      <c r="R1679" s="2" t="inlineStr"/>
    </row>
    <row r="1680" ht="15" customHeight="1">
      <c r="A1680" t="inlineStr">
        <is>
          <t>A 60585-2022</t>
        </is>
      </c>
      <c r="B1680" s="1" t="n">
        <v>44911</v>
      </c>
      <c r="C1680" s="1" t="n">
        <v>45641</v>
      </c>
      <c r="D1680" t="inlineStr">
        <is>
          <t>VÄSTERBOTTENS LÄN</t>
        </is>
      </c>
      <c r="E1680" t="inlineStr">
        <is>
          <t>SKELLEFTEÅ</t>
        </is>
      </c>
      <c r="F1680" t="inlineStr">
        <is>
          <t>Sveaskog</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60590-2022</t>
        </is>
      </c>
      <c r="B1681" s="1" t="n">
        <v>44911</v>
      </c>
      <c r="C1681" s="1" t="n">
        <v>45641</v>
      </c>
      <c r="D1681" t="inlineStr">
        <is>
          <t>VÄSTERBOTTENS LÄN</t>
        </is>
      </c>
      <c r="E1681" t="inlineStr">
        <is>
          <t>SKELLEFTEÅ</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61697-2022</t>
        </is>
      </c>
      <c r="B1682" s="1" t="n">
        <v>44911</v>
      </c>
      <c r="C1682" s="1" t="n">
        <v>45641</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61700-2022</t>
        </is>
      </c>
      <c r="B1683" s="1" t="n">
        <v>44911</v>
      </c>
      <c r="C1683" s="1" t="n">
        <v>45641</v>
      </c>
      <c r="D1683" t="inlineStr">
        <is>
          <t>VÄSTERBOTTENS LÄN</t>
        </is>
      </c>
      <c r="E1683" t="inlineStr">
        <is>
          <t>SKELLEFTEÅ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60787-2022</t>
        </is>
      </c>
      <c r="B1684" s="1" t="n">
        <v>44914</v>
      </c>
      <c r="C1684" s="1" t="n">
        <v>45641</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60853-2022</t>
        </is>
      </c>
      <c r="B1685" s="1" t="n">
        <v>44914</v>
      </c>
      <c r="C1685" s="1" t="n">
        <v>45641</v>
      </c>
      <c r="D1685" t="inlineStr">
        <is>
          <t>VÄSTERBOTTENS LÄN</t>
        </is>
      </c>
      <c r="E1685" t="inlineStr">
        <is>
          <t>SKELLEFTEÅ</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60858-2022</t>
        </is>
      </c>
      <c r="B1686" s="1" t="n">
        <v>44914</v>
      </c>
      <c r="C1686" s="1" t="n">
        <v>45641</v>
      </c>
      <c r="D1686" t="inlineStr">
        <is>
          <t>VÄSTERBOTTENS LÄN</t>
        </is>
      </c>
      <c r="E1686" t="inlineStr">
        <is>
          <t>SKELLEFTEÅ</t>
        </is>
      </c>
      <c r="F1686" t="inlineStr">
        <is>
          <t>Sveaskog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60789-2022</t>
        </is>
      </c>
      <c r="B1687" s="1" t="n">
        <v>44914</v>
      </c>
      <c r="C1687" s="1" t="n">
        <v>45641</v>
      </c>
      <c r="D1687" t="inlineStr">
        <is>
          <t>VÄSTERBOTTENS LÄN</t>
        </is>
      </c>
      <c r="E1687" t="inlineStr">
        <is>
          <t>SKELLEFTEÅ</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62028-2022</t>
        </is>
      </c>
      <c r="B1688" s="1" t="n">
        <v>44914</v>
      </c>
      <c r="C1688" s="1" t="n">
        <v>45641</v>
      </c>
      <c r="D1688" t="inlineStr">
        <is>
          <t>VÄSTERBOTTENS LÄN</t>
        </is>
      </c>
      <c r="E1688" t="inlineStr">
        <is>
          <t>SKELLEFTEÅ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62027-2022</t>
        </is>
      </c>
      <c r="B1689" s="1" t="n">
        <v>44914</v>
      </c>
      <c r="C1689" s="1" t="n">
        <v>45641</v>
      </c>
      <c r="D1689" t="inlineStr">
        <is>
          <t>VÄSTERBOTTENS LÄN</t>
        </is>
      </c>
      <c r="E1689" t="inlineStr">
        <is>
          <t>SKELLEFTEÅ</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62025-2022</t>
        </is>
      </c>
      <c r="B1690" s="1" t="n">
        <v>44914</v>
      </c>
      <c r="C1690" s="1" t="n">
        <v>45641</v>
      </c>
      <c r="D1690" t="inlineStr">
        <is>
          <t>VÄSTERBOTTENS LÄN</t>
        </is>
      </c>
      <c r="E1690" t="inlineStr">
        <is>
          <t>SKELLEFTEÅ</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61105-2022</t>
        </is>
      </c>
      <c r="B1691" s="1" t="n">
        <v>44915</v>
      </c>
      <c r="C1691" s="1" t="n">
        <v>45641</v>
      </c>
      <c r="D1691" t="inlineStr">
        <is>
          <t>VÄSTERBOTTENS LÄN</t>
        </is>
      </c>
      <c r="E1691" t="inlineStr">
        <is>
          <t>SKELLEFTEÅ</t>
        </is>
      </c>
      <c r="F1691" t="inlineStr">
        <is>
          <t>Sveaskog</t>
        </is>
      </c>
      <c r="G1691" t="n">
        <v>19.5</v>
      </c>
      <c r="H1691" t="n">
        <v>0</v>
      </c>
      <c r="I1691" t="n">
        <v>0</v>
      </c>
      <c r="J1691" t="n">
        <v>0</v>
      </c>
      <c r="K1691" t="n">
        <v>0</v>
      </c>
      <c r="L1691" t="n">
        <v>0</v>
      </c>
      <c r="M1691" t="n">
        <v>0</v>
      </c>
      <c r="N1691" t="n">
        <v>0</v>
      </c>
      <c r="O1691" t="n">
        <v>0</v>
      </c>
      <c r="P1691" t="n">
        <v>0</v>
      </c>
      <c r="Q1691" t="n">
        <v>0</v>
      </c>
      <c r="R1691" s="2" t="inlineStr"/>
    </row>
    <row r="1692" ht="15" customHeight="1">
      <c r="A1692" t="inlineStr">
        <is>
          <t>A 61101-2022</t>
        </is>
      </c>
      <c r="B1692" s="1" t="n">
        <v>44915</v>
      </c>
      <c r="C1692" s="1" t="n">
        <v>45641</v>
      </c>
      <c r="D1692" t="inlineStr">
        <is>
          <t>VÄSTERBOTTENS LÄN</t>
        </is>
      </c>
      <c r="E1692" t="inlineStr">
        <is>
          <t>SKELLEFTEÅ</t>
        </is>
      </c>
      <c r="F1692" t="inlineStr">
        <is>
          <t>Sveaskog</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61132-2022</t>
        </is>
      </c>
      <c r="B1693" s="1" t="n">
        <v>44915</v>
      </c>
      <c r="C1693" s="1" t="n">
        <v>45641</v>
      </c>
      <c r="D1693" t="inlineStr">
        <is>
          <t>VÄSTERBOTTENS LÄN</t>
        </is>
      </c>
      <c r="E1693" t="inlineStr">
        <is>
          <t>SKELLEFTEÅ</t>
        </is>
      </c>
      <c r="F1693" t="inlineStr">
        <is>
          <t>Sveaskog</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61348-2022</t>
        </is>
      </c>
      <c r="B1694" s="1" t="n">
        <v>44915</v>
      </c>
      <c r="C1694" s="1" t="n">
        <v>45641</v>
      </c>
      <c r="D1694" t="inlineStr">
        <is>
          <t>VÄSTERBOTTENS LÄN</t>
        </is>
      </c>
      <c r="E1694" t="inlineStr">
        <is>
          <t>SKELLEFTEÅ</t>
        </is>
      </c>
      <c r="F1694" t="inlineStr">
        <is>
          <t>Sveaskog</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61467-2022</t>
        </is>
      </c>
      <c r="B1695" s="1" t="n">
        <v>44916</v>
      </c>
      <c r="C1695" s="1" t="n">
        <v>45641</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61635-2022</t>
        </is>
      </c>
      <c r="B1696" s="1" t="n">
        <v>44916</v>
      </c>
      <c r="C1696" s="1" t="n">
        <v>45641</v>
      </c>
      <c r="D1696" t="inlineStr">
        <is>
          <t>VÄSTERBOTTENS LÄN</t>
        </is>
      </c>
      <c r="E1696" t="inlineStr">
        <is>
          <t>SKELLEFTEÅ</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61634-2022</t>
        </is>
      </c>
      <c r="B1697" s="1" t="n">
        <v>44916</v>
      </c>
      <c r="C1697" s="1" t="n">
        <v>45641</v>
      </c>
      <c r="D1697" t="inlineStr">
        <is>
          <t>VÄSTERBOTTENS LÄN</t>
        </is>
      </c>
      <c r="E1697" t="inlineStr">
        <is>
          <t>SKELLEFTEÅ</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61569-2022</t>
        </is>
      </c>
      <c r="B1698" s="1" t="n">
        <v>44916</v>
      </c>
      <c r="C1698" s="1" t="n">
        <v>45641</v>
      </c>
      <c r="D1698" t="inlineStr">
        <is>
          <t>VÄSTERBOTTENS LÄN</t>
        </is>
      </c>
      <c r="E1698" t="inlineStr">
        <is>
          <t>SKELLEFTEÅ</t>
        </is>
      </c>
      <c r="F1698" t="inlineStr">
        <is>
          <t>Holmen skog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61631-2022</t>
        </is>
      </c>
      <c r="B1699" s="1" t="n">
        <v>44916</v>
      </c>
      <c r="C1699" s="1" t="n">
        <v>45641</v>
      </c>
      <c r="D1699" t="inlineStr">
        <is>
          <t>VÄSTERBOTTENS LÄN</t>
        </is>
      </c>
      <c r="E1699" t="inlineStr">
        <is>
          <t>SKELLEFTEÅ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62325-2022</t>
        </is>
      </c>
      <c r="B1700" s="1" t="n">
        <v>44916</v>
      </c>
      <c r="C1700" s="1" t="n">
        <v>45641</v>
      </c>
      <c r="D1700" t="inlineStr">
        <is>
          <t>VÄSTERBOTTENS LÄN</t>
        </is>
      </c>
      <c r="E1700" t="inlineStr">
        <is>
          <t>SKELLEFTEÅ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62323-2022</t>
        </is>
      </c>
      <c r="B1701" s="1" t="n">
        <v>44916</v>
      </c>
      <c r="C1701" s="1" t="n">
        <v>45641</v>
      </c>
      <c r="D1701" t="inlineStr">
        <is>
          <t>VÄSTERBOTTENS LÄN</t>
        </is>
      </c>
      <c r="E1701" t="inlineStr">
        <is>
          <t>SKELLEFTEÅ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62536-2022</t>
        </is>
      </c>
      <c r="B1702" s="1" t="n">
        <v>44917</v>
      </c>
      <c r="C1702" s="1" t="n">
        <v>45641</v>
      </c>
      <c r="D1702" t="inlineStr">
        <is>
          <t>VÄSTERBOTTENS LÄN</t>
        </is>
      </c>
      <c r="E1702" t="inlineStr">
        <is>
          <t>SKELLEFTEÅ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121-2023</t>
        </is>
      </c>
      <c r="B1703" s="1" t="n">
        <v>44918</v>
      </c>
      <c r="C1703" s="1" t="n">
        <v>45641</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62249-2022</t>
        </is>
      </c>
      <c r="B1704" s="1" t="n">
        <v>44922</v>
      </c>
      <c r="C1704" s="1" t="n">
        <v>45641</v>
      </c>
      <c r="D1704" t="inlineStr">
        <is>
          <t>VÄSTERBOTTENS LÄN</t>
        </is>
      </c>
      <c r="E1704" t="inlineStr">
        <is>
          <t>SKELLEFTEÅ</t>
        </is>
      </c>
      <c r="G1704" t="n">
        <v>18.2</v>
      </c>
      <c r="H1704" t="n">
        <v>0</v>
      </c>
      <c r="I1704" t="n">
        <v>0</v>
      </c>
      <c r="J1704" t="n">
        <v>0</v>
      </c>
      <c r="K1704" t="n">
        <v>0</v>
      </c>
      <c r="L1704" t="n">
        <v>0</v>
      </c>
      <c r="M1704" t="n">
        <v>0</v>
      </c>
      <c r="N1704" t="n">
        <v>0</v>
      </c>
      <c r="O1704" t="n">
        <v>0</v>
      </c>
      <c r="P1704" t="n">
        <v>0</v>
      </c>
      <c r="Q1704" t="n">
        <v>0</v>
      </c>
      <c r="R1704" s="2" t="inlineStr"/>
    </row>
    <row r="1705" ht="15" customHeight="1">
      <c r="A1705" t="inlineStr">
        <is>
          <t>A 62279-2022</t>
        </is>
      </c>
      <c r="B1705" s="1" t="n">
        <v>44923</v>
      </c>
      <c r="C1705" s="1" t="n">
        <v>45641</v>
      </c>
      <c r="D1705" t="inlineStr">
        <is>
          <t>VÄSTERBOTTENS LÄN</t>
        </is>
      </c>
      <c r="E1705" t="inlineStr">
        <is>
          <t>SKELLEFTEÅ</t>
        </is>
      </c>
      <c r="F1705" t="inlineStr">
        <is>
          <t>Sveaskog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62284-2022</t>
        </is>
      </c>
      <c r="B1706" s="1" t="n">
        <v>44923</v>
      </c>
      <c r="C1706" s="1" t="n">
        <v>45641</v>
      </c>
      <c r="D1706" t="inlineStr">
        <is>
          <t>VÄSTERBOTTENS LÄN</t>
        </is>
      </c>
      <c r="E1706" t="inlineStr">
        <is>
          <t>SKELLEFTEÅ</t>
        </is>
      </c>
      <c r="F1706" t="inlineStr">
        <is>
          <t>Sveaskog</t>
        </is>
      </c>
      <c r="G1706" t="n">
        <v>13.4</v>
      </c>
      <c r="H1706" t="n">
        <v>0</v>
      </c>
      <c r="I1706" t="n">
        <v>0</v>
      </c>
      <c r="J1706" t="n">
        <v>0</v>
      </c>
      <c r="K1706" t="n">
        <v>0</v>
      </c>
      <c r="L1706" t="n">
        <v>0</v>
      </c>
      <c r="M1706" t="n">
        <v>0</v>
      </c>
      <c r="N1706" t="n">
        <v>0</v>
      </c>
      <c r="O1706" t="n">
        <v>0</v>
      </c>
      <c r="P1706" t="n">
        <v>0</v>
      </c>
      <c r="Q1706" t="n">
        <v>0</v>
      </c>
      <c r="R1706" s="2" t="inlineStr"/>
    </row>
    <row r="1707" ht="15" customHeight="1">
      <c r="A1707" t="inlineStr">
        <is>
          <t>A 62308-2022</t>
        </is>
      </c>
      <c r="B1707" s="1" t="n">
        <v>44923</v>
      </c>
      <c r="C1707" s="1" t="n">
        <v>45641</v>
      </c>
      <c r="D1707" t="inlineStr">
        <is>
          <t>VÄSTERBOTTENS LÄN</t>
        </is>
      </c>
      <c r="E1707" t="inlineStr">
        <is>
          <t>SKELLEFTEÅ</t>
        </is>
      </c>
      <c r="F1707" t="inlineStr">
        <is>
          <t>Sveaskog</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62319-2022</t>
        </is>
      </c>
      <c r="B1708" s="1" t="n">
        <v>44923</v>
      </c>
      <c r="C1708" s="1" t="n">
        <v>45641</v>
      </c>
      <c r="D1708" t="inlineStr">
        <is>
          <t>VÄSTERBOTTENS LÄN</t>
        </is>
      </c>
      <c r="E1708" t="inlineStr">
        <is>
          <t>SKELLEFTEÅ</t>
        </is>
      </c>
      <c r="F1708" t="inlineStr">
        <is>
          <t>Sveaskog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62483-2022</t>
        </is>
      </c>
      <c r="B1709" s="1" t="n">
        <v>44924</v>
      </c>
      <c r="C1709" s="1" t="n">
        <v>45641</v>
      </c>
      <c r="D1709" t="inlineStr">
        <is>
          <t>VÄSTERBOTTENS LÄN</t>
        </is>
      </c>
      <c r="E1709" t="inlineStr">
        <is>
          <t>SKELLEFTEÅ</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62577-2022</t>
        </is>
      </c>
      <c r="B1710" s="1" t="n">
        <v>44924</v>
      </c>
      <c r="C1710" s="1" t="n">
        <v>45641</v>
      </c>
      <c r="D1710" t="inlineStr">
        <is>
          <t>VÄSTERBOTTENS LÄN</t>
        </is>
      </c>
      <c r="E1710" t="inlineStr">
        <is>
          <t>SKELLEFTEÅ</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62642-2022</t>
        </is>
      </c>
      <c r="B1711" s="1" t="n">
        <v>44925</v>
      </c>
      <c r="C1711" s="1" t="n">
        <v>45641</v>
      </c>
      <c r="D1711" t="inlineStr">
        <is>
          <t>VÄSTERBOTTENS LÄN</t>
        </is>
      </c>
      <c r="E1711" t="inlineStr">
        <is>
          <t>SKELLEFTEÅ</t>
        </is>
      </c>
      <c r="F1711" t="inlineStr">
        <is>
          <t>Holmen skog AB</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531-2023</t>
        </is>
      </c>
      <c r="B1712" s="1" t="n">
        <v>44925</v>
      </c>
      <c r="C1712" s="1" t="n">
        <v>45641</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639-2023</t>
        </is>
      </c>
      <c r="B1713" s="1" t="n">
        <v>44928</v>
      </c>
      <c r="C1713" s="1" t="n">
        <v>45641</v>
      </c>
      <c r="D1713" t="inlineStr">
        <is>
          <t>VÄSTERBOTTENS LÄN</t>
        </is>
      </c>
      <c r="E1713" t="inlineStr">
        <is>
          <t>SKELLEFTEÅ</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640-2023</t>
        </is>
      </c>
      <c r="B1714" s="1" t="n">
        <v>44928</v>
      </c>
      <c r="C1714" s="1" t="n">
        <v>45641</v>
      </c>
      <c r="D1714" t="inlineStr">
        <is>
          <t>VÄSTERBOTTENS LÄN</t>
        </is>
      </c>
      <c r="E1714" t="inlineStr">
        <is>
          <t>SKELLEFTEÅ</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1076-2023</t>
        </is>
      </c>
      <c r="B1715" s="1" t="n">
        <v>44929</v>
      </c>
      <c r="C1715" s="1" t="n">
        <v>45641</v>
      </c>
      <c r="D1715" t="inlineStr">
        <is>
          <t>VÄSTERBOTTENS LÄN</t>
        </is>
      </c>
      <c r="E1715" t="inlineStr">
        <is>
          <t>SKELLEFTEÅ</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547-2023</t>
        </is>
      </c>
      <c r="B1716" s="1" t="n">
        <v>44930</v>
      </c>
      <c r="C1716" s="1" t="n">
        <v>45641</v>
      </c>
      <c r="D1716" t="inlineStr">
        <is>
          <t>VÄSTERBOTTENS LÄN</t>
        </is>
      </c>
      <c r="E1716" t="inlineStr">
        <is>
          <t>SKELLEFTEÅ</t>
        </is>
      </c>
      <c r="F1716" t="inlineStr">
        <is>
          <t>Holmen skog AB</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589-2023</t>
        </is>
      </c>
      <c r="B1717" s="1" t="n">
        <v>44930</v>
      </c>
      <c r="C1717" s="1" t="n">
        <v>45641</v>
      </c>
      <c r="D1717" t="inlineStr">
        <is>
          <t>VÄSTERBOTTENS LÄN</t>
        </is>
      </c>
      <c r="E1717" t="inlineStr">
        <is>
          <t>SKELLEFTEÅ</t>
        </is>
      </c>
      <c r="F1717" t="inlineStr">
        <is>
          <t>Holmen skog AB</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703-2023</t>
        </is>
      </c>
      <c r="B1718" s="1" t="n">
        <v>44930</v>
      </c>
      <c r="C1718" s="1" t="n">
        <v>45641</v>
      </c>
      <c r="D1718" t="inlineStr">
        <is>
          <t>VÄSTERBOTTENS LÄN</t>
        </is>
      </c>
      <c r="E1718" t="inlineStr">
        <is>
          <t>SKELLEFTEÅ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707-2023</t>
        </is>
      </c>
      <c r="B1719" s="1" t="n">
        <v>44930</v>
      </c>
      <c r="C1719" s="1" t="n">
        <v>45641</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702-2023</t>
        </is>
      </c>
      <c r="B1720" s="1" t="n">
        <v>44930</v>
      </c>
      <c r="C1720" s="1" t="n">
        <v>45641</v>
      </c>
      <c r="D1720" t="inlineStr">
        <is>
          <t>VÄSTERBOTTENS LÄN</t>
        </is>
      </c>
      <c r="E1720" t="inlineStr">
        <is>
          <t>SKELLEFTEÅ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706-2023</t>
        </is>
      </c>
      <c r="B1721" s="1" t="n">
        <v>44930</v>
      </c>
      <c r="C1721" s="1" t="n">
        <v>45641</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1206-2023</t>
        </is>
      </c>
      <c r="B1722" s="1" t="n">
        <v>44930</v>
      </c>
      <c r="C1722" s="1" t="n">
        <v>45641</v>
      </c>
      <c r="D1722" t="inlineStr">
        <is>
          <t>VÄSTERBOTTENS LÄN</t>
        </is>
      </c>
      <c r="E1722" t="inlineStr">
        <is>
          <t>SKELLEFTEÅ</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911-2023</t>
        </is>
      </c>
      <c r="B1723" s="1" t="n">
        <v>44931</v>
      </c>
      <c r="C1723" s="1" t="n">
        <v>45641</v>
      </c>
      <c r="D1723" t="inlineStr">
        <is>
          <t>VÄSTERBOTTENS LÄN</t>
        </is>
      </c>
      <c r="E1723" t="inlineStr">
        <is>
          <t>SKELLEFTEÅ</t>
        </is>
      </c>
      <c r="G1723" t="n">
        <v>18.3</v>
      </c>
      <c r="H1723" t="n">
        <v>0</v>
      </c>
      <c r="I1723" t="n">
        <v>0</v>
      </c>
      <c r="J1723" t="n">
        <v>0</v>
      </c>
      <c r="K1723" t="n">
        <v>0</v>
      </c>
      <c r="L1723" t="n">
        <v>0</v>
      </c>
      <c r="M1723" t="n">
        <v>0</v>
      </c>
      <c r="N1723" t="n">
        <v>0</v>
      </c>
      <c r="O1723" t="n">
        <v>0</v>
      </c>
      <c r="P1723" t="n">
        <v>0</v>
      </c>
      <c r="Q1723" t="n">
        <v>0</v>
      </c>
      <c r="R1723" s="2" t="inlineStr"/>
    </row>
    <row r="1724" ht="15" customHeight="1">
      <c r="A1724" t="inlineStr">
        <is>
          <t>A 900-2023</t>
        </is>
      </c>
      <c r="B1724" s="1" t="n">
        <v>44931</v>
      </c>
      <c r="C1724" s="1" t="n">
        <v>45641</v>
      </c>
      <c r="D1724" t="inlineStr">
        <is>
          <t>VÄSTERBOTTENS LÄN</t>
        </is>
      </c>
      <c r="E1724" t="inlineStr">
        <is>
          <t>SKELLEFTEÅ</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904-2023</t>
        </is>
      </c>
      <c r="B1725" s="1" t="n">
        <v>44931</v>
      </c>
      <c r="C1725" s="1" t="n">
        <v>45641</v>
      </c>
      <c r="D1725" t="inlineStr">
        <is>
          <t>VÄSTERBOTTENS LÄN</t>
        </is>
      </c>
      <c r="E1725" t="inlineStr">
        <is>
          <t>SKELLEFTEÅ</t>
        </is>
      </c>
      <c r="G1725" t="n">
        <v>22.2</v>
      </c>
      <c r="H1725" t="n">
        <v>0</v>
      </c>
      <c r="I1725" t="n">
        <v>0</v>
      </c>
      <c r="J1725" t="n">
        <v>0</v>
      </c>
      <c r="K1725" t="n">
        <v>0</v>
      </c>
      <c r="L1725" t="n">
        <v>0</v>
      </c>
      <c r="M1725" t="n">
        <v>0</v>
      </c>
      <c r="N1725" t="n">
        <v>0</v>
      </c>
      <c r="O1725" t="n">
        <v>0</v>
      </c>
      <c r="P1725" t="n">
        <v>0</v>
      </c>
      <c r="Q1725" t="n">
        <v>0</v>
      </c>
      <c r="R1725" s="2" t="inlineStr"/>
    </row>
    <row r="1726" ht="15" customHeight="1">
      <c r="A1726" t="inlineStr">
        <is>
          <t>A 913-2023</t>
        </is>
      </c>
      <c r="B1726" s="1" t="n">
        <v>44931</v>
      </c>
      <c r="C1726" s="1" t="n">
        <v>45641</v>
      </c>
      <c r="D1726" t="inlineStr">
        <is>
          <t>VÄSTERBOTTENS LÄN</t>
        </is>
      </c>
      <c r="E1726" t="inlineStr">
        <is>
          <t>SKELLEFTEÅ</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909-2023</t>
        </is>
      </c>
      <c r="B1727" s="1" t="n">
        <v>44931</v>
      </c>
      <c r="C1727" s="1" t="n">
        <v>45641</v>
      </c>
      <c r="D1727" t="inlineStr">
        <is>
          <t>VÄSTERBOTTENS LÄN</t>
        </is>
      </c>
      <c r="E1727" t="inlineStr">
        <is>
          <t>SKELLEFTEÅ</t>
        </is>
      </c>
      <c r="G1727" t="n">
        <v>11.8</v>
      </c>
      <c r="H1727" t="n">
        <v>0</v>
      </c>
      <c r="I1727" t="n">
        <v>0</v>
      </c>
      <c r="J1727" t="n">
        <v>0</v>
      </c>
      <c r="K1727" t="n">
        <v>0</v>
      </c>
      <c r="L1727" t="n">
        <v>0</v>
      </c>
      <c r="M1727" t="n">
        <v>0</v>
      </c>
      <c r="N1727" t="n">
        <v>0</v>
      </c>
      <c r="O1727" t="n">
        <v>0</v>
      </c>
      <c r="P1727" t="n">
        <v>0</v>
      </c>
      <c r="Q1727" t="n">
        <v>0</v>
      </c>
      <c r="R1727" s="2" t="inlineStr"/>
    </row>
    <row r="1728" ht="15" customHeight="1">
      <c r="A1728" t="inlineStr">
        <is>
          <t>A 903-2023</t>
        </is>
      </c>
      <c r="B1728" s="1" t="n">
        <v>44931</v>
      </c>
      <c r="C1728" s="1" t="n">
        <v>45641</v>
      </c>
      <c r="D1728" t="inlineStr">
        <is>
          <t>VÄSTERBOTTENS LÄN</t>
        </is>
      </c>
      <c r="E1728" t="inlineStr">
        <is>
          <t>SKELLEFTEÅ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1113-2023</t>
        </is>
      </c>
      <c r="B1729" s="1" t="n">
        <v>44935</v>
      </c>
      <c r="C1729" s="1" t="n">
        <v>45641</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1134-2023</t>
        </is>
      </c>
      <c r="B1730" s="1" t="n">
        <v>44935</v>
      </c>
      <c r="C1730" s="1" t="n">
        <v>45641</v>
      </c>
      <c r="D1730" t="inlineStr">
        <is>
          <t>VÄSTERBOTTENS LÄN</t>
        </is>
      </c>
      <c r="E1730" t="inlineStr">
        <is>
          <t>SKELLEFTEÅ</t>
        </is>
      </c>
      <c r="G1730" t="n">
        <v>11.7</v>
      </c>
      <c r="H1730" t="n">
        <v>0</v>
      </c>
      <c r="I1730" t="n">
        <v>0</v>
      </c>
      <c r="J1730" t="n">
        <v>0</v>
      </c>
      <c r="K1730" t="n">
        <v>0</v>
      </c>
      <c r="L1730" t="n">
        <v>0</v>
      </c>
      <c r="M1730" t="n">
        <v>0</v>
      </c>
      <c r="N1730" t="n">
        <v>0</v>
      </c>
      <c r="O1730" t="n">
        <v>0</v>
      </c>
      <c r="P1730" t="n">
        <v>0</v>
      </c>
      <c r="Q1730" t="n">
        <v>0</v>
      </c>
      <c r="R1730" s="2" t="inlineStr"/>
    </row>
    <row r="1731" ht="15" customHeight="1">
      <c r="A1731" t="inlineStr">
        <is>
          <t>A 1111-2023</t>
        </is>
      </c>
      <c r="B1731" s="1" t="n">
        <v>44935</v>
      </c>
      <c r="C1731" s="1" t="n">
        <v>45641</v>
      </c>
      <c r="D1731" t="inlineStr">
        <is>
          <t>VÄSTERBOTTENS LÄN</t>
        </is>
      </c>
      <c r="E1731" t="inlineStr">
        <is>
          <t>SKELLEFTEÅ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1612-2023</t>
        </is>
      </c>
      <c r="B1732" s="1" t="n">
        <v>44935</v>
      </c>
      <c r="C1732" s="1" t="n">
        <v>45641</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1528-2023</t>
        </is>
      </c>
      <c r="B1733" s="1" t="n">
        <v>44935</v>
      </c>
      <c r="C1733" s="1" t="n">
        <v>45641</v>
      </c>
      <c r="D1733" t="inlineStr">
        <is>
          <t>VÄSTERBOTTENS LÄN</t>
        </is>
      </c>
      <c r="E1733" t="inlineStr">
        <is>
          <t>SKELLEFTEÅ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1419-2023</t>
        </is>
      </c>
      <c r="B1734" s="1" t="n">
        <v>44936</v>
      </c>
      <c r="C1734" s="1" t="n">
        <v>45641</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1639-2023</t>
        </is>
      </c>
      <c r="B1735" s="1" t="n">
        <v>44937</v>
      </c>
      <c r="C1735" s="1" t="n">
        <v>45641</v>
      </c>
      <c r="D1735" t="inlineStr">
        <is>
          <t>VÄSTERBOTTENS LÄN</t>
        </is>
      </c>
      <c r="E1735" t="inlineStr">
        <is>
          <t>SKELLEFTEÅ</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1640-2023</t>
        </is>
      </c>
      <c r="B1736" s="1" t="n">
        <v>44937</v>
      </c>
      <c r="C1736" s="1" t="n">
        <v>45641</v>
      </c>
      <c r="D1736" t="inlineStr">
        <is>
          <t>VÄSTERBOTTENS LÄN</t>
        </is>
      </c>
      <c r="E1736" t="inlineStr">
        <is>
          <t>SKELLEFTEÅ</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1978-2023</t>
        </is>
      </c>
      <c r="B1737" s="1" t="n">
        <v>44937</v>
      </c>
      <c r="C1737" s="1" t="n">
        <v>45641</v>
      </c>
      <c r="D1737" t="inlineStr">
        <is>
          <t>VÄSTERBOTTENS LÄN</t>
        </is>
      </c>
      <c r="E1737" t="inlineStr">
        <is>
          <t>SKELLEFTEÅ</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1988-2023</t>
        </is>
      </c>
      <c r="B1738" s="1" t="n">
        <v>44937</v>
      </c>
      <c r="C1738" s="1" t="n">
        <v>45641</v>
      </c>
      <c r="D1738" t="inlineStr">
        <is>
          <t>VÄSTERBOTTENS LÄN</t>
        </is>
      </c>
      <c r="E1738" t="inlineStr">
        <is>
          <t>SKELLEFTEÅ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1666-2023</t>
        </is>
      </c>
      <c r="B1739" s="1" t="n">
        <v>44938</v>
      </c>
      <c r="C1739" s="1" t="n">
        <v>45641</v>
      </c>
      <c r="D1739" t="inlineStr">
        <is>
          <t>VÄSTERBOTTENS LÄN</t>
        </is>
      </c>
      <c r="E1739" t="inlineStr">
        <is>
          <t>SKELLEFTEÅ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1858-2023</t>
        </is>
      </c>
      <c r="B1740" s="1" t="n">
        <v>44938</v>
      </c>
      <c r="C1740" s="1" t="n">
        <v>45641</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1933-2023</t>
        </is>
      </c>
      <c r="B1741" s="1" t="n">
        <v>44938</v>
      </c>
      <c r="C1741" s="1" t="n">
        <v>45641</v>
      </c>
      <c r="D1741" t="inlineStr">
        <is>
          <t>VÄSTERBOTTENS LÄN</t>
        </is>
      </c>
      <c r="E1741" t="inlineStr">
        <is>
          <t>SKELLEFTEÅ</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1853-2023</t>
        </is>
      </c>
      <c r="B1742" s="1" t="n">
        <v>44938</v>
      </c>
      <c r="C1742" s="1" t="n">
        <v>45641</v>
      </c>
      <c r="D1742" t="inlineStr">
        <is>
          <t>VÄSTERBOTTENS LÄN</t>
        </is>
      </c>
      <c r="E1742" t="inlineStr">
        <is>
          <t>SKELLEFTEÅ</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1859-2023</t>
        </is>
      </c>
      <c r="B1743" s="1" t="n">
        <v>44938</v>
      </c>
      <c r="C1743" s="1" t="n">
        <v>45641</v>
      </c>
      <c r="D1743" t="inlineStr">
        <is>
          <t>VÄSTERBOTTENS LÄN</t>
        </is>
      </c>
      <c r="E1743" t="inlineStr">
        <is>
          <t>SKELLEFTEÅ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1854-2023</t>
        </is>
      </c>
      <c r="B1744" s="1" t="n">
        <v>44938</v>
      </c>
      <c r="C1744" s="1" t="n">
        <v>45641</v>
      </c>
      <c r="D1744" t="inlineStr">
        <is>
          <t>VÄSTERBOTTENS LÄN</t>
        </is>
      </c>
      <c r="E1744" t="inlineStr">
        <is>
          <t>SKELLEFTEÅ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1860-2023</t>
        </is>
      </c>
      <c r="B1745" s="1" t="n">
        <v>44938</v>
      </c>
      <c r="C1745" s="1" t="n">
        <v>45641</v>
      </c>
      <c r="D1745" t="inlineStr">
        <is>
          <t>VÄSTERBOTTENS LÄN</t>
        </is>
      </c>
      <c r="E1745" t="inlineStr">
        <is>
          <t>SKELLEFTEÅ</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1942-2023</t>
        </is>
      </c>
      <c r="B1746" s="1" t="n">
        <v>44938</v>
      </c>
      <c r="C1746" s="1" t="n">
        <v>45641</v>
      </c>
      <c r="D1746" t="inlineStr">
        <is>
          <t>VÄSTERBOTTENS LÄN</t>
        </is>
      </c>
      <c r="E1746" t="inlineStr">
        <is>
          <t>SKELLEFTEÅ</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2112-2023</t>
        </is>
      </c>
      <c r="B1747" s="1" t="n">
        <v>44939</v>
      </c>
      <c r="C1747" s="1" t="n">
        <v>45641</v>
      </c>
      <c r="D1747" t="inlineStr">
        <is>
          <t>VÄSTERBOTTENS LÄN</t>
        </is>
      </c>
      <c r="E1747" t="inlineStr">
        <is>
          <t>SKELLEFTEÅ</t>
        </is>
      </c>
      <c r="G1747" t="n">
        <v>14.7</v>
      </c>
      <c r="H1747" t="n">
        <v>0</v>
      </c>
      <c r="I1747" t="n">
        <v>0</v>
      </c>
      <c r="J1747" t="n">
        <v>0</v>
      </c>
      <c r="K1747" t="n">
        <v>0</v>
      </c>
      <c r="L1747" t="n">
        <v>0</v>
      </c>
      <c r="M1747" t="n">
        <v>0</v>
      </c>
      <c r="N1747" t="n">
        <v>0</v>
      </c>
      <c r="O1747" t="n">
        <v>0</v>
      </c>
      <c r="P1747" t="n">
        <v>0</v>
      </c>
      <c r="Q1747" t="n">
        <v>0</v>
      </c>
      <c r="R1747" s="2" t="inlineStr"/>
    </row>
    <row r="1748" ht="15" customHeight="1">
      <c r="A1748" t="inlineStr">
        <is>
          <t>A 2177-2023</t>
        </is>
      </c>
      <c r="B1748" s="1" t="n">
        <v>44942</v>
      </c>
      <c r="C1748" s="1" t="n">
        <v>45641</v>
      </c>
      <c r="D1748" t="inlineStr">
        <is>
          <t>VÄSTERBOTTENS LÄN</t>
        </is>
      </c>
      <c r="E1748" t="inlineStr">
        <is>
          <t>SKELLEFTEÅ</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2336-2023</t>
        </is>
      </c>
      <c r="B1749" s="1" t="n">
        <v>44942</v>
      </c>
      <c r="C1749" s="1" t="n">
        <v>45641</v>
      </c>
      <c r="D1749" t="inlineStr">
        <is>
          <t>VÄSTERBOTTENS LÄN</t>
        </is>
      </c>
      <c r="E1749" t="inlineStr">
        <is>
          <t>SKELLEFTEÅ</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2395-2023</t>
        </is>
      </c>
      <c r="B1750" s="1" t="n">
        <v>44942</v>
      </c>
      <c r="C1750" s="1" t="n">
        <v>45641</v>
      </c>
      <c r="D1750" t="inlineStr">
        <is>
          <t>VÄSTERBOTTENS LÄN</t>
        </is>
      </c>
      <c r="E1750" t="inlineStr">
        <is>
          <t>SKELLEFTEÅ</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2393-2023</t>
        </is>
      </c>
      <c r="B1751" s="1" t="n">
        <v>44942</v>
      </c>
      <c r="C1751" s="1" t="n">
        <v>45641</v>
      </c>
      <c r="D1751" t="inlineStr">
        <is>
          <t>VÄSTERBOTTENS LÄN</t>
        </is>
      </c>
      <c r="E1751" t="inlineStr">
        <is>
          <t>SKELLEFTEÅ</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2439-2023</t>
        </is>
      </c>
      <c r="B1752" s="1" t="n">
        <v>44942</v>
      </c>
      <c r="C1752" s="1" t="n">
        <v>45641</v>
      </c>
      <c r="D1752" t="inlineStr">
        <is>
          <t>VÄSTERBOTTENS LÄN</t>
        </is>
      </c>
      <c r="E1752" t="inlineStr">
        <is>
          <t>SKELLEFTEÅ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2718-2023</t>
        </is>
      </c>
      <c r="B1753" s="1" t="n">
        <v>44942</v>
      </c>
      <c r="C1753" s="1" t="n">
        <v>45641</v>
      </c>
      <c r="D1753" t="inlineStr">
        <is>
          <t>VÄSTERBOTTENS LÄN</t>
        </is>
      </c>
      <c r="E1753" t="inlineStr">
        <is>
          <t>SKELLEFTEÅ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2496-2023</t>
        </is>
      </c>
      <c r="B1754" s="1" t="n">
        <v>44943</v>
      </c>
      <c r="C1754" s="1" t="n">
        <v>45641</v>
      </c>
      <c r="D1754" t="inlineStr">
        <is>
          <t>VÄSTERBOTTENS LÄN</t>
        </is>
      </c>
      <c r="E1754" t="inlineStr">
        <is>
          <t>SKELLEFTEÅ</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2444-2023</t>
        </is>
      </c>
      <c r="B1755" s="1" t="n">
        <v>44943</v>
      </c>
      <c r="C1755" s="1" t="n">
        <v>45641</v>
      </c>
      <c r="D1755" t="inlineStr">
        <is>
          <t>VÄSTERBOTTENS LÄN</t>
        </is>
      </c>
      <c r="E1755" t="inlineStr">
        <is>
          <t>SKELLEFTEÅ</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2720-2023</t>
        </is>
      </c>
      <c r="B1756" s="1" t="n">
        <v>44944</v>
      </c>
      <c r="C1756" s="1" t="n">
        <v>45641</v>
      </c>
      <c r="D1756" t="inlineStr">
        <is>
          <t>VÄSTERBOTTENS LÄN</t>
        </is>
      </c>
      <c r="E1756" t="inlineStr">
        <is>
          <t>SKELLEFTEÅ</t>
        </is>
      </c>
      <c r="G1756" t="n">
        <v>31.7</v>
      </c>
      <c r="H1756" t="n">
        <v>0</v>
      </c>
      <c r="I1756" t="n">
        <v>0</v>
      </c>
      <c r="J1756" t="n">
        <v>0</v>
      </c>
      <c r="K1756" t="n">
        <v>0</v>
      </c>
      <c r="L1756" t="n">
        <v>0</v>
      </c>
      <c r="M1756" t="n">
        <v>0</v>
      </c>
      <c r="N1756" t="n">
        <v>0</v>
      </c>
      <c r="O1756" t="n">
        <v>0</v>
      </c>
      <c r="P1756" t="n">
        <v>0</v>
      </c>
      <c r="Q1756" t="n">
        <v>0</v>
      </c>
      <c r="R1756" s="2" t="inlineStr"/>
    </row>
    <row r="1757" ht="15" customHeight="1">
      <c r="A1757" t="inlineStr">
        <is>
          <t>A 2895-2023</t>
        </is>
      </c>
      <c r="B1757" s="1" t="n">
        <v>44945</v>
      </c>
      <c r="C1757" s="1" t="n">
        <v>45641</v>
      </c>
      <c r="D1757" t="inlineStr">
        <is>
          <t>VÄSTERBOTTENS LÄN</t>
        </is>
      </c>
      <c r="E1757" t="inlineStr">
        <is>
          <t>SKELLEFTEÅ</t>
        </is>
      </c>
      <c r="F1757" t="inlineStr">
        <is>
          <t>Sveaskog</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3277-2023</t>
        </is>
      </c>
      <c r="B1758" s="1" t="n">
        <v>44945</v>
      </c>
      <c r="C1758" s="1" t="n">
        <v>45641</v>
      </c>
      <c r="D1758" t="inlineStr">
        <is>
          <t>VÄSTERBOTTENS LÄN</t>
        </is>
      </c>
      <c r="E1758" t="inlineStr">
        <is>
          <t>SKELLEFTEÅ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3603-2023</t>
        </is>
      </c>
      <c r="B1759" s="1" t="n">
        <v>44946</v>
      </c>
      <c r="C1759" s="1" t="n">
        <v>45641</v>
      </c>
      <c r="D1759" t="inlineStr">
        <is>
          <t>VÄSTERBOTTENS LÄN</t>
        </is>
      </c>
      <c r="E1759" t="inlineStr">
        <is>
          <t>SKELLEFTEÅ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3600-2023</t>
        </is>
      </c>
      <c r="B1760" s="1" t="n">
        <v>44946</v>
      </c>
      <c r="C1760" s="1" t="n">
        <v>45641</v>
      </c>
      <c r="D1760" t="inlineStr">
        <is>
          <t>VÄSTERBOTTENS LÄN</t>
        </is>
      </c>
      <c r="E1760" t="inlineStr">
        <is>
          <t>SKELLEFTEÅ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3852-2023</t>
        </is>
      </c>
      <c r="B1761" s="1" t="n">
        <v>44950</v>
      </c>
      <c r="C1761" s="1" t="n">
        <v>45641</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3848-2023</t>
        </is>
      </c>
      <c r="B1762" s="1" t="n">
        <v>44950</v>
      </c>
      <c r="C1762" s="1" t="n">
        <v>45641</v>
      </c>
      <c r="D1762" t="inlineStr">
        <is>
          <t>VÄSTERBOTTENS LÄN</t>
        </is>
      </c>
      <c r="E1762" t="inlineStr">
        <is>
          <t>SKELLEFTEÅ</t>
        </is>
      </c>
      <c r="G1762" t="n">
        <v>14.4</v>
      </c>
      <c r="H1762" t="n">
        <v>0</v>
      </c>
      <c r="I1762" t="n">
        <v>0</v>
      </c>
      <c r="J1762" t="n">
        <v>0</v>
      </c>
      <c r="K1762" t="n">
        <v>0</v>
      </c>
      <c r="L1762" t="n">
        <v>0</v>
      </c>
      <c r="M1762" t="n">
        <v>0</v>
      </c>
      <c r="N1762" t="n">
        <v>0</v>
      </c>
      <c r="O1762" t="n">
        <v>0</v>
      </c>
      <c r="P1762" t="n">
        <v>0</v>
      </c>
      <c r="Q1762" t="n">
        <v>0</v>
      </c>
      <c r="R1762" s="2" t="inlineStr"/>
    </row>
    <row r="1763" ht="15" customHeight="1">
      <c r="A1763" t="inlineStr">
        <is>
          <t>A 3744-2023</t>
        </is>
      </c>
      <c r="B1763" s="1" t="n">
        <v>44951</v>
      </c>
      <c r="C1763" s="1" t="n">
        <v>45641</v>
      </c>
      <c r="D1763" t="inlineStr">
        <is>
          <t>VÄSTERBOTTENS LÄN</t>
        </is>
      </c>
      <c r="E1763" t="inlineStr">
        <is>
          <t>SKELLEFTEÅ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4447-2023</t>
        </is>
      </c>
      <c r="B1764" s="1" t="n">
        <v>44951</v>
      </c>
      <c r="C1764" s="1" t="n">
        <v>45641</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4104-2023</t>
        </is>
      </c>
      <c r="B1765" s="1" t="n">
        <v>44952</v>
      </c>
      <c r="C1765" s="1" t="n">
        <v>45641</v>
      </c>
      <c r="D1765" t="inlineStr">
        <is>
          <t>VÄSTERBOTTENS LÄN</t>
        </is>
      </c>
      <c r="E1765" t="inlineStr">
        <is>
          <t>SKELLEFTEÅ</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4031-2023</t>
        </is>
      </c>
      <c r="B1766" s="1" t="n">
        <v>44952</v>
      </c>
      <c r="C1766" s="1" t="n">
        <v>45641</v>
      </c>
      <c r="D1766" t="inlineStr">
        <is>
          <t>VÄSTERBOTTENS LÄN</t>
        </is>
      </c>
      <c r="E1766" t="inlineStr">
        <is>
          <t>SKELLEFTEÅ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4102-2023</t>
        </is>
      </c>
      <c r="B1767" s="1" t="n">
        <v>44952</v>
      </c>
      <c r="C1767" s="1" t="n">
        <v>45641</v>
      </c>
      <c r="D1767" t="inlineStr">
        <is>
          <t>VÄSTERBOTTENS LÄN</t>
        </is>
      </c>
      <c r="E1767" t="inlineStr">
        <is>
          <t>SKELLEFTEÅ</t>
        </is>
      </c>
      <c r="F1767" t="inlineStr">
        <is>
          <t>Sveaskog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4458-2023</t>
        </is>
      </c>
      <c r="B1768" s="1" t="n">
        <v>44952</v>
      </c>
      <c r="C1768" s="1" t="n">
        <v>45641</v>
      </c>
      <c r="D1768" t="inlineStr">
        <is>
          <t>VÄSTERBOTTENS LÄN</t>
        </is>
      </c>
      <c r="E1768" t="inlineStr">
        <is>
          <t>SKELLEFTEÅ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4453-2023</t>
        </is>
      </c>
      <c r="B1769" s="1" t="n">
        <v>44956</v>
      </c>
      <c r="C1769" s="1" t="n">
        <v>45641</v>
      </c>
      <c r="D1769" t="inlineStr">
        <is>
          <t>VÄSTERBOTTENS LÄN</t>
        </is>
      </c>
      <c r="E1769" t="inlineStr">
        <is>
          <t>SKELLEFTEÅ</t>
        </is>
      </c>
      <c r="F1769" t="inlineStr">
        <is>
          <t>Holmen skog AB</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4930-2023</t>
        </is>
      </c>
      <c r="B1770" s="1" t="n">
        <v>44956</v>
      </c>
      <c r="C1770" s="1" t="n">
        <v>45641</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4948-2023</t>
        </is>
      </c>
      <c r="B1771" s="1" t="n">
        <v>44956</v>
      </c>
      <c r="C1771" s="1" t="n">
        <v>45641</v>
      </c>
      <c r="D1771" t="inlineStr">
        <is>
          <t>VÄSTERBOTTENS LÄN</t>
        </is>
      </c>
      <c r="E1771" t="inlineStr">
        <is>
          <t>SKELLEFTEÅ</t>
        </is>
      </c>
      <c r="G1771" t="n">
        <v>21.1</v>
      </c>
      <c r="H1771" t="n">
        <v>0</v>
      </c>
      <c r="I1771" t="n">
        <v>0</v>
      </c>
      <c r="J1771" t="n">
        <v>0</v>
      </c>
      <c r="K1771" t="n">
        <v>0</v>
      </c>
      <c r="L1771" t="n">
        <v>0</v>
      </c>
      <c r="M1771" t="n">
        <v>0</v>
      </c>
      <c r="N1771" t="n">
        <v>0</v>
      </c>
      <c r="O1771" t="n">
        <v>0</v>
      </c>
      <c r="P1771" t="n">
        <v>0</v>
      </c>
      <c r="Q1771" t="n">
        <v>0</v>
      </c>
      <c r="R1771" s="2" t="inlineStr"/>
    </row>
    <row r="1772" ht="15" customHeight="1">
      <c r="A1772" t="inlineStr">
        <is>
          <t>A 4938-2023</t>
        </is>
      </c>
      <c r="B1772" s="1" t="n">
        <v>44956</v>
      </c>
      <c r="C1772" s="1" t="n">
        <v>45641</v>
      </c>
      <c r="D1772" t="inlineStr">
        <is>
          <t>VÄSTERBOTTENS LÄN</t>
        </is>
      </c>
      <c r="E1772" t="inlineStr">
        <is>
          <t>SKELLEFTEÅ</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4943-2023</t>
        </is>
      </c>
      <c r="B1773" s="1" t="n">
        <v>44956</v>
      </c>
      <c r="C1773" s="1" t="n">
        <v>45641</v>
      </c>
      <c r="D1773" t="inlineStr">
        <is>
          <t>VÄSTERBOTTENS LÄN</t>
        </is>
      </c>
      <c r="E1773" t="inlineStr">
        <is>
          <t>SKELLEFTEÅ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4710-2023</t>
        </is>
      </c>
      <c r="B1774" s="1" t="n">
        <v>44957</v>
      </c>
      <c r="C1774" s="1" t="n">
        <v>45641</v>
      </c>
      <c r="D1774" t="inlineStr">
        <is>
          <t>VÄSTERBOTTENS LÄN</t>
        </is>
      </c>
      <c r="E1774" t="inlineStr">
        <is>
          <t>SKELLEFTEÅ</t>
        </is>
      </c>
      <c r="F1774" t="inlineStr">
        <is>
          <t>Holmen skog AB</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5416-2023</t>
        </is>
      </c>
      <c r="B1775" s="1" t="n">
        <v>44957</v>
      </c>
      <c r="C1775" s="1" t="n">
        <v>45641</v>
      </c>
      <c r="D1775" t="inlineStr">
        <is>
          <t>VÄSTERBOTTENS LÄN</t>
        </is>
      </c>
      <c r="E1775" t="inlineStr">
        <is>
          <t>SKELLEFTEÅ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5481-2023</t>
        </is>
      </c>
      <c r="B1776" s="1" t="n">
        <v>44957</v>
      </c>
      <c r="C1776" s="1" t="n">
        <v>45641</v>
      </c>
      <c r="D1776" t="inlineStr">
        <is>
          <t>VÄSTERBOTTENS LÄN</t>
        </is>
      </c>
      <c r="E1776" t="inlineStr">
        <is>
          <t>SKELLEFTEÅ</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5495-2023</t>
        </is>
      </c>
      <c r="B1777" s="1" t="n">
        <v>44957</v>
      </c>
      <c r="C1777" s="1" t="n">
        <v>45641</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5515-2023</t>
        </is>
      </c>
      <c r="B1778" s="1" t="n">
        <v>44957</v>
      </c>
      <c r="C1778" s="1" t="n">
        <v>45641</v>
      </c>
      <c r="D1778" t="inlineStr">
        <is>
          <t>VÄSTERBOTTENS LÄN</t>
        </is>
      </c>
      <c r="E1778" t="inlineStr">
        <is>
          <t>SKELLEFTEÅ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5490-2023</t>
        </is>
      </c>
      <c r="B1779" s="1" t="n">
        <v>44957</v>
      </c>
      <c r="C1779" s="1" t="n">
        <v>45641</v>
      </c>
      <c r="D1779" t="inlineStr">
        <is>
          <t>VÄSTERBOTTENS LÄN</t>
        </is>
      </c>
      <c r="E1779" t="inlineStr">
        <is>
          <t>SKELLEFTEÅ</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5373-2023</t>
        </is>
      </c>
      <c r="B1780" s="1" t="n">
        <v>44957</v>
      </c>
      <c r="C1780" s="1" t="n">
        <v>45641</v>
      </c>
      <c r="D1780" t="inlineStr">
        <is>
          <t>VÄSTERBOTTENS LÄN</t>
        </is>
      </c>
      <c r="E1780" t="inlineStr">
        <is>
          <t>SKELLEFTEÅ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5973-2023</t>
        </is>
      </c>
      <c r="B1781" s="1" t="n">
        <v>44959</v>
      </c>
      <c r="C1781" s="1" t="n">
        <v>45641</v>
      </c>
      <c r="D1781" t="inlineStr">
        <is>
          <t>VÄSTERBOTTENS LÄN</t>
        </is>
      </c>
      <c r="E1781" t="inlineStr">
        <is>
          <t>SKELLEFTEÅ</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5996-2023</t>
        </is>
      </c>
      <c r="B1782" s="1" t="n">
        <v>44959</v>
      </c>
      <c r="C1782" s="1" t="n">
        <v>45641</v>
      </c>
      <c r="D1782" t="inlineStr">
        <is>
          <t>VÄSTERBOTTENS LÄN</t>
        </is>
      </c>
      <c r="E1782" t="inlineStr">
        <is>
          <t>SKELLEFTEÅ</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6016-2023</t>
        </is>
      </c>
      <c r="B1783" s="1" t="n">
        <v>44959</v>
      </c>
      <c r="C1783" s="1" t="n">
        <v>45641</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5986-2023</t>
        </is>
      </c>
      <c r="B1784" s="1" t="n">
        <v>44959</v>
      </c>
      <c r="C1784" s="1" t="n">
        <v>45641</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5991-2023</t>
        </is>
      </c>
      <c r="B1785" s="1" t="n">
        <v>44959</v>
      </c>
      <c r="C1785" s="1" t="n">
        <v>45641</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6012-2023</t>
        </is>
      </c>
      <c r="B1786" s="1" t="n">
        <v>44959</v>
      </c>
      <c r="C1786" s="1" t="n">
        <v>45641</v>
      </c>
      <c r="D1786" t="inlineStr">
        <is>
          <t>VÄSTERBOTTENS LÄN</t>
        </is>
      </c>
      <c r="E1786" t="inlineStr">
        <is>
          <t>SKELLEFTEÅ</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5687-2023</t>
        </is>
      </c>
      <c r="B1787" s="1" t="n">
        <v>44960</v>
      </c>
      <c r="C1787" s="1" t="n">
        <v>45641</v>
      </c>
      <c r="D1787" t="inlineStr">
        <is>
          <t>VÄSTERBOTTENS LÄN</t>
        </is>
      </c>
      <c r="E1787" t="inlineStr">
        <is>
          <t>SKELLEFTEÅ</t>
        </is>
      </c>
      <c r="F1787" t="inlineStr">
        <is>
          <t>Sveaskog</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5470-2023</t>
        </is>
      </c>
      <c r="B1788" s="1" t="n">
        <v>44960</v>
      </c>
      <c r="C1788" s="1" t="n">
        <v>45641</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5541-2023</t>
        </is>
      </c>
      <c r="B1789" s="1" t="n">
        <v>44960</v>
      </c>
      <c r="C1789" s="1" t="n">
        <v>45641</v>
      </c>
      <c r="D1789" t="inlineStr">
        <is>
          <t>VÄSTERBOTTENS LÄN</t>
        </is>
      </c>
      <c r="E1789" t="inlineStr">
        <is>
          <t>SKELLEFTEÅ</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5602-2023</t>
        </is>
      </c>
      <c r="B1790" s="1" t="n">
        <v>44960</v>
      </c>
      <c r="C1790" s="1" t="n">
        <v>45641</v>
      </c>
      <c r="D1790" t="inlineStr">
        <is>
          <t>VÄSTERBOTTENS LÄN</t>
        </is>
      </c>
      <c r="E1790" t="inlineStr">
        <is>
          <t>SKELLEFTEÅ</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5740-2023</t>
        </is>
      </c>
      <c r="B1791" s="1" t="n">
        <v>44962</v>
      </c>
      <c r="C1791" s="1" t="n">
        <v>45641</v>
      </c>
      <c r="D1791" t="inlineStr">
        <is>
          <t>VÄSTERBOTTENS LÄN</t>
        </is>
      </c>
      <c r="E1791" t="inlineStr">
        <is>
          <t>SKELLEFTEÅ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5744-2023</t>
        </is>
      </c>
      <c r="B1792" s="1" t="n">
        <v>44962</v>
      </c>
      <c r="C1792" s="1" t="n">
        <v>45641</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5743-2023</t>
        </is>
      </c>
      <c r="B1793" s="1" t="n">
        <v>44962</v>
      </c>
      <c r="C1793" s="1" t="n">
        <v>45641</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5929-2023</t>
        </is>
      </c>
      <c r="B1794" s="1" t="n">
        <v>44963</v>
      </c>
      <c r="C1794" s="1" t="n">
        <v>45641</v>
      </c>
      <c r="D1794" t="inlineStr">
        <is>
          <t>VÄSTERBOTTENS LÄN</t>
        </is>
      </c>
      <c r="E1794" t="inlineStr">
        <is>
          <t>SKELLEFTEÅ</t>
        </is>
      </c>
      <c r="F1794" t="inlineStr">
        <is>
          <t>Sveaskog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5959-2023</t>
        </is>
      </c>
      <c r="B1795" s="1" t="n">
        <v>44963</v>
      </c>
      <c r="C1795" s="1" t="n">
        <v>45641</v>
      </c>
      <c r="D1795" t="inlineStr">
        <is>
          <t>VÄSTERBOTTENS LÄN</t>
        </is>
      </c>
      <c r="E1795" t="inlineStr">
        <is>
          <t>SKELLEFTEÅ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6596-2023</t>
        </is>
      </c>
      <c r="B1796" s="1" t="n">
        <v>44963</v>
      </c>
      <c r="C1796" s="1" t="n">
        <v>45641</v>
      </c>
      <c r="D1796" t="inlineStr">
        <is>
          <t>VÄSTERBOTTENS LÄN</t>
        </is>
      </c>
      <c r="E1796" t="inlineStr">
        <is>
          <t>SKELLEFTEÅ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6656-2023</t>
        </is>
      </c>
      <c r="B1797" s="1" t="n">
        <v>44963</v>
      </c>
      <c r="C1797" s="1" t="n">
        <v>45641</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5965-2023</t>
        </is>
      </c>
      <c r="B1798" s="1" t="n">
        <v>44964</v>
      </c>
      <c r="C1798" s="1" t="n">
        <v>45641</v>
      </c>
      <c r="D1798" t="inlineStr">
        <is>
          <t>VÄSTERBOTTENS LÄN</t>
        </is>
      </c>
      <c r="E1798" t="inlineStr">
        <is>
          <t>SKELLEFTEÅ</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6441-2023</t>
        </is>
      </c>
      <c r="B1799" s="1" t="n">
        <v>44965</v>
      </c>
      <c r="C1799" s="1" t="n">
        <v>45641</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6443-2023</t>
        </is>
      </c>
      <c r="B1800" s="1" t="n">
        <v>44965</v>
      </c>
      <c r="C1800" s="1" t="n">
        <v>45641</v>
      </c>
      <c r="D1800" t="inlineStr">
        <is>
          <t>VÄSTERBOTTENS LÄN</t>
        </is>
      </c>
      <c r="E1800" t="inlineStr">
        <is>
          <t>SKELLEFTEÅ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6442-2023</t>
        </is>
      </c>
      <c r="B1801" s="1" t="n">
        <v>44965</v>
      </c>
      <c r="C1801" s="1" t="n">
        <v>45641</v>
      </c>
      <c r="D1801" t="inlineStr">
        <is>
          <t>VÄSTERBOTTENS LÄN</t>
        </is>
      </c>
      <c r="E1801" t="inlineStr">
        <is>
          <t>SKELLEFTEÅ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6450-2023</t>
        </is>
      </c>
      <c r="B1802" s="1" t="n">
        <v>44965</v>
      </c>
      <c r="C1802" s="1" t="n">
        <v>45641</v>
      </c>
      <c r="D1802" t="inlineStr">
        <is>
          <t>VÄSTERBOTTENS LÄN</t>
        </is>
      </c>
      <c r="E1802" t="inlineStr">
        <is>
          <t>SKELLEFTEÅ</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6511-2023</t>
        </is>
      </c>
      <c r="B1803" s="1" t="n">
        <v>44966</v>
      </c>
      <c r="C1803" s="1" t="n">
        <v>45641</v>
      </c>
      <c r="D1803" t="inlineStr">
        <is>
          <t>VÄSTERBOTTENS LÄN</t>
        </is>
      </c>
      <c r="E1803" t="inlineStr">
        <is>
          <t>SKELLEFTEÅ</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7023-2023</t>
        </is>
      </c>
      <c r="B1804" s="1" t="n">
        <v>44968</v>
      </c>
      <c r="C1804" s="1" t="n">
        <v>45641</v>
      </c>
      <c r="D1804" t="inlineStr">
        <is>
          <t>VÄSTERBOTTENS LÄN</t>
        </is>
      </c>
      <c r="E1804" t="inlineStr">
        <is>
          <t>SKELLEFTEÅ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7022-2023</t>
        </is>
      </c>
      <c r="B1805" s="1" t="n">
        <v>44968</v>
      </c>
      <c r="C1805" s="1" t="n">
        <v>45641</v>
      </c>
      <c r="D1805" t="inlineStr">
        <is>
          <t>VÄSTERBOTTENS LÄN</t>
        </is>
      </c>
      <c r="E1805" t="inlineStr">
        <is>
          <t>SKELLEFTEÅ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7875-2023</t>
        </is>
      </c>
      <c r="B1806" s="1" t="n">
        <v>44967</v>
      </c>
      <c r="C1806" s="1" t="n">
        <v>45641</v>
      </c>
      <c r="D1806" t="inlineStr">
        <is>
          <t>VÄSTERBOTTENS LÄN</t>
        </is>
      </c>
      <c r="E1806" t="inlineStr">
        <is>
          <t>SKELLEFTEÅ</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7364-2023</t>
        </is>
      </c>
      <c r="B1807" s="1" t="n">
        <v>44971</v>
      </c>
      <c r="C1807" s="1" t="n">
        <v>45641</v>
      </c>
      <c r="D1807" t="inlineStr">
        <is>
          <t>VÄSTERBOTTENS LÄN</t>
        </is>
      </c>
      <c r="E1807" t="inlineStr">
        <is>
          <t>SKELLEFTEÅ</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7517-2023</t>
        </is>
      </c>
      <c r="B1808" s="1" t="n">
        <v>44971</v>
      </c>
      <c r="C1808" s="1" t="n">
        <v>45641</v>
      </c>
      <c r="D1808" t="inlineStr">
        <is>
          <t>VÄSTERBOTTENS LÄN</t>
        </is>
      </c>
      <c r="E1808" t="inlineStr">
        <is>
          <t>SKELLEFTEÅ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7516-2023</t>
        </is>
      </c>
      <c r="B1809" s="1" t="n">
        <v>44971</v>
      </c>
      <c r="C1809" s="1" t="n">
        <v>45641</v>
      </c>
      <c r="D1809" t="inlineStr">
        <is>
          <t>VÄSTERBOTTENS LÄN</t>
        </is>
      </c>
      <c r="E1809" t="inlineStr">
        <is>
          <t>SKELLEFTEÅ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8206-2023</t>
        </is>
      </c>
      <c r="B1810" s="1" t="n">
        <v>44971</v>
      </c>
      <c r="C1810" s="1" t="n">
        <v>45641</v>
      </c>
      <c r="D1810" t="inlineStr">
        <is>
          <t>VÄSTERBOTTENS LÄN</t>
        </is>
      </c>
      <c r="E1810" t="inlineStr">
        <is>
          <t>SKELLEFTEÅ</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8422-2023</t>
        </is>
      </c>
      <c r="B1811" s="1" t="n">
        <v>44972</v>
      </c>
      <c r="C1811" s="1" t="n">
        <v>45641</v>
      </c>
      <c r="D1811" t="inlineStr">
        <is>
          <t>VÄSTERBOTTENS LÄN</t>
        </is>
      </c>
      <c r="E1811" t="inlineStr">
        <is>
          <t>SKELLEFTEÅ</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8477-2023</t>
        </is>
      </c>
      <c r="B1812" s="1" t="n">
        <v>44972</v>
      </c>
      <c r="C1812" s="1" t="n">
        <v>45641</v>
      </c>
      <c r="D1812" t="inlineStr">
        <is>
          <t>VÄSTERBOTTENS LÄN</t>
        </is>
      </c>
      <c r="E1812" t="inlineStr">
        <is>
          <t>SKELLEFTEÅ</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8479-2023</t>
        </is>
      </c>
      <c r="B1813" s="1" t="n">
        <v>44972</v>
      </c>
      <c r="C1813" s="1" t="n">
        <v>45641</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8549-2023</t>
        </is>
      </c>
      <c r="B1814" s="1" t="n">
        <v>44972</v>
      </c>
      <c r="C1814" s="1" t="n">
        <v>45641</v>
      </c>
      <c r="D1814" t="inlineStr">
        <is>
          <t>VÄSTERBOTTENS LÄN</t>
        </is>
      </c>
      <c r="E1814" t="inlineStr">
        <is>
          <t>SKELLEFTEÅ</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8480-2023</t>
        </is>
      </c>
      <c r="B1815" s="1" t="n">
        <v>44972</v>
      </c>
      <c r="C1815" s="1" t="n">
        <v>45641</v>
      </c>
      <c r="D1815" t="inlineStr">
        <is>
          <t>VÄSTERBOTTENS LÄN</t>
        </is>
      </c>
      <c r="E1815" t="inlineStr">
        <is>
          <t>SKELLEFTEÅ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7712-2023</t>
        </is>
      </c>
      <c r="B1816" s="1" t="n">
        <v>44972</v>
      </c>
      <c r="C1816" s="1" t="n">
        <v>45641</v>
      </c>
      <c r="D1816" t="inlineStr">
        <is>
          <t>VÄSTERBOTTENS LÄN</t>
        </is>
      </c>
      <c r="E1816" t="inlineStr">
        <is>
          <t>SKELLEFTEÅ</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8478-2023</t>
        </is>
      </c>
      <c r="B1817" s="1" t="n">
        <v>44972</v>
      </c>
      <c r="C1817" s="1" t="n">
        <v>45641</v>
      </c>
      <c r="D1817" t="inlineStr">
        <is>
          <t>VÄSTERBOTTENS LÄN</t>
        </is>
      </c>
      <c r="E1817" t="inlineStr">
        <is>
          <t>SKELLEFTEÅ</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8563-2023</t>
        </is>
      </c>
      <c r="B1818" s="1" t="n">
        <v>44972</v>
      </c>
      <c r="C1818" s="1" t="n">
        <v>45641</v>
      </c>
      <c r="D1818" t="inlineStr">
        <is>
          <t>VÄSTERBOTTENS LÄN</t>
        </is>
      </c>
      <c r="E1818" t="inlineStr">
        <is>
          <t>SKELLEFTEÅ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8028-2023</t>
        </is>
      </c>
      <c r="B1819" s="1" t="n">
        <v>44973</v>
      </c>
      <c r="C1819" s="1" t="n">
        <v>45641</v>
      </c>
      <c r="D1819" t="inlineStr">
        <is>
          <t>VÄSTERBOTTENS LÄN</t>
        </is>
      </c>
      <c r="E1819" t="inlineStr">
        <is>
          <t>SKELLEFTEÅ</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8029-2023</t>
        </is>
      </c>
      <c r="B1820" s="1" t="n">
        <v>44973</v>
      </c>
      <c r="C1820" s="1" t="n">
        <v>45641</v>
      </c>
      <c r="D1820" t="inlineStr">
        <is>
          <t>VÄSTERBOTTENS LÄN</t>
        </is>
      </c>
      <c r="E1820" t="inlineStr">
        <is>
          <t>SKELLEFTEÅ</t>
        </is>
      </c>
      <c r="F1820" t="inlineStr">
        <is>
          <t>SCA</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8328-2023</t>
        </is>
      </c>
      <c r="B1821" s="1" t="n">
        <v>44974</v>
      </c>
      <c r="C1821" s="1" t="n">
        <v>45641</v>
      </c>
      <c r="D1821" t="inlineStr">
        <is>
          <t>VÄSTERBOTTENS LÄN</t>
        </is>
      </c>
      <c r="E1821" t="inlineStr">
        <is>
          <t>SKELLEFTEÅ</t>
        </is>
      </c>
      <c r="G1821" t="n">
        <v>18.5</v>
      </c>
      <c r="H1821" t="n">
        <v>0</v>
      </c>
      <c r="I1821" t="n">
        <v>0</v>
      </c>
      <c r="J1821" t="n">
        <v>0</v>
      </c>
      <c r="K1821" t="n">
        <v>0</v>
      </c>
      <c r="L1821" t="n">
        <v>0</v>
      </c>
      <c r="M1821" t="n">
        <v>0</v>
      </c>
      <c r="N1821" t="n">
        <v>0</v>
      </c>
      <c r="O1821" t="n">
        <v>0</v>
      </c>
      <c r="P1821" t="n">
        <v>0</v>
      </c>
      <c r="Q1821" t="n">
        <v>0</v>
      </c>
      <c r="R1821" s="2" t="inlineStr"/>
    </row>
    <row r="1822" ht="15" customHeight="1">
      <c r="A1822" t="inlineStr">
        <is>
          <t>A 8930-2023</t>
        </is>
      </c>
      <c r="B1822" s="1" t="n">
        <v>44974</v>
      </c>
      <c r="C1822" s="1" t="n">
        <v>45641</v>
      </c>
      <c r="D1822" t="inlineStr">
        <is>
          <t>VÄSTERBOTTENS LÄN</t>
        </is>
      </c>
      <c r="E1822" t="inlineStr">
        <is>
          <t>SKELLEFTEÅ</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8952-2023</t>
        </is>
      </c>
      <c r="B1823" s="1" t="n">
        <v>44974</v>
      </c>
      <c r="C1823" s="1" t="n">
        <v>45641</v>
      </c>
      <c r="D1823" t="inlineStr">
        <is>
          <t>VÄSTERBOTTENS LÄN</t>
        </is>
      </c>
      <c r="E1823" t="inlineStr">
        <is>
          <t>SKELLEFTEÅ</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8648-2023</t>
        </is>
      </c>
      <c r="B1824" s="1" t="n">
        <v>44978</v>
      </c>
      <c r="C1824" s="1" t="n">
        <v>45641</v>
      </c>
      <c r="D1824" t="inlineStr">
        <is>
          <t>VÄSTERBOTTENS LÄN</t>
        </is>
      </c>
      <c r="E1824" t="inlineStr">
        <is>
          <t>SKELLEFTEÅ</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9624-2023</t>
        </is>
      </c>
      <c r="B1825" s="1" t="n">
        <v>44978</v>
      </c>
      <c r="C1825" s="1" t="n">
        <v>45641</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8801-2023</t>
        </is>
      </c>
      <c r="B1826" s="1" t="n">
        <v>44978</v>
      </c>
      <c r="C1826" s="1" t="n">
        <v>45641</v>
      </c>
      <c r="D1826" t="inlineStr">
        <is>
          <t>VÄSTERBOTTENS LÄN</t>
        </is>
      </c>
      <c r="E1826" t="inlineStr">
        <is>
          <t>SKELLEFTEÅ</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9619-2023</t>
        </is>
      </c>
      <c r="B1827" s="1" t="n">
        <v>44978</v>
      </c>
      <c r="C1827" s="1" t="n">
        <v>45641</v>
      </c>
      <c r="D1827" t="inlineStr">
        <is>
          <t>VÄSTERBOTTENS LÄN</t>
        </is>
      </c>
      <c r="E1827" t="inlineStr">
        <is>
          <t>SKELLEFTEÅ</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9740-2023</t>
        </is>
      </c>
      <c r="B1828" s="1" t="n">
        <v>44978</v>
      </c>
      <c r="C1828" s="1" t="n">
        <v>45641</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9027-2023</t>
        </is>
      </c>
      <c r="B1829" s="1" t="n">
        <v>44979</v>
      </c>
      <c r="C1829" s="1" t="n">
        <v>45641</v>
      </c>
      <c r="D1829" t="inlineStr">
        <is>
          <t>VÄSTERBOTTENS LÄN</t>
        </is>
      </c>
      <c r="E1829" t="inlineStr">
        <is>
          <t>SKELLEFTEÅ</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9078-2023</t>
        </is>
      </c>
      <c r="B1830" s="1" t="n">
        <v>44979</v>
      </c>
      <c r="C1830" s="1" t="n">
        <v>45641</v>
      </c>
      <c r="D1830" t="inlineStr">
        <is>
          <t>VÄSTERBOTTENS LÄN</t>
        </is>
      </c>
      <c r="E1830" t="inlineStr">
        <is>
          <t>SKELLEFTEÅ</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9080-2023</t>
        </is>
      </c>
      <c r="B1831" s="1" t="n">
        <v>44979</v>
      </c>
      <c r="C1831" s="1" t="n">
        <v>45641</v>
      </c>
      <c r="D1831" t="inlineStr">
        <is>
          <t>VÄSTERBOTTENS LÄN</t>
        </is>
      </c>
      <c r="E1831" t="inlineStr">
        <is>
          <t>SKELLEFTEÅ</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9980-2023</t>
        </is>
      </c>
      <c r="B1832" s="1" t="n">
        <v>44979</v>
      </c>
      <c r="C1832" s="1" t="n">
        <v>45641</v>
      </c>
      <c r="D1832" t="inlineStr">
        <is>
          <t>VÄSTERBOTTENS LÄN</t>
        </is>
      </c>
      <c r="E1832" t="inlineStr">
        <is>
          <t>SKELLEFTEÅ</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9079-2023</t>
        </is>
      </c>
      <c r="B1833" s="1" t="n">
        <v>44979</v>
      </c>
      <c r="C1833" s="1" t="n">
        <v>45641</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9982-2023</t>
        </is>
      </c>
      <c r="B1834" s="1" t="n">
        <v>44979</v>
      </c>
      <c r="C1834" s="1" t="n">
        <v>45641</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10172-2023</t>
        </is>
      </c>
      <c r="B1835" s="1" t="n">
        <v>44979</v>
      </c>
      <c r="C1835" s="1" t="n">
        <v>45641</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9209-2023</t>
        </is>
      </c>
      <c r="B1836" s="1" t="n">
        <v>44980</v>
      </c>
      <c r="C1836" s="1" t="n">
        <v>45641</v>
      </c>
      <c r="D1836" t="inlineStr">
        <is>
          <t>VÄSTERBOTTENS LÄN</t>
        </is>
      </c>
      <c r="E1836" t="inlineStr">
        <is>
          <t>SKELLEFTEÅ</t>
        </is>
      </c>
      <c r="F1836" t="inlineStr">
        <is>
          <t>Holmen skog AB</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9343-2023</t>
        </is>
      </c>
      <c r="B1837" s="1" t="n">
        <v>44980</v>
      </c>
      <c r="C1837" s="1" t="n">
        <v>45641</v>
      </c>
      <c r="D1837" t="inlineStr">
        <is>
          <t>VÄSTERBOTTENS LÄN</t>
        </is>
      </c>
      <c r="E1837" t="inlineStr">
        <is>
          <t>SKELLEFTEÅ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9342-2023</t>
        </is>
      </c>
      <c r="B1838" s="1" t="n">
        <v>44980</v>
      </c>
      <c r="C1838" s="1" t="n">
        <v>45641</v>
      </c>
      <c r="D1838" t="inlineStr">
        <is>
          <t>VÄSTERBOTTENS LÄN</t>
        </is>
      </c>
      <c r="E1838" t="inlineStr">
        <is>
          <t>SKELLEFTEÅ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9345-2023</t>
        </is>
      </c>
      <c r="B1839" s="1" t="n">
        <v>44980</v>
      </c>
      <c r="C1839" s="1" t="n">
        <v>45641</v>
      </c>
      <c r="D1839" t="inlineStr">
        <is>
          <t>VÄSTERBOTTENS LÄN</t>
        </is>
      </c>
      <c r="E1839" t="inlineStr">
        <is>
          <t>SKELLEFTEÅ</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9402-2023</t>
        </is>
      </c>
      <c r="B1840" s="1" t="n">
        <v>44981</v>
      </c>
      <c r="C1840" s="1" t="n">
        <v>45641</v>
      </c>
      <c r="D1840" t="inlineStr">
        <is>
          <t>VÄSTERBOTTENS LÄN</t>
        </is>
      </c>
      <c r="E1840" t="inlineStr">
        <is>
          <t>SKELLEFTEÅ</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9463-2023</t>
        </is>
      </c>
      <c r="B1841" s="1" t="n">
        <v>44981</v>
      </c>
      <c r="C1841" s="1" t="n">
        <v>45641</v>
      </c>
      <c r="D1841" t="inlineStr">
        <is>
          <t>VÄSTERBOTTENS LÄN</t>
        </is>
      </c>
      <c r="E1841" t="inlineStr">
        <is>
          <t>SKELLEFTEÅ</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10568-2023</t>
        </is>
      </c>
      <c r="B1842" s="1" t="n">
        <v>44981</v>
      </c>
      <c r="C1842" s="1" t="n">
        <v>45641</v>
      </c>
      <c r="D1842" t="inlineStr">
        <is>
          <t>VÄSTERBOTTENS LÄN</t>
        </is>
      </c>
      <c r="E1842" t="inlineStr">
        <is>
          <t>SKELLEFTEÅ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10567-2023</t>
        </is>
      </c>
      <c r="B1843" s="1" t="n">
        <v>44981</v>
      </c>
      <c r="C1843" s="1" t="n">
        <v>45641</v>
      </c>
      <c r="D1843" t="inlineStr">
        <is>
          <t>VÄSTERBOTTENS LÄN</t>
        </is>
      </c>
      <c r="E1843" t="inlineStr">
        <is>
          <t>SKELLEFTEÅ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10570-2023</t>
        </is>
      </c>
      <c r="B1844" s="1" t="n">
        <v>44981</v>
      </c>
      <c r="C1844" s="1" t="n">
        <v>45641</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10696-2023</t>
        </is>
      </c>
      <c r="B1845" s="1" t="n">
        <v>44984</v>
      </c>
      <c r="C1845" s="1" t="n">
        <v>45641</v>
      </c>
      <c r="D1845" t="inlineStr">
        <is>
          <t>VÄSTERBOTTENS LÄN</t>
        </is>
      </c>
      <c r="E1845" t="inlineStr">
        <is>
          <t>SKELLEFTEÅ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10647-2023</t>
        </is>
      </c>
      <c r="B1846" s="1" t="n">
        <v>44984</v>
      </c>
      <c r="C1846" s="1" t="n">
        <v>45641</v>
      </c>
      <c r="D1846" t="inlineStr">
        <is>
          <t>VÄSTERBOTTENS LÄN</t>
        </is>
      </c>
      <c r="E1846" t="inlineStr">
        <is>
          <t>SKELLEFTEÅ</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10072-2023</t>
        </is>
      </c>
      <c r="B1847" s="1" t="n">
        <v>44985</v>
      </c>
      <c r="C1847" s="1" t="n">
        <v>45641</v>
      </c>
      <c r="D1847" t="inlineStr">
        <is>
          <t>VÄSTERBOTTENS LÄN</t>
        </is>
      </c>
      <c r="E1847" t="inlineStr">
        <is>
          <t>SKELLEFTEÅ</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10073-2023</t>
        </is>
      </c>
      <c r="B1848" s="1" t="n">
        <v>44985</v>
      </c>
      <c r="C1848" s="1" t="n">
        <v>45641</v>
      </c>
      <c r="D1848" t="inlineStr">
        <is>
          <t>VÄSTERBOTTENS LÄN</t>
        </is>
      </c>
      <c r="E1848" t="inlineStr">
        <is>
          <t>SKELLEFTEÅ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10840-2023</t>
        </is>
      </c>
      <c r="B1849" s="1" t="n">
        <v>44985</v>
      </c>
      <c r="C1849" s="1" t="n">
        <v>45641</v>
      </c>
      <c r="D1849" t="inlineStr">
        <is>
          <t>VÄSTERBOTTENS LÄN</t>
        </is>
      </c>
      <c r="E1849" t="inlineStr">
        <is>
          <t>SKELLEFTEÅ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10846-2023</t>
        </is>
      </c>
      <c r="B1850" s="1" t="n">
        <v>44985</v>
      </c>
      <c r="C1850" s="1" t="n">
        <v>45641</v>
      </c>
      <c r="D1850" t="inlineStr">
        <is>
          <t>VÄSTERBOTTENS LÄN</t>
        </is>
      </c>
      <c r="E1850" t="inlineStr">
        <is>
          <t>SKELLEFTEÅ</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10852-2023</t>
        </is>
      </c>
      <c r="B1851" s="1" t="n">
        <v>44985</v>
      </c>
      <c r="C1851" s="1" t="n">
        <v>45641</v>
      </c>
      <c r="D1851" t="inlineStr">
        <is>
          <t>VÄSTERBOTTENS LÄN</t>
        </is>
      </c>
      <c r="E1851" t="inlineStr">
        <is>
          <t>SKELLEFTEÅ</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10291-2023</t>
        </is>
      </c>
      <c r="B1852" s="1" t="n">
        <v>44986</v>
      </c>
      <c r="C1852" s="1" t="n">
        <v>45641</v>
      </c>
      <c r="D1852" t="inlineStr">
        <is>
          <t>VÄSTERBOTTENS LÄN</t>
        </is>
      </c>
      <c r="E1852" t="inlineStr">
        <is>
          <t>SKELLEFTEÅ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11030-2023</t>
        </is>
      </c>
      <c r="B1853" s="1" t="n">
        <v>44991</v>
      </c>
      <c r="C1853" s="1" t="n">
        <v>45641</v>
      </c>
      <c r="D1853" t="inlineStr">
        <is>
          <t>VÄSTERBOTTENS LÄN</t>
        </is>
      </c>
      <c r="E1853" t="inlineStr">
        <is>
          <t>SKELLEFTEÅ</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11028-2023</t>
        </is>
      </c>
      <c r="B1854" s="1" t="n">
        <v>44991</v>
      </c>
      <c r="C1854" s="1" t="n">
        <v>45641</v>
      </c>
      <c r="D1854" t="inlineStr">
        <is>
          <t>VÄSTERBOTTENS LÄN</t>
        </is>
      </c>
      <c r="E1854" t="inlineStr">
        <is>
          <t>SKELLEFTEÅ</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11031-2023</t>
        </is>
      </c>
      <c r="B1855" s="1" t="n">
        <v>44991</v>
      </c>
      <c r="C1855" s="1" t="n">
        <v>45641</v>
      </c>
      <c r="D1855" t="inlineStr">
        <is>
          <t>VÄSTERBOTTENS LÄN</t>
        </is>
      </c>
      <c r="E1855" t="inlineStr">
        <is>
          <t>SKELLEFTEÅ</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11029-2023</t>
        </is>
      </c>
      <c r="B1856" s="1" t="n">
        <v>44991</v>
      </c>
      <c r="C1856" s="1" t="n">
        <v>45641</v>
      </c>
      <c r="D1856" t="inlineStr">
        <is>
          <t>VÄSTERBOTTENS LÄN</t>
        </is>
      </c>
      <c r="E1856" t="inlineStr">
        <is>
          <t>SKELLEFTEÅ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11707-2023</t>
        </is>
      </c>
      <c r="B1857" s="1" t="n">
        <v>44992</v>
      </c>
      <c r="C1857" s="1" t="n">
        <v>45641</v>
      </c>
      <c r="D1857" t="inlineStr">
        <is>
          <t>VÄSTERBOTTENS LÄN</t>
        </is>
      </c>
      <c r="E1857" t="inlineStr">
        <is>
          <t>SKELLEFTEÅ</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11377-2023</t>
        </is>
      </c>
      <c r="B1858" s="1" t="n">
        <v>44993</v>
      </c>
      <c r="C1858" s="1" t="n">
        <v>45641</v>
      </c>
      <c r="D1858" t="inlineStr">
        <is>
          <t>VÄSTERBOTTENS LÄN</t>
        </is>
      </c>
      <c r="E1858" t="inlineStr">
        <is>
          <t>SKELLEFTEÅ</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11339-2023</t>
        </is>
      </c>
      <c r="B1859" s="1" t="n">
        <v>44993</v>
      </c>
      <c r="C1859" s="1" t="n">
        <v>45641</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11624-2023</t>
        </is>
      </c>
      <c r="B1860" s="1" t="n">
        <v>44994</v>
      </c>
      <c r="C1860" s="1" t="n">
        <v>45641</v>
      </c>
      <c r="D1860" t="inlineStr">
        <is>
          <t>VÄSTERBOTTENS LÄN</t>
        </is>
      </c>
      <c r="E1860" t="inlineStr">
        <is>
          <t>SKELLEFTEÅ</t>
        </is>
      </c>
      <c r="G1860" t="n">
        <v>47.6</v>
      </c>
      <c r="H1860" t="n">
        <v>0</v>
      </c>
      <c r="I1860" t="n">
        <v>0</v>
      </c>
      <c r="J1860" t="n">
        <v>0</v>
      </c>
      <c r="K1860" t="n">
        <v>0</v>
      </c>
      <c r="L1860" t="n">
        <v>0</v>
      </c>
      <c r="M1860" t="n">
        <v>0</v>
      </c>
      <c r="N1860" t="n">
        <v>0</v>
      </c>
      <c r="O1860" t="n">
        <v>0</v>
      </c>
      <c r="P1860" t="n">
        <v>0</v>
      </c>
      <c r="Q1860" t="n">
        <v>0</v>
      </c>
      <c r="R1860" s="2" t="inlineStr"/>
    </row>
    <row r="1861" ht="15" customHeight="1">
      <c r="A1861" t="inlineStr">
        <is>
          <t>A 11629-2023</t>
        </is>
      </c>
      <c r="B1861" s="1" t="n">
        <v>44994</v>
      </c>
      <c r="C1861" s="1" t="n">
        <v>45641</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11638-2023</t>
        </is>
      </c>
      <c r="B1862" s="1" t="n">
        <v>44994</v>
      </c>
      <c r="C1862" s="1" t="n">
        <v>45641</v>
      </c>
      <c r="D1862" t="inlineStr">
        <is>
          <t>VÄSTERBOTTENS LÄN</t>
        </is>
      </c>
      <c r="E1862" t="inlineStr">
        <is>
          <t>SKELLEFTEÅ</t>
        </is>
      </c>
      <c r="G1862" t="n">
        <v>19.8</v>
      </c>
      <c r="H1862" t="n">
        <v>0</v>
      </c>
      <c r="I1862" t="n">
        <v>0</v>
      </c>
      <c r="J1862" t="n">
        <v>0</v>
      </c>
      <c r="K1862" t="n">
        <v>0</v>
      </c>
      <c r="L1862" t="n">
        <v>0</v>
      </c>
      <c r="M1862" t="n">
        <v>0</v>
      </c>
      <c r="N1862" t="n">
        <v>0</v>
      </c>
      <c r="O1862" t="n">
        <v>0</v>
      </c>
      <c r="P1862" t="n">
        <v>0</v>
      </c>
      <c r="Q1862" t="n">
        <v>0</v>
      </c>
      <c r="R1862" s="2" t="inlineStr"/>
    </row>
    <row r="1863" ht="15" customHeight="1">
      <c r="A1863" t="inlineStr">
        <is>
          <t>A 11642-2023</t>
        </is>
      </c>
      <c r="B1863" s="1" t="n">
        <v>44994</v>
      </c>
      <c r="C1863" s="1" t="n">
        <v>45641</v>
      </c>
      <c r="D1863" t="inlineStr">
        <is>
          <t>VÄSTERBOTTENS LÄN</t>
        </is>
      </c>
      <c r="E1863" t="inlineStr">
        <is>
          <t>SKELLEFTEÅ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11771-2023</t>
        </is>
      </c>
      <c r="B1864" s="1" t="n">
        <v>44994</v>
      </c>
      <c r="C1864" s="1" t="n">
        <v>45641</v>
      </c>
      <c r="D1864" t="inlineStr">
        <is>
          <t>VÄSTERBOTTENS LÄN</t>
        </is>
      </c>
      <c r="E1864" t="inlineStr">
        <is>
          <t>SKELLEFTEÅ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11973-2023</t>
        </is>
      </c>
      <c r="B1865" s="1" t="n">
        <v>44994</v>
      </c>
      <c r="C1865" s="1" t="n">
        <v>45641</v>
      </c>
      <c r="D1865" t="inlineStr">
        <is>
          <t>VÄSTERBOTTENS LÄN</t>
        </is>
      </c>
      <c r="E1865" t="inlineStr">
        <is>
          <t>SKELLEFTEÅ</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11963-2023</t>
        </is>
      </c>
      <c r="B1866" s="1" t="n">
        <v>44994</v>
      </c>
      <c r="C1866" s="1" t="n">
        <v>45641</v>
      </c>
      <c r="D1866" t="inlineStr">
        <is>
          <t>VÄSTERBOTTENS LÄN</t>
        </is>
      </c>
      <c r="E1866" t="inlineStr">
        <is>
          <t>SKELLEFTEÅ</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11989-2023</t>
        </is>
      </c>
      <c r="B1867" s="1" t="n">
        <v>44994</v>
      </c>
      <c r="C1867" s="1" t="n">
        <v>45641</v>
      </c>
      <c r="D1867" t="inlineStr">
        <is>
          <t>VÄSTERBOTTENS LÄN</t>
        </is>
      </c>
      <c r="E1867" t="inlineStr">
        <is>
          <t>SKELLEFTEÅ</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11995-2023</t>
        </is>
      </c>
      <c r="B1868" s="1" t="n">
        <v>44994</v>
      </c>
      <c r="C1868" s="1" t="n">
        <v>45641</v>
      </c>
      <c r="D1868" t="inlineStr">
        <is>
          <t>VÄSTERBOTTENS LÄN</t>
        </is>
      </c>
      <c r="E1868" t="inlineStr">
        <is>
          <t>SKELLEFTEÅ</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11942-2023</t>
        </is>
      </c>
      <c r="B1869" s="1" t="n">
        <v>44995</v>
      </c>
      <c r="C1869" s="1" t="n">
        <v>45641</v>
      </c>
      <c r="D1869" t="inlineStr">
        <is>
          <t>VÄSTERBOTTENS LÄN</t>
        </is>
      </c>
      <c r="E1869" t="inlineStr">
        <is>
          <t>SKELLEFTEÅ</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12017-2023</t>
        </is>
      </c>
      <c r="B1870" s="1" t="n">
        <v>44995</v>
      </c>
      <c r="C1870" s="1" t="n">
        <v>45641</v>
      </c>
      <c r="D1870" t="inlineStr">
        <is>
          <t>VÄSTERBOTTENS LÄN</t>
        </is>
      </c>
      <c r="E1870" t="inlineStr">
        <is>
          <t>SKELLEFTEÅ</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11945-2023</t>
        </is>
      </c>
      <c r="B1871" s="1" t="n">
        <v>44995</v>
      </c>
      <c r="C1871" s="1" t="n">
        <v>45641</v>
      </c>
      <c r="D1871" t="inlineStr">
        <is>
          <t>VÄSTERBOTTENS LÄN</t>
        </is>
      </c>
      <c r="E1871" t="inlineStr">
        <is>
          <t>SKELLEFTEÅ</t>
        </is>
      </c>
      <c r="F1871" t="inlineStr">
        <is>
          <t>Sveaskog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12137-2023</t>
        </is>
      </c>
      <c r="B1872" s="1" t="n">
        <v>44995</v>
      </c>
      <c r="C1872" s="1" t="n">
        <v>45641</v>
      </c>
      <c r="D1872" t="inlineStr">
        <is>
          <t>VÄSTERBOTTENS LÄN</t>
        </is>
      </c>
      <c r="E1872" t="inlineStr">
        <is>
          <t>SKELLEFTEÅ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12019-2023</t>
        </is>
      </c>
      <c r="B1873" s="1" t="n">
        <v>44995</v>
      </c>
      <c r="C1873" s="1" t="n">
        <v>45641</v>
      </c>
      <c r="D1873" t="inlineStr">
        <is>
          <t>VÄSTERBOTTENS LÄN</t>
        </is>
      </c>
      <c r="E1873" t="inlineStr">
        <is>
          <t>SKELLEFTEÅ</t>
        </is>
      </c>
      <c r="F1873" t="inlineStr">
        <is>
          <t>Sveaskog</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12033-2023</t>
        </is>
      </c>
      <c r="B1874" s="1" t="n">
        <v>44995</v>
      </c>
      <c r="C1874" s="1" t="n">
        <v>45641</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12032-2023</t>
        </is>
      </c>
      <c r="B1875" s="1" t="n">
        <v>44995</v>
      </c>
      <c r="C1875" s="1" t="n">
        <v>45641</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12366-2023</t>
        </is>
      </c>
      <c r="B1876" s="1" t="n">
        <v>44998</v>
      </c>
      <c r="C1876" s="1" t="n">
        <v>45641</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12392-2023</t>
        </is>
      </c>
      <c r="B1877" s="1" t="n">
        <v>44998</v>
      </c>
      <c r="C1877" s="1" t="n">
        <v>45641</v>
      </c>
      <c r="D1877" t="inlineStr">
        <is>
          <t>VÄSTERBOTTENS LÄN</t>
        </is>
      </c>
      <c r="E1877" t="inlineStr">
        <is>
          <t>SKELLEFTEÅ</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12728-2023</t>
        </is>
      </c>
      <c r="B1878" s="1" t="n">
        <v>45000</v>
      </c>
      <c r="C1878" s="1" t="n">
        <v>45641</v>
      </c>
      <c r="D1878" t="inlineStr">
        <is>
          <t>VÄSTERBOTTENS LÄN</t>
        </is>
      </c>
      <c r="E1878" t="inlineStr">
        <is>
          <t>SKELLEFTEÅ</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12601-2023</t>
        </is>
      </c>
      <c r="B1879" s="1" t="n">
        <v>45000</v>
      </c>
      <c r="C1879" s="1" t="n">
        <v>45641</v>
      </c>
      <c r="D1879" t="inlineStr">
        <is>
          <t>VÄSTERBOTTENS LÄN</t>
        </is>
      </c>
      <c r="E1879" t="inlineStr">
        <is>
          <t>SKELLEFTEÅ</t>
        </is>
      </c>
      <c r="F1879" t="inlineStr">
        <is>
          <t>Holmen skog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12648-2023</t>
        </is>
      </c>
      <c r="B1880" s="1" t="n">
        <v>45000</v>
      </c>
      <c r="C1880" s="1" t="n">
        <v>45641</v>
      </c>
      <c r="D1880" t="inlineStr">
        <is>
          <t>VÄSTERBOTTENS LÄN</t>
        </is>
      </c>
      <c r="E1880" t="inlineStr">
        <is>
          <t>SKELLEFTEÅ</t>
        </is>
      </c>
      <c r="F1880" t="inlineStr">
        <is>
          <t>Holmen skog AB</t>
        </is>
      </c>
      <c r="G1880" t="n">
        <v>14.6</v>
      </c>
      <c r="H1880" t="n">
        <v>0</v>
      </c>
      <c r="I1880" t="n">
        <v>0</v>
      </c>
      <c r="J1880" t="n">
        <v>0</v>
      </c>
      <c r="K1880" t="n">
        <v>0</v>
      </c>
      <c r="L1880" t="n">
        <v>0</v>
      </c>
      <c r="M1880" t="n">
        <v>0</v>
      </c>
      <c r="N1880" t="n">
        <v>0</v>
      </c>
      <c r="O1880" t="n">
        <v>0</v>
      </c>
      <c r="P1880" t="n">
        <v>0</v>
      </c>
      <c r="Q1880" t="n">
        <v>0</v>
      </c>
      <c r="R1880" s="2" t="inlineStr"/>
    </row>
    <row r="1881" ht="15" customHeight="1">
      <c r="A1881" t="inlineStr">
        <is>
          <t>A 12803-2023</t>
        </is>
      </c>
      <c r="B1881" s="1" t="n">
        <v>45000</v>
      </c>
      <c r="C1881" s="1" t="n">
        <v>45641</v>
      </c>
      <c r="D1881" t="inlineStr">
        <is>
          <t>VÄSTERBOTTENS LÄN</t>
        </is>
      </c>
      <c r="E1881" t="inlineStr">
        <is>
          <t>SKELLEFTEÅ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13149-2023</t>
        </is>
      </c>
      <c r="B1882" s="1" t="n">
        <v>45002</v>
      </c>
      <c r="C1882" s="1" t="n">
        <v>45641</v>
      </c>
      <c r="D1882" t="inlineStr">
        <is>
          <t>VÄSTERBOTTENS LÄN</t>
        </is>
      </c>
      <c r="E1882" t="inlineStr">
        <is>
          <t>SKELLEFTEÅ</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13312-2023</t>
        </is>
      </c>
      <c r="B1883" s="1" t="n">
        <v>45005</v>
      </c>
      <c r="C1883" s="1" t="n">
        <v>45641</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13470-2023</t>
        </is>
      </c>
      <c r="B1884" s="1" t="n">
        <v>45005</v>
      </c>
      <c r="C1884" s="1" t="n">
        <v>45641</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13375-2023</t>
        </is>
      </c>
      <c r="B1885" s="1" t="n">
        <v>45005</v>
      </c>
      <c r="C1885" s="1" t="n">
        <v>45641</v>
      </c>
      <c r="D1885" t="inlineStr">
        <is>
          <t>VÄSTERBOTTENS LÄN</t>
        </is>
      </c>
      <c r="E1885" t="inlineStr">
        <is>
          <t>SKELLEFTEÅ</t>
        </is>
      </c>
      <c r="F1885" t="inlineStr">
        <is>
          <t>Holmen skog AB</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13641-2023</t>
        </is>
      </c>
      <c r="B1886" s="1" t="n">
        <v>45006</v>
      </c>
      <c r="C1886" s="1" t="n">
        <v>45641</v>
      </c>
      <c r="D1886" t="inlineStr">
        <is>
          <t>VÄSTERBOTTENS LÄN</t>
        </is>
      </c>
      <c r="E1886" t="inlineStr">
        <is>
          <t>SKELLEFTEÅ</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14066-2023</t>
        </is>
      </c>
      <c r="B1887" s="1" t="n">
        <v>45008</v>
      </c>
      <c r="C1887" s="1" t="n">
        <v>45641</v>
      </c>
      <c r="D1887" t="inlineStr">
        <is>
          <t>VÄSTERBOTTENS LÄN</t>
        </is>
      </c>
      <c r="E1887" t="inlineStr">
        <is>
          <t>SKELLEFTEÅ</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14197-2023</t>
        </is>
      </c>
      <c r="B1888" s="1" t="n">
        <v>45009</v>
      </c>
      <c r="C1888" s="1" t="n">
        <v>45641</v>
      </c>
      <c r="D1888" t="inlineStr">
        <is>
          <t>VÄSTERBOTTENS LÄN</t>
        </is>
      </c>
      <c r="E1888" t="inlineStr">
        <is>
          <t>SKELLEFTEÅ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14089-2023</t>
        </is>
      </c>
      <c r="B1889" s="1" t="n">
        <v>45009</v>
      </c>
      <c r="C1889" s="1" t="n">
        <v>45641</v>
      </c>
      <c r="D1889" t="inlineStr">
        <is>
          <t>VÄSTERBOTTENS LÄN</t>
        </is>
      </c>
      <c r="E1889" t="inlineStr">
        <is>
          <t>SKELLEFTEÅ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14332-2023</t>
        </is>
      </c>
      <c r="B1890" s="1" t="n">
        <v>45009</v>
      </c>
      <c r="C1890" s="1" t="n">
        <v>45641</v>
      </c>
      <c r="D1890" t="inlineStr">
        <is>
          <t>VÄSTERBOTTENS LÄN</t>
        </is>
      </c>
      <c r="E1890" t="inlineStr">
        <is>
          <t>SKELLEFTEÅ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14341-2023</t>
        </is>
      </c>
      <c r="B1891" s="1" t="n">
        <v>45009</v>
      </c>
      <c r="C1891" s="1" t="n">
        <v>45641</v>
      </c>
      <c r="D1891" t="inlineStr">
        <is>
          <t>VÄSTERBOTTENS LÄN</t>
        </is>
      </c>
      <c r="E1891" t="inlineStr">
        <is>
          <t>SKELLEFTEÅ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14351-2023</t>
        </is>
      </c>
      <c r="B1892" s="1" t="n">
        <v>45009</v>
      </c>
      <c r="C1892" s="1" t="n">
        <v>45641</v>
      </c>
      <c r="D1892" t="inlineStr">
        <is>
          <t>VÄSTERBOTTENS LÄN</t>
        </is>
      </c>
      <c r="E1892" t="inlineStr">
        <is>
          <t>SKELLEFTEÅ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14458-2023</t>
        </is>
      </c>
      <c r="B1893" s="1" t="n">
        <v>45012</v>
      </c>
      <c r="C1893" s="1" t="n">
        <v>45641</v>
      </c>
      <c r="D1893" t="inlineStr">
        <is>
          <t>VÄSTERBOTTENS LÄN</t>
        </is>
      </c>
      <c r="E1893" t="inlineStr">
        <is>
          <t>SKELLEFTEÅ</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14697-2023</t>
        </is>
      </c>
      <c r="B1894" s="1" t="n">
        <v>45012</v>
      </c>
      <c r="C1894" s="1" t="n">
        <v>45641</v>
      </c>
      <c r="D1894" t="inlineStr">
        <is>
          <t>VÄSTERBOTTENS LÄN</t>
        </is>
      </c>
      <c r="E1894" t="inlineStr">
        <is>
          <t>SKELLEFTEÅ</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14705-2023</t>
        </is>
      </c>
      <c r="B1895" s="1" t="n">
        <v>45012</v>
      </c>
      <c r="C1895" s="1" t="n">
        <v>45641</v>
      </c>
      <c r="D1895" t="inlineStr">
        <is>
          <t>VÄSTERBOTTENS LÄN</t>
        </is>
      </c>
      <c r="E1895" t="inlineStr">
        <is>
          <t>SKELLEFTEÅ</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14902-2023</t>
        </is>
      </c>
      <c r="B1896" s="1" t="n">
        <v>45014</v>
      </c>
      <c r="C1896" s="1" t="n">
        <v>45641</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14992-2023</t>
        </is>
      </c>
      <c r="B1897" s="1" t="n">
        <v>45014</v>
      </c>
      <c r="C1897" s="1" t="n">
        <v>45641</v>
      </c>
      <c r="D1897" t="inlineStr">
        <is>
          <t>VÄSTERBOTTENS LÄN</t>
        </is>
      </c>
      <c r="E1897" t="inlineStr">
        <is>
          <t>SKELLEFTEÅ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14983-2023</t>
        </is>
      </c>
      <c r="B1898" s="1" t="n">
        <v>45014</v>
      </c>
      <c r="C1898" s="1" t="n">
        <v>45641</v>
      </c>
      <c r="D1898" t="inlineStr">
        <is>
          <t>VÄSTERBOTTENS LÄN</t>
        </is>
      </c>
      <c r="E1898" t="inlineStr">
        <is>
          <t>SKELLEFTEÅ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14998-2023</t>
        </is>
      </c>
      <c r="B1899" s="1" t="n">
        <v>45015</v>
      </c>
      <c r="C1899" s="1" t="n">
        <v>45641</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15155-2023</t>
        </is>
      </c>
      <c r="B1900" s="1" t="n">
        <v>45016</v>
      </c>
      <c r="C1900" s="1" t="n">
        <v>45641</v>
      </c>
      <c r="D1900" t="inlineStr">
        <is>
          <t>VÄSTERBOTTENS LÄN</t>
        </is>
      </c>
      <c r="E1900" t="inlineStr">
        <is>
          <t>SKELLEFTEÅ</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15327-2023</t>
        </is>
      </c>
      <c r="B1901" s="1" t="n">
        <v>45016</v>
      </c>
      <c r="C1901" s="1" t="n">
        <v>45641</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15332-2023</t>
        </is>
      </c>
      <c r="B1902" s="1" t="n">
        <v>45016</v>
      </c>
      <c r="C1902" s="1" t="n">
        <v>45641</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15405-2023</t>
        </is>
      </c>
      <c r="B1903" s="1" t="n">
        <v>45019</v>
      </c>
      <c r="C1903" s="1" t="n">
        <v>45641</v>
      </c>
      <c r="D1903" t="inlineStr">
        <is>
          <t>VÄSTERBOTTENS LÄN</t>
        </is>
      </c>
      <c r="E1903" t="inlineStr">
        <is>
          <t>SKELLEFTEÅ</t>
        </is>
      </c>
      <c r="F1903" t="inlineStr">
        <is>
          <t>Holmen skog AB</t>
        </is>
      </c>
      <c r="G1903" t="n">
        <v>11.3</v>
      </c>
      <c r="H1903" t="n">
        <v>0</v>
      </c>
      <c r="I1903" t="n">
        <v>0</v>
      </c>
      <c r="J1903" t="n">
        <v>0</v>
      </c>
      <c r="K1903" t="n">
        <v>0</v>
      </c>
      <c r="L1903" t="n">
        <v>0</v>
      </c>
      <c r="M1903" t="n">
        <v>0</v>
      </c>
      <c r="N1903" t="n">
        <v>0</v>
      </c>
      <c r="O1903" t="n">
        <v>0</v>
      </c>
      <c r="P1903" t="n">
        <v>0</v>
      </c>
      <c r="Q1903" t="n">
        <v>0</v>
      </c>
      <c r="R1903" s="2" t="inlineStr"/>
    </row>
    <row r="1904" ht="15" customHeight="1">
      <c r="A1904" t="inlineStr">
        <is>
          <t>A 15593-2023</t>
        </is>
      </c>
      <c r="B1904" s="1" t="n">
        <v>45019</v>
      </c>
      <c r="C1904" s="1" t="n">
        <v>45641</v>
      </c>
      <c r="D1904" t="inlineStr">
        <is>
          <t>VÄSTERBOTTENS LÄN</t>
        </is>
      </c>
      <c r="E1904" t="inlineStr">
        <is>
          <t>SKELLEFTEÅ</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15536-2023</t>
        </is>
      </c>
      <c r="B1905" s="1" t="n">
        <v>45020</v>
      </c>
      <c r="C1905" s="1" t="n">
        <v>45641</v>
      </c>
      <c r="D1905" t="inlineStr">
        <is>
          <t>VÄSTERBOTTENS LÄN</t>
        </is>
      </c>
      <c r="E1905" t="inlineStr">
        <is>
          <t>SKELLEFTEÅ</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15479-2023</t>
        </is>
      </c>
      <c r="B1906" s="1" t="n">
        <v>45020</v>
      </c>
      <c r="C1906" s="1" t="n">
        <v>45641</v>
      </c>
      <c r="D1906" t="inlineStr">
        <is>
          <t>VÄSTERBOTTENS LÄN</t>
        </is>
      </c>
      <c r="E1906" t="inlineStr">
        <is>
          <t>SKELLEFTEÅ</t>
        </is>
      </c>
      <c r="F1906" t="inlineStr">
        <is>
          <t>Sveaskog</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15709-2023</t>
        </is>
      </c>
      <c r="B1907" s="1" t="n">
        <v>45020</v>
      </c>
      <c r="C1907" s="1" t="n">
        <v>45641</v>
      </c>
      <c r="D1907" t="inlineStr">
        <is>
          <t>VÄSTERBOTTENS LÄN</t>
        </is>
      </c>
      <c r="E1907" t="inlineStr">
        <is>
          <t>SKELLEFTEÅ</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15732-2023</t>
        </is>
      </c>
      <c r="B1908" s="1" t="n">
        <v>45020</v>
      </c>
      <c r="C1908" s="1" t="n">
        <v>45641</v>
      </c>
      <c r="D1908" t="inlineStr">
        <is>
          <t>VÄSTERBOTTENS LÄN</t>
        </is>
      </c>
      <c r="E1908" t="inlineStr">
        <is>
          <t>SKELLEFTEÅ</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15570-2023</t>
        </is>
      </c>
      <c r="B1909" s="1" t="n">
        <v>45020</v>
      </c>
      <c r="C1909" s="1" t="n">
        <v>45641</v>
      </c>
      <c r="D1909" t="inlineStr">
        <is>
          <t>VÄSTERBOTTENS LÄN</t>
        </is>
      </c>
      <c r="E1909" t="inlineStr">
        <is>
          <t>SKELLEFTEÅ</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15717-2023</t>
        </is>
      </c>
      <c r="B1910" s="1" t="n">
        <v>45020</v>
      </c>
      <c r="C1910" s="1" t="n">
        <v>45641</v>
      </c>
      <c r="D1910" t="inlineStr">
        <is>
          <t>VÄSTERBOTTENS LÄN</t>
        </is>
      </c>
      <c r="E1910" t="inlineStr">
        <is>
          <t>SKELLEFTEÅ</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15706-2023</t>
        </is>
      </c>
      <c r="B1911" s="1" t="n">
        <v>45020</v>
      </c>
      <c r="C1911" s="1" t="n">
        <v>45641</v>
      </c>
      <c r="D1911" t="inlineStr">
        <is>
          <t>VÄSTERBOTTENS LÄN</t>
        </is>
      </c>
      <c r="E1911" t="inlineStr">
        <is>
          <t>SKELLEFTEÅ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15806-2023</t>
        </is>
      </c>
      <c r="B1912" s="1" t="n">
        <v>45021</v>
      </c>
      <c r="C1912" s="1" t="n">
        <v>45641</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15825-2023</t>
        </is>
      </c>
      <c r="B1913" s="1" t="n">
        <v>45022</v>
      </c>
      <c r="C1913" s="1" t="n">
        <v>45641</v>
      </c>
      <c r="D1913" t="inlineStr">
        <is>
          <t>VÄSTERBOTTENS LÄN</t>
        </is>
      </c>
      <c r="E1913" t="inlineStr">
        <is>
          <t>SKELLEFTEÅ</t>
        </is>
      </c>
      <c r="F1913" t="inlineStr">
        <is>
          <t>SCA</t>
        </is>
      </c>
      <c r="G1913" t="n">
        <v>16.8</v>
      </c>
      <c r="H1913" t="n">
        <v>0</v>
      </c>
      <c r="I1913" t="n">
        <v>0</v>
      </c>
      <c r="J1913" t="n">
        <v>0</v>
      </c>
      <c r="K1913" t="n">
        <v>0</v>
      </c>
      <c r="L1913" t="n">
        <v>0</v>
      </c>
      <c r="M1913" t="n">
        <v>0</v>
      </c>
      <c r="N1913" t="n">
        <v>0</v>
      </c>
      <c r="O1913" t="n">
        <v>0</v>
      </c>
      <c r="P1913" t="n">
        <v>0</v>
      </c>
      <c r="Q1913" t="n">
        <v>0</v>
      </c>
      <c r="R1913" s="2" t="inlineStr"/>
    </row>
    <row r="1914" ht="15" customHeight="1">
      <c r="A1914" t="inlineStr">
        <is>
          <t>A 15899-2023</t>
        </is>
      </c>
      <c r="B1914" s="1" t="n">
        <v>45021</v>
      </c>
      <c r="C1914" s="1" t="n">
        <v>45641</v>
      </c>
      <c r="D1914" t="inlineStr">
        <is>
          <t>VÄSTERBOTTENS LÄN</t>
        </is>
      </c>
      <c r="E1914" t="inlineStr">
        <is>
          <t>SKELLEFTEÅ</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15903-2023</t>
        </is>
      </c>
      <c r="B1915" s="1" t="n">
        <v>45021</v>
      </c>
      <c r="C1915" s="1" t="n">
        <v>45641</v>
      </c>
      <c r="D1915" t="inlineStr">
        <is>
          <t>VÄSTERBOTTENS LÄN</t>
        </is>
      </c>
      <c r="E1915" t="inlineStr">
        <is>
          <t>SKELLEFTEÅ</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15906-2023</t>
        </is>
      </c>
      <c r="B1916" s="1" t="n">
        <v>45021</v>
      </c>
      <c r="C1916" s="1" t="n">
        <v>45641</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16027-2023</t>
        </is>
      </c>
      <c r="B1917" s="1" t="n">
        <v>45027</v>
      </c>
      <c r="C1917" s="1" t="n">
        <v>45641</v>
      </c>
      <c r="D1917" t="inlineStr">
        <is>
          <t>VÄSTERBOTTENS LÄN</t>
        </is>
      </c>
      <c r="E1917" t="inlineStr">
        <is>
          <t>SKELLEFTEÅ</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16183-2023</t>
        </is>
      </c>
      <c r="B1918" s="1" t="n">
        <v>45027</v>
      </c>
      <c r="C1918" s="1" t="n">
        <v>45641</v>
      </c>
      <c r="D1918" t="inlineStr">
        <is>
          <t>VÄSTERBOTTENS LÄN</t>
        </is>
      </c>
      <c r="E1918" t="inlineStr">
        <is>
          <t>SKELLEFTEÅ</t>
        </is>
      </c>
      <c r="G1918" t="n">
        <v>24.7</v>
      </c>
      <c r="H1918" t="n">
        <v>0</v>
      </c>
      <c r="I1918" t="n">
        <v>0</v>
      </c>
      <c r="J1918" t="n">
        <v>0</v>
      </c>
      <c r="K1918" t="n">
        <v>0</v>
      </c>
      <c r="L1918" t="n">
        <v>0</v>
      </c>
      <c r="M1918" t="n">
        <v>0</v>
      </c>
      <c r="N1918" t="n">
        <v>0</v>
      </c>
      <c r="O1918" t="n">
        <v>0</v>
      </c>
      <c r="P1918" t="n">
        <v>0</v>
      </c>
      <c r="Q1918" t="n">
        <v>0</v>
      </c>
      <c r="R1918" s="2" t="inlineStr"/>
    </row>
    <row r="1919" ht="15" customHeight="1">
      <c r="A1919" t="inlineStr">
        <is>
          <t>A 16186-2023</t>
        </is>
      </c>
      <c r="B1919" s="1" t="n">
        <v>45028</v>
      </c>
      <c r="C1919" s="1" t="n">
        <v>45641</v>
      </c>
      <c r="D1919" t="inlineStr">
        <is>
          <t>VÄSTERBOTTENS LÄN</t>
        </is>
      </c>
      <c r="E1919" t="inlineStr">
        <is>
          <t>SKELLEFTEÅ</t>
        </is>
      </c>
      <c r="G1919" t="n">
        <v>12.4</v>
      </c>
      <c r="H1919" t="n">
        <v>0</v>
      </c>
      <c r="I1919" t="n">
        <v>0</v>
      </c>
      <c r="J1919" t="n">
        <v>0</v>
      </c>
      <c r="K1919" t="n">
        <v>0</v>
      </c>
      <c r="L1919" t="n">
        <v>0</v>
      </c>
      <c r="M1919" t="n">
        <v>0</v>
      </c>
      <c r="N1919" t="n">
        <v>0</v>
      </c>
      <c r="O1919" t="n">
        <v>0</v>
      </c>
      <c r="P1919" t="n">
        <v>0</v>
      </c>
      <c r="Q1919" t="n">
        <v>0</v>
      </c>
      <c r="R1919" s="2" t="inlineStr"/>
    </row>
    <row r="1920" ht="15" customHeight="1">
      <c r="A1920" t="inlineStr">
        <is>
          <t>A 16239-2023</t>
        </is>
      </c>
      <c r="B1920" s="1" t="n">
        <v>45028</v>
      </c>
      <c r="C1920" s="1" t="n">
        <v>45641</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16237-2023</t>
        </is>
      </c>
      <c r="B1921" s="1" t="n">
        <v>45028</v>
      </c>
      <c r="C1921" s="1" t="n">
        <v>45641</v>
      </c>
      <c r="D1921" t="inlineStr">
        <is>
          <t>VÄSTERBOTTENS LÄN</t>
        </is>
      </c>
      <c r="E1921" t="inlineStr">
        <is>
          <t>SKELLEFTEÅ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16494-2023</t>
        </is>
      </c>
      <c r="B1922" s="1" t="n">
        <v>45029</v>
      </c>
      <c r="C1922" s="1" t="n">
        <v>45641</v>
      </c>
      <c r="D1922" t="inlineStr">
        <is>
          <t>VÄSTERBOTTENS LÄN</t>
        </is>
      </c>
      <c r="E1922" t="inlineStr">
        <is>
          <t>SKELLEFTEÅ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16753-2023</t>
        </is>
      </c>
      <c r="B1923" s="1" t="n">
        <v>45031</v>
      </c>
      <c r="C1923" s="1" t="n">
        <v>45641</v>
      </c>
      <c r="D1923" t="inlineStr">
        <is>
          <t>VÄSTERBOTTENS LÄN</t>
        </is>
      </c>
      <c r="E1923" t="inlineStr">
        <is>
          <t>SKELLEFTEÅ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17026-2023</t>
        </is>
      </c>
      <c r="B1924" s="1" t="n">
        <v>45030</v>
      </c>
      <c r="C1924" s="1" t="n">
        <v>45641</v>
      </c>
      <c r="D1924" t="inlineStr">
        <is>
          <t>VÄSTERBOTTENS LÄN</t>
        </is>
      </c>
      <c r="E1924" t="inlineStr">
        <is>
          <t>SKELLEFTEÅ</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17086-2023</t>
        </is>
      </c>
      <c r="B1925" s="1" t="n">
        <v>45030</v>
      </c>
      <c r="C1925" s="1" t="n">
        <v>45641</v>
      </c>
      <c r="D1925" t="inlineStr">
        <is>
          <t>VÄSTERBOTTENS LÄN</t>
        </is>
      </c>
      <c r="E1925" t="inlineStr">
        <is>
          <t>SKELLEFTEÅ</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17071-2023</t>
        </is>
      </c>
      <c r="B1926" s="1" t="n">
        <v>45030</v>
      </c>
      <c r="C1926" s="1" t="n">
        <v>45641</v>
      </c>
      <c r="D1926" t="inlineStr">
        <is>
          <t>VÄSTERBOTTENS LÄN</t>
        </is>
      </c>
      <c r="E1926" t="inlineStr">
        <is>
          <t>SKELLEFTEÅ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16858-2023</t>
        </is>
      </c>
      <c r="B1927" s="1" t="n">
        <v>45033</v>
      </c>
      <c r="C1927" s="1" t="n">
        <v>45641</v>
      </c>
      <c r="D1927" t="inlineStr">
        <is>
          <t>VÄSTERBOTTENS LÄN</t>
        </is>
      </c>
      <c r="E1927" t="inlineStr">
        <is>
          <t>SKELLEFTEÅ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16998-2023</t>
        </is>
      </c>
      <c r="B1928" s="1" t="n">
        <v>45033</v>
      </c>
      <c r="C1928" s="1" t="n">
        <v>45641</v>
      </c>
      <c r="D1928" t="inlineStr">
        <is>
          <t>VÄSTERBOTTENS LÄN</t>
        </is>
      </c>
      <c r="E1928" t="inlineStr">
        <is>
          <t>SKELLEFTEÅ</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17208-2023</t>
        </is>
      </c>
      <c r="B1929" s="1" t="n">
        <v>45035</v>
      </c>
      <c r="C1929" s="1" t="n">
        <v>45641</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17205-2023</t>
        </is>
      </c>
      <c r="B1930" s="1" t="n">
        <v>45035</v>
      </c>
      <c r="C1930" s="1" t="n">
        <v>45641</v>
      </c>
      <c r="D1930" t="inlineStr">
        <is>
          <t>VÄSTERBOTTENS LÄN</t>
        </is>
      </c>
      <c r="E1930" t="inlineStr">
        <is>
          <t>SKELLEFTEÅ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17365-2023</t>
        </is>
      </c>
      <c r="B1931" s="1" t="n">
        <v>45034</v>
      </c>
      <c r="C1931" s="1" t="n">
        <v>45641</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17482-2023</t>
        </is>
      </c>
      <c r="B1932" s="1" t="n">
        <v>45034</v>
      </c>
      <c r="C1932" s="1" t="n">
        <v>45641</v>
      </c>
      <c r="D1932" t="inlineStr">
        <is>
          <t>VÄSTERBOTTENS LÄN</t>
        </is>
      </c>
      <c r="E1932" t="inlineStr">
        <is>
          <t>SKELLEFTEÅ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17478-2023</t>
        </is>
      </c>
      <c r="B1933" s="1" t="n">
        <v>45034</v>
      </c>
      <c r="C1933" s="1" t="n">
        <v>45641</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17487-2023</t>
        </is>
      </c>
      <c r="B1934" s="1" t="n">
        <v>45034</v>
      </c>
      <c r="C1934" s="1" t="n">
        <v>45641</v>
      </c>
      <c r="D1934" t="inlineStr">
        <is>
          <t>VÄSTERBOTTENS LÄN</t>
        </is>
      </c>
      <c r="E1934" t="inlineStr">
        <is>
          <t>SKELLEFTEÅ</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17483-2023</t>
        </is>
      </c>
      <c r="B1935" s="1" t="n">
        <v>45034</v>
      </c>
      <c r="C1935" s="1" t="n">
        <v>45641</v>
      </c>
      <c r="D1935" t="inlineStr">
        <is>
          <t>VÄSTERBOTTENS LÄN</t>
        </is>
      </c>
      <c r="E1935" t="inlineStr">
        <is>
          <t>SKELLEFTEÅ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17485-2023</t>
        </is>
      </c>
      <c r="B1936" s="1" t="n">
        <v>45034</v>
      </c>
      <c r="C1936" s="1" t="n">
        <v>45641</v>
      </c>
      <c r="D1936" t="inlineStr">
        <is>
          <t>VÄSTERBOTTENS LÄN</t>
        </is>
      </c>
      <c r="E1936" t="inlineStr">
        <is>
          <t>SKELLEFTEÅ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17444-2023</t>
        </is>
      </c>
      <c r="B1937" s="1" t="n">
        <v>45036</v>
      </c>
      <c r="C1937" s="1" t="n">
        <v>45641</v>
      </c>
      <c r="D1937" t="inlineStr">
        <is>
          <t>VÄSTERBOTTENS LÄN</t>
        </is>
      </c>
      <c r="E1937" t="inlineStr">
        <is>
          <t>SKELLEFTEÅ</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17446-2023</t>
        </is>
      </c>
      <c r="B1938" s="1" t="n">
        <v>45036</v>
      </c>
      <c r="C1938" s="1" t="n">
        <v>45641</v>
      </c>
      <c r="D1938" t="inlineStr">
        <is>
          <t>VÄSTERBOTTENS LÄN</t>
        </is>
      </c>
      <c r="E1938" t="inlineStr">
        <is>
          <t>SKELLEFTEÅ</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17659-2023</t>
        </is>
      </c>
      <c r="B1939" s="1" t="n">
        <v>45037</v>
      </c>
      <c r="C1939" s="1" t="n">
        <v>45641</v>
      </c>
      <c r="D1939" t="inlineStr">
        <is>
          <t>VÄSTERBOTTENS LÄN</t>
        </is>
      </c>
      <c r="E1939" t="inlineStr">
        <is>
          <t>SKELLEFTEÅ</t>
        </is>
      </c>
      <c r="G1939" t="n">
        <v>14.4</v>
      </c>
      <c r="H1939" t="n">
        <v>0</v>
      </c>
      <c r="I1939" t="n">
        <v>0</v>
      </c>
      <c r="J1939" t="n">
        <v>0</v>
      </c>
      <c r="K1939" t="n">
        <v>0</v>
      </c>
      <c r="L1939" t="n">
        <v>0</v>
      </c>
      <c r="M1939" t="n">
        <v>0</v>
      </c>
      <c r="N1939" t="n">
        <v>0</v>
      </c>
      <c r="O1939" t="n">
        <v>0</v>
      </c>
      <c r="P1939" t="n">
        <v>0</v>
      </c>
      <c r="Q1939" t="n">
        <v>0</v>
      </c>
      <c r="R1939" s="2" t="inlineStr"/>
    </row>
    <row r="1940" ht="15" customHeight="1">
      <c r="A1940" t="inlineStr">
        <is>
          <t>A 17755-2023</t>
        </is>
      </c>
      <c r="B1940" s="1" t="n">
        <v>45036</v>
      </c>
      <c r="C1940" s="1" t="n">
        <v>45641</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17842-2023</t>
        </is>
      </c>
      <c r="B1941" s="1" t="n">
        <v>45037</v>
      </c>
      <c r="C1941" s="1" t="n">
        <v>45641</v>
      </c>
      <c r="D1941" t="inlineStr">
        <is>
          <t>VÄSTERBOTTENS LÄN</t>
        </is>
      </c>
      <c r="E1941" t="inlineStr">
        <is>
          <t>SKELLEFTEÅ</t>
        </is>
      </c>
      <c r="F1941" t="inlineStr">
        <is>
          <t>Holmen skog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18035-2023</t>
        </is>
      </c>
      <c r="B1942" s="1" t="n">
        <v>45037</v>
      </c>
      <c r="C1942" s="1" t="n">
        <v>45641</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18016-2023</t>
        </is>
      </c>
      <c r="B1943" s="1" t="n">
        <v>45040</v>
      </c>
      <c r="C1943" s="1" t="n">
        <v>45641</v>
      </c>
      <c r="D1943" t="inlineStr">
        <is>
          <t>VÄSTERBOTTENS LÄN</t>
        </is>
      </c>
      <c r="E1943" t="inlineStr">
        <is>
          <t>SKELLEFTEÅ</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18357-2023</t>
        </is>
      </c>
      <c r="B1944" s="1" t="n">
        <v>45041</v>
      </c>
      <c r="C1944" s="1" t="n">
        <v>45641</v>
      </c>
      <c r="D1944" t="inlineStr">
        <is>
          <t>VÄSTERBOTTENS LÄN</t>
        </is>
      </c>
      <c r="E1944" t="inlineStr">
        <is>
          <t>SKELLEFTEÅ</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18455-2023</t>
        </is>
      </c>
      <c r="B1945" s="1" t="n">
        <v>45041</v>
      </c>
      <c r="C1945" s="1" t="n">
        <v>45641</v>
      </c>
      <c r="D1945" t="inlineStr">
        <is>
          <t>VÄSTERBOTTENS LÄN</t>
        </is>
      </c>
      <c r="E1945" t="inlineStr">
        <is>
          <t>SKELLEFTEÅ</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18607-2023</t>
        </is>
      </c>
      <c r="B1946" s="1" t="n">
        <v>45041</v>
      </c>
      <c r="C1946" s="1" t="n">
        <v>45641</v>
      </c>
      <c r="D1946" t="inlineStr">
        <is>
          <t>VÄSTERBOTTENS LÄN</t>
        </is>
      </c>
      <c r="E1946" t="inlineStr">
        <is>
          <t>SKELLEFTEÅ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18479-2023</t>
        </is>
      </c>
      <c r="B1947" s="1" t="n">
        <v>45042</v>
      </c>
      <c r="C1947" s="1" t="n">
        <v>45641</v>
      </c>
      <c r="D1947" t="inlineStr">
        <is>
          <t>VÄSTERBOTTENS LÄN</t>
        </is>
      </c>
      <c r="E1947" t="inlineStr">
        <is>
          <t>SKELLEFTEÅ</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18501-2023</t>
        </is>
      </c>
      <c r="B1948" s="1" t="n">
        <v>45042</v>
      </c>
      <c r="C1948" s="1" t="n">
        <v>45641</v>
      </c>
      <c r="D1948" t="inlineStr">
        <is>
          <t>VÄSTERBOTTENS LÄN</t>
        </is>
      </c>
      <c r="E1948" t="inlineStr">
        <is>
          <t>SKELLEFTEÅ</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18478-2023</t>
        </is>
      </c>
      <c r="B1949" s="1" t="n">
        <v>45042</v>
      </c>
      <c r="C1949" s="1" t="n">
        <v>45641</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18701-2023</t>
        </is>
      </c>
      <c r="B1950" s="1" t="n">
        <v>45042</v>
      </c>
      <c r="C1950" s="1" t="n">
        <v>45641</v>
      </c>
      <c r="D1950" t="inlineStr">
        <is>
          <t>VÄSTERBOTTENS LÄN</t>
        </is>
      </c>
      <c r="E1950" t="inlineStr">
        <is>
          <t>SKELLEFTEÅ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18709-2023</t>
        </is>
      </c>
      <c r="B1951" s="1" t="n">
        <v>45043</v>
      </c>
      <c r="C1951" s="1" t="n">
        <v>45641</v>
      </c>
      <c r="D1951" t="inlineStr">
        <is>
          <t>VÄSTERBOTTENS LÄN</t>
        </is>
      </c>
      <c r="E1951" t="inlineStr">
        <is>
          <t>SKELLEFTEÅ</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19066-2023</t>
        </is>
      </c>
      <c r="B1952" s="1" t="n">
        <v>45043</v>
      </c>
      <c r="C1952" s="1" t="n">
        <v>45641</v>
      </c>
      <c r="D1952" t="inlineStr">
        <is>
          <t>VÄSTERBOTTENS LÄN</t>
        </is>
      </c>
      <c r="E1952" t="inlineStr">
        <is>
          <t>SKELLEFTEÅ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18975-2023</t>
        </is>
      </c>
      <c r="B1953" s="1" t="n">
        <v>45044</v>
      </c>
      <c r="C1953" s="1" t="n">
        <v>45641</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18819-2023</t>
        </is>
      </c>
      <c r="B1954" s="1" t="n">
        <v>45044</v>
      </c>
      <c r="C1954" s="1" t="n">
        <v>45641</v>
      </c>
      <c r="D1954" t="inlineStr">
        <is>
          <t>VÄSTERBOTTENS LÄN</t>
        </is>
      </c>
      <c r="E1954" t="inlineStr">
        <is>
          <t>SKELLEFTEÅ</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19073-2023</t>
        </is>
      </c>
      <c r="B1955" s="1" t="n">
        <v>45048</v>
      </c>
      <c r="C1955" s="1" t="n">
        <v>45641</v>
      </c>
      <c r="D1955" t="inlineStr">
        <is>
          <t>VÄSTERBOTTENS LÄN</t>
        </is>
      </c>
      <c r="E1955" t="inlineStr">
        <is>
          <t>SKELLEFTEÅ</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19349-2023</t>
        </is>
      </c>
      <c r="B1956" s="1" t="n">
        <v>45049</v>
      </c>
      <c r="C1956" s="1" t="n">
        <v>45641</v>
      </c>
      <c r="D1956" t="inlineStr">
        <is>
          <t>VÄSTERBOTTENS LÄN</t>
        </is>
      </c>
      <c r="E1956" t="inlineStr">
        <is>
          <t>SKELLEFTEÅ</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19424-2023</t>
        </is>
      </c>
      <c r="B1957" s="1" t="n">
        <v>45050</v>
      </c>
      <c r="C1957" s="1" t="n">
        <v>45641</v>
      </c>
      <c r="D1957" t="inlineStr">
        <is>
          <t>VÄSTERBOTTENS LÄN</t>
        </is>
      </c>
      <c r="E1957" t="inlineStr">
        <is>
          <t>SKELLEFTEÅ</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19422-2023</t>
        </is>
      </c>
      <c r="B1958" s="1" t="n">
        <v>45049</v>
      </c>
      <c r="C1958" s="1" t="n">
        <v>45641</v>
      </c>
      <c r="D1958" t="inlineStr">
        <is>
          <t>VÄSTERBOTTENS LÄN</t>
        </is>
      </c>
      <c r="E1958" t="inlineStr">
        <is>
          <t>SKELLEFTEÅ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19428-2023</t>
        </is>
      </c>
      <c r="B1959" s="1" t="n">
        <v>45050</v>
      </c>
      <c r="C1959" s="1" t="n">
        <v>45641</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19491-2023</t>
        </is>
      </c>
      <c r="B1960" s="1" t="n">
        <v>45049</v>
      </c>
      <c r="C1960" s="1" t="n">
        <v>45641</v>
      </c>
      <c r="D1960" t="inlineStr">
        <is>
          <t>VÄSTERBOTTENS LÄN</t>
        </is>
      </c>
      <c r="E1960" t="inlineStr">
        <is>
          <t>SKELLEFTEÅ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19498-2023</t>
        </is>
      </c>
      <c r="B1961" s="1" t="n">
        <v>45049</v>
      </c>
      <c r="C1961" s="1" t="n">
        <v>45641</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20080-2023</t>
        </is>
      </c>
      <c r="B1962" s="1" t="n">
        <v>45055</v>
      </c>
      <c r="C1962" s="1" t="n">
        <v>45641</v>
      </c>
      <c r="D1962" t="inlineStr">
        <is>
          <t>VÄSTERBOTTENS LÄN</t>
        </is>
      </c>
      <c r="E1962" t="inlineStr">
        <is>
          <t>SKELLEFTEÅ</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20301-2023</t>
        </is>
      </c>
      <c r="B1963" s="1" t="n">
        <v>45056</v>
      </c>
      <c r="C1963" s="1" t="n">
        <v>45641</v>
      </c>
      <c r="D1963" t="inlineStr">
        <is>
          <t>VÄSTERBOTTENS LÄN</t>
        </is>
      </c>
      <c r="E1963" t="inlineStr">
        <is>
          <t>SKELLEFTEÅ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20290-2023</t>
        </is>
      </c>
      <c r="B1964" s="1" t="n">
        <v>45056</v>
      </c>
      <c r="C1964" s="1" t="n">
        <v>45641</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20499-2023</t>
        </is>
      </c>
      <c r="B1965" s="1" t="n">
        <v>45057</v>
      </c>
      <c r="C1965" s="1" t="n">
        <v>45641</v>
      </c>
      <c r="D1965" t="inlineStr">
        <is>
          <t>VÄSTERBOTTENS LÄN</t>
        </is>
      </c>
      <c r="E1965" t="inlineStr">
        <is>
          <t>SKELLEFTEÅ</t>
        </is>
      </c>
      <c r="F1965" t="inlineStr">
        <is>
          <t>Sveaskog</t>
        </is>
      </c>
      <c r="G1965" t="n">
        <v>12.9</v>
      </c>
      <c r="H1965" t="n">
        <v>0</v>
      </c>
      <c r="I1965" t="n">
        <v>0</v>
      </c>
      <c r="J1965" t="n">
        <v>0</v>
      </c>
      <c r="K1965" t="n">
        <v>0</v>
      </c>
      <c r="L1965" t="n">
        <v>0</v>
      </c>
      <c r="M1965" t="n">
        <v>0</v>
      </c>
      <c r="N1965" t="n">
        <v>0</v>
      </c>
      <c r="O1965" t="n">
        <v>0</v>
      </c>
      <c r="P1965" t="n">
        <v>0</v>
      </c>
      <c r="Q1965" t="n">
        <v>0</v>
      </c>
      <c r="R1965" s="2" t="inlineStr"/>
    </row>
    <row r="1966" ht="15" customHeight="1">
      <c r="A1966" t="inlineStr">
        <is>
          <t>A 21238-2023</t>
        </is>
      </c>
      <c r="B1966" s="1" t="n">
        <v>45058</v>
      </c>
      <c r="C1966" s="1" t="n">
        <v>45641</v>
      </c>
      <c r="D1966" t="inlineStr">
        <is>
          <t>VÄSTERBOTTENS LÄN</t>
        </is>
      </c>
      <c r="E1966" t="inlineStr">
        <is>
          <t>SKELLEFTEÅ</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21336-2023</t>
        </is>
      </c>
      <c r="B1967" s="1" t="n">
        <v>45062</v>
      </c>
      <c r="C1967" s="1" t="n">
        <v>45641</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21565-2023</t>
        </is>
      </c>
      <c r="B1968" s="1" t="n">
        <v>45062</v>
      </c>
      <c r="C1968" s="1" t="n">
        <v>45641</v>
      </c>
      <c r="D1968" t="inlineStr">
        <is>
          <t>VÄSTERBOTTENS LÄN</t>
        </is>
      </c>
      <c r="E1968" t="inlineStr">
        <is>
          <t>SKELLEFTEÅ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21463-2023</t>
        </is>
      </c>
      <c r="B1969" s="1" t="n">
        <v>45063</v>
      </c>
      <c r="C1969" s="1" t="n">
        <v>45641</v>
      </c>
      <c r="D1969" t="inlineStr">
        <is>
          <t>VÄSTERBOTTENS LÄN</t>
        </is>
      </c>
      <c r="E1969" t="inlineStr">
        <is>
          <t>SKELLEFTEÅ</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22341-2023</t>
        </is>
      </c>
      <c r="B1970" s="1" t="n">
        <v>45068</v>
      </c>
      <c r="C1970" s="1" t="n">
        <v>45641</v>
      </c>
      <c r="D1970" t="inlineStr">
        <is>
          <t>VÄSTERBOTTENS LÄN</t>
        </is>
      </c>
      <c r="E1970" t="inlineStr">
        <is>
          <t>SKELLEFTEÅ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22351-2023</t>
        </is>
      </c>
      <c r="B1971" s="1" t="n">
        <v>45068</v>
      </c>
      <c r="C1971" s="1" t="n">
        <v>45641</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22334-2023</t>
        </is>
      </c>
      <c r="B1972" s="1" t="n">
        <v>45068</v>
      </c>
      <c r="C1972" s="1" t="n">
        <v>45641</v>
      </c>
      <c r="D1972" t="inlineStr">
        <is>
          <t>VÄSTERBOTTENS LÄN</t>
        </is>
      </c>
      <c r="E1972" t="inlineStr">
        <is>
          <t>SKELLEFTEÅ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22062-2023</t>
        </is>
      </c>
      <c r="B1973" s="1" t="n">
        <v>45069</v>
      </c>
      <c r="C1973" s="1" t="n">
        <v>45641</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22121-2023</t>
        </is>
      </c>
      <c r="B1974" s="1" t="n">
        <v>45069</v>
      </c>
      <c r="C1974" s="1" t="n">
        <v>45641</v>
      </c>
      <c r="D1974" t="inlineStr">
        <is>
          <t>VÄSTERBOTTENS LÄN</t>
        </is>
      </c>
      <c r="E1974" t="inlineStr">
        <is>
          <t>SKELLEFTEÅ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22060-2023</t>
        </is>
      </c>
      <c r="B1975" s="1" t="n">
        <v>45069</v>
      </c>
      <c r="C1975" s="1" t="n">
        <v>45641</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22064-2023</t>
        </is>
      </c>
      <c r="B1976" s="1" t="n">
        <v>45069</v>
      </c>
      <c r="C1976" s="1" t="n">
        <v>45641</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22025-2023</t>
        </is>
      </c>
      <c r="B1977" s="1" t="n">
        <v>45069</v>
      </c>
      <c r="C1977" s="1" t="n">
        <v>45641</v>
      </c>
      <c r="D1977" t="inlineStr">
        <is>
          <t>VÄSTERBOTTENS LÄN</t>
        </is>
      </c>
      <c r="E1977" t="inlineStr">
        <is>
          <t>SKELLEFTEÅ</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22045-2023</t>
        </is>
      </c>
      <c r="B1978" s="1" t="n">
        <v>45069</v>
      </c>
      <c r="C1978" s="1" t="n">
        <v>45641</v>
      </c>
      <c r="D1978" t="inlineStr">
        <is>
          <t>VÄSTERBOTTENS LÄN</t>
        </is>
      </c>
      <c r="E1978" t="inlineStr">
        <is>
          <t>SKELLEFTEÅ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22516-2023</t>
        </is>
      </c>
      <c r="B1979" s="1" t="n">
        <v>45069</v>
      </c>
      <c r="C1979" s="1" t="n">
        <v>45641</v>
      </c>
      <c r="D1979" t="inlineStr">
        <is>
          <t>VÄSTERBOTTENS LÄN</t>
        </is>
      </c>
      <c r="E1979" t="inlineStr">
        <is>
          <t>SKELLEFTEÅ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22548-2023</t>
        </is>
      </c>
      <c r="B1980" s="1" t="n">
        <v>45069</v>
      </c>
      <c r="C1980" s="1" t="n">
        <v>45641</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22020-2023</t>
        </is>
      </c>
      <c r="B1981" s="1" t="n">
        <v>45069</v>
      </c>
      <c r="C1981" s="1" t="n">
        <v>45641</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22344-2023</t>
        </is>
      </c>
      <c r="B1982" s="1" t="n">
        <v>45070</v>
      </c>
      <c r="C1982" s="1" t="n">
        <v>45641</v>
      </c>
      <c r="D1982" t="inlineStr">
        <is>
          <t>VÄSTERBOTTENS LÄN</t>
        </is>
      </c>
      <c r="E1982" t="inlineStr">
        <is>
          <t>SKELLEFTEÅ</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22461-2023</t>
        </is>
      </c>
      <c r="B1983" s="1" t="n">
        <v>45071</v>
      </c>
      <c r="C1983" s="1" t="n">
        <v>45641</v>
      </c>
      <c r="D1983" t="inlineStr">
        <is>
          <t>VÄSTERBOTTENS LÄN</t>
        </is>
      </c>
      <c r="E1983" t="inlineStr">
        <is>
          <t>SKELLEFTEÅ</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22579-2023</t>
        </is>
      </c>
      <c r="B1984" s="1" t="n">
        <v>45071</v>
      </c>
      <c r="C1984" s="1" t="n">
        <v>45641</v>
      </c>
      <c r="D1984" t="inlineStr">
        <is>
          <t>VÄSTERBOTTENS LÄN</t>
        </is>
      </c>
      <c r="E1984" t="inlineStr">
        <is>
          <t>SKELLEFTEÅ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22735-2023</t>
        </is>
      </c>
      <c r="B1985" s="1" t="n">
        <v>45071</v>
      </c>
      <c r="C1985" s="1" t="n">
        <v>45641</v>
      </c>
      <c r="D1985" t="inlineStr">
        <is>
          <t>VÄSTERBOTTENS LÄN</t>
        </is>
      </c>
      <c r="E1985" t="inlineStr">
        <is>
          <t>SKELLEFTEÅ</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23704-2023</t>
        </is>
      </c>
      <c r="B1986" s="1" t="n">
        <v>45075</v>
      </c>
      <c r="C1986" s="1" t="n">
        <v>45641</v>
      </c>
      <c r="D1986" t="inlineStr">
        <is>
          <t>VÄSTERBOTTENS LÄN</t>
        </is>
      </c>
      <c r="E1986" t="inlineStr">
        <is>
          <t>SKELLEFTEÅ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23710-2023</t>
        </is>
      </c>
      <c r="B1987" s="1" t="n">
        <v>45075</v>
      </c>
      <c r="C1987" s="1" t="n">
        <v>45641</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23709-2023</t>
        </is>
      </c>
      <c r="B1988" s="1" t="n">
        <v>45075</v>
      </c>
      <c r="C1988" s="1" t="n">
        <v>45641</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23458-2023</t>
        </is>
      </c>
      <c r="B1989" s="1" t="n">
        <v>45076</v>
      </c>
      <c r="C1989" s="1" t="n">
        <v>45641</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23420-2023</t>
        </is>
      </c>
      <c r="B1990" s="1" t="n">
        <v>45076</v>
      </c>
      <c r="C1990" s="1" t="n">
        <v>45641</v>
      </c>
      <c r="D1990" t="inlineStr">
        <is>
          <t>VÄSTERBOTTENS LÄN</t>
        </is>
      </c>
      <c r="E1990" t="inlineStr">
        <is>
          <t>SKELLEFTEÅ</t>
        </is>
      </c>
      <c r="F1990" t="inlineStr">
        <is>
          <t>Holmen skog AB</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23430-2023</t>
        </is>
      </c>
      <c r="B1991" s="1" t="n">
        <v>45076</v>
      </c>
      <c r="C1991" s="1" t="n">
        <v>45641</v>
      </c>
      <c r="D1991" t="inlineStr">
        <is>
          <t>VÄSTERBOTTENS LÄN</t>
        </is>
      </c>
      <c r="E1991" t="inlineStr">
        <is>
          <t>SKELLEFTEÅ</t>
        </is>
      </c>
      <c r="F1991" t="inlineStr">
        <is>
          <t>Holmen skog AB</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24430-2023</t>
        </is>
      </c>
      <c r="B1992" s="1" t="n">
        <v>45076</v>
      </c>
      <c r="C1992" s="1" t="n">
        <v>45641</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23714-2023</t>
        </is>
      </c>
      <c r="B1993" s="1" t="n">
        <v>45077</v>
      </c>
      <c r="C1993" s="1" t="n">
        <v>45641</v>
      </c>
      <c r="D1993" t="inlineStr">
        <is>
          <t>VÄSTERBOTTENS LÄN</t>
        </is>
      </c>
      <c r="E1993" t="inlineStr">
        <is>
          <t>SKELLEFTEÅ</t>
        </is>
      </c>
      <c r="F1993" t="inlineStr">
        <is>
          <t>Holmen skog AB</t>
        </is>
      </c>
      <c r="G1993" t="n">
        <v>15.5</v>
      </c>
      <c r="H1993" t="n">
        <v>0</v>
      </c>
      <c r="I1993" t="n">
        <v>0</v>
      </c>
      <c r="J1993" t="n">
        <v>0</v>
      </c>
      <c r="K1993" t="n">
        <v>0</v>
      </c>
      <c r="L1993" t="n">
        <v>0</v>
      </c>
      <c r="M1993" t="n">
        <v>0</v>
      </c>
      <c r="N1993" t="n">
        <v>0</v>
      </c>
      <c r="O1993" t="n">
        <v>0</v>
      </c>
      <c r="P1993" t="n">
        <v>0</v>
      </c>
      <c r="Q1993" t="n">
        <v>0</v>
      </c>
      <c r="R1993" s="2" t="inlineStr"/>
    </row>
    <row r="1994" ht="15" customHeight="1">
      <c r="A1994" t="inlineStr">
        <is>
          <t>A 23757-2023</t>
        </is>
      </c>
      <c r="B1994" s="1" t="n">
        <v>45077</v>
      </c>
      <c r="C1994" s="1" t="n">
        <v>45641</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23761-2023</t>
        </is>
      </c>
      <c r="B1995" s="1" t="n">
        <v>45077</v>
      </c>
      <c r="C1995" s="1" t="n">
        <v>45641</v>
      </c>
      <c r="D1995" t="inlineStr">
        <is>
          <t>VÄSTERBOTTENS LÄN</t>
        </is>
      </c>
      <c r="E1995" t="inlineStr">
        <is>
          <t>SKELLEFTEÅ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23760-2023</t>
        </is>
      </c>
      <c r="B1996" s="1" t="n">
        <v>45077</v>
      </c>
      <c r="C1996" s="1" t="n">
        <v>45641</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23750-2023</t>
        </is>
      </c>
      <c r="B1997" s="1" t="n">
        <v>45077</v>
      </c>
      <c r="C1997" s="1" t="n">
        <v>45641</v>
      </c>
      <c r="D1997" t="inlineStr">
        <is>
          <t>VÄSTERBOTTENS LÄN</t>
        </is>
      </c>
      <c r="E1997" t="inlineStr">
        <is>
          <t>SKELLEFTEÅ</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23759-2023</t>
        </is>
      </c>
      <c r="B1998" s="1" t="n">
        <v>45077</v>
      </c>
      <c r="C1998" s="1" t="n">
        <v>45641</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25256-2023</t>
        </is>
      </c>
      <c r="B1999" s="1" t="n">
        <v>45079</v>
      </c>
      <c r="C1999" s="1" t="n">
        <v>45641</v>
      </c>
      <c r="D1999" t="inlineStr">
        <is>
          <t>VÄSTERBOTTENS LÄN</t>
        </is>
      </c>
      <c r="E1999" t="inlineStr">
        <is>
          <t>SKELLEFTEÅ</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25237-2023</t>
        </is>
      </c>
      <c r="B2000" s="1" t="n">
        <v>45079</v>
      </c>
      <c r="C2000" s="1" t="n">
        <v>45641</v>
      </c>
      <c r="D2000" t="inlineStr">
        <is>
          <t>VÄSTERBOTTENS LÄN</t>
        </is>
      </c>
      <c r="E2000" t="inlineStr">
        <is>
          <t>SKELLEFTEÅ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24327-2023</t>
        </is>
      </c>
      <c r="B2001" s="1" t="n">
        <v>45080</v>
      </c>
      <c r="C2001" s="1" t="n">
        <v>45641</v>
      </c>
      <c r="D2001" t="inlineStr">
        <is>
          <t>VÄSTERBOTTENS LÄN</t>
        </is>
      </c>
      <c r="E2001" t="inlineStr">
        <is>
          <t>SKELLEFTEÅ</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24320-2023</t>
        </is>
      </c>
      <c r="B2002" s="1" t="n">
        <v>45080</v>
      </c>
      <c r="C2002" s="1" t="n">
        <v>45641</v>
      </c>
      <c r="D2002" t="inlineStr">
        <is>
          <t>VÄSTERBOTTENS LÄN</t>
        </is>
      </c>
      <c r="E2002" t="inlineStr">
        <is>
          <t>SKELLEFTEÅ</t>
        </is>
      </c>
      <c r="F2002" t="inlineStr">
        <is>
          <t>Sveaskog</t>
        </is>
      </c>
      <c r="G2002" t="n">
        <v>27.5</v>
      </c>
      <c r="H2002" t="n">
        <v>0</v>
      </c>
      <c r="I2002" t="n">
        <v>0</v>
      </c>
      <c r="J2002" t="n">
        <v>0</v>
      </c>
      <c r="K2002" t="n">
        <v>0</v>
      </c>
      <c r="L2002" t="n">
        <v>0</v>
      </c>
      <c r="M2002" t="n">
        <v>0</v>
      </c>
      <c r="N2002" t="n">
        <v>0</v>
      </c>
      <c r="O2002" t="n">
        <v>0</v>
      </c>
      <c r="P2002" t="n">
        <v>0</v>
      </c>
      <c r="Q2002" t="n">
        <v>0</v>
      </c>
      <c r="R2002" s="2" t="inlineStr"/>
    </row>
    <row r="2003" ht="15" customHeight="1">
      <c r="A2003" t="inlineStr">
        <is>
          <t>A 24805-2023</t>
        </is>
      </c>
      <c r="B2003" s="1" t="n">
        <v>45084</v>
      </c>
      <c r="C2003" s="1" t="n">
        <v>45641</v>
      </c>
      <c r="D2003" t="inlineStr">
        <is>
          <t>VÄSTERBOTTENS LÄN</t>
        </is>
      </c>
      <c r="E2003" t="inlineStr">
        <is>
          <t>SKELLEFTEÅ</t>
        </is>
      </c>
      <c r="F2003" t="inlineStr">
        <is>
          <t>Sveaskog</t>
        </is>
      </c>
      <c r="G2003" t="n">
        <v>16.7</v>
      </c>
      <c r="H2003" t="n">
        <v>0</v>
      </c>
      <c r="I2003" t="n">
        <v>0</v>
      </c>
      <c r="J2003" t="n">
        <v>0</v>
      </c>
      <c r="K2003" t="n">
        <v>0</v>
      </c>
      <c r="L2003" t="n">
        <v>0</v>
      </c>
      <c r="M2003" t="n">
        <v>0</v>
      </c>
      <c r="N2003" t="n">
        <v>0</v>
      </c>
      <c r="O2003" t="n">
        <v>0</v>
      </c>
      <c r="P2003" t="n">
        <v>0</v>
      </c>
      <c r="Q2003" t="n">
        <v>0</v>
      </c>
      <c r="R2003" s="2" t="inlineStr"/>
    </row>
    <row r="2004" ht="15" customHeight="1">
      <c r="A2004" t="inlineStr">
        <is>
          <t>A 25632-2023</t>
        </is>
      </c>
      <c r="B2004" s="1" t="n">
        <v>45084</v>
      </c>
      <c r="C2004" s="1" t="n">
        <v>45641</v>
      </c>
      <c r="D2004" t="inlineStr">
        <is>
          <t>VÄSTERBOTTENS LÄN</t>
        </is>
      </c>
      <c r="E2004" t="inlineStr">
        <is>
          <t>SKELLEFTEÅ</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25634-2023</t>
        </is>
      </c>
      <c r="B2005" s="1" t="n">
        <v>45084</v>
      </c>
      <c r="C2005" s="1" t="n">
        <v>45641</v>
      </c>
      <c r="D2005" t="inlineStr">
        <is>
          <t>VÄSTERBOTTENS LÄN</t>
        </is>
      </c>
      <c r="E2005" t="inlineStr">
        <is>
          <t>SKELLEFTEÅ</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25626-2023</t>
        </is>
      </c>
      <c r="B2006" s="1" t="n">
        <v>45084</v>
      </c>
      <c r="C2006" s="1" t="n">
        <v>45641</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25638-2023</t>
        </is>
      </c>
      <c r="B2007" s="1" t="n">
        <v>45084</v>
      </c>
      <c r="C2007" s="1" t="n">
        <v>45641</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24963-2023</t>
        </is>
      </c>
      <c r="B2008" s="1" t="n">
        <v>45085</v>
      </c>
      <c r="C2008" s="1" t="n">
        <v>45641</v>
      </c>
      <c r="D2008" t="inlineStr">
        <is>
          <t>VÄSTERBOTTENS LÄN</t>
        </is>
      </c>
      <c r="E2008" t="inlineStr">
        <is>
          <t>SKELLEFTEÅ</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25019-2023</t>
        </is>
      </c>
      <c r="B2009" s="1" t="n">
        <v>45085</v>
      </c>
      <c r="C2009" s="1" t="n">
        <v>45641</v>
      </c>
      <c r="D2009" t="inlineStr">
        <is>
          <t>VÄSTERBOTTENS LÄN</t>
        </is>
      </c>
      <c r="E2009" t="inlineStr">
        <is>
          <t>SKELLEFTEÅ</t>
        </is>
      </c>
      <c r="F2009" t="inlineStr">
        <is>
          <t>Sveaskog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25401-2023</t>
        </is>
      </c>
      <c r="B2010" s="1" t="n">
        <v>45089</v>
      </c>
      <c r="C2010" s="1" t="n">
        <v>45641</v>
      </c>
      <c r="D2010" t="inlineStr">
        <is>
          <t>VÄSTERBOTTENS LÄN</t>
        </is>
      </c>
      <c r="E2010" t="inlineStr">
        <is>
          <t>SKELLEFTEÅ</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25787-2023</t>
        </is>
      </c>
      <c r="B2011" s="1" t="n">
        <v>45090</v>
      </c>
      <c r="C2011" s="1" t="n">
        <v>45641</v>
      </c>
      <c r="D2011" t="inlineStr">
        <is>
          <t>VÄSTERBOTTENS LÄN</t>
        </is>
      </c>
      <c r="E2011" t="inlineStr">
        <is>
          <t>SKELLEFTEÅ</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26783-2023</t>
        </is>
      </c>
      <c r="B2012" s="1" t="n">
        <v>45090</v>
      </c>
      <c r="C2012" s="1" t="n">
        <v>45641</v>
      </c>
      <c r="D2012" t="inlineStr">
        <is>
          <t>VÄSTERBOTTENS LÄN</t>
        </is>
      </c>
      <c r="E2012" t="inlineStr">
        <is>
          <t>SKELLEFTEÅ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26767-2023</t>
        </is>
      </c>
      <c r="B2013" s="1" t="n">
        <v>45090</v>
      </c>
      <c r="C2013" s="1" t="n">
        <v>45641</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26160-2023</t>
        </is>
      </c>
      <c r="B2014" s="1" t="n">
        <v>45091</v>
      </c>
      <c r="C2014" s="1" t="n">
        <v>45641</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26217-2023</t>
        </is>
      </c>
      <c r="B2015" s="1" t="n">
        <v>45091</v>
      </c>
      <c r="C2015" s="1" t="n">
        <v>45641</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26334-2023</t>
        </is>
      </c>
      <c r="B2016" s="1" t="n">
        <v>45091</v>
      </c>
      <c r="C2016" s="1" t="n">
        <v>45641</v>
      </c>
      <c r="D2016" t="inlineStr">
        <is>
          <t>VÄSTERBOTTENS LÄN</t>
        </is>
      </c>
      <c r="E2016" t="inlineStr">
        <is>
          <t>SKELLEFTEÅ</t>
        </is>
      </c>
      <c r="F2016" t="inlineStr">
        <is>
          <t>Sveaskog</t>
        </is>
      </c>
      <c r="G2016" t="n">
        <v>20.4</v>
      </c>
      <c r="H2016" t="n">
        <v>0</v>
      </c>
      <c r="I2016" t="n">
        <v>0</v>
      </c>
      <c r="J2016" t="n">
        <v>0</v>
      </c>
      <c r="K2016" t="n">
        <v>0</v>
      </c>
      <c r="L2016" t="n">
        <v>0</v>
      </c>
      <c r="M2016" t="n">
        <v>0</v>
      </c>
      <c r="N2016" t="n">
        <v>0</v>
      </c>
      <c r="O2016" t="n">
        <v>0</v>
      </c>
      <c r="P2016" t="n">
        <v>0</v>
      </c>
      <c r="Q2016" t="n">
        <v>0</v>
      </c>
      <c r="R2016" s="2" t="inlineStr"/>
    </row>
    <row r="2017" ht="15" customHeight="1">
      <c r="A2017" t="inlineStr">
        <is>
          <t>A 26019-2023</t>
        </is>
      </c>
      <c r="B2017" s="1" t="n">
        <v>45091</v>
      </c>
      <c r="C2017" s="1" t="n">
        <v>45641</v>
      </c>
      <c r="D2017" t="inlineStr">
        <is>
          <t>VÄSTERBOTTENS LÄN</t>
        </is>
      </c>
      <c r="E2017" t="inlineStr">
        <is>
          <t>SKELLEFTEÅ</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26062-2023</t>
        </is>
      </c>
      <c r="B2018" s="1" t="n">
        <v>45091</v>
      </c>
      <c r="C2018" s="1" t="n">
        <v>45641</v>
      </c>
      <c r="D2018" t="inlineStr">
        <is>
          <t>VÄSTERBOTTENS LÄN</t>
        </is>
      </c>
      <c r="E2018" t="inlineStr">
        <is>
          <t>SKELLEFTEÅ</t>
        </is>
      </c>
      <c r="F2018" t="inlineStr">
        <is>
          <t>Holmen skog AB</t>
        </is>
      </c>
      <c r="G2018" t="n">
        <v>16.2</v>
      </c>
      <c r="H2018" t="n">
        <v>0</v>
      </c>
      <c r="I2018" t="n">
        <v>0</v>
      </c>
      <c r="J2018" t="n">
        <v>0</v>
      </c>
      <c r="K2018" t="n">
        <v>0</v>
      </c>
      <c r="L2018" t="n">
        <v>0</v>
      </c>
      <c r="M2018" t="n">
        <v>0</v>
      </c>
      <c r="N2018" t="n">
        <v>0</v>
      </c>
      <c r="O2018" t="n">
        <v>0</v>
      </c>
      <c r="P2018" t="n">
        <v>0</v>
      </c>
      <c r="Q2018" t="n">
        <v>0</v>
      </c>
      <c r="R2018" s="2" t="inlineStr"/>
    </row>
    <row r="2019" ht="15" customHeight="1">
      <c r="A2019" t="inlineStr">
        <is>
          <t>A 26095-2023</t>
        </is>
      </c>
      <c r="B2019" s="1" t="n">
        <v>45091</v>
      </c>
      <c r="C2019" s="1" t="n">
        <v>45641</v>
      </c>
      <c r="D2019" t="inlineStr">
        <is>
          <t>VÄSTERBOTTENS LÄN</t>
        </is>
      </c>
      <c r="E2019" t="inlineStr">
        <is>
          <t>SKELLEFTEÅ</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26154-2023</t>
        </is>
      </c>
      <c r="B2020" s="1" t="n">
        <v>45091</v>
      </c>
      <c r="C2020" s="1" t="n">
        <v>45641</v>
      </c>
      <c r="D2020" t="inlineStr">
        <is>
          <t>VÄSTERBOTTENS LÄN</t>
        </is>
      </c>
      <c r="E2020" t="inlineStr">
        <is>
          <t>SKELLEFTEÅ</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26955-2023</t>
        </is>
      </c>
      <c r="B2021" s="1" t="n">
        <v>45091</v>
      </c>
      <c r="C2021" s="1" t="n">
        <v>45641</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26978-2023</t>
        </is>
      </c>
      <c r="B2022" s="1" t="n">
        <v>45091</v>
      </c>
      <c r="C2022" s="1" t="n">
        <v>45641</v>
      </c>
      <c r="D2022" t="inlineStr">
        <is>
          <t>VÄSTERBOTTENS LÄN</t>
        </is>
      </c>
      <c r="E2022" t="inlineStr">
        <is>
          <t>SKELLEFTEÅ</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26462-2023</t>
        </is>
      </c>
      <c r="B2023" s="1" t="n">
        <v>45092</v>
      </c>
      <c r="C2023" s="1" t="n">
        <v>45641</v>
      </c>
      <c r="D2023" t="inlineStr">
        <is>
          <t>VÄSTERBOTTENS LÄN</t>
        </is>
      </c>
      <c r="E2023" t="inlineStr">
        <is>
          <t>SKELLEFTEÅ</t>
        </is>
      </c>
      <c r="F2023" t="inlineStr">
        <is>
          <t>Holmen skog AB</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26632-2023</t>
        </is>
      </c>
      <c r="B2024" s="1" t="n">
        <v>45092</v>
      </c>
      <c r="C2024" s="1" t="n">
        <v>45641</v>
      </c>
      <c r="D2024" t="inlineStr">
        <is>
          <t>VÄSTERBOTTENS LÄN</t>
        </is>
      </c>
      <c r="E2024" t="inlineStr">
        <is>
          <t>SKELLEFTEÅ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26648-2023</t>
        </is>
      </c>
      <c r="B2025" s="1" t="n">
        <v>45093</v>
      </c>
      <c r="C2025" s="1" t="n">
        <v>45641</v>
      </c>
      <c r="D2025" t="inlineStr">
        <is>
          <t>VÄSTERBOTTENS LÄN</t>
        </is>
      </c>
      <c r="E2025" t="inlineStr">
        <is>
          <t>SKELLEFTEÅ</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26649-2023</t>
        </is>
      </c>
      <c r="B2026" s="1" t="n">
        <v>45093</v>
      </c>
      <c r="C2026" s="1" t="n">
        <v>45641</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26645-2023</t>
        </is>
      </c>
      <c r="B2027" s="1" t="n">
        <v>45093</v>
      </c>
      <c r="C2027" s="1" t="n">
        <v>45641</v>
      </c>
      <c r="D2027" t="inlineStr">
        <is>
          <t>VÄSTERBOTTENS LÄN</t>
        </is>
      </c>
      <c r="E2027" t="inlineStr">
        <is>
          <t>SKELLEFTEÅ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26631-2023</t>
        </is>
      </c>
      <c r="B2028" s="1" t="n">
        <v>45092</v>
      </c>
      <c r="C2028" s="1" t="n">
        <v>45641</v>
      </c>
      <c r="D2028" t="inlineStr">
        <is>
          <t>VÄSTERBOTTENS LÄN</t>
        </is>
      </c>
      <c r="E2028" t="inlineStr">
        <is>
          <t>SKELLEFTEÅ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26686-2023</t>
        </is>
      </c>
      <c r="B2029" s="1" t="n">
        <v>45093</v>
      </c>
      <c r="C2029" s="1" t="n">
        <v>45641</v>
      </c>
      <c r="D2029" t="inlineStr">
        <is>
          <t>VÄSTERBOTTENS LÄN</t>
        </is>
      </c>
      <c r="E2029" t="inlineStr">
        <is>
          <t>SKELLEFTEÅ</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26690-2023</t>
        </is>
      </c>
      <c r="B2030" s="1" t="n">
        <v>45093</v>
      </c>
      <c r="C2030" s="1" t="n">
        <v>45641</v>
      </c>
      <c r="D2030" t="inlineStr">
        <is>
          <t>VÄSTERBOTTENS LÄN</t>
        </is>
      </c>
      <c r="E2030" t="inlineStr">
        <is>
          <t>SKELLEFTEÅ</t>
        </is>
      </c>
      <c r="F2030" t="inlineStr">
        <is>
          <t>Kyrkan</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26869-2023</t>
        </is>
      </c>
      <c r="B2031" s="1" t="n">
        <v>45093</v>
      </c>
      <c r="C2031" s="1" t="n">
        <v>45641</v>
      </c>
      <c r="D2031" t="inlineStr">
        <is>
          <t>VÄSTERBOTTENS LÄN</t>
        </is>
      </c>
      <c r="E2031" t="inlineStr">
        <is>
          <t>SKELLEFTEÅ</t>
        </is>
      </c>
      <c r="F2031" t="inlineStr">
        <is>
          <t>Holmen skog AB</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26720-2023</t>
        </is>
      </c>
      <c r="B2032" s="1" t="n">
        <v>45093</v>
      </c>
      <c r="C2032" s="1" t="n">
        <v>45641</v>
      </c>
      <c r="D2032" t="inlineStr">
        <is>
          <t>VÄSTERBOTTENS LÄN</t>
        </is>
      </c>
      <c r="E2032" t="inlineStr">
        <is>
          <t>SKELLEFTEÅ</t>
        </is>
      </c>
      <c r="F2032" t="inlineStr">
        <is>
          <t>Kyrkan</t>
        </is>
      </c>
      <c r="G2032" t="n">
        <v>25.4</v>
      </c>
      <c r="H2032" t="n">
        <v>0</v>
      </c>
      <c r="I2032" t="n">
        <v>0</v>
      </c>
      <c r="J2032" t="n">
        <v>0</v>
      </c>
      <c r="K2032" t="n">
        <v>0</v>
      </c>
      <c r="L2032" t="n">
        <v>0</v>
      </c>
      <c r="M2032" t="n">
        <v>0</v>
      </c>
      <c r="N2032" t="n">
        <v>0</v>
      </c>
      <c r="O2032" t="n">
        <v>0</v>
      </c>
      <c r="P2032" t="n">
        <v>0</v>
      </c>
      <c r="Q2032" t="n">
        <v>0</v>
      </c>
      <c r="R2032" s="2" t="inlineStr"/>
    </row>
    <row r="2033" ht="15" customHeight="1">
      <c r="A2033" t="inlineStr">
        <is>
          <t>A 26900-2023</t>
        </is>
      </c>
      <c r="B2033" s="1" t="n">
        <v>45093</v>
      </c>
      <c r="C2033" s="1" t="n">
        <v>45641</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26784-2023</t>
        </is>
      </c>
      <c r="B2034" s="1" t="n">
        <v>45093</v>
      </c>
      <c r="C2034" s="1" t="n">
        <v>45641</v>
      </c>
      <c r="D2034" t="inlineStr">
        <is>
          <t>VÄSTERBOTTENS LÄN</t>
        </is>
      </c>
      <c r="E2034" t="inlineStr">
        <is>
          <t>SKELLEFTEÅ</t>
        </is>
      </c>
      <c r="G2034" t="n">
        <v>19.5</v>
      </c>
      <c r="H2034" t="n">
        <v>0</v>
      </c>
      <c r="I2034" t="n">
        <v>0</v>
      </c>
      <c r="J2034" t="n">
        <v>0</v>
      </c>
      <c r="K2034" t="n">
        <v>0</v>
      </c>
      <c r="L2034" t="n">
        <v>0</v>
      </c>
      <c r="M2034" t="n">
        <v>0</v>
      </c>
      <c r="N2034" t="n">
        <v>0</v>
      </c>
      <c r="O2034" t="n">
        <v>0</v>
      </c>
      <c r="P2034" t="n">
        <v>0</v>
      </c>
      <c r="Q2034" t="n">
        <v>0</v>
      </c>
      <c r="R2034" s="2" t="inlineStr"/>
    </row>
    <row r="2035" ht="15" customHeight="1">
      <c r="A2035" t="inlineStr">
        <is>
          <t>A 27785-2023</t>
        </is>
      </c>
      <c r="B2035" s="1" t="n">
        <v>45093</v>
      </c>
      <c r="C2035" s="1" t="n">
        <v>45641</v>
      </c>
      <c r="D2035" t="inlineStr">
        <is>
          <t>VÄSTERBOTTENS LÄN</t>
        </is>
      </c>
      <c r="E2035" t="inlineStr">
        <is>
          <t>SKELLEFTEÅ</t>
        </is>
      </c>
      <c r="G2035" t="n">
        <v>18.5</v>
      </c>
      <c r="H2035" t="n">
        <v>0</v>
      </c>
      <c r="I2035" t="n">
        <v>0</v>
      </c>
      <c r="J2035" t="n">
        <v>0</v>
      </c>
      <c r="K2035" t="n">
        <v>0</v>
      </c>
      <c r="L2035" t="n">
        <v>0</v>
      </c>
      <c r="M2035" t="n">
        <v>0</v>
      </c>
      <c r="N2035" t="n">
        <v>0</v>
      </c>
      <c r="O2035" t="n">
        <v>0</v>
      </c>
      <c r="P2035" t="n">
        <v>0</v>
      </c>
      <c r="Q2035" t="n">
        <v>0</v>
      </c>
      <c r="R2035" s="2" t="inlineStr"/>
    </row>
    <row r="2036" ht="15" customHeight="1">
      <c r="A2036" t="inlineStr">
        <is>
          <t>A 27097-2023</t>
        </is>
      </c>
      <c r="B2036" s="1" t="n">
        <v>45096</v>
      </c>
      <c r="C2036" s="1" t="n">
        <v>45641</v>
      </c>
      <c r="D2036" t="inlineStr">
        <is>
          <t>VÄSTERBOTTENS LÄN</t>
        </is>
      </c>
      <c r="E2036" t="inlineStr">
        <is>
          <t>SKELLEFTEÅ</t>
        </is>
      </c>
      <c r="F2036" t="inlineStr">
        <is>
          <t>Holmen skog AB</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27134-2023</t>
        </is>
      </c>
      <c r="B2037" s="1" t="n">
        <v>45096</v>
      </c>
      <c r="C2037" s="1" t="n">
        <v>45641</v>
      </c>
      <c r="D2037" t="inlineStr">
        <is>
          <t>VÄSTERBOTTENS LÄN</t>
        </is>
      </c>
      <c r="E2037" t="inlineStr">
        <is>
          <t>SKELLEFTEÅ</t>
        </is>
      </c>
      <c r="F2037" t="inlineStr">
        <is>
          <t>Holmen skog AB</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27210-2023</t>
        </is>
      </c>
      <c r="B2038" s="1" t="n">
        <v>45096</v>
      </c>
      <c r="C2038" s="1" t="n">
        <v>45641</v>
      </c>
      <c r="D2038" t="inlineStr">
        <is>
          <t>VÄSTERBOTTENS LÄN</t>
        </is>
      </c>
      <c r="E2038" t="inlineStr">
        <is>
          <t>SKELLEFTEÅ</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27200-2023</t>
        </is>
      </c>
      <c r="B2039" s="1" t="n">
        <v>45096</v>
      </c>
      <c r="C2039" s="1" t="n">
        <v>45641</v>
      </c>
      <c r="D2039" t="inlineStr">
        <is>
          <t>VÄSTERBOTTENS LÄN</t>
        </is>
      </c>
      <c r="E2039" t="inlineStr">
        <is>
          <t>SKELLEFTEÅ</t>
        </is>
      </c>
      <c r="F2039" t="inlineStr">
        <is>
          <t>Holmen skog AB</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27333-2023</t>
        </is>
      </c>
      <c r="B2040" s="1" t="n">
        <v>45096</v>
      </c>
      <c r="C2040" s="1" t="n">
        <v>45641</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27323-2023</t>
        </is>
      </c>
      <c r="B2041" s="1" t="n">
        <v>45096</v>
      </c>
      <c r="C2041" s="1" t="n">
        <v>45641</v>
      </c>
      <c r="D2041" t="inlineStr">
        <is>
          <t>VÄSTERBOTTENS LÄN</t>
        </is>
      </c>
      <c r="E2041" t="inlineStr">
        <is>
          <t>SKELLEFTEÅ</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28153-2023</t>
        </is>
      </c>
      <c r="B2042" s="1" t="n">
        <v>45096</v>
      </c>
      <c r="C2042" s="1" t="n">
        <v>45641</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28166-2023</t>
        </is>
      </c>
      <c r="B2043" s="1" t="n">
        <v>45096</v>
      </c>
      <c r="C2043" s="1" t="n">
        <v>45641</v>
      </c>
      <c r="D2043" t="inlineStr">
        <is>
          <t>VÄSTERBOTTENS LÄN</t>
        </is>
      </c>
      <c r="E2043" t="inlineStr">
        <is>
          <t>SKELLEFTEÅ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28113-2023</t>
        </is>
      </c>
      <c r="B2044" s="1" t="n">
        <v>45096</v>
      </c>
      <c r="C2044" s="1" t="n">
        <v>45641</v>
      </c>
      <c r="D2044" t="inlineStr">
        <is>
          <t>VÄSTERBOTTENS LÄN</t>
        </is>
      </c>
      <c r="E2044" t="inlineStr">
        <is>
          <t>SKELLEFTEÅ</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28158-2023</t>
        </is>
      </c>
      <c r="B2045" s="1" t="n">
        <v>45096</v>
      </c>
      <c r="C2045" s="1" t="n">
        <v>45641</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28171-2023</t>
        </is>
      </c>
      <c r="B2046" s="1" t="n">
        <v>45096</v>
      </c>
      <c r="C2046" s="1" t="n">
        <v>45641</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28203-2023</t>
        </is>
      </c>
      <c r="B2047" s="1" t="n">
        <v>45096</v>
      </c>
      <c r="C2047" s="1" t="n">
        <v>45641</v>
      </c>
      <c r="D2047" t="inlineStr">
        <is>
          <t>VÄSTERBOTTENS LÄN</t>
        </is>
      </c>
      <c r="E2047" t="inlineStr">
        <is>
          <t>SKELLEFTEÅ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27322-2023</t>
        </is>
      </c>
      <c r="B2048" s="1" t="n">
        <v>45096</v>
      </c>
      <c r="C2048" s="1" t="n">
        <v>45641</v>
      </c>
      <c r="D2048" t="inlineStr">
        <is>
          <t>VÄSTERBOTTENS LÄN</t>
        </is>
      </c>
      <c r="E2048" t="inlineStr">
        <is>
          <t>SKELLEFTEÅ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28191-2023</t>
        </is>
      </c>
      <c r="B2049" s="1" t="n">
        <v>45096</v>
      </c>
      <c r="C2049" s="1" t="n">
        <v>45641</v>
      </c>
      <c r="D2049" t="inlineStr">
        <is>
          <t>VÄSTERBOTTENS LÄN</t>
        </is>
      </c>
      <c r="E2049" t="inlineStr">
        <is>
          <t>SKELLEFTEÅ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28192-2023</t>
        </is>
      </c>
      <c r="B2050" s="1" t="n">
        <v>45096</v>
      </c>
      <c r="C2050" s="1" t="n">
        <v>45641</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28175-2023</t>
        </is>
      </c>
      <c r="B2051" s="1" t="n">
        <v>45096</v>
      </c>
      <c r="C2051" s="1" t="n">
        <v>45641</v>
      </c>
      <c r="D2051" t="inlineStr">
        <is>
          <t>VÄSTERBOTTENS LÄN</t>
        </is>
      </c>
      <c r="E2051" t="inlineStr">
        <is>
          <t>SKELLEFTEÅ</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27433-2023</t>
        </is>
      </c>
      <c r="B2052" s="1" t="n">
        <v>45097</v>
      </c>
      <c r="C2052" s="1" t="n">
        <v>45641</v>
      </c>
      <c r="D2052" t="inlineStr">
        <is>
          <t>VÄSTERBOTTENS LÄN</t>
        </is>
      </c>
      <c r="E2052" t="inlineStr">
        <is>
          <t>SKELLEFTEÅ</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27504-2023</t>
        </is>
      </c>
      <c r="B2053" s="1" t="n">
        <v>45097</v>
      </c>
      <c r="C2053" s="1" t="n">
        <v>45641</v>
      </c>
      <c r="D2053" t="inlineStr">
        <is>
          <t>VÄSTERBOTTENS LÄN</t>
        </is>
      </c>
      <c r="E2053" t="inlineStr">
        <is>
          <t>SKELLEFTEÅ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27508-2023</t>
        </is>
      </c>
      <c r="B2054" s="1" t="n">
        <v>45097</v>
      </c>
      <c r="C2054" s="1" t="n">
        <v>45641</v>
      </c>
      <c r="D2054" t="inlineStr">
        <is>
          <t>VÄSTERBOTTENS LÄN</t>
        </is>
      </c>
      <c r="E2054" t="inlineStr">
        <is>
          <t>SKELLEFTEÅ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27614-2023</t>
        </is>
      </c>
      <c r="B2055" s="1" t="n">
        <v>45097</v>
      </c>
      <c r="C2055" s="1" t="n">
        <v>45641</v>
      </c>
      <c r="D2055" t="inlineStr">
        <is>
          <t>VÄSTERBOTTENS LÄN</t>
        </is>
      </c>
      <c r="E2055" t="inlineStr">
        <is>
          <t>SKELLEFTEÅ</t>
        </is>
      </c>
      <c r="F2055" t="inlineStr">
        <is>
          <t>Holmen skog AB</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27670-2023</t>
        </is>
      </c>
      <c r="B2056" s="1" t="n">
        <v>45097</v>
      </c>
      <c r="C2056" s="1" t="n">
        <v>45641</v>
      </c>
      <c r="D2056" t="inlineStr">
        <is>
          <t>VÄSTERBOTTENS LÄN</t>
        </is>
      </c>
      <c r="E2056" t="inlineStr">
        <is>
          <t>SKELLEFTEÅ</t>
        </is>
      </c>
      <c r="F2056" t="inlineStr">
        <is>
          <t>Sveaskog</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27766-2023</t>
        </is>
      </c>
      <c r="B2057" s="1" t="n">
        <v>45098</v>
      </c>
      <c r="C2057" s="1" t="n">
        <v>45641</v>
      </c>
      <c r="D2057" t="inlineStr">
        <is>
          <t>VÄSTERBOTTENS LÄN</t>
        </is>
      </c>
      <c r="E2057" t="inlineStr">
        <is>
          <t>SKELLEFTEÅ</t>
        </is>
      </c>
      <c r="F2057" t="inlineStr">
        <is>
          <t>Holmen skog AB</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27829-2023</t>
        </is>
      </c>
      <c r="B2058" s="1" t="n">
        <v>45098</v>
      </c>
      <c r="C2058" s="1" t="n">
        <v>45641</v>
      </c>
      <c r="D2058" t="inlineStr">
        <is>
          <t>VÄSTERBOTTENS LÄN</t>
        </is>
      </c>
      <c r="E2058" t="inlineStr">
        <is>
          <t>SKELLEFTEÅ</t>
        </is>
      </c>
      <c r="F2058" t="inlineStr">
        <is>
          <t>Holmen skog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27807-2023</t>
        </is>
      </c>
      <c r="B2059" s="1" t="n">
        <v>45098</v>
      </c>
      <c r="C2059" s="1" t="n">
        <v>45641</v>
      </c>
      <c r="D2059" t="inlineStr">
        <is>
          <t>VÄSTERBOTTENS LÄN</t>
        </is>
      </c>
      <c r="E2059" t="inlineStr">
        <is>
          <t>SKELLEFTEÅ</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27900-2023</t>
        </is>
      </c>
      <c r="B2060" s="1" t="n">
        <v>45098</v>
      </c>
      <c r="C2060" s="1" t="n">
        <v>45641</v>
      </c>
      <c r="D2060" t="inlineStr">
        <is>
          <t>VÄSTERBOTTENS LÄN</t>
        </is>
      </c>
      <c r="E2060" t="inlineStr">
        <is>
          <t>SKELLEFTEÅ</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27925-2023</t>
        </is>
      </c>
      <c r="B2061" s="1" t="n">
        <v>45098</v>
      </c>
      <c r="C2061" s="1" t="n">
        <v>45641</v>
      </c>
      <c r="D2061" t="inlineStr">
        <is>
          <t>VÄSTERBOTTENS LÄN</t>
        </is>
      </c>
      <c r="E2061" t="inlineStr">
        <is>
          <t>SKELLEFTEÅ</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27794-2023</t>
        </is>
      </c>
      <c r="B2062" s="1" t="n">
        <v>45098</v>
      </c>
      <c r="C2062" s="1" t="n">
        <v>45641</v>
      </c>
      <c r="D2062" t="inlineStr">
        <is>
          <t>VÄSTERBOTTENS LÄN</t>
        </is>
      </c>
      <c r="E2062" t="inlineStr">
        <is>
          <t>SKELLEFTEÅ</t>
        </is>
      </c>
      <c r="F2062" t="inlineStr">
        <is>
          <t>Holmen skog AB</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29601-2023</t>
        </is>
      </c>
      <c r="B2063" s="1" t="n">
        <v>45098</v>
      </c>
      <c r="C2063" s="1" t="n">
        <v>45641</v>
      </c>
      <c r="D2063" t="inlineStr">
        <is>
          <t>VÄSTERBOTTENS LÄN</t>
        </is>
      </c>
      <c r="E2063" t="inlineStr">
        <is>
          <t>SKELLEFTEÅ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28148-2023</t>
        </is>
      </c>
      <c r="B2064" s="1" t="n">
        <v>45099</v>
      </c>
      <c r="C2064" s="1" t="n">
        <v>45641</v>
      </c>
      <c r="D2064" t="inlineStr">
        <is>
          <t>VÄSTERBOTTENS LÄN</t>
        </is>
      </c>
      <c r="E2064" t="inlineStr">
        <is>
          <t>SKELLEFTEÅ</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28142-2023</t>
        </is>
      </c>
      <c r="B2065" s="1" t="n">
        <v>45099</v>
      </c>
      <c r="C2065" s="1" t="n">
        <v>45641</v>
      </c>
      <c r="D2065" t="inlineStr">
        <is>
          <t>VÄSTERBOTTENS LÄN</t>
        </is>
      </c>
      <c r="E2065" t="inlineStr">
        <is>
          <t>SKELLEFTEÅ</t>
        </is>
      </c>
      <c r="G2065" t="n">
        <v>12.7</v>
      </c>
      <c r="H2065" t="n">
        <v>0</v>
      </c>
      <c r="I2065" t="n">
        <v>0</v>
      </c>
      <c r="J2065" t="n">
        <v>0</v>
      </c>
      <c r="K2065" t="n">
        <v>0</v>
      </c>
      <c r="L2065" t="n">
        <v>0</v>
      </c>
      <c r="M2065" t="n">
        <v>0</v>
      </c>
      <c r="N2065" t="n">
        <v>0</v>
      </c>
      <c r="O2065" t="n">
        <v>0</v>
      </c>
      <c r="P2065" t="n">
        <v>0</v>
      </c>
      <c r="Q2065" t="n">
        <v>0</v>
      </c>
      <c r="R2065" s="2" t="inlineStr"/>
    </row>
    <row r="2066" ht="15" customHeight="1">
      <c r="A2066" t="inlineStr">
        <is>
          <t>A 28185-2023</t>
        </is>
      </c>
      <c r="B2066" s="1" t="n">
        <v>45099</v>
      </c>
      <c r="C2066" s="1" t="n">
        <v>45641</v>
      </c>
      <c r="D2066" t="inlineStr">
        <is>
          <t>VÄSTERBOTTENS LÄN</t>
        </is>
      </c>
      <c r="E2066" t="inlineStr">
        <is>
          <t>SKELLEFTEÅ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28242-2023</t>
        </is>
      </c>
      <c r="B2067" s="1" t="n">
        <v>45099</v>
      </c>
      <c r="C2067" s="1" t="n">
        <v>45641</v>
      </c>
      <c r="D2067" t="inlineStr">
        <is>
          <t>VÄSTERBOTTENS LÄN</t>
        </is>
      </c>
      <c r="E2067" t="inlineStr">
        <is>
          <t>SKELLEFTEÅ</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28160-2023</t>
        </is>
      </c>
      <c r="B2068" s="1" t="n">
        <v>45099</v>
      </c>
      <c r="C2068" s="1" t="n">
        <v>45641</v>
      </c>
      <c r="D2068" t="inlineStr">
        <is>
          <t>VÄSTERBOTTENS LÄN</t>
        </is>
      </c>
      <c r="E2068" t="inlineStr">
        <is>
          <t>SKELLEFTEÅ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28199-2023</t>
        </is>
      </c>
      <c r="B2069" s="1" t="n">
        <v>45099</v>
      </c>
      <c r="C2069" s="1" t="n">
        <v>45641</v>
      </c>
      <c r="D2069" t="inlineStr">
        <is>
          <t>VÄSTERBOTTENS LÄN</t>
        </is>
      </c>
      <c r="E2069" t="inlineStr">
        <is>
          <t>SKELLEFTEÅ</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28360-2023</t>
        </is>
      </c>
      <c r="B2070" s="1" t="n">
        <v>45100</v>
      </c>
      <c r="C2070" s="1" t="n">
        <v>45641</v>
      </c>
      <c r="D2070" t="inlineStr">
        <is>
          <t>VÄSTERBOTTENS LÄN</t>
        </is>
      </c>
      <c r="E2070" t="inlineStr">
        <is>
          <t>SKELLEFTEÅ</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28358-2023</t>
        </is>
      </c>
      <c r="B2071" s="1" t="n">
        <v>45100</v>
      </c>
      <c r="C2071" s="1" t="n">
        <v>45641</v>
      </c>
      <c r="D2071" t="inlineStr">
        <is>
          <t>VÄSTERBOTTENS LÄN</t>
        </is>
      </c>
      <c r="E2071" t="inlineStr">
        <is>
          <t>SKELLEFTEÅ</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29921-2023</t>
        </is>
      </c>
      <c r="B2072" s="1" t="n">
        <v>45099</v>
      </c>
      <c r="C2072" s="1" t="n">
        <v>45641</v>
      </c>
      <c r="D2072" t="inlineStr">
        <is>
          <t>VÄSTERBOTTENS LÄN</t>
        </is>
      </c>
      <c r="E2072" t="inlineStr">
        <is>
          <t>SKELLEFTEÅ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30097-2023</t>
        </is>
      </c>
      <c r="B2073" s="1" t="n">
        <v>45099</v>
      </c>
      <c r="C2073" s="1" t="n">
        <v>45641</v>
      </c>
      <c r="D2073" t="inlineStr">
        <is>
          <t>VÄSTERBOTTENS LÄN</t>
        </is>
      </c>
      <c r="E2073" t="inlineStr">
        <is>
          <t>SKELLEFTEÅ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30103-2023</t>
        </is>
      </c>
      <c r="B2074" s="1" t="n">
        <v>45099</v>
      </c>
      <c r="C2074" s="1" t="n">
        <v>45641</v>
      </c>
      <c r="D2074" t="inlineStr">
        <is>
          <t>VÄSTERBOTTENS LÄN</t>
        </is>
      </c>
      <c r="E2074" t="inlineStr">
        <is>
          <t>SKELLEFTEÅ</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30437-2023</t>
        </is>
      </c>
      <c r="B2075" s="1" t="n">
        <v>45099</v>
      </c>
      <c r="C2075" s="1" t="n">
        <v>45641</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30378-2023</t>
        </is>
      </c>
      <c r="B2076" s="1" t="n">
        <v>45099</v>
      </c>
      <c r="C2076" s="1" t="n">
        <v>45641</v>
      </c>
      <c r="D2076" t="inlineStr">
        <is>
          <t>VÄSTERBOTTENS LÄN</t>
        </is>
      </c>
      <c r="E2076" t="inlineStr">
        <is>
          <t>SKELLEFTEÅ</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28431-2023</t>
        </is>
      </c>
      <c r="B2077" s="1" t="n">
        <v>45102</v>
      </c>
      <c r="C2077" s="1" t="n">
        <v>45641</v>
      </c>
      <c r="D2077" t="inlineStr">
        <is>
          <t>VÄSTERBOTTENS LÄN</t>
        </is>
      </c>
      <c r="E2077" t="inlineStr">
        <is>
          <t>SKELLEFTEÅ</t>
        </is>
      </c>
      <c r="G2077" t="n">
        <v>8.9</v>
      </c>
      <c r="H2077" t="n">
        <v>0</v>
      </c>
      <c r="I2077" t="n">
        <v>0</v>
      </c>
      <c r="J2077" t="n">
        <v>0</v>
      </c>
      <c r="K2077" t="n">
        <v>0</v>
      </c>
      <c r="L2077" t="n">
        <v>0</v>
      </c>
      <c r="M2077" t="n">
        <v>0</v>
      </c>
      <c r="N2077" t="n">
        <v>0</v>
      </c>
      <c r="O2077" t="n">
        <v>0</v>
      </c>
      <c r="P2077" t="n">
        <v>0</v>
      </c>
      <c r="Q2077" t="n">
        <v>0</v>
      </c>
      <c r="R2077" s="2" t="inlineStr"/>
      <c r="U2077">
        <f>HYPERLINK("https://klasma.github.io/Logging_2482/knärot/A 28431-2023 karta knärot.png", "A 28431-2023")</f>
        <v/>
      </c>
      <c r="V2077">
        <f>HYPERLINK("https://klasma.github.io/Logging_2482/klagomål/A 28431-2023 FSC-klagomål.docx", "A 28431-2023")</f>
        <v/>
      </c>
      <c r="W2077">
        <f>HYPERLINK("https://klasma.github.io/Logging_2482/klagomålsmail/A 28431-2023 FSC-klagomål mail.docx", "A 28431-2023")</f>
        <v/>
      </c>
      <c r="X2077">
        <f>HYPERLINK("https://klasma.github.io/Logging_2482/tillsyn/A 28431-2023 tillsynsbegäran.docx", "A 28431-2023")</f>
        <v/>
      </c>
      <c r="Y2077">
        <f>HYPERLINK("https://klasma.github.io/Logging_2482/tillsynsmail/A 28431-2023 tillsynsbegäran mail.docx", "A 28431-2023")</f>
        <v/>
      </c>
    </row>
    <row r="2078" ht="15" customHeight="1">
      <c r="A2078" t="inlineStr">
        <is>
          <t>A 28433-2023</t>
        </is>
      </c>
      <c r="B2078" s="1" t="n">
        <v>45102</v>
      </c>
      <c r="C2078" s="1" t="n">
        <v>45641</v>
      </c>
      <c r="D2078" t="inlineStr">
        <is>
          <t>VÄSTERBOTTENS LÄN</t>
        </is>
      </c>
      <c r="E2078" t="inlineStr">
        <is>
          <t>SKELLEFTEÅ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28509-2023</t>
        </is>
      </c>
      <c r="B2079" s="1" t="n">
        <v>45103</v>
      </c>
      <c r="C2079" s="1" t="n">
        <v>45641</v>
      </c>
      <c r="D2079" t="inlineStr">
        <is>
          <t>VÄSTERBOTTENS LÄN</t>
        </is>
      </c>
      <c r="E2079" t="inlineStr">
        <is>
          <t>SKELLEFTEÅ</t>
        </is>
      </c>
      <c r="G2079" t="n">
        <v>11.7</v>
      </c>
      <c r="H2079" t="n">
        <v>0</v>
      </c>
      <c r="I2079" t="n">
        <v>0</v>
      </c>
      <c r="J2079" t="n">
        <v>0</v>
      </c>
      <c r="K2079" t="n">
        <v>0</v>
      </c>
      <c r="L2079" t="n">
        <v>0</v>
      </c>
      <c r="M2079" t="n">
        <v>0</v>
      </c>
      <c r="N2079" t="n">
        <v>0</v>
      </c>
      <c r="O2079" t="n">
        <v>0</v>
      </c>
      <c r="P2079" t="n">
        <v>0</v>
      </c>
      <c r="Q2079" t="n">
        <v>0</v>
      </c>
      <c r="R2079" s="2" t="inlineStr"/>
    </row>
    <row r="2080" ht="15" customHeight="1">
      <c r="A2080" t="inlineStr">
        <is>
          <t>A 28641-2023</t>
        </is>
      </c>
      <c r="B2080" s="1" t="n">
        <v>45103</v>
      </c>
      <c r="C2080" s="1" t="n">
        <v>45641</v>
      </c>
      <c r="D2080" t="inlineStr">
        <is>
          <t>VÄSTERBOTTENS LÄN</t>
        </is>
      </c>
      <c r="E2080" t="inlineStr">
        <is>
          <t>SKELLEFTEÅ</t>
        </is>
      </c>
      <c r="F2080" t="inlineStr">
        <is>
          <t>Holmen skog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28710-2023</t>
        </is>
      </c>
      <c r="B2081" s="1" t="n">
        <v>45103</v>
      </c>
      <c r="C2081" s="1" t="n">
        <v>45641</v>
      </c>
      <c r="D2081" t="inlineStr">
        <is>
          <t>VÄSTERBOTTENS LÄN</t>
        </is>
      </c>
      <c r="E2081" t="inlineStr">
        <is>
          <t>SKELLEFTEÅ</t>
        </is>
      </c>
      <c r="F2081" t="inlineStr">
        <is>
          <t>Sveaskog</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31006-2023</t>
        </is>
      </c>
      <c r="B2082" s="1" t="n">
        <v>45103</v>
      </c>
      <c r="C2082" s="1" t="n">
        <v>45641</v>
      </c>
      <c r="D2082" t="inlineStr">
        <is>
          <t>VÄSTERBOTTENS LÄN</t>
        </is>
      </c>
      <c r="E2082" t="inlineStr">
        <is>
          <t>SKELLEFTEÅ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31555-2023</t>
        </is>
      </c>
      <c r="B2083" s="1" t="n">
        <v>45104</v>
      </c>
      <c r="C2083" s="1" t="n">
        <v>45641</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31558-2023</t>
        </is>
      </c>
      <c r="B2084" s="1" t="n">
        <v>45104</v>
      </c>
      <c r="C2084" s="1" t="n">
        <v>45641</v>
      </c>
      <c r="D2084" t="inlineStr">
        <is>
          <t>VÄSTERBOTTENS LÄN</t>
        </is>
      </c>
      <c r="E2084" t="inlineStr">
        <is>
          <t>SKELLEFTEÅ</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29152-2023</t>
        </is>
      </c>
      <c r="B2085" s="1" t="n">
        <v>45105</v>
      </c>
      <c r="C2085" s="1" t="n">
        <v>45641</v>
      </c>
      <c r="D2085" t="inlineStr">
        <is>
          <t>VÄSTERBOTTENS LÄN</t>
        </is>
      </c>
      <c r="E2085" t="inlineStr">
        <is>
          <t>SKELLEFTEÅ</t>
        </is>
      </c>
      <c r="F2085" t="inlineStr">
        <is>
          <t>Holmen skog AB</t>
        </is>
      </c>
      <c r="G2085" t="n">
        <v>18.5</v>
      </c>
      <c r="H2085" t="n">
        <v>0</v>
      </c>
      <c r="I2085" t="n">
        <v>0</v>
      </c>
      <c r="J2085" t="n">
        <v>0</v>
      </c>
      <c r="K2085" t="n">
        <v>0</v>
      </c>
      <c r="L2085" t="n">
        <v>0</v>
      </c>
      <c r="M2085" t="n">
        <v>0</v>
      </c>
      <c r="N2085" t="n">
        <v>0</v>
      </c>
      <c r="O2085" t="n">
        <v>0</v>
      </c>
      <c r="P2085" t="n">
        <v>0</v>
      </c>
      <c r="Q2085" t="n">
        <v>0</v>
      </c>
      <c r="R2085" s="2" t="inlineStr"/>
    </row>
    <row r="2086" ht="15" customHeight="1">
      <c r="A2086" t="inlineStr">
        <is>
          <t>A 29313-2023</t>
        </is>
      </c>
      <c r="B2086" s="1" t="n">
        <v>45106</v>
      </c>
      <c r="C2086" s="1" t="n">
        <v>45641</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29355-2023</t>
        </is>
      </c>
      <c r="B2087" s="1" t="n">
        <v>45106</v>
      </c>
      <c r="C2087" s="1" t="n">
        <v>45641</v>
      </c>
      <c r="D2087" t="inlineStr">
        <is>
          <t>VÄSTERBOTTENS LÄN</t>
        </is>
      </c>
      <c r="E2087" t="inlineStr">
        <is>
          <t>SKELLEFTEÅ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29520-2023</t>
        </is>
      </c>
      <c r="B2088" s="1" t="n">
        <v>45106</v>
      </c>
      <c r="C2088" s="1" t="n">
        <v>45641</v>
      </c>
      <c r="D2088" t="inlineStr">
        <is>
          <t>VÄSTERBOTTENS LÄN</t>
        </is>
      </c>
      <c r="E2088" t="inlineStr">
        <is>
          <t>SKELLEFTEÅ</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29596-2023</t>
        </is>
      </c>
      <c r="B2089" s="1" t="n">
        <v>45107</v>
      </c>
      <c r="C2089" s="1" t="n">
        <v>45641</v>
      </c>
      <c r="D2089" t="inlineStr">
        <is>
          <t>VÄSTERBOTTENS LÄN</t>
        </is>
      </c>
      <c r="E2089" t="inlineStr">
        <is>
          <t>SKELLEFTEÅ</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29595-2023</t>
        </is>
      </c>
      <c r="B2090" s="1" t="n">
        <v>45107</v>
      </c>
      <c r="C2090" s="1" t="n">
        <v>45641</v>
      </c>
      <c r="D2090" t="inlineStr">
        <is>
          <t>VÄSTERBOTTENS LÄN</t>
        </is>
      </c>
      <c r="E2090" t="inlineStr">
        <is>
          <t>SKELLEFTEÅ</t>
        </is>
      </c>
      <c r="G2090" t="n">
        <v>23.7</v>
      </c>
      <c r="H2090" t="n">
        <v>0</v>
      </c>
      <c r="I2090" t="n">
        <v>0</v>
      </c>
      <c r="J2090" t="n">
        <v>0</v>
      </c>
      <c r="K2090" t="n">
        <v>0</v>
      </c>
      <c r="L2090" t="n">
        <v>0</v>
      </c>
      <c r="M2090" t="n">
        <v>0</v>
      </c>
      <c r="N2090" t="n">
        <v>0</v>
      </c>
      <c r="O2090" t="n">
        <v>0</v>
      </c>
      <c r="P2090" t="n">
        <v>0</v>
      </c>
      <c r="Q2090" t="n">
        <v>0</v>
      </c>
      <c r="R2090" s="2" t="inlineStr"/>
    </row>
    <row r="2091" ht="15" customHeight="1">
      <c r="A2091" t="inlineStr">
        <is>
          <t>A 31760-2023</t>
        </is>
      </c>
      <c r="B2091" s="1" t="n">
        <v>45106</v>
      </c>
      <c r="C2091" s="1" t="n">
        <v>45641</v>
      </c>
      <c r="D2091" t="inlineStr">
        <is>
          <t>VÄSTERBOTTENS LÄN</t>
        </is>
      </c>
      <c r="E2091" t="inlineStr">
        <is>
          <t>SKELLEFTEÅ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29887-2023</t>
        </is>
      </c>
      <c r="B2092" s="1" t="n">
        <v>45107</v>
      </c>
      <c r="C2092" s="1" t="n">
        <v>45641</v>
      </c>
      <c r="D2092" t="inlineStr">
        <is>
          <t>VÄSTERBOTTENS LÄN</t>
        </is>
      </c>
      <c r="E2092" t="inlineStr">
        <is>
          <t>SKELLEFTEÅ</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29891-2023</t>
        </is>
      </c>
      <c r="B2093" s="1" t="n">
        <v>45107</v>
      </c>
      <c r="C2093" s="1" t="n">
        <v>45641</v>
      </c>
      <c r="D2093" t="inlineStr">
        <is>
          <t>VÄSTERBOTTENS LÄN</t>
        </is>
      </c>
      <c r="E2093" t="inlineStr">
        <is>
          <t>SKELLEFTEÅ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29890-2023</t>
        </is>
      </c>
      <c r="B2094" s="1" t="n">
        <v>45107</v>
      </c>
      <c r="C2094" s="1" t="n">
        <v>45641</v>
      </c>
      <c r="D2094" t="inlineStr">
        <is>
          <t>VÄSTERBOTTENS LÄN</t>
        </is>
      </c>
      <c r="E2094" t="inlineStr">
        <is>
          <t>SKELLEFTEÅ</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29932-2023</t>
        </is>
      </c>
      <c r="B2095" s="1" t="n">
        <v>45107</v>
      </c>
      <c r="C2095" s="1" t="n">
        <v>45641</v>
      </c>
      <c r="D2095" t="inlineStr">
        <is>
          <t>VÄSTERBOTTENS LÄN</t>
        </is>
      </c>
      <c r="E2095" t="inlineStr">
        <is>
          <t>SKELLEFTEÅ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29967-2023</t>
        </is>
      </c>
      <c r="B2096" s="1" t="n">
        <v>45108</v>
      </c>
      <c r="C2096" s="1" t="n">
        <v>45641</v>
      </c>
      <c r="D2096" t="inlineStr">
        <is>
          <t>VÄSTERBOTTENS LÄN</t>
        </is>
      </c>
      <c r="E2096" t="inlineStr">
        <is>
          <t>SKELLEFTEÅ</t>
        </is>
      </c>
      <c r="F2096" t="inlineStr">
        <is>
          <t>Holmen skog AB</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29968-2023</t>
        </is>
      </c>
      <c r="B2097" s="1" t="n">
        <v>45108</v>
      </c>
      <c r="C2097" s="1" t="n">
        <v>45641</v>
      </c>
      <c r="D2097" t="inlineStr">
        <is>
          <t>VÄSTERBOTTENS LÄN</t>
        </is>
      </c>
      <c r="E2097" t="inlineStr">
        <is>
          <t>SKELLEFTEÅ</t>
        </is>
      </c>
      <c r="F2097" t="inlineStr">
        <is>
          <t>Holmen skog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29976-2023</t>
        </is>
      </c>
      <c r="B2098" s="1" t="n">
        <v>45108</v>
      </c>
      <c r="C2098" s="1" t="n">
        <v>45641</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29970-2023</t>
        </is>
      </c>
      <c r="B2099" s="1" t="n">
        <v>45108</v>
      </c>
      <c r="C2099" s="1" t="n">
        <v>45641</v>
      </c>
      <c r="D2099" t="inlineStr">
        <is>
          <t>VÄSTERBOTTENS LÄN</t>
        </is>
      </c>
      <c r="E2099" t="inlineStr">
        <is>
          <t>SKELLEFTEÅ</t>
        </is>
      </c>
      <c r="F2099" t="inlineStr">
        <is>
          <t>Holmen skog AB</t>
        </is>
      </c>
      <c r="G2099" t="n">
        <v>20.6</v>
      </c>
      <c r="H2099" t="n">
        <v>0</v>
      </c>
      <c r="I2099" t="n">
        <v>0</v>
      </c>
      <c r="J2099" t="n">
        <v>0</v>
      </c>
      <c r="K2099" t="n">
        <v>0</v>
      </c>
      <c r="L2099" t="n">
        <v>0</v>
      </c>
      <c r="M2099" t="n">
        <v>0</v>
      </c>
      <c r="N2099" t="n">
        <v>0</v>
      </c>
      <c r="O2099" t="n">
        <v>0</v>
      </c>
      <c r="P2099" t="n">
        <v>0</v>
      </c>
      <c r="Q2099" t="n">
        <v>0</v>
      </c>
      <c r="R2099" s="2" t="inlineStr"/>
    </row>
    <row r="2100" ht="15" customHeight="1">
      <c r="A2100" t="inlineStr">
        <is>
          <t>A 29974-2023</t>
        </is>
      </c>
      <c r="B2100" s="1" t="n">
        <v>45108</v>
      </c>
      <c r="C2100" s="1" t="n">
        <v>45641</v>
      </c>
      <c r="D2100" t="inlineStr">
        <is>
          <t>VÄSTERBOTTENS LÄN</t>
        </is>
      </c>
      <c r="E2100" t="inlineStr">
        <is>
          <t>SKELLEFTEÅ</t>
        </is>
      </c>
      <c r="F2100" t="inlineStr">
        <is>
          <t>Holmen skog AB</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30010-2023</t>
        </is>
      </c>
      <c r="B2101" s="1" t="n">
        <v>45109</v>
      </c>
      <c r="C2101" s="1" t="n">
        <v>45641</v>
      </c>
      <c r="D2101" t="inlineStr">
        <is>
          <t>VÄSTERBOTTENS LÄN</t>
        </is>
      </c>
      <c r="E2101" t="inlineStr">
        <is>
          <t>SKELLEFTEÅ</t>
        </is>
      </c>
      <c r="F2101" t="inlineStr">
        <is>
          <t>Sveaskog</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30212-2023</t>
        </is>
      </c>
      <c r="B2102" s="1" t="n">
        <v>45110</v>
      </c>
      <c r="C2102" s="1" t="n">
        <v>45641</v>
      </c>
      <c r="D2102" t="inlineStr">
        <is>
          <t>VÄSTERBOTTENS LÄN</t>
        </is>
      </c>
      <c r="E2102" t="inlineStr">
        <is>
          <t>SKELLEFTEÅ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30485-2023</t>
        </is>
      </c>
      <c r="B2103" s="1" t="n">
        <v>45111</v>
      </c>
      <c r="C2103" s="1" t="n">
        <v>45641</v>
      </c>
      <c r="D2103" t="inlineStr">
        <is>
          <t>VÄSTERBOTTENS LÄN</t>
        </is>
      </c>
      <c r="E2103" t="inlineStr">
        <is>
          <t>SKELLEFTEÅ</t>
        </is>
      </c>
      <c r="F2103" t="inlineStr">
        <is>
          <t>Sveaskog</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30329-2023</t>
        </is>
      </c>
      <c r="B2104" s="1" t="n">
        <v>45111</v>
      </c>
      <c r="C2104" s="1" t="n">
        <v>45641</v>
      </c>
      <c r="D2104" t="inlineStr">
        <is>
          <t>VÄSTERBOTTENS LÄN</t>
        </is>
      </c>
      <c r="E2104" t="inlineStr">
        <is>
          <t>SKELLEFTEÅ</t>
        </is>
      </c>
      <c r="G2104" t="n">
        <v>11.1</v>
      </c>
      <c r="H2104" t="n">
        <v>0</v>
      </c>
      <c r="I2104" t="n">
        <v>0</v>
      </c>
      <c r="J2104" t="n">
        <v>0</v>
      </c>
      <c r="K2104" t="n">
        <v>0</v>
      </c>
      <c r="L2104" t="n">
        <v>0</v>
      </c>
      <c r="M2104" t="n">
        <v>0</v>
      </c>
      <c r="N2104" t="n">
        <v>0</v>
      </c>
      <c r="O2104" t="n">
        <v>0</v>
      </c>
      <c r="P2104" t="n">
        <v>0</v>
      </c>
      <c r="Q2104" t="n">
        <v>0</v>
      </c>
      <c r="R2104" s="2" t="inlineStr"/>
    </row>
    <row r="2105" ht="15" customHeight="1">
      <c r="A2105" t="inlineStr">
        <is>
          <t>A 30540-2023</t>
        </is>
      </c>
      <c r="B2105" s="1" t="n">
        <v>45111</v>
      </c>
      <c r="C2105" s="1" t="n">
        <v>45641</v>
      </c>
      <c r="D2105" t="inlineStr">
        <is>
          <t>VÄSTERBOTTENS LÄN</t>
        </is>
      </c>
      <c r="E2105" t="inlineStr">
        <is>
          <t>SKELLEFTEÅ</t>
        </is>
      </c>
      <c r="F2105" t="inlineStr">
        <is>
          <t>Holmen skog AB</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30369-2023</t>
        </is>
      </c>
      <c r="B2106" s="1" t="n">
        <v>45111</v>
      </c>
      <c r="C2106" s="1" t="n">
        <v>45641</v>
      </c>
      <c r="D2106" t="inlineStr">
        <is>
          <t>VÄSTERBOTTENS LÄN</t>
        </is>
      </c>
      <c r="E2106" t="inlineStr">
        <is>
          <t>SKELLEFTEÅ</t>
        </is>
      </c>
      <c r="F2106" t="inlineStr">
        <is>
          <t>Holmen skog AB</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30686-2023</t>
        </is>
      </c>
      <c r="B2107" s="1" t="n">
        <v>45112</v>
      </c>
      <c r="C2107" s="1" t="n">
        <v>45641</v>
      </c>
      <c r="D2107" t="inlineStr">
        <is>
          <t>VÄSTERBOTTENS LÄN</t>
        </is>
      </c>
      <c r="E2107" t="inlineStr">
        <is>
          <t>SKELLEFTEÅ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30698-2023</t>
        </is>
      </c>
      <c r="B2108" s="1" t="n">
        <v>45112</v>
      </c>
      <c r="C2108" s="1" t="n">
        <v>45641</v>
      </c>
      <c r="D2108" t="inlineStr">
        <is>
          <t>VÄSTERBOTTENS LÄN</t>
        </is>
      </c>
      <c r="E2108" t="inlineStr">
        <is>
          <t>SKELLEFTEÅ</t>
        </is>
      </c>
      <c r="F2108" t="inlineStr">
        <is>
          <t>Sveaskog</t>
        </is>
      </c>
      <c r="G2108" t="n">
        <v>20.9</v>
      </c>
      <c r="H2108" t="n">
        <v>0</v>
      </c>
      <c r="I2108" t="n">
        <v>0</v>
      </c>
      <c r="J2108" t="n">
        <v>0</v>
      </c>
      <c r="K2108" t="n">
        <v>0</v>
      </c>
      <c r="L2108" t="n">
        <v>0</v>
      </c>
      <c r="M2108" t="n">
        <v>0</v>
      </c>
      <c r="N2108" t="n">
        <v>0</v>
      </c>
      <c r="O2108" t="n">
        <v>0</v>
      </c>
      <c r="P2108" t="n">
        <v>0</v>
      </c>
      <c r="Q2108" t="n">
        <v>0</v>
      </c>
      <c r="R2108" s="2" t="inlineStr"/>
    </row>
    <row r="2109" ht="15" customHeight="1">
      <c r="A2109" t="inlineStr">
        <is>
          <t>A 30743-2023</t>
        </is>
      </c>
      <c r="B2109" s="1" t="n">
        <v>45112</v>
      </c>
      <c r="C2109" s="1" t="n">
        <v>45641</v>
      </c>
      <c r="D2109" t="inlineStr">
        <is>
          <t>VÄSTERBOTTENS LÄN</t>
        </is>
      </c>
      <c r="E2109" t="inlineStr">
        <is>
          <t>SKELLEFTEÅ</t>
        </is>
      </c>
      <c r="F2109" t="inlineStr">
        <is>
          <t>Sveaskog</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30786-2023</t>
        </is>
      </c>
      <c r="B2110" s="1" t="n">
        <v>45112</v>
      </c>
      <c r="C2110" s="1" t="n">
        <v>45641</v>
      </c>
      <c r="D2110" t="inlineStr">
        <is>
          <t>VÄSTERBOTTENS LÄN</t>
        </is>
      </c>
      <c r="E2110" t="inlineStr">
        <is>
          <t>SKELLEFTEÅ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32817-2023</t>
        </is>
      </c>
      <c r="B2111" s="1" t="n">
        <v>45112</v>
      </c>
      <c r="C2111" s="1" t="n">
        <v>45641</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32820-2023</t>
        </is>
      </c>
      <c r="B2112" s="1" t="n">
        <v>45112</v>
      </c>
      <c r="C2112" s="1" t="n">
        <v>45641</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30953-2023</t>
        </is>
      </c>
      <c r="B2113" s="1" t="n">
        <v>45113</v>
      </c>
      <c r="C2113" s="1" t="n">
        <v>45641</v>
      </c>
      <c r="D2113" t="inlineStr">
        <is>
          <t>VÄSTERBOTTENS LÄN</t>
        </is>
      </c>
      <c r="E2113" t="inlineStr">
        <is>
          <t>SKELLEFTEÅ</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31027-2023</t>
        </is>
      </c>
      <c r="B2114" s="1" t="n">
        <v>45113</v>
      </c>
      <c r="C2114" s="1" t="n">
        <v>45641</v>
      </c>
      <c r="D2114" t="inlineStr">
        <is>
          <t>VÄSTERBOTTENS LÄN</t>
        </is>
      </c>
      <c r="E2114" t="inlineStr">
        <is>
          <t>SKELLEFTEÅ</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31035-2023</t>
        </is>
      </c>
      <c r="B2115" s="1" t="n">
        <v>45113</v>
      </c>
      <c r="C2115" s="1" t="n">
        <v>45641</v>
      </c>
      <c r="D2115" t="inlineStr">
        <is>
          <t>VÄSTERBOTTENS LÄN</t>
        </is>
      </c>
      <c r="E2115" t="inlineStr">
        <is>
          <t>SKELLEFTEÅ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31033-2023</t>
        </is>
      </c>
      <c r="B2116" s="1" t="n">
        <v>45113</v>
      </c>
      <c r="C2116" s="1" t="n">
        <v>45641</v>
      </c>
      <c r="D2116" t="inlineStr">
        <is>
          <t>VÄSTERBOTTENS LÄN</t>
        </is>
      </c>
      <c r="E2116" t="inlineStr">
        <is>
          <t>SKELLEFTEÅ</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31028-2023</t>
        </is>
      </c>
      <c r="B2117" s="1" t="n">
        <v>45113</v>
      </c>
      <c r="C2117" s="1" t="n">
        <v>45641</v>
      </c>
      <c r="D2117" t="inlineStr">
        <is>
          <t>VÄSTERBOTTENS LÄN</t>
        </is>
      </c>
      <c r="E2117" t="inlineStr">
        <is>
          <t>SKELLEFTEÅ</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31155-2023</t>
        </is>
      </c>
      <c r="B2118" s="1" t="n">
        <v>45113</v>
      </c>
      <c r="C2118" s="1" t="n">
        <v>45641</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32969-2023</t>
        </is>
      </c>
      <c r="B2119" s="1" t="n">
        <v>45113</v>
      </c>
      <c r="C2119" s="1" t="n">
        <v>45641</v>
      </c>
      <c r="D2119" t="inlineStr">
        <is>
          <t>VÄSTERBOTTENS LÄN</t>
        </is>
      </c>
      <c r="E2119" t="inlineStr">
        <is>
          <t>SKELLEFTEÅ</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31257-2023</t>
        </is>
      </c>
      <c r="B2120" s="1" t="n">
        <v>45114</v>
      </c>
      <c r="C2120" s="1" t="n">
        <v>45641</v>
      </c>
      <c r="D2120" t="inlineStr">
        <is>
          <t>VÄSTERBOTTENS LÄN</t>
        </is>
      </c>
      <c r="E2120" t="inlineStr">
        <is>
          <t>SKELLEFTEÅ</t>
        </is>
      </c>
      <c r="F2120" t="inlineStr">
        <is>
          <t>Holmen skog AB</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33184-2023</t>
        </is>
      </c>
      <c r="B2121" s="1" t="n">
        <v>45114</v>
      </c>
      <c r="C2121" s="1" t="n">
        <v>45641</v>
      </c>
      <c r="D2121" t="inlineStr">
        <is>
          <t>VÄSTERBOTTENS LÄN</t>
        </is>
      </c>
      <c r="E2121" t="inlineStr">
        <is>
          <t>SKELLEFTEÅ</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33289-2023</t>
        </is>
      </c>
      <c r="B2122" s="1" t="n">
        <v>45116</v>
      </c>
      <c r="C2122" s="1" t="n">
        <v>45641</v>
      </c>
      <c r="D2122" t="inlineStr">
        <is>
          <t>VÄSTERBOTTENS LÄN</t>
        </is>
      </c>
      <c r="E2122" t="inlineStr">
        <is>
          <t>SKELLEFTEÅ</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31672-2023</t>
        </is>
      </c>
      <c r="B2123" s="1" t="n">
        <v>45117</v>
      </c>
      <c r="C2123" s="1" t="n">
        <v>45641</v>
      </c>
      <c r="D2123" t="inlineStr">
        <is>
          <t>VÄSTERBOTTENS LÄN</t>
        </is>
      </c>
      <c r="E2123" t="inlineStr">
        <is>
          <t>SKELLEFTEÅ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32206-2023</t>
        </is>
      </c>
      <c r="B2124" s="1" t="n">
        <v>45119</v>
      </c>
      <c r="C2124" s="1" t="n">
        <v>45641</v>
      </c>
      <c r="D2124" t="inlineStr">
        <is>
          <t>VÄSTERBOTTENS LÄN</t>
        </is>
      </c>
      <c r="E2124" t="inlineStr">
        <is>
          <t>SKELLEFTEÅ</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32205-2023</t>
        </is>
      </c>
      <c r="B2125" s="1" t="n">
        <v>45119</v>
      </c>
      <c r="C2125" s="1" t="n">
        <v>45641</v>
      </c>
      <c r="D2125" t="inlineStr">
        <is>
          <t>VÄSTERBOTTENS LÄN</t>
        </is>
      </c>
      <c r="E2125" t="inlineStr">
        <is>
          <t>SKELLEFTEÅ</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33778-2023</t>
        </is>
      </c>
      <c r="B2126" s="1" t="n">
        <v>45120</v>
      </c>
      <c r="C2126" s="1" t="n">
        <v>45641</v>
      </c>
      <c r="D2126" t="inlineStr">
        <is>
          <t>VÄSTERBOTTENS LÄN</t>
        </is>
      </c>
      <c r="E2126" t="inlineStr">
        <is>
          <t>SKELLEFTEÅ</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32535-2023</t>
        </is>
      </c>
      <c r="B2127" s="1" t="n">
        <v>45121</v>
      </c>
      <c r="C2127" s="1" t="n">
        <v>45641</v>
      </c>
      <c r="D2127" t="inlineStr">
        <is>
          <t>VÄSTERBOTTENS LÄN</t>
        </is>
      </c>
      <c r="E2127" t="inlineStr">
        <is>
          <t>SKELLEFTEÅ</t>
        </is>
      </c>
      <c r="F2127" t="inlineStr">
        <is>
          <t>Holmen skog AB</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32556-2023</t>
        </is>
      </c>
      <c r="B2128" s="1" t="n">
        <v>45121</v>
      </c>
      <c r="C2128" s="1" t="n">
        <v>45641</v>
      </c>
      <c r="D2128" t="inlineStr">
        <is>
          <t>VÄSTERBOTTENS LÄN</t>
        </is>
      </c>
      <c r="E2128" t="inlineStr">
        <is>
          <t>SKELLEFTEÅ</t>
        </is>
      </c>
      <c r="F2128" t="inlineStr">
        <is>
          <t>Holmen skog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32589-2023</t>
        </is>
      </c>
      <c r="B2129" s="1" t="n">
        <v>45121</v>
      </c>
      <c r="C2129" s="1" t="n">
        <v>45641</v>
      </c>
      <c r="D2129" t="inlineStr">
        <is>
          <t>VÄSTERBOTTENS LÄN</t>
        </is>
      </c>
      <c r="E2129" t="inlineStr">
        <is>
          <t>SKELLEFTEÅ</t>
        </is>
      </c>
      <c r="F2129" t="inlineStr">
        <is>
          <t>Holmen skog AB</t>
        </is>
      </c>
      <c r="G2129" t="n">
        <v>10.8</v>
      </c>
      <c r="H2129" t="n">
        <v>0</v>
      </c>
      <c r="I2129" t="n">
        <v>0</v>
      </c>
      <c r="J2129" t="n">
        <v>0</v>
      </c>
      <c r="K2129" t="n">
        <v>0</v>
      </c>
      <c r="L2129" t="n">
        <v>0</v>
      </c>
      <c r="M2129" t="n">
        <v>0</v>
      </c>
      <c r="N2129" t="n">
        <v>0</v>
      </c>
      <c r="O2129" t="n">
        <v>0</v>
      </c>
      <c r="P2129" t="n">
        <v>0</v>
      </c>
      <c r="Q2129" t="n">
        <v>0</v>
      </c>
      <c r="R2129" s="2" t="inlineStr"/>
    </row>
    <row r="2130" ht="15" customHeight="1">
      <c r="A2130" t="inlineStr">
        <is>
          <t>A 32575-2023</t>
        </is>
      </c>
      <c r="B2130" s="1" t="n">
        <v>45121</v>
      </c>
      <c r="C2130" s="1" t="n">
        <v>45641</v>
      </c>
      <c r="D2130" t="inlineStr">
        <is>
          <t>VÄSTERBOTTENS LÄN</t>
        </is>
      </c>
      <c r="E2130" t="inlineStr">
        <is>
          <t>SKELLEFTEÅ</t>
        </is>
      </c>
      <c r="F2130" t="inlineStr">
        <is>
          <t>Holmen skog AB</t>
        </is>
      </c>
      <c r="G2130" t="n">
        <v>9.199999999999999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32590-2023</t>
        </is>
      </c>
      <c r="B2131" s="1" t="n">
        <v>45121</v>
      </c>
      <c r="C2131" s="1" t="n">
        <v>45641</v>
      </c>
      <c r="D2131" t="inlineStr">
        <is>
          <t>VÄSTERBOTTENS LÄN</t>
        </is>
      </c>
      <c r="E2131" t="inlineStr">
        <is>
          <t>SKELLEFTEÅ</t>
        </is>
      </c>
      <c r="F2131" t="inlineStr">
        <is>
          <t>Holmen skog AB</t>
        </is>
      </c>
      <c r="G2131" t="n">
        <v>10.4</v>
      </c>
      <c r="H2131" t="n">
        <v>0</v>
      </c>
      <c r="I2131" t="n">
        <v>0</v>
      </c>
      <c r="J2131" t="n">
        <v>0</v>
      </c>
      <c r="K2131" t="n">
        <v>0</v>
      </c>
      <c r="L2131" t="n">
        <v>0</v>
      </c>
      <c r="M2131" t="n">
        <v>0</v>
      </c>
      <c r="N2131" t="n">
        <v>0</v>
      </c>
      <c r="O2131" t="n">
        <v>0</v>
      </c>
      <c r="P2131" t="n">
        <v>0</v>
      </c>
      <c r="Q2131" t="n">
        <v>0</v>
      </c>
      <c r="R2131" s="2" t="inlineStr"/>
    </row>
    <row r="2132" ht="15" customHeight="1">
      <c r="A2132" t="inlineStr">
        <is>
          <t>A 32746-2023</t>
        </is>
      </c>
      <c r="B2132" s="1" t="n">
        <v>45122</v>
      </c>
      <c r="C2132" s="1" t="n">
        <v>45641</v>
      </c>
      <c r="D2132" t="inlineStr">
        <is>
          <t>VÄSTERBOTTENS LÄN</t>
        </is>
      </c>
      <c r="E2132" t="inlineStr">
        <is>
          <t>SKELLEFTEÅ</t>
        </is>
      </c>
      <c r="F2132" t="inlineStr">
        <is>
          <t>Holmen skog AB</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32743-2023</t>
        </is>
      </c>
      <c r="B2133" s="1" t="n">
        <v>45122</v>
      </c>
      <c r="C2133" s="1" t="n">
        <v>45641</v>
      </c>
      <c r="D2133" t="inlineStr">
        <is>
          <t>VÄSTERBOTTENS LÄN</t>
        </is>
      </c>
      <c r="E2133" t="inlineStr">
        <is>
          <t>SKELLEFTEÅ</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32747-2023</t>
        </is>
      </c>
      <c r="B2134" s="1" t="n">
        <v>45122</v>
      </c>
      <c r="C2134" s="1" t="n">
        <v>45641</v>
      </c>
      <c r="D2134" t="inlineStr">
        <is>
          <t>VÄSTERBOTTENS LÄN</t>
        </is>
      </c>
      <c r="E2134" t="inlineStr">
        <is>
          <t>SKELLEFTEÅ</t>
        </is>
      </c>
      <c r="F2134" t="inlineStr">
        <is>
          <t>Holmen skog AB</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32745-2023</t>
        </is>
      </c>
      <c r="B2135" s="1" t="n">
        <v>45122</v>
      </c>
      <c r="C2135" s="1" t="n">
        <v>45641</v>
      </c>
      <c r="D2135" t="inlineStr">
        <is>
          <t>VÄSTERBOTTENS LÄN</t>
        </is>
      </c>
      <c r="E2135" t="inlineStr">
        <is>
          <t>SKELLEFTEÅ</t>
        </is>
      </c>
      <c r="F2135" t="inlineStr">
        <is>
          <t>Holmen skog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33911-2023</t>
        </is>
      </c>
      <c r="B2136" s="1" t="n">
        <v>45123</v>
      </c>
      <c r="C2136" s="1" t="n">
        <v>45641</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33027-2023</t>
        </is>
      </c>
      <c r="B2137" s="1" t="n">
        <v>45126</v>
      </c>
      <c r="C2137" s="1" t="n">
        <v>45641</v>
      </c>
      <c r="D2137" t="inlineStr">
        <is>
          <t>VÄSTERBOTTENS LÄN</t>
        </is>
      </c>
      <c r="E2137" t="inlineStr">
        <is>
          <t>SKELLEFTEÅ</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33078-2023</t>
        </is>
      </c>
      <c r="B2138" s="1" t="n">
        <v>45126</v>
      </c>
      <c r="C2138" s="1" t="n">
        <v>45641</v>
      </c>
      <c r="D2138" t="inlineStr">
        <is>
          <t>VÄSTERBOTTENS LÄN</t>
        </is>
      </c>
      <c r="E2138" t="inlineStr">
        <is>
          <t>SKELLEFTEÅ</t>
        </is>
      </c>
      <c r="F2138" t="inlineStr">
        <is>
          <t>Holmen skog AB</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33129-2023</t>
        </is>
      </c>
      <c r="B2139" s="1" t="n">
        <v>45126</v>
      </c>
      <c r="C2139" s="1" t="n">
        <v>45641</v>
      </c>
      <c r="D2139" t="inlineStr">
        <is>
          <t>VÄSTERBOTTENS LÄN</t>
        </is>
      </c>
      <c r="E2139" t="inlineStr">
        <is>
          <t>SKELLEFTEÅ</t>
        </is>
      </c>
      <c r="F2139" t="inlineStr">
        <is>
          <t>Holmen skog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33274-2023</t>
        </is>
      </c>
      <c r="B2140" s="1" t="n">
        <v>45127</v>
      </c>
      <c r="C2140" s="1" t="n">
        <v>45641</v>
      </c>
      <c r="D2140" t="inlineStr">
        <is>
          <t>VÄSTERBOTTENS LÄN</t>
        </is>
      </c>
      <c r="E2140" t="inlineStr">
        <is>
          <t>SKELLEFTEÅ</t>
        </is>
      </c>
      <c r="F2140" t="inlineStr">
        <is>
          <t>Holmen skog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33710-2023</t>
        </is>
      </c>
      <c r="B2141" s="1" t="n">
        <v>45133</v>
      </c>
      <c r="C2141" s="1" t="n">
        <v>45641</v>
      </c>
      <c r="D2141" t="inlineStr">
        <is>
          <t>VÄSTERBOTTENS LÄN</t>
        </is>
      </c>
      <c r="E2141" t="inlineStr">
        <is>
          <t>SKELLEFTEÅ</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33708-2023</t>
        </is>
      </c>
      <c r="B2142" s="1" t="n">
        <v>45133</v>
      </c>
      <c r="C2142" s="1" t="n">
        <v>45641</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33791-2023</t>
        </is>
      </c>
      <c r="B2143" s="1" t="n">
        <v>45133</v>
      </c>
      <c r="C2143" s="1" t="n">
        <v>45641</v>
      </c>
      <c r="D2143" t="inlineStr">
        <is>
          <t>VÄSTERBOTTENS LÄN</t>
        </is>
      </c>
      <c r="E2143" t="inlineStr">
        <is>
          <t>SKELLEFTEÅ</t>
        </is>
      </c>
      <c r="F2143" t="inlineStr">
        <is>
          <t>Holmen skog AB</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33739-2023</t>
        </is>
      </c>
      <c r="B2144" s="1" t="n">
        <v>45133</v>
      </c>
      <c r="C2144" s="1" t="n">
        <v>45641</v>
      </c>
      <c r="D2144" t="inlineStr">
        <is>
          <t>VÄSTERBOTTENS LÄN</t>
        </is>
      </c>
      <c r="E2144" t="inlineStr">
        <is>
          <t>SKELLEFTEÅ</t>
        </is>
      </c>
      <c r="F2144" t="inlineStr">
        <is>
          <t>Holmen skog AB</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33768-2023</t>
        </is>
      </c>
      <c r="B2145" s="1" t="n">
        <v>45133</v>
      </c>
      <c r="C2145" s="1" t="n">
        <v>45641</v>
      </c>
      <c r="D2145" t="inlineStr">
        <is>
          <t>VÄSTERBOTTENS LÄN</t>
        </is>
      </c>
      <c r="E2145" t="inlineStr">
        <is>
          <t>SKELLEFTEÅ</t>
        </is>
      </c>
      <c r="F2145" t="inlineStr">
        <is>
          <t>Holmen skog AB</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33838-2023</t>
        </is>
      </c>
      <c r="B2146" s="1" t="n">
        <v>45133</v>
      </c>
      <c r="C2146" s="1" t="n">
        <v>45641</v>
      </c>
      <c r="D2146" t="inlineStr">
        <is>
          <t>VÄSTERBOTTENS LÄN</t>
        </is>
      </c>
      <c r="E2146" t="inlineStr">
        <is>
          <t>SKELLEFTEÅ</t>
        </is>
      </c>
      <c r="F2146" t="inlineStr">
        <is>
          <t>Holmen skog AB</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33843-2023</t>
        </is>
      </c>
      <c r="B2147" s="1" t="n">
        <v>45133</v>
      </c>
      <c r="C2147" s="1" t="n">
        <v>45641</v>
      </c>
      <c r="D2147" t="inlineStr">
        <is>
          <t>VÄSTERBOTTENS LÄN</t>
        </is>
      </c>
      <c r="E2147" t="inlineStr">
        <is>
          <t>SKELLEFTEÅ</t>
        </is>
      </c>
      <c r="F2147" t="inlineStr">
        <is>
          <t>Holmen skog AB</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33728-2023</t>
        </is>
      </c>
      <c r="B2148" s="1" t="n">
        <v>45133</v>
      </c>
      <c r="C2148" s="1" t="n">
        <v>45641</v>
      </c>
      <c r="D2148" t="inlineStr">
        <is>
          <t>VÄSTERBOTTENS LÄN</t>
        </is>
      </c>
      <c r="E2148" t="inlineStr">
        <is>
          <t>SKELLEFTEÅ</t>
        </is>
      </c>
      <c r="F2148" t="inlineStr">
        <is>
          <t>Holmen skog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34508-2023</t>
        </is>
      </c>
      <c r="B2149" s="1" t="n">
        <v>45133</v>
      </c>
      <c r="C2149" s="1" t="n">
        <v>45641</v>
      </c>
      <c r="D2149" t="inlineStr">
        <is>
          <t>VÄSTERBOTTENS LÄN</t>
        </is>
      </c>
      <c r="E2149" t="inlineStr">
        <is>
          <t>SKELLEFTEÅ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33771-2023</t>
        </is>
      </c>
      <c r="B2150" s="1" t="n">
        <v>45133</v>
      </c>
      <c r="C2150" s="1" t="n">
        <v>45641</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33820-2023</t>
        </is>
      </c>
      <c r="B2151" s="1" t="n">
        <v>45133</v>
      </c>
      <c r="C2151" s="1" t="n">
        <v>45641</v>
      </c>
      <c r="D2151" t="inlineStr">
        <is>
          <t>VÄSTERBOTTENS LÄN</t>
        </is>
      </c>
      <c r="E2151" t="inlineStr">
        <is>
          <t>SKELLEFTEÅ</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34507-2023</t>
        </is>
      </c>
      <c r="B2152" s="1" t="n">
        <v>45133</v>
      </c>
      <c r="C2152" s="1" t="n">
        <v>45641</v>
      </c>
      <c r="D2152" t="inlineStr">
        <is>
          <t>VÄSTERBOTTENS LÄN</t>
        </is>
      </c>
      <c r="E2152" t="inlineStr">
        <is>
          <t>SKELLEFTEÅ</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33956-2023</t>
        </is>
      </c>
      <c r="B2153" s="1" t="n">
        <v>45134</v>
      </c>
      <c r="C2153" s="1" t="n">
        <v>45641</v>
      </c>
      <c r="D2153" t="inlineStr">
        <is>
          <t>VÄSTERBOTTENS LÄN</t>
        </is>
      </c>
      <c r="E2153" t="inlineStr">
        <is>
          <t>SKELLEFTEÅ</t>
        </is>
      </c>
      <c r="F2153" t="inlineStr">
        <is>
          <t>Holmen skog AB</t>
        </is>
      </c>
      <c r="G2153" t="n">
        <v>13.5</v>
      </c>
      <c r="H2153" t="n">
        <v>0</v>
      </c>
      <c r="I2153" t="n">
        <v>0</v>
      </c>
      <c r="J2153" t="n">
        <v>0</v>
      </c>
      <c r="K2153" t="n">
        <v>0</v>
      </c>
      <c r="L2153" t="n">
        <v>0</v>
      </c>
      <c r="M2153" t="n">
        <v>0</v>
      </c>
      <c r="N2153" t="n">
        <v>0</v>
      </c>
      <c r="O2153" t="n">
        <v>0</v>
      </c>
      <c r="P2153" t="n">
        <v>0</v>
      </c>
      <c r="Q2153" t="n">
        <v>0</v>
      </c>
      <c r="R2153" s="2" t="inlineStr"/>
    </row>
    <row r="2154" ht="15" customHeight="1">
      <c r="A2154" t="inlineStr">
        <is>
          <t>A 34036-2023</t>
        </is>
      </c>
      <c r="B2154" s="1" t="n">
        <v>45135</v>
      </c>
      <c r="C2154" s="1" t="n">
        <v>45641</v>
      </c>
      <c r="D2154" t="inlineStr">
        <is>
          <t>VÄSTERBOTTENS LÄN</t>
        </is>
      </c>
      <c r="E2154" t="inlineStr">
        <is>
          <t>SKELLEFTEÅ</t>
        </is>
      </c>
      <c r="F2154" t="inlineStr">
        <is>
          <t>Holmen skog AB</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34051-2023</t>
        </is>
      </c>
      <c r="B2155" s="1" t="n">
        <v>45135</v>
      </c>
      <c r="C2155" s="1" t="n">
        <v>45641</v>
      </c>
      <c r="D2155" t="inlineStr">
        <is>
          <t>VÄSTERBOTTENS LÄN</t>
        </is>
      </c>
      <c r="E2155" t="inlineStr">
        <is>
          <t>SKELLEFTEÅ</t>
        </is>
      </c>
      <c r="F2155" t="inlineStr">
        <is>
          <t>Holmen skog AB</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34025-2023</t>
        </is>
      </c>
      <c r="B2156" s="1" t="n">
        <v>45135</v>
      </c>
      <c r="C2156" s="1" t="n">
        <v>45641</v>
      </c>
      <c r="D2156" t="inlineStr">
        <is>
          <t>VÄSTERBOTTENS LÄN</t>
        </is>
      </c>
      <c r="E2156" t="inlineStr">
        <is>
          <t>SKELLEFTEÅ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34063-2023</t>
        </is>
      </c>
      <c r="B2157" s="1" t="n">
        <v>45135</v>
      </c>
      <c r="C2157" s="1" t="n">
        <v>45641</v>
      </c>
      <c r="D2157" t="inlineStr">
        <is>
          <t>VÄSTERBOTTENS LÄN</t>
        </is>
      </c>
      <c r="E2157" t="inlineStr">
        <is>
          <t>SKELLEFTEÅ</t>
        </is>
      </c>
      <c r="F2157" t="inlineStr">
        <is>
          <t>Holmen skog AB</t>
        </is>
      </c>
      <c r="G2157" t="n">
        <v>9.5</v>
      </c>
      <c r="H2157" t="n">
        <v>0</v>
      </c>
      <c r="I2157" t="n">
        <v>0</v>
      </c>
      <c r="J2157" t="n">
        <v>0</v>
      </c>
      <c r="K2157" t="n">
        <v>0</v>
      </c>
      <c r="L2157" t="n">
        <v>0</v>
      </c>
      <c r="M2157" t="n">
        <v>0</v>
      </c>
      <c r="N2157" t="n">
        <v>0</v>
      </c>
      <c r="O2157" t="n">
        <v>0</v>
      </c>
      <c r="P2157" t="n">
        <v>0</v>
      </c>
      <c r="Q2157" t="n">
        <v>0</v>
      </c>
      <c r="R2157" s="2" t="inlineStr"/>
    </row>
    <row r="2158" ht="15" customHeight="1">
      <c r="A2158" t="inlineStr">
        <is>
          <t>A 34035-2023</t>
        </is>
      </c>
      <c r="B2158" s="1" t="n">
        <v>45135</v>
      </c>
      <c r="C2158" s="1" t="n">
        <v>45641</v>
      </c>
      <c r="D2158" t="inlineStr">
        <is>
          <t>VÄSTERBOTTENS LÄN</t>
        </is>
      </c>
      <c r="E2158" t="inlineStr">
        <is>
          <t>SKELLEFTEÅ</t>
        </is>
      </c>
      <c r="F2158" t="inlineStr">
        <is>
          <t>Holmen skog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34572-2023</t>
        </is>
      </c>
      <c r="B2159" s="1" t="n">
        <v>45135</v>
      </c>
      <c r="C2159" s="1" t="n">
        <v>45641</v>
      </c>
      <c r="D2159" t="inlineStr">
        <is>
          <t>VÄSTERBOTTENS LÄN</t>
        </is>
      </c>
      <c r="E2159" t="inlineStr">
        <is>
          <t>SKELLEFTEÅ</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34195-2023</t>
        </is>
      </c>
      <c r="B2160" s="1" t="n">
        <v>45135</v>
      </c>
      <c r="C2160" s="1" t="n">
        <v>45641</v>
      </c>
      <c r="D2160" t="inlineStr">
        <is>
          <t>VÄSTERBOTTENS LÄN</t>
        </is>
      </c>
      <c r="E2160" t="inlineStr">
        <is>
          <t>SKELLEFTEÅ</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34455-2023</t>
        </is>
      </c>
      <c r="B2161" s="1" t="n">
        <v>45139</v>
      </c>
      <c r="C2161" s="1" t="n">
        <v>45641</v>
      </c>
      <c r="D2161" t="inlineStr">
        <is>
          <t>VÄSTERBOTTENS LÄN</t>
        </is>
      </c>
      <c r="E2161" t="inlineStr">
        <is>
          <t>SKELLEFTEÅ</t>
        </is>
      </c>
      <c r="F2161" t="inlineStr">
        <is>
          <t>Holmen skog AB</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34583-2023</t>
        </is>
      </c>
      <c r="B2162" s="1" t="n">
        <v>45140</v>
      </c>
      <c r="C2162" s="1" t="n">
        <v>45641</v>
      </c>
      <c r="D2162" t="inlineStr">
        <is>
          <t>VÄSTERBOTTENS LÄN</t>
        </is>
      </c>
      <c r="E2162" t="inlineStr">
        <is>
          <t>SKELLEFTEÅ</t>
        </is>
      </c>
      <c r="F2162" t="inlineStr">
        <is>
          <t>Holmen skog AB</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34597-2023</t>
        </is>
      </c>
      <c r="B2163" s="1" t="n">
        <v>45140</v>
      </c>
      <c r="C2163" s="1" t="n">
        <v>45641</v>
      </c>
      <c r="D2163" t="inlineStr">
        <is>
          <t>VÄSTERBOTTENS LÄN</t>
        </is>
      </c>
      <c r="E2163" t="inlineStr">
        <is>
          <t>SKELLEFTEÅ</t>
        </is>
      </c>
      <c r="F2163" t="inlineStr">
        <is>
          <t>Holmen skog AB</t>
        </is>
      </c>
      <c r="G2163" t="n">
        <v>10.5</v>
      </c>
      <c r="H2163" t="n">
        <v>0</v>
      </c>
      <c r="I2163" t="n">
        <v>0</v>
      </c>
      <c r="J2163" t="n">
        <v>0</v>
      </c>
      <c r="K2163" t="n">
        <v>0</v>
      </c>
      <c r="L2163" t="n">
        <v>0</v>
      </c>
      <c r="M2163" t="n">
        <v>0</v>
      </c>
      <c r="N2163" t="n">
        <v>0</v>
      </c>
      <c r="O2163" t="n">
        <v>0</v>
      </c>
      <c r="P2163" t="n">
        <v>0</v>
      </c>
      <c r="Q2163" t="n">
        <v>0</v>
      </c>
      <c r="R2163" s="2" t="inlineStr"/>
    </row>
    <row r="2164" ht="15" customHeight="1">
      <c r="A2164" t="inlineStr">
        <is>
          <t>A 34616-2023</t>
        </is>
      </c>
      <c r="B2164" s="1" t="n">
        <v>45140</v>
      </c>
      <c r="C2164" s="1" t="n">
        <v>45641</v>
      </c>
      <c r="D2164" t="inlineStr">
        <is>
          <t>VÄSTERBOTTENS LÄN</t>
        </is>
      </c>
      <c r="E2164" t="inlineStr">
        <is>
          <t>SKELLEFTEÅ</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34669-2023</t>
        </is>
      </c>
      <c r="B2165" s="1" t="n">
        <v>45140</v>
      </c>
      <c r="C2165" s="1" t="n">
        <v>45641</v>
      </c>
      <c r="D2165" t="inlineStr">
        <is>
          <t>VÄSTERBOTTENS LÄN</t>
        </is>
      </c>
      <c r="E2165" t="inlineStr">
        <is>
          <t>SKELLEFTEÅ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34670-2023</t>
        </is>
      </c>
      <c r="B2166" s="1" t="n">
        <v>45140</v>
      </c>
      <c r="C2166" s="1" t="n">
        <v>45641</v>
      </c>
      <c r="D2166" t="inlineStr">
        <is>
          <t>VÄSTERBOTTENS LÄN</t>
        </is>
      </c>
      <c r="E2166" t="inlineStr">
        <is>
          <t>SKELLEFTEÅ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34638-2023</t>
        </is>
      </c>
      <c r="B2167" s="1" t="n">
        <v>45140</v>
      </c>
      <c r="C2167" s="1" t="n">
        <v>45641</v>
      </c>
      <c r="D2167" t="inlineStr">
        <is>
          <t>VÄSTERBOTTENS LÄN</t>
        </is>
      </c>
      <c r="E2167" t="inlineStr">
        <is>
          <t>SKELLEFTEÅ</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34672-2023</t>
        </is>
      </c>
      <c r="B2168" s="1" t="n">
        <v>45140</v>
      </c>
      <c r="C2168" s="1" t="n">
        <v>45641</v>
      </c>
      <c r="D2168" t="inlineStr">
        <is>
          <t>VÄSTERBOTTENS LÄN</t>
        </is>
      </c>
      <c r="E2168" t="inlineStr">
        <is>
          <t>SKELLEFTEÅ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34986-2023</t>
        </is>
      </c>
      <c r="B2169" s="1" t="n">
        <v>45142</v>
      </c>
      <c r="C2169" s="1" t="n">
        <v>45641</v>
      </c>
      <c r="D2169" t="inlineStr">
        <is>
          <t>VÄSTERBOTTENS LÄN</t>
        </is>
      </c>
      <c r="E2169" t="inlineStr">
        <is>
          <t>SKELLEFTEÅ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35068-2023</t>
        </is>
      </c>
      <c r="B2170" s="1" t="n">
        <v>45142</v>
      </c>
      <c r="C2170" s="1" t="n">
        <v>45641</v>
      </c>
      <c r="D2170" t="inlineStr">
        <is>
          <t>VÄSTERBOTTENS LÄN</t>
        </is>
      </c>
      <c r="E2170" t="inlineStr">
        <is>
          <t>SKELLEFTEÅ</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35070-2023</t>
        </is>
      </c>
      <c r="B2171" s="1" t="n">
        <v>45142</v>
      </c>
      <c r="C2171" s="1" t="n">
        <v>45641</v>
      </c>
      <c r="D2171" t="inlineStr">
        <is>
          <t>VÄSTERBOTTENS LÄN</t>
        </is>
      </c>
      <c r="E2171" t="inlineStr">
        <is>
          <t>SKELLEFTEÅ</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35031-2023</t>
        </is>
      </c>
      <c r="B2172" s="1" t="n">
        <v>45145</v>
      </c>
      <c r="C2172" s="1" t="n">
        <v>45641</v>
      </c>
      <c r="D2172" t="inlineStr">
        <is>
          <t>VÄSTERBOTTENS LÄN</t>
        </is>
      </c>
      <c r="E2172" t="inlineStr">
        <is>
          <t>SKELLEFTEÅ</t>
        </is>
      </c>
      <c r="F2172" t="inlineStr">
        <is>
          <t>Holmen skog AB</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35102-2023</t>
        </is>
      </c>
      <c r="B2173" s="1" t="n">
        <v>45145</v>
      </c>
      <c r="C2173" s="1" t="n">
        <v>45641</v>
      </c>
      <c r="D2173" t="inlineStr">
        <is>
          <t>VÄSTERBOTTENS LÄN</t>
        </is>
      </c>
      <c r="E2173" t="inlineStr">
        <is>
          <t>SKELLEFTEÅ</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35032-2023</t>
        </is>
      </c>
      <c r="B2174" s="1" t="n">
        <v>45145</v>
      </c>
      <c r="C2174" s="1" t="n">
        <v>45641</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35331-2023</t>
        </is>
      </c>
      <c r="B2175" s="1" t="n">
        <v>45145</v>
      </c>
      <c r="C2175" s="1" t="n">
        <v>45641</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35206-2023</t>
        </is>
      </c>
      <c r="B2176" s="1" t="n">
        <v>45145</v>
      </c>
      <c r="C2176" s="1" t="n">
        <v>45641</v>
      </c>
      <c r="D2176" t="inlineStr">
        <is>
          <t>VÄSTERBOTTENS LÄN</t>
        </is>
      </c>
      <c r="E2176" t="inlineStr">
        <is>
          <t>SKELLEFTEÅ</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35338-2023</t>
        </is>
      </c>
      <c r="B2177" s="1" t="n">
        <v>45145</v>
      </c>
      <c r="C2177" s="1" t="n">
        <v>45641</v>
      </c>
      <c r="D2177" t="inlineStr">
        <is>
          <t>VÄSTERBOTTENS LÄN</t>
        </is>
      </c>
      <c r="E2177" t="inlineStr">
        <is>
          <t>SKELLEFTEÅ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35439-2023</t>
        </is>
      </c>
      <c r="B2178" s="1" t="n">
        <v>45146</v>
      </c>
      <c r="C2178" s="1" t="n">
        <v>45641</v>
      </c>
      <c r="D2178" t="inlineStr">
        <is>
          <t>VÄSTERBOTTENS LÄN</t>
        </is>
      </c>
      <c r="E2178" t="inlineStr">
        <is>
          <t>SKELLEFTEÅ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35301-2023</t>
        </is>
      </c>
      <c r="B2179" s="1" t="n">
        <v>45146</v>
      </c>
      <c r="C2179" s="1" t="n">
        <v>45641</v>
      </c>
      <c r="D2179" t="inlineStr">
        <is>
          <t>VÄSTERBOTTENS LÄN</t>
        </is>
      </c>
      <c r="E2179" t="inlineStr">
        <is>
          <t>SKELLEFTEÅ</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35401-2023</t>
        </is>
      </c>
      <c r="B2180" s="1" t="n">
        <v>45146</v>
      </c>
      <c r="C2180" s="1" t="n">
        <v>45641</v>
      </c>
      <c r="D2180" t="inlineStr">
        <is>
          <t>VÄSTERBOTTENS LÄN</t>
        </is>
      </c>
      <c r="E2180" t="inlineStr">
        <is>
          <t>SKELLEFTEÅ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35437-2023</t>
        </is>
      </c>
      <c r="B2181" s="1" t="n">
        <v>45146</v>
      </c>
      <c r="C2181" s="1" t="n">
        <v>45641</v>
      </c>
      <c r="D2181" t="inlineStr">
        <is>
          <t>VÄSTERBOTTENS LÄN</t>
        </is>
      </c>
      <c r="E2181" t="inlineStr">
        <is>
          <t>SKELLEFTEÅ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35430-2023</t>
        </is>
      </c>
      <c r="B2182" s="1" t="n">
        <v>45146</v>
      </c>
      <c r="C2182" s="1" t="n">
        <v>45641</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35731-2023</t>
        </is>
      </c>
      <c r="B2183" s="1" t="n">
        <v>45147</v>
      </c>
      <c r="C2183" s="1" t="n">
        <v>45641</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35732-2023</t>
        </is>
      </c>
      <c r="B2184" s="1" t="n">
        <v>45147</v>
      </c>
      <c r="C2184" s="1" t="n">
        <v>45641</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35736-2023</t>
        </is>
      </c>
      <c r="B2185" s="1" t="n">
        <v>45147</v>
      </c>
      <c r="C2185" s="1" t="n">
        <v>45641</v>
      </c>
      <c r="D2185" t="inlineStr">
        <is>
          <t>VÄSTERBOTTENS LÄN</t>
        </is>
      </c>
      <c r="E2185" t="inlineStr">
        <is>
          <t>SKELLEFTEÅ</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35952-2023</t>
        </is>
      </c>
      <c r="B2186" s="1" t="n">
        <v>45148</v>
      </c>
      <c r="C2186" s="1" t="n">
        <v>45641</v>
      </c>
      <c r="D2186" t="inlineStr">
        <is>
          <t>VÄSTERBOTTENS LÄN</t>
        </is>
      </c>
      <c r="E2186" t="inlineStr">
        <is>
          <t>SKELLEFTEÅ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36078-2023</t>
        </is>
      </c>
      <c r="B2187" s="1" t="n">
        <v>45149</v>
      </c>
      <c r="C2187" s="1" t="n">
        <v>45641</v>
      </c>
      <c r="D2187" t="inlineStr">
        <is>
          <t>VÄSTERBOTTENS LÄN</t>
        </is>
      </c>
      <c r="E2187" t="inlineStr">
        <is>
          <t>SKELLEFTEÅ</t>
        </is>
      </c>
      <c r="F2187" t="inlineStr">
        <is>
          <t>Holmen skog AB</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36113-2023</t>
        </is>
      </c>
      <c r="B2188" s="1" t="n">
        <v>45149</v>
      </c>
      <c r="C2188" s="1" t="n">
        <v>45641</v>
      </c>
      <c r="D2188" t="inlineStr">
        <is>
          <t>VÄSTERBOTTENS LÄN</t>
        </is>
      </c>
      <c r="E2188" t="inlineStr">
        <is>
          <t>SKELLEFTEÅ</t>
        </is>
      </c>
      <c r="F2188" t="inlineStr">
        <is>
          <t>Holmen skog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36091-2023</t>
        </is>
      </c>
      <c r="B2189" s="1" t="n">
        <v>45149</v>
      </c>
      <c r="C2189" s="1" t="n">
        <v>45641</v>
      </c>
      <c r="D2189" t="inlineStr">
        <is>
          <t>VÄSTERBOTTENS LÄN</t>
        </is>
      </c>
      <c r="E2189" t="inlineStr">
        <is>
          <t>SKELLEFTEÅ</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36099-2023</t>
        </is>
      </c>
      <c r="B2190" s="1" t="n">
        <v>45149</v>
      </c>
      <c r="C2190" s="1" t="n">
        <v>45641</v>
      </c>
      <c r="D2190" t="inlineStr">
        <is>
          <t>VÄSTERBOTTENS LÄN</t>
        </is>
      </c>
      <c r="E2190" t="inlineStr">
        <is>
          <t>SKELLEFTEÅ</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36286-2023</t>
        </is>
      </c>
      <c r="B2191" s="1" t="n">
        <v>45152</v>
      </c>
      <c r="C2191" s="1" t="n">
        <v>45641</v>
      </c>
      <c r="D2191" t="inlineStr">
        <is>
          <t>VÄSTERBOTTENS LÄN</t>
        </is>
      </c>
      <c r="E2191" t="inlineStr">
        <is>
          <t>SKELLEFTEÅ</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36327-2023</t>
        </is>
      </c>
      <c r="B2192" s="1" t="n">
        <v>45152</v>
      </c>
      <c r="C2192" s="1" t="n">
        <v>45641</v>
      </c>
      <c r="D2192" t="inlineStr">
        <is>
          <t>VÄSTERBOTTENS LÄN</t>
        </is>
      </c>
      <c r="E2192" t="inlineStr">
        <is>
          <t>SKELLEFTEÅ</t>
        </is>
      </c>
      <c r="F2192" t="inlineStr">
        <is>
          <t>Holmen skog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36275-2023</t>
        </is>
      </c>
      <c r="B2193" s="1" t="n">
        <v>45152</v>
      </c>
      <c r="C2193" s="1" t="n">
        <v>45641</v>
      </c>
      <c r="D2193" t="inlineStr">
        <is>
          <t>VÄSTERBOTTENS LÄN</t>
        </is>
      </c>
      <c r="E2193" t="inlineStr">
        <is>
          <t>SKELLEFTEÅ</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36495-2023</t>
        </is>
      </c>
      <c r="B2194" s="1" t="n">
        <v>45153</v>
      </c>
      <c r="C2194" s="1" t="n">
        <v>45641</v>
      </c>
      <c r="D2194" t="inlineStr">
        <is>
          <t>VÄSTERBOTTENS LÄN</t>
        </is>
      </c>
      <c r="E2194" t="inlineStr">
        <is>
          <t>SKELLEFTEÅ</t>
        </is>
      </c>
      <c r="G2194" t="n">
        <v>11.6</v>
      </c>
      <c r="H2194" t="n">
        <v>0</v>
      </c>
      <c r="I2194" t="n">
        <v>0</v>
      </c>
      <c r="J2194" t="n">
        <v>0</v>
      </c>
      <c r="K2194" t="n">
        <v>0</v>
      </c>
      <c r="L2194" t="n">
        <v>0</v>
      </c>
      <c r="M2194" t="n">
        <v>0</v>
      </c>
      <c r="N2194" t="n">
        <v>0</v>
      </c>
      <c r="O2194" t="n">
        <v>0</v>
      </c>
      <c r="P2194" t="n">
        <v>0</v>
      </c>
      <c r="Q2194" t="n">
        <v>0</v>
      </c>
      <c r="R2194" s="2" t="inlineStr"/>
    </row>
    <row r="2195" ht="15" customHeight="1">
      <c r="A2195" t="inlineStr">
        <is>
          <t>A 36404-2023</t>
        </is>
      </c>
      <c r="B2195" s="1" t="n">
        <v>45152</v>
      </c>
      <c r="C2195" s="1" t="n">
        <v>45641</v>
      </c>
      <c r="D2195" t="inlineStr">
        <is>
          <t>VÄSTERBOTTENS LÄN</t>
        </is>
      </c>
      <c r="E2195" t="inlineStr">
        <is>
          <t>SKELLEFTEÅ</t>
        </is>
      </c>
      <c r="F2195" t="inlineStr">
        <is>
          <t>Holmen skog AB</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36493-2023</t>
        </is>
      </c>
      <c r="B2196" s="1" t="n">
        <v>45153</v>
      </c>
      <c r="C2196" s="1" t="n">
        <v>45641</v>
      </c>
      <c r="D2196" t="inlineStr">
        <is>
          <t>VÄSTERBOTTENS LÄN</t>
        </is>
      </c>
      <c r="E2196" t="inlineStr">
        <is>
          <t>SKELLEFTEÅ</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36556-2023</t>
        </is>
      </c>
      <c r="B2197" s="1" t="n">
        <v>45153</v>
      </c>
      <c r="C2197" s="1" t="n">
        <v>45641</v>
      </c>
      <c r="D2197" t="inlineStr">
        <is>
          <t>VÄSTERBOTTENS LÄN</t>
        </is>
      </c>
      <c r="E2197" t="inlineStr">
        <is>
          <t>SKELLEFTEÅ</t>
        </is>
      </c>
      <c r="G2197" t="n">
        <v>10</v>
      </c>
      <c r="H2197" t="n">
        <v>0</v>
      </c>
      <c r="I2197" t="n">
        <v>0</v>
      </c>
      <c r="J2197" t="n">
        <v>0</v>
      </c>
      <c r="K2197" t="n">
        <v>0</v>
      </c>
      <c r="L2197" t="n">
        <v>0</v>
      </c>
      <c r="M2197" t="n">
        <v>0</v>
      </c>
      <c r="N2197" t="n">
        <v>0</v>
      </c>
      <c r="O2197" t="n">
        <v>0</v>
      </c>
      <c r="P2197" t="n">
        <v>0</v>
      </c>
      <c r="Q2197" t="n">
        <v>0</v>
      </c>
      <c r="R2197" s="2" t="inlineStr"/>
    </row>
    <row r="2198" ht="15" customHeight="1">
      <c r="A2198" t="inlineStr">
        <is>
          <t>A 36804-2023</t>
        </is>
      </c>
      <c r="B2198" s="1" t="n">
        <v>45154</v>
      </c>
      <c r="C2198" s="1" t="n">
        <v>45641</v>
      </c>
      <c r="D2198" t="inlineStr">
        <is>
          <t>VÄSTERBOTTENS LÄN</t>
        </is>
      </c>
      <c r="E2198" t="inlineStr">
        <is>
          <t>SKELLEFTEÅ</t>
        </is>
      </c>
      <c r="F2198" t="inlineStr">
        <is>
          <t>Holmen skog AB</t>
        </is>
      </c>
      <c r="G2198" t="n">
        <v>12.5</v>
      </c>
      <c r="H2198" t="n">
        <v>0</v>
      </c>
      <c r="I2198" t="n">
        <v>0</v>
      </c>
      <c r="J2198" t="n">
        <v>0</v>
      </c>
      <c r="K2198" t="n">
        <v>0</v>
      </c>
      <c r="L2198" t="n">
        <v>0</v>
      </c>
      <c r="M2198" t="n">
        <v>0</v>
      </c>
      <c r="N2198" t="n">
        <v>0</v>
      </c>
      <c r="O2198" t="n">
        <v>0</v>
      </c>
      <c r="P2198" t="n">
        <v>0</v>
      </c>
      <c r="Q2198" t="n">
        <v>0</v>
      </c>
      <c r="R2198" s="2" t="inlineStr"/>
    </row>
    <row r="2199" ht="15" customHeight="1">
      <c r="A2199" t="inlineStr">
        <is>
          <t>A 37134-2023</t>
        </is>
      </c>
      <c r="B2199" s="1" t="n">
        <v>45155</v>
      </c>
      <c r="C2199" s="1" t="n">
        <v>45641</v>
      </c>
      <c r="D2199" t="inlineStr">
        <is>
          <t>VÄSTERBOTTENS LÄN</t>
        </is>
      </c>
      <c r="E2199" t="inlineStr">
        <is>
          <t>SKELLEFTEÅ</t>
        </is>
      </c>
      <c r="F2199" t="inlineStr">
        <is>
          <t>Holmen skog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37229-2023</t>
        </is>
      </c>
      <c r="B2200" s="1" t="n">
        <v>45155</v>
      </c>
      <c r="C2200" s="1" t="n">
        <v>45641</v>
      </c>
      <c r="D2200" t="inlineStr">
        <is>
          <t>VÄSTERBOTTENS LÄN</t>
        </is>
      </c>
      <c r="E2200" t="inlineStr">
        <is>
          <t>SKELLEFTEÅ</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37774-2023</t>
        </is>
      </c>
      <c r="B2201" s="1" t="n">
        <v>45156</v>
      </c>
      <c r="C2201" s="1" t="n">
        <v>45641</v>
      </c>
      <c r="D2201" t="inlineStr">
        <is>
          <t>VÄSTERBOTTENS LÄN</t>
        </is>
      </c>
      <c r="E2201" t="inlineStr">
        <is>
          <t>SKELLEFTEÅ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37474-2023</t>
        </is>
      </c>
      <c r="B2202" s="1" t="n">
        <v>45157</v>
      </c>
      <c r="C2202" s="1" t="n">
        <v>45641</v>
      </c>
      <c r="D2202" t="inlineStr">
        <is>
          <t>VÄSTERBOTTENS LÄN</t>
        </is>
      </c>
      <c r="E2202" t="inlineStr">
        <is>
          <t>SKELLEFTEÅ</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37796-2023</t>
        </is>
      </c>
      <c r="B2203" s="1" t="n">
        <v>45160</v>
      </c>
      <c r="C2203" s="1" t="n">
        <v>45641</v>
      </c>
      <c r="D2203" t="inlineStr">
        <is>
          <t>VÄSTERBOTTENS LÄN</t>
        </is>
      </c>
      <c r="E2203" t="inlineStr">
        <is>
          <t>SKELLEFTEÅ</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38140-2023</t>
        </is>
      </c>
      <c r="B2204" s="1" t="n">
        <v>45159</v>
      </c>
      <c r="C2204" s="1" t="n">
        <v>45641</v>
      </c>
      <c r="D2204" t="inlineStr">
        <is>
          <t>VÄSTERBOTTENS LÄN</t>
        </is>
      </c>
      <c r="E2204" t="inlineStr">
        <is>
          <t>SKELLEFTEÅ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38134-2023</t>
        </is>
      </c>
      <c r="B2205" s="1" t="n">
        <v>45159</v>
      </c>
      <c r="C2205" s="1" t="n">
        <v>45641</v>
      </c>
      <c r="D2205" t="inlineStr">
        <is>
          <t>VÄSTERBOTTENS LÄN</t>
        </is>
      </c>
      <c r="E2205" t="inlineStr">
        <is>
          <t>SKELLEFTEÅ</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37883-2023</t>
        </is>
      </c>
      <c r="B2206" s="1" t="n">
        <v>45160</v>
      </c>
      <c r="C2206" s="1" t="n">
        <v>45641</v>
      </c>
      <c r="D2206" t="inlineStr">
        <is>
          <t>VÄSTERBOTTENS LÄN</t>
        </is>
      </c>
      <c r="E2206" t="inlineStr">
        <is>
          <t>SKELLEFTEÅ</t>
        </is>
      </c>
      <c r="F2206" t="inlineStr">
        <is>
          <t>Holmen skog AB</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37838-2023</t>
        </is>
      </c>
      <c r="B2207" s="1" t="n">
        <v>45160</v>
      </c>
      <c r="C2207" s="1" t="n">
        <v>45641</v>
      </c>
      <c r="D2207" t="inlineStr">
        <is>
          <t>VÄSTERBOTTENS LÄN</t>
        </is>
      </c>
      <c r="E2207" t="inlineStr">
        <is>
          <t>SKELLEFTEÅ</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37914-2023</t>
        </is>
      </c>
      <c r="B2208" s="1" t="n">
        <v>45160</v>
      </c>
      <c r="C2208" s="1" t="n">
        <v>45641</v>
      </c>
      <c r="D2208" t="inlineStr">
        <is>
          <t>VÄSTERBOTTENS LÄN</t>
        </is>
      </c>
      <c r="E2208" t="inlineStr">
        <is>
          <t>SKELLEFTEÅ</t>
        </is>
      </c>
      <c r="F2208" t="inlineStr">
        <is>
          <t>Holmen skog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37855-2023</t>
        </is>
      </c>
      <c r="B2209" s="1" t="n">
        <v>45160</v>
      </c>
      <c r="C2209" s="1" t="n">
        <v>45641</v>
      </c>
      <c r="D2209" t="inlineStr">
        <is>
          <t>VÄSTERBOTTENS LÄN</t>
        </is>
      </c>
      <c r="E2209" t="inlineStr">
        <is>
          <t>SKELLEFTEÅ</t>
        </is>
      </c>
      <c r="F2209" t="inlineStr">
        <is>
          <t>Holmen skog AB</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38009-2023</t>
        </is>
      </c>
      <c r="B2210" s="1" t="n">
        <v>45160</v>
      </c>
      <c r="C2210" s="1" t="n">
        <v>45641</v>
      </c>
      <c r="D2210" t="inlineStr">
        <is>
          <t>VÄSTERBOTTENS LÄN</t>
        </is>
      </c>
      <c r="E2210" t="inlineStr">
        <is>
          <t>SKELLEFTEÅ</t>
        </is>
      </c>
      <c r="F2210" t="inlineStr">
        <is>
          <t>Holmen skog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38013-2023</t>
        </is>
      </c>
      <c r="B2211" s="1" t="n">
        <v>45160</v>
      </c>
      <c r="C2211" s="1" t="n">
        <v>45641</v>
      </c>
      <c r="D2211" t="inlineStr">
        <is>
          <t>VÄSTERBOTTENS LÄN</t>
        </is>
      </c>
      <c r="E2211" t="inlineStr">
        <is>
          <t>SKELLEFTEÅ</t>
        </is>
      </c>
      <c r="F2211" t="inlineStr">
        <is>
          <t>Holmen skog AB</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38301-2023</t>
        </is>
      </c>
      <c r="B2212" s="1" t="n">
        <v>45160</v>
      </c>
      <c r="C2212" s="1" t="n">
        <v>45641</v>
      </c>
      <c r="D2212" t="inlineStr">
        <is>
          <t>VÄSTERBOTTENS LÄN</t>
        </is>
      </c>
      <c r="E2212" t="inlineStr">
        <is>
          <t>SKELLEFTEÅ</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38314-2023</t>
        </is>
      </c>
      <c r="B2213" s="1" t="n">
        <v>45160</v>
      </c>
      <c r="C2213" s="1" t="n">
        <v>45641</v>
      </c>
      <c r="D2213" t="inlineStr">
        <is>
          <t>VÄSTERBOTTENS LÄN</t>
        </is>
      </c>
      <c r="E2213" t="inlineStr">
        <is>
          <t>SKELLEFTEÅ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38309-2023</t>
        </is>
      </c>
      <c r="B2214" s="1" t="n">
        <v>45160</v>
      </c>
      <c r="C2214" s="1" t="n">
        <v>45641</v>
      </c>
      <c r="D2214" t="inlineStr">
        <is>
          <t>VÄSTERBOTTENS LÄN</t>
        </is>
      </c>
      <c r="E2214" t="inlineStr">
        <is>
          <t>SKELLEFTEÅ</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38031-2023</t>
        </is>
      </c>
      <c r="B2215" s="1" t="n">
        <v>45160</v>
      </c>
      <c r="C2215" s="1" t="n">
        <v>45641</v>
      </c>
      <c r="D2215" t="inlineStr">
        <is>
          <t>VÄSTERBOTTENS LÄN</t>
        </is>
      </c>
      <c r="E2215" t="inlineStr">
        <is>
          <t>SKELLEFTEÅ</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38258-2023</t>
        </is>
      </c>
      <c r="B2216" s="1" t="n">
        <v>45160</v>
      </c>
      <c r="C2216" s="1" t="n">
        <v>45641</v>
      </c>
      <c r="D2216" t="inlineStr">
        <is>
          <t>VÄSTERBOTTENS LÄN</t>
        </is>
      </c>
      <c r="E2216" t="inlineStr">
        <is>
          <t>SKELLEFTEÅ</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38311-2023</t>
        </is>
      </c>
      <c r="B2217" s="1" t="n">
        <v>45160</v>
      </c>
      <c r="C2217" s="1" t="n">
        <v>45641</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38253-2023</t>
        </is>
      </c>
      <c r="B2218" s="1" t="n">
        <v>45160</v>
      </c>
      <c r="C2218" s="1" t="n">
        <v>45641</v>
      </c>
      <c r="D2218" t="inlineStr">
        <is>
          <t>VÄSTERBOTTENS LÄN</t>
        </is>
      </c>
      <c r="E2218" t="inlineStr">
        <is>
          <t>SKELLEFTEÅ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38305-2023</t>
        </is>
      </c>
      <c r="B2219" s="1" t="n">
        <v>45160</v>
      </c>
      <c r="C2219" s="1" t="n">
        <v>45641</v>
      </c>
      <c r="D2219" t="inlineStr">
        <is>
          <t>VÄSTERBOTTENS LÄN</t>
        </is>
      </c>
      <c r="E2219" t="inlineStr">
        <is>
          <t>SKELLEFTEÅ</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38717-2023</t>
        </is>
      </c>
      <c r="B2220" s="1" t="n">
        <v>45160</v>
      </c>
      <c r="C2220" s="1" t="n">
        <v>45641</v>
      </c>
      <c r="D2220" t="inlineStr">
        <is>
          <t>VÄSTERBOTTENS LÄN</t>
        </is>
      </c>
      <c r="E2220" t="inlineStr">
        <is>
          <t>SKELLEFTEÅ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38826-2023</t>
        </is>
      </c>
      <c r="B2221" s="1" t="n">
        <v>45161</v>
      </c>
      <c r="C2221" s="1" t="n">
        <v>45641</v>
      </c>
      <c r="D2221" t="inlineStr">
        <is>
          <t>VÄSTERBOTTENS LÄN</t>
        </is>
      </c>
      <c r="E2221" t="inlineStr">
        <is>
          <t>SKELLEFTEÅ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38304-2023</t>
        </is>
      </c>
      <c r="B2222" s="1" t="n">
        <v>45161</v>
      </c>
      <c r="C2222" s="1" t="n">
        <v>45641</v>
      </c>
      <c r="D2222" t="inlineStr">
        <is>
          <t>VÄSTERBOTTENS LÄN</t>
        </is>
      </c>
      <c r="E2222" t="inlineStr">
        <is>
          <t>SKELLEFTEÅ</t>
        </is>
      </c>
      <c r="F2222" t="inlineStr">
        <is>
          <t>Holmen skog AB</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38356-2023</t>
        </is>
      </c>
      <c r="B2223" s="1" t="n">
        <v>45161</v>
      </c>
      <c r="C2223" s="1" t="n">
        <v>45641</v>
      </c>
      <c r="D2223" t="inlineStr">
        <is>
          <t>VÄSTERBOTTENS LÄN</t>
        </is>
      </c>
      <c r="E2223" t="inlineStr">
        <is>
          <t>SKELLEFTEÅ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38574-2023</t>
        </is>
      </c>
      <c r="B2224" s="1" t="n">
        <v>45161</v>
      </c>
      <c r="C2224" s="1" t="n">
        <v>45641</v>
      </c>
      <c r="D2224" t="inlineStr">
        <is>
          <t>VÄSTERBOTTENS LÄN</t>
        </is>
      </c>
      <c r="E2224" t="inlineStr">
        <is>
          <t>SKELLEFTEÅ</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38811-2023</t>
        </is>
      </c>
      <c r="B2225" s="1" t="n">
        <v>45161</v>
      </c>
      <c r="C2225" s="1" t="n">
        <v>45641</v>
      </c>
      <c r="D2225" t="inlineStr">
        <is>
          <t>VÄSTERBOTTENS LÄN</t>
        </is>
      </c>
      <c r="E2225" t="inlineStr">
        <is>
          <t>SKELLEFTEÅ</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38577-2023</t>
        </is>
      </c>
      <c r="B2226" s="1" t="n">
        <v>45161</v>
      </c>
      <c r="C2226" s="1" t="n">
        <v>45641</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38809-2023</t>
        </is>
      </c>
      <c r="B2227" s="1" t="n">
        <v>45161</v>
      </c>
      <c r="C2227" s="1" t="n">
        <v>45641</v>
      </c>
      <c r="D2227" t="inlineStr">
        <is>
          <t>VÄSTERBOTTENS LÄN</t>
        </is>
      </c>
      <c r="E2227" t="inlineStr">
        <is>
          <t>SKELLEFTEÅ</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38805-2023</t>
        </is>
      </c>
      <c r="B2228" s="1" t="n">
        <v>45161</v>
      </c>
      <c r="C2228" s="1" t="n">
        <v>45641</v>
      </c>
      <c r="D2228" t="inlineStr">
        <is>
          <t>VÄSTERBOTTENS LÄN</t>
        </is>
      </c>
      <c r="E2228" t="inlineStr">
        <is>
          <t>SKELLEFTEÅ</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38818-2023</t>
        </is>
      </c>
      <c r="B2229" s="1" t="n">
        <v>45161</v>
      </c>
      <c r="C2229" s="1" t="n">
        <v>45641</v>
      </c>
      <c r="D2229" t="inlineStr">
        <is>
          <t>VÄSTERBOTTENS LÄN</t>
        </is>
      </c>
      <c r="E2229" t="inlineStr">
        <is>
          <t>SKELLEFTEÅ</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38396-2023</t>
        </is>
      </c>
      <c r="B2230" s="1" t="n">
        <v>45162</v>
      </c>
      <c r="C2230" s="1" t="n">
        <v>45641</v>
      </c>
      <c r="D2230" t="inlineStr">
        <is>
          <t>VÄSTERBOTTENS LÄN</t>
        </is>
      </c>
      <c r="E2230" t="inlineStr">
        <is>
          <t>SKELLEFTEÅ</t>
        </is>
      </c>
      <c r="F2230" t="inlineStr">
        <is>
          <t>Sveaskog</t>
        </is>
      </c>
      <c r="G2230" t="n">
        <v>12.1</v>
      </c>
      <c r="H2230" t="n">
        <v>0</v>
      </c>
      <c r="I2230" t="n">
        <v>0</v>
      </c>
      <c r="J2230" t="n">
        <v>0</v>
      </c>
      <c r="K2230" t="n">
        <v>0</v>
      </c>
      <c r="L2230" t="n">
        <v>0</v>
      </c>
      <c r="M2230" t="n">
        <v>0</v>
      </c>
      <c r="N2230" t="n">
        <v>0</v>
      </c>
      <c r="O2230" t="n">
        <v>0</v>
      </c>
      <c r="P2230" t="n">
        <v>0</v>
      </c>
      <c r="Q2230" t="n">
        <v>0</v>
      </c>
      <c r="R2230" s="2" t="inlineStr"/>
    </row>
    <row r="2231" ht="15" customHeight="1">
      <c r="A2231" t="inlineStr">
        <is>
          <t>A 38421-2023</t>
        </is>
      </c>
      <c r="B2231" s="1" t="n">
        <v>45162</v>
      </c>
      <c r="C2231" s="1" t="n">
        <v>45641</v>
      </c>
      <c r="D2231" t="inlineStr">
        <is>
          <t>VÄSTERBOTTENS LÄN</t>
        </is>
      </c>
      <c r="E2231" t="inlineStr">
        <is>
          <t>SKELLEFTEÅ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38395-2023</t>
        </is>
      </c>
      <c r="B2232" s="1" t="n">
        <v>45162</v>
      </c>
      <c r="C2232" s="1" t="n">
        <v>45641</v>
      </c>
      <c r="D2232" t="inlineStr">
        <is>
          <t>VÄSTERBOTTENS LÄN</t>
        </is>
      </c>
      <c r="E2232" t="inlineStr">
        <is>
          <t>SKELLEFTEÅ</t>
        </is>
      </c>
      <c r="F2232" t="inlineStr">
        <is>
          <t>Sveaskog</t>
        </is>
      </c>
      <c r="G2232" t="n">
        <v>18.9</v>
      </c>
      <c r="H2232" t="n">
        <v>0</v>
      </c>
      <c r="I2232" t="n">
        <v>0</v>
      </c>
      <c r="J2232" t="n">
        <v>0</v>
      </c>
      <c r="K2232" t="n">
        <v>0</v>
      </c>
      <c r="L2232" t="n">
        <v>0</v>
      </c>
      <c r="M2232" t="n">
        <v>0</v>
      </c>
      <c r="N2232" t="n">
        <v>0</v>
      </c>
      <c r="O2232" t="n">
        <v>0</v>
      </c>
      <c r="P2232" t="n">
        <v>0</v>
      </c>
      <c r="Q2232" t="n">
        <v>0</v>
      </c>
      <c r="R2232" s="2" t="inlineStr"/>
    </row>
    <row r="2233" ht="15" customHeight="1">
      <c r="A2233" t="inlineStr">
        <is>
          <t>A 38450-2023</t>
        </is>
      </c>
      <c r="B2233" s="1" t="n">
        <v>45162</v>
      </c>
      <c r="C2233" s="1" t="n">
        <v>45641</v>
      </c>
      <c r="D2233" t="inlineStr">
        <is>
          <t>VÄSTERBOTTENS LÄN</t>
        </is>
      </c>
      <c r="E2233" t="inlineStr">
        <is>
          <t>SKELLEFTEÅ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38393-2023</t>
        </is>
      </c>
      <c r="B2234" s="1" t="n">
        <v>45162</v>
      </c>
      <c r="C2234" s="1" t="n">
        <v>45641</v>
      </c>
      <c r="D2234" t="inlineStr">
        <is>
          <t>VÄSTERBOTTENS LÄN</t>
        </is>
      </c>
      <c r="E2234" t="inlineStr">
        <is>
          <t>SKELLEFTEÅ</t>
        </is>
      </c>
      <c r="F2234" t="inlineStr">
        <is>
          <t>Holmen skog AB</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38397-2023</t>
        </is>
      </c>
      <c r="B2235" s="1" t="n">
        <v>45162</v>
      </c>
      <c r="C2235" s="1" t="n">
        <v>45641</v>
      </c>
      <c r="D2235" t="inlineStr">
        <is>
          <t>VÄSTERBOTTENS LÄN</t>
        </is>
      </c>
      <c r="E2235" t="inlineStr">
        <is>
          <t>SKELLEFTEÅ</t>
        </is>
      </c>
      <c r="F2235" t="inlineStr">
        <is>
          <t>Sveaskog</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38445-2023</t>
        </is>
      </c>
      <c r="B2236" s="1" t="n">
        <v>45162</v>
      </c>
      <c r="C2236" s="1" t="n">
        <v>45641</v>
      </c>
      <c r="D2236" t="inlineStr">
        <is>
          <t>VÄSTERBOTTENS LÄN</t>
        </is>
      </c>
      <c r="E2236" t="inlineStr">
        <is>
          <t>SKELLEFTEÅ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38473-2023</t>
        </is>
      </c>
      <c r="B2237" s="1" t="n">
        <v>45162</v>
      </c>
      <c r="C2237" s="1" t="n">
        <v>45641</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38952-2023</t>
        </is>
      </c>
      <c r="B2238" s="1" t="n">
        <v>45163</v>
      </c>
      <c r="C2238" s="1" t="n">
        <v>45641</v>
      </c>
      <c r="D2238" t="inlineStr">
        <is>
          <t>VÄSTERBOTTENS LÄN</t>
        </is>
      </c>
      <c r="E2238" t="inlineStr">
        <is>
          <t>SKELLEFTEÅ</t>
        </is>
      </c>
      <c r="F2238" t="inlineStr">
        <is>
          <t>Sveaskog</t>
        </is>
      </c>
      <c r="G2238" t="n">
        <v>11.2</v>
      </c>
      <c r="H2238" t="n">
        <v>0</v>
      </c>
      <c r="I2238" t="n">
        <v>0</v>
      </c>
      <c r="J2238" t="n">
        <v>0</v>
      </c>
      <c r="K2238" t="n">
        <v>0</v>
      </c>
      <c r="L2238" t="n">
        <v>0</v>
      </c>
      <c r="M2238" t="n">
        <v>0</v>
      </c>
      <c r="N2238" t="n">
        <v>0</v>
      </c>
      <c r="O2238" t="n">
        <v>0</v>
      </c>
      <c r="P2238" t="n">
        <v>0</v>
      </c>
      <c r="Q2238" t="n">
        <v>0</v>
      </c>
      <c r="R2238" s="2" t="inlineStr"/>
    </row>
    <row r="2239" ht="15" customHeight="1">
      <c r="A2239" t="inlineStr">
        <is>
          <t>A 38830-2023</t>
        </is>
      </c>
      <c r="B2239" s="1" t="n">
        <v>45163</v>
      </c>
      <c r="C2239" s="1" t="n">
        <v>45641</v>
      </c>
      <c r="D2239" t="inlineStr">
        <is>
          <t>VÄSTERBOTTENS LÄN</t>
        </is>
      </c>
      <c r="E2239" t="inlineStr">
        <is>
          <t>SKELLEFTEÅ</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38833-2023</t>
        </is>
      </c>
      <c r="B2240" s="1" t="n">
        <v>45163</v>
      </c>
      <c r="C2240" s="1" t="n">
        <v>45641</v>
      </c>
      <c r="D2240" t="inlineStr">
        <is>
          <t>VÄSTERBOTTENS LÄN</t>
        </is>
      </c>
      <c r="E2240" t="inlineStr">
        <is>
          <t>SKELLEFTEÅ</t>
        </is>
      </c>
      <c r="F2240" t="inlineStr">
        <is>
          <t>Sveaskog</t>
        </is>
      </c>
      <c r="G2240" t="n">
        <v>11.4</v>
      </c>
      <c r="H2240" t="n">
        <v>0</v>
      </c>
      <c r="I2240" t="n">
        <v>0</v>
      </c>
      <c r="J2240" t="n">
        <v>0</v>
      </c>
      <c r="K2240" t="n">
        <v>0</v>
      </c>
      <c r="L2240" t="n">
        <v>0</v>
      </c>
      <c r="M2240" t="n">
        <v>0</v>
      </c>
      <c r="N2240" t="n">
        <v>0</v>
      </c>
      <c r="O2240" t="n">
        <v>0</v>
      </c>
      <c r="P2240" t="n">
        <v>0</v>
      </c>
      <c r="Q2240" t="n">
        <v>0</v>
      </c>
      <c r="R2240" s="2" t="inlineStr"/>
    </row>
    <row r="2241" ht="15" customHeight="1">
      <c r="A2241" t="inlineStr">
        <is>
          <t>A 38837-2023</t>
        </is>
      </c>
      <c r="B2241" s="1" t="n">
        <v>45163</v>
      </c>
      <c r="C2241" s="1" t="n">
        <v>45641</v>
      </c>
      <c r="D2241" t="inlineStr">
        <is>
          <t>VÄSTERBOTTENS LÄN</t>
        </is>
      </c>
      <c r="E2241" t="inlineStr">
        <is>
          <t>SKELLEFTEÅ</t>
        </is>
      </c>
      <c r="F2241" t="inlineStr">
        <is>
          <t>Sveaskog</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38949-2023</t>
        </is>
      </c>
      <c r="B2242" s="1" t="n">
        <v>45163</v>
      </c>
      <c r="C2242" s="1" t="n">
        <v>45641</v>
      </c>
      <c r="D2242" t="inlineStr">
        <is>
          <t>VÄSTERBOTTENS LÄN</t>
        </is>
      </c>
      <c r="E2242" t="inlineStr">
        <is>
          <t>SKELLEFTEÅ</t>
        </is>
      </c>
      <c r="F2242" t="inlineStr">
        <is>
          <t>Sveaskog</t>
        </is>
      </c>
      <c r="G2242" t="n">
        <v>19.1</v>
      </c>
      <c r="H2242" t="n">
        <v>0</v>
      </c>
      <c r="I2242" t="n">
        <v>0</v>
      </c>
      <c r="J2242" t="n">
        <v>0</v>
      </c>
      <c r="K2242" t="n">
        <v>0</v>
      </c>
      <c r="L2242" t="n">
        <v>0</v>
      </c>
      <c r="M2242" t="n">
        <v>0</v>
      </c>
      <c r="N2242" t="n">
        <v>0</v>
      </c>
      <c r="O2242" t="n">
        <v>0</v>
      </c>
      <c r="P2242" t="n">
        <v>0</v>
      </c>
      <c r="Q2242" t="n">
        <v>0</v>
      </c>
      <c r="R2242" s="2" t="inlineStr"/>
    </row>
    <row r="2243" ht="15" customHeight="1">
      <c r="A2243" t="inlineStr">
        <is>
          <t>A 39018-2023</t>
        </is>
      </c>
      <c r="B2243" s="1" t="n">
        <v>45163</v>
      </c>
      <c r="C2243" s="1" t="n">
        <v>45641</v>
      </c>
      <c r="D2243" t="inlineStr">
        <is>
          <t>VÄSTERBOTTENS LÄN</t>
        </is>
      </c>
      <c r="E2243" t="inlineStr">
        <is>
          <t>SKELLEFTEÅ</t>
        </is>
      </c>
      <c r="F2243" t="inlineStr">
        <is>
          <t>Sveaskog</t>
        </is>
      </c>
      <c r="G2243" t="n">
        <v>20</v>
      </c>
      <c r="H2243" t="n">
        <v>0</v>
      </c>
      <c r="I2243" t="n">
        <v>0</v>
      </c>
      <c r="J2243" t="n">
        <v>0</v>
      </c>
      <c r="K2243" t="n">
        <v>0</v>
      </c>
      <c r="L2243" t="n">
        <v>0</v>
      </c>
      <c r="M2243" t="n">
        <v>0</v>
      </c>
      <c r="N2243" t="n">
        <v>0</v>
      </c>
      <c r="O2243" t="n">
        <v>0</v>
      </c>
      <c r="P2243" t="n">
        <v>0</v>
      </c>
      <c r="Q2243" t="n">
        <v>0</v>
      </c>
      <c r="R2243" s="2" t="inlineStr"/>
    </row>
    <row r="2244" ht="15" customHeight="1">
      <c r="A2244" t="inlineStr">
        <is>
          <t>A 39026-2023</t>
        </is>
      </c>
      <c r="B2244" s="1" t="n">
        <v>45163</v>
      </c>
      <c r="C2244" s="1" t="n">
        <v>45641</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39034-2023</t>
        </is>
      </c>
      <c r="B2245" s="1" t="n">
        <v>45163</v>
      </c>
      <c r="C2245" s="1" t="n">
        <v>45641</v>
      </c>
      <c r="D2245" t="inlineStr">
        <is>
          <t>VÄSTERBOTTENS LÄN</t>
        </is>
      </c>
      <c r="E2245" t="inlineStr">
        <is>
          <t>SKELLEFTEÅ</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39412-2023</t>
        </is>
      </c>
      <c r="B2246" s="1" t="n">
        <v>45163</v>
      </c>
      <c r="C2246" s="1" t="n">
        <v>45641</v>
      </c>
      <c r="D2246" t="inlineStr">
        <is>
          <t>VÄSTERBOTTENS LÄN</t>
        </is>
      </c>
      <c r="E2246" t="inlineStr">
        <is>
          <t>SKELLEFTEÅ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39420-2023</t>
        </is>
      </c>
      <c r="B2247" s="1" t="n">
        <v>45163</v>
      </c>
      <c r="C2247" s="1" t="n">
        <v>45641</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38790-2023</t>
        </is>
      </c>
      <c r="B2248" s="1" t="n">
        <v>45163</v>
      </c>
      <c r="C2248" s="1" t="n">
        <v>45641</v>
      </c>
      <c r="D2248" t="inlineStr">
        <is>
          <t>VÄSTERBOTTENS LÄN</t>
        </is>
      </c>
      <c r="E2248" t="inlineStr">
        <is>
          <t>SKELLEFTEÅ</t>
        </is>
      </c>
      <c r="F2248" t="inlineStr">
        <is>
          <t>Holmen skog AB</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39132-2023</t>
        </is>
      </c>
      <c r="B2249" s="1" t="n">
        <v>45165</v>
      </c>
      <c r="C2249" s="1" t="n">
        <v>45641</v>
      </c>
      <c r="D2249" t="inlineStr">
        <is>
          <t>VÄSTERBOTTENS LÄN</t>
        </is>
      </c>
      <c r="E2249" t="inlineStr">
        <is>
          <t>SKELLEFTEÅ</t>
        </is>
      </c>
      <c r="F2249" t="inlineStr">
        <is>
          <t>Holmen skog AB</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39135-2023</t>
        </is>
      </c>
      <c r="B2250" s="1" t="n">
        <v>45165</v>
      </c>
      <c r="C2250" s="1" t="n">
        <v>45641</v>
      </c>
      <c r="D2250" t="inlineStr">
        <is>
          <t>VÄSTERBOTTENS LÄN</t>
        </is>
      </c>
      <c r="E2250" t="inlineStr">
        <is>
          <t>SKELLEFTEÅ</t>
        </is>
      </c>
      <c r="F2250" t="inlineStr">
        <is>
          <t>Holmen skog AB</t>
        </is>
      </c>
      <c r="G2250" t="n">
        <v>20.5</v>
      </c>
      <c r="H2250" t="n">
        <v>0</v>
      </c>
      <c r="I2250" t="n">
        <v>0</v>
      </c>
      <c r="J2250" t="n">
        <v>0</v>
      </c>
      <c r="K2250" t="n">
        <v>0</v>
      </c>
      <c r="L2250" t="n">
        <v>0</v>
      </c>
      <c r="M2250" t="n">
        <v>0</v>
      </c>
      <c r="N2250" t="n">
        <v>0</v>
      </c>
      <c r="O2250" t="n">
        <v>0</v>
      </c>
      <c r="P2250" t="n">
        <v>0</v>
      </c>
      <c r="Q2250" t="n">
        <v>0</v>
      </c>
      <c r="R2250" s="2" t="inlineStr"/>
    </row>
    <row r="2251" ht="15" customHeight="1">
      <c r="A2251" t="inlineStr">
        <is>
          <t>A 39147-2023</t>
        </is>
      </c>
      <c r="B2251" s="1" t="n">
        <v>45166</v>
      </c>
      <c r="C2251" s="1" t="n">
        <v>45641</v>
      </c>
      <c r="D2251" t="inlineStr">
        <is>
          <t>VÄSTERBOTTENS LÄN</t>
        </is>
      </c>
      <c r="E2251" t="inlineStr">
        <is>
          <t>SKELLEFTEÅ</t>
        </is>
      </c>
      <c r="F2251" t="inlineStr">
        <is>
          <t>Holmen skog AB</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39156-2023</t>
        </is>
      </c>
      <c r="B2252" s="1" t="n">
        <v>45166</v>
      </c>
      <c r="C2252" s="1" t="n">
        <v>45641</v>
      </c>
      <c r="D2252" t="inlineStr">
        <is>
          <t>VÄSTERBOTTENS LÄN</t>
        </is>
      </c>
      <c r="E2252" t="inlineStr">
        <is>
          <t>SKELLEFTEÅ</t>
        </is>
      </c>
      <c r="F2252" t="inlineStr">
        <is>
          <t>Sveaskog</t>
        </is>
      </c>
      <c r="G2252" t="n">
        <v>43.7</v>
      </c>
      <c r="H2252" t="n">
        <v>0</v>
      </c>
      <c r="I2252" t="n">
        <v>0</v>
      </c>
      <c r="J2252" t="n">
        <v>0</v>
      </c>
      <c r="K2252" t="n">
        <v>0</v>
      </c>
      <c r="L2252" t="n">
        <v>0</v>
      </c>
      <c r="M2252" t="n">
        <v>0</v>
      </c>
      <c r="N2252" t="n">
        <v>0</v>
      </c>
      <c r="O2252" t="n">
        <v>0</v>
      </c>
      <c r="P2252" t="n">
        <v>0</v>
      </c>
      <c r="Q2252" t="n">
        <v>0</v>
      </c>
      <c r="R2252" s="2" t="inlineStr"/>
    </row>
    <row r="2253" ht="15" customHeight="1">
      <c r="A2253" t="inlineStr">
        <is>
          <t>A 39695-2023</t>
        </is>
      </c>
      <c r="B2253" s="1" t="n">
        <v>45166</v>
      </c>
      <c r="C2253" s="1" t="n">
        <v>45641</v>
      </c>
      <c r="D2253" t="inlineStr">
        <is>
          <t>VÄSTERBOTTENS LÄN</t>
        </is>
      </c>
      <c r="E2253" t="inlineStr">
        <is>
          <t>SKELLEFTEÅ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39513-2023</t>
        </is>
      </c>
      <c r="B2254" s="1" t="n">
        <v>45167</v>
      </c>
      <c r="C2254" s="1" t="n">
        <v>45641</v>
      </c>
      <c r="D2254" t="inlineStr">
        <is>
          <t>VÄSTERBOTTENS LÄN</t>
        </is>
      </c>
      <c r="E2254" t="inlineStr">
        <is>
          <t>SKELLEFTEÅ</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39553-2023</t>
        </is>
      </c>
      <c r="B2255" s="1" t="n">
        <v>45167</v>
      </c>
      <c r="C2255" s="1" t="n">
        <v>45641</v>
      </c>
      <c r="D2255" t="inlineStr">
        <is>
          <t>VÄSTERBOTTENS LÄN</t>
        </is>
      </c>
      <c r="E2255" t="inlineStr">
        <is>
          <t>SKELLEFTEÅ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39589-2023</t>
        </is>
      </c>
      <c r="B2256" s="1" t="n">
        <v>45167</v>
      </c>
      <c r="C2256" s="1" t="n">
        <v>45641</v>
      </c>
      <c r="D2256" t="inlineStr">
        <is>
          <t>VÄSTERBOTTENS LÄN</t>
        </is>
      </c>
      <c r="E2256" t="inlineStr">
        <is>
          <t>SKELLEFTEÅ</t>
        </is>
      </c>
      <c r="F2256" t="inlineStr">
        <is>
          <t>Holmen skog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39544-2023</t>
        </is>
      </c>
      <c r="B2257" s="1" t="n">
        <v>45167</v>
      </c>
      <c r="C2257" s="1" t="n">
        <v>45641</v>
      </c>
      <c r="D2257" t="inlineStr">
        <is>
          <t>VÄSTERBOTTENS LÄN</t>
        </is>
      </c>
      <c r="E2257" t="inlineStr">
        <is>
          <t>SKELLEFTEÅ</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39846-2023</t>
        </is>
      </c>
      <c r="B2258" s="1" t="n">
        <v>45168</v>
      </c>
      <c r="C2258" s="1" t="n">
        <v>45641</v>
      </c>
      <c r="D2258" t="inlineStr">
        <is>
          <t>VÄSTERBOTTENS LÄN</t>
        </is>
      </c>
      <c r="E2258" t="inlineStr">
        <is>
          <t>SKELLEFTEÅ</t>
        </is>
      </c>
      <c r="F2258" t="inlineStr">
        <is>
          <t>Holmen skog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40189-2023</t>
        </is>
      </c>
      <c r="B2259" s="1" t="n">
        <v>45169</v>
      </c>
      <c r="C2259" s="1" t="n">
        <v>45641</v>
      </c>
      <c r="D2259" t="inlineStr">
        <is>
          <t>VÄSTERBOTTENS LÄN</t>
        </is>
      </c>
      <c r="E2259" t="inlineStr">
        <is>
          <t>SKELLEFTEÅ</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40373-2023</t>
        </is>
      </c>
      <c r="B2260" s="1" t="n">
        <v>45169</v>
      </c>
      <c r="C2260" s="1" t="n">
        <v>45641</v>
      </c>
      <c r="D2260" t="inlineStr">
        <is>
          <t>VÄSTERBOTTENS LÄN</t>
        </is>
      </c>
      <c r="E2260" t="inlineStr">
        <is>
          <t>SKELLEFTEÅ</t>
        </is>
      </c>
      <c r="F2260" t="inlineStr">
        <is>
          <t>Sveaskog</t>
        </is>
      </c>
      <c r="G2260" t="n">
        <v>16.6</v>
      </c>
      <c r="H2260" t="n">
        <v>0</v>
      </c>
      <c r="I2260" t="n">
        <v>0</v>
      </c>
      <c r="J2260" t="n">
        <v>0</v>
      </c>
      <c r="K2260" t="n">
        <v>0</v>
      </c>
      <c r="L2260" t="n">
        <v>0</v>
      </c>
      <c r="M2260" t="n">
        <v>0</v>
      </c>
      <c r="N2260" t="n">
        <v>0</v>
      </c>
      <c r="O2260" t="n">
        <v>0</v>
      </c>
      <c r="P2260" t="n">
        <v>0</v>
      </c>
      <c r="Q2260" t="n">
        <v>0</v>
      </c>
      <c r="R2260" s="2" t="inlineStr"/>
    </row>
    <row r="2261" ht="15" customHeight="1">
      <c r="A2261" t="inlineStr">
        <is>
          <t>A 40132-2023</t>
        </is>
      </c>
      <c r="B2261" s="1" t="n">
        <v>45169</v>
      </c>
      <c r="C2261" s="1" t="n">
        <v>45641</v>
      </c>
      <c r="D2261" t="inlineStr">
        <is>
          <t>VÄSTERBOTTENS LÄN</t>
        </is>
      </c>
      <c r="E2261" t="inlineStr">
        <is>
          <t>SKELLEFTEÅ</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40274-2023</t>
        </is>
      </c>
      <c r="B2262" s="1" t="n">
        <v>45169</v>
      </c>
      <c r="C2262" s="1" t="n">
        <v>45641</v>
      </c>
      <c r="D2262" t="inlineStr">
        <is>
          <t>VÄSTERBOTTENS LÄN</t>
        </is>
      </c>
      <c r="E2262" t="inlineStr">
        <is>
          <t>SKELLEFTEÅ</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40393-2023</t>
        </is>
      </c>
      <c r="B2263" s="1" t="n">
        <v>45169</v>
      </c>
      <c r="C2263" s="1" t="n">
        <v>45641</v>
      </c>
      <c r="D2263" t="inlineStr">
        <is>
          <t>VÄSTERBOTTENS LÄN</t>
        </is>
      </c>
      <c r="E2263" t="inlineStr">
        <is>
          <t>SKELLEFTEÅ</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40442-2023</t>
        </is>
      </c>
      <c r="B2264" s="1" t="n">
        <v>45170</v>
      </c>
      <c r="C2264" s="1" t="n">
        <v>45641</v>
      </c>
      <c r="D2264" t="inlineStr">
        <is>
          <t>VÄSTERBOTTENS LÄN</t>
        </is>
      </c>
      <c r="E2264" t="inlineStr">
        <is>
          <t>SKELLEFTEÅ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41109-2023</t>
        </is>
      </c>
      <c r="B2265" s="1" t="n">
        <v>45170</v>
      </c>
      <c r="C2265" s="1" t="n">
        <v>45641</v>
      </c>
      <c r="D2265" t="inlineStr">
        <is>
          <t>VÄSTERBOTTENS LÄN</t>
        </is>
      </c>
      <c r="E2265" t="inlineStr">
        <is>
          <t>SKELLEFTEÅ</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41006-2023</t>
        </is>
      </c>
      <c r="B2266" s="1" t="n">
        <v>45173</v>
      </c>
      <c r="C2266" s="1" t="n">
        <v>45641</v>
      </c>
      <c r="D2266" t="inlineStr">
        <is>
          <t>VÄSTERBOTTENS LÄN</t>
        </is>
      </c>
      <c r="E2266" t="inlineStr">
        <is>
          <t>SKELLEFTEÅ</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41092-2023</t>
        </is>
      </c>
      <c r="B2267" s="1" t="n">
        <v>45173</v>
      </c>
      <c r="C2267" s="1" t="n">
        <v>45641</v>
      </c>
      <c r="D2267" t="inlineStr">
        <is>
          <t>VÄSTERBOTTENS LÄN</t>
        </is>
      </c>
      <c r="E2267" t="inlineStr">
        <is>
          <t>SKELLEFTEÅ</t>
        </is>
      </c>
      <c r="F2267" t="inlineStr">
        <is>
          <t>Holmen skog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41397-2023</t>
        </is>
      </c>
      <c r="B2268" s="1" t="n">
        <v>45174</v>
      </c>
      <c r="C2268" s="1" t="n">
        <v>45641</v>
      </c>
      <c r="D2268" t="inlineStr">
        <is>
          <t>VÄSTERBOTTENS LÄN</t>
        </is>
      </c>
      <c r="E2268" t="inlineStr">
        <is>
          <t>SKELLEFTEÅ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41645-2023</t>
        </is>
      </c>
      <c r="B2269" s="1" t="n">
        <v>45175</v>
      </c>
      <c r="C2269" s="1" t="n">
        <v>45641</v>
      </c>
      <c r="D2269" t="inlineStr">
        <is>
          <t>VÄSTERBOTTENS LÄN</t>
        </is>
      </c>
      <c r="E2269" t="inlineStr">
        <is>
          <t>SKELLEFTEÅ</t>
        </is>
      </c>
      <c r="G2269" t="n">
        <v>26.4</v>
      </c>
      <c r="H2269" t="n">
        <v>0</v>
      </c>
      <c r="I2269" t="n">
        <v>0</v>
      </c>
      <c r="J2269" t="n">
        <v>0</v>
      </c>
      <c r="K2269" t="n">
        <v>0</v>
      </c>
      <c r="L2269" t="n">
        <v>0</v>
      </c>
      <c r="M2269" t="n">
        <v>0</v>
      </c>
      <c r="N2269" t="n">
        <v>0</v>
      </c>
      <c r="O2269" t="n">
        <v>0</v>
      </c>
      <c r="P2269" t="n">
        <v>0</v>
      </c>
      <c r="Q2269" t="n">
        <v>0</v>
      </c>
      <c r="R2269" s="2" t="inlineStr"/>
    </row>
    <row r="2270" ht="15" customHeight="1">
      <c r="A2270" t="inlineStr">
        <is>
          <t>A 41617-2023</t>
        </is>
      </c>
      <c r="B2270" s="1" t="n">
        <v>45175</v>
      </c>
      <c r="C2270" s="1" t="n">
        <v>45641</v>
      </c>
      <c r="D2270" t="inlineStr">
        <is>
          <t>VÄSTERBOTTENS LÄN</t>
        </is>
      </c>
      <c r="E2270" t="inlineStr">
        <is>
          <t>SKELLEFTEÅ</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42329-2023</t>
        </is>
      </c>
      <c r="B2271" s="1" t="n">
        <v>45175</v>
      </c>
      <c r="C2271" s="1" t="n">
        <v>45641</v>
      </c>
      <c r="D2271" t="inlineStr">
        <is>
          <t>VÄSTERBOTTENS LÄN</t>
        </is>
      </c>
      <c r="E2271" t="inlineStr">
        <is>
          <t>SKELLEFTEÅ</t>
        </is>
      </c>
      <c r="F2271" t="inlineStr">
        <is>
          <t>Kyrkan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42433-2023</t>
        </is>
      </c>
      <c r="B2272" s="1" t="n">
        <v>45175</v>
      </c>
      <c r="C2272" s="1" t="n">
        <v>45641</v>
      </c>
      <c r="D2272" t="inlineStr">
        <is>
          <t>VÄSTERBOTTENS LÄN</t>
        </is>
      </c>
      <c r="E2272" t="inlineStr">
        <is>
          <t>SKELLEFTEÅ</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41904-2023</t>
        </is>
      </c>
      <c r="B2273" s="1" t="n">
        <v>45177</v>
      </c>
      <c r="C2273" s="1" t="n">
        <v>45641</v>
      </c>
      <c r="D2273" t="inlineStr">
        <is>
          <t>VÄSTERBOTTENS LÄN</t>
        </is>
      </c>
      <c r="E2273" t="inlineStr">
        <is>
          <t>SKELLEFTEÅ</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42587-2023</t>
        </is>
      </c>
      <c r="B2274" s="1" t="n">
        <v>45176</v>
      </c>
      <c r="C2274" s="1" t="n">
        <v>45641</v>
      </c>
      <c r="D2274" t="inlineStr">
        <is>
          <t>VÄSTERBOTTENS LÄN</t>
        </is>
      </c>
      <c r="E2274" t="inlineStr">
        <is>
          <t>SKELLEFTEÅ</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42595-2023</t>
        </is>
      </c>
      <c r="B2275" s="1" t="n">
        <v>45176</v>
      </c>
      <c r="C2275" s="1" t="n">
        <v>45641</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42138-2023</t>
        </is>
      </c>
      <c r="B2276" s="1" t="n">
        <v>45177</v>
      </c>
      <c r="C2276" s="1" t="n">
        <v>45641</v>
      </c>
      <c r="D2276" t="inlineStr">
        <is>
          <t>VÄSTERBOTTENS LÄN</t>
        </is>
      </c>
      <c r="E2276" t="inlineStr">
        <is>
          <t>SKELLEFTEÅ</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42822-2023</t>
        </is>
      </c>
      <c r="B2277" s="1" t="n">
        <v>45177</v>
      </c>
      <c r="C2277" s="1" t="n">
        <v>45641</v>
      </c>
      <c r="D2277" t="inlineStr">
        <is>
          <t>VÄSTERBOTTENS LÄN</t>
        </is>
      </c>
      <c r="E2277" t="inlineStr">
        <is>
          <t>SKELLEFTEÅ</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42136-2023</t>
        </is>
      </c>
      <c r="B2278" s="1" t="n">
        <v>45177</v>
      </c>
      <c r="C2278" s="1" t="n">
        <v>45641</v>
      </c>
      <c r="D2278" t="inlineStr">
        <is>
          <t>VÄSTERBOTTENS LÄN</t>
        </is>
      </c>
      <c r="E2278" t="inlineStr">
        <is>
          <t>SKELLEFTEÅ</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42144-2023</t>
        </is>
      </c>
      <c r="B2279" s="1" t="n">
        <v>45177</v>
      </c>
      <c r="C2279" s="1" t="n">
        <v>45641</v>
      </c>
      <c r="D2279" t="inlineStr">
        <is>
          <t>VÄSTERBOTTENS LÄN</t>
        </is>
      </c>
      <c r="E2279" t="inlineStr">
        <is>
          <t>SKELLEFTEÅ</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42137-2023</t>
        </is>
      </c>
      <c r="B2280" s="1" t="n">
        <v>45177</v>
      </c>
      <c r="C2280" s="1" t="n">
        <v>45641</v>
      </c>
      <c r="D2280" t="inlineStr">
        <is>
          <t>VÄSTERBOTTENS LÄN</t>
        </is>
      </c>
      <c r="E2280" t="inlineStr">
        <is>
          <t>SKELLEFTEÅ</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42842-2023</t>
        </is>
      </c>
      <c r="B2281" s="1" t="n">
        <v>45177</v>
      </c>
      <c r="C2281" s="1" t="n">
        <v>45641</v>
      </c>
      <c r="D2281" t="inlineStr">
        <is>
          <t>VÄSTERBOTTENS LÄN</t>
        </is>
      </c>
      <c r="E2281" t="inlineStr">
        <is>
          <t>SKELLEFTEÅ</t>
        </is>
      </c>
      <c r="G2281" t="n">
        <v>9.4</v>
      </c>
      <c r="H2281" t="n">
        <v>0</v>
      </c>
      <c r="I2281" t="n">
        <v>0</v>
      </c>
      <c r="J2281" t="n">
        <v>0</v>
      </c>
      <c r="K2281" t="n">
        <v>0</v>
      </c>
      <c r="L2281" t="n">
        <v>0</v>
      </c>
      <c r="M2281" t="n">
        <v>0</v>
      </c>
      <c r="N2281" t="n">
        <v>0</v>
      </c>
      <c r="O2281" t="n">
        <v>0</v>
      </c>
      <c r="P2281" t="n">
        <v>0</v>
      </c>
      <c r="Q2281" t="n">
        <v>0</v>
      </c>
      <c r="R2281" s="2" t="inlineStr"/>
    </row>
    <row r="2282" ht="15" customHeight="1">
      <c r="A2282" t="inlineStr">
        <is>
          <t>A 42421-2023</t>
        </is>
      </c>
      <c r="B2282" s="1" t="n">
        <v>45180</v>
      </c>
      <c r="C2282" s="1" t="n">
        <v>45641</v>
      </c>
      <c r="D2282" t="inlineStr">
        <is>
          <t>VÄSTERBOTTENS LÄN</t>
        </is>
      </c>
      <c r="E2282" t="inlineStr">
        <is>
          <t>SKELLEFTEÅ</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42982-2023</t>
        </is>
      </c>
      <c r="B2283" s="1" t="n">
        <v>45180</v>
      </c>
      <c r="C2283" s="1" t="n">
        <v>45641</v>
      </c>
      <c r="D2283" t="inlineStr">
        <is>
          <t>VÄSTERBOTTENS LÄN</t>
        </is>
      </c>
      <c r="E2283" t="inlineStr">
        <is>
          <t>SKELLEFTEÅ</t>
        </is>
      </c>
      <c r="G2283" t="n">
        <v>11.2</v>
      </c>
      <c r="H2283" t="n">
        <v>0</v>
      </c>
      <c r="I2283" t="n">
        <v>0</v>
      </c>
      <c r="J2283" t="n">
        <v>0</v>
      </c>
      <c r="K2283" t="n">
        <v>0</v>
      </c>
      <c r="L2283" t="n">
        <v>0</v>
      </c>
      <c r="M2283" t="n">
        <v>0</v>
      </c>
      <c r="N2283" t="n">
        <v>0</v>
      </c>
      <c r="O2283" t="n">
        <v>0</v>
      </c>
      <c r="P2283" t="n">
        <v>0</v>
      </c>
      <c r="Q2283" t="n">
        <v>0</v>
      </c>
      <c r="R2283" s="2" t="inlineStr"/>
    </row>
    <row r="2284" ht="15" customHeight="1">
      <c r="A2284" t="inlineStr">
        <is>
          <t>A 43060-2023</t>
        </is>
      </c>
      <c r="B2284" s="1" t="n">
        <v>45180</v>
      </c>
      <c r="C2284" s="1" t="n">
        <v>45641</v>
      </c>
      <c r="D2284" t="inlineStr">
        <is>
          <t>VÄSTERBOTTENS LÄN</t>
        </is>
      </c>
      <c r="E2284" t="inlineStr">
        <is>
          <t>SKELLEFTEÅ</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43568-2023</t>
        </is>
      </c>
      <c r="B2285" s="1" t="n">
        <v>45181</v>
      </c>
      <c r="C2285" s="1" t="n">
        <v>45641</v>
      </c>
      <c r="D2285" t="inlineStr">
        <is>
          <t>VÄSTERBOTTENS LÄN</t>
        </is>
      </c>
      <c r="E2285" t="inlineStr">
        <is>
          <t>SKELLEFTEÅ</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43563-2023</t>
        </is>
      </c>
      <c r="B2286" s="1" t="n">
        <v>45181</v>
      </c>
      <c r="C2286" s="1" t="n">
        <v>45641</v>
      </c>
      <c r="D2286" t="inlineStr">
        <is>
          <t>VÄSTERBOTTENS LÄN</t>
        </is>
      </c>
      <c r="E2286" t="inlineStr">
        <is>
          <t>SKELLEFTEÅ</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43598-2023</t>
        </is>
      </c>
      <c r="B2287" s="1" t="n">
        <v>45181</v>
      </c>
      <c r="C2287" s="1" t="n">
        <v>45641</v>
      </c>
      <c r="D2287" t="inlineStr">
        <is>
          <t>VÄSTERBOTTENS LÄN</t>
        </is>
      </c>
      <c r="E2287" t="inlineStr">
        <is>
          <t>SKELLEFTEÅ</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43603-2023</t>
        </is>
      </c>
      <c r="B2288" s="1" t="n">
        <v>45181</v>
      </c>
      <c r="C2288" s="1" t="n">
        <v>45641</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42640-2023</t>
        </is>
      </c>
      <c r="B2289" s="1" t="n">
        <v>45181</v>
      </c>
      <c r="C2289" s="1" t="n">
        <v>45641</v>
      </c>
      <c r="D2289" t="inlineStr">
        <is>
          <t>VÄSTERBOTTENS LÄN</t>
        </is>
      </c>
      <c r="E2289" t="inlineStr">
        <is>
          <t>SKELLEFTEÅ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42650-2023</t>
        </is>
      </c>
      <c r="B2290" s="1" t="n">
        <v>45181</v>
      </c>
      <c r="C2290" s="1" t="n">
        <v>45641</v>
      </c>
      <c r="D2290" t="inlineStr">
        <is>
          <t>VÄSTERBOTTENS LÄN</t>
        </is>
      </c>
      <c r="E2290" t="inlineStr">
        <is>
          <t>SKELLEFTEÅ</t>
        </is>
      </c>
      <c r="F2290" t="inlineStr">
        <is>
          <t>Holmen skog AB</t>
        </is>
      </c>
      <c r="G2290" t="n">
        <v>12.4</v>
      </c>
      <c r="H2290" t="n">
        <v>0</v>
      </c>
      <c r="I2290" t="n">
        <v>0</v>
      </c>
      <c r="J2290" t="n">
        <v>0</v>
      </c>
      <c r="K2290" t="n">
        <v>0</v>
      </c>
      <c r="L2290" t="n">
        <v>0</v>
      </c>
      <c r="M2290" t="n">
        <v>0</v>
      </c>
      <c r="N2290" t="n">
        <v>0</v>
      </c>
      <c r="O2290" t="n">
        <v>0</v>
      </c>
      <c r="P2290" t="n">
        <v>0</v>
      </c>
      <c r="Q2290" t="n">
        <v>0</v>
      </c>
      <c r="R2290" s="2" t="inlineStr"/>
    </row>
    <row r="2291" ht="15" customHeight="1">
      <c r="A2291" t="inlineStr">
        <is>
          <t>A 42787-2023</t>
        </is>
      </c>
      <c r="B2291" s="1" t="n">
        <v>45181</v>
      </c>
      <c r="C2291" s="1" t="n">
        <v>45641</v>
      </c>
      <c r="D2291" t="inlineStr">
        <is>
          <t>VÄSTERBOTTENS LÄN</t>
        </is>
      </c>
      <c r="E2291" t="inlineStr">
        <is>
          <t>SKELLEFTEÅ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42789-2023</t>
        </is>
      </c>
      <c r="B2292" s="1" t="n">
        <v>45181</v>
      </c>
      <c r="C2292" s="1" t="n">
        <v>45641</v>
      </c>
      <c r="D2292" t="inlineStr">
        <is>
          <t>VÄSTERBOTTENS LÄN</t>
        </is>
      </c>
      <c r="E2292" t="inlineStr">
        <is>
          <t>SKELLEFTEÅ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43057-2023</t>
        </is>
      </c>
      <c r="B2293" s="1" t="n">
        <v>45182</v>
      </c>
      <c r="C2293" s="1" t="n">
        <v>45641</v>
      </c>
      <c r="D2293" t="inlineStr">
        <is>
          <t>VÄSTERBOTTENS LÄN</t>
        </is>
      </c>
      <c r="E2293" t="inlineStr">
        <is>
          <t>SKELLEFTEÅ</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43059-2023</t>
        </is>
      </c>
      <c r="B2294" s="1" t="n">
        <v>45182</v>
      </c>
      <c r="C2294" s="1" t="n">
        <v>45641</v>
      </c>
      <c r="D2294" t="inlineStr">
        <is>
          <t>VÄSTERBOTTENS LÄN</t>
        </is>
      </c>
      <c r="E2294" t="inlineStr">
        <is>
          <t>SKELLEFTEÅ</t>
        </is>
      </c>
      <c r="F2294" t="inlineStr">
        <is>
          <t>Sveaskog</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44025-2023</t>
        </is>
      </c>
      <c r="B2295" s="1" t="n">
        <v>45182</v>
      </c>
      <c r="C2295" s="1" t="n">
        <v>45641</v>
      </c>
      <c r="D2295" t="inlineStr">
        <is>
          <t>VÄSTERBOTTENS LÄN</t>
        </is>
      </c>
      <c r="E2295" t="inlineStr">
        <is>
          <t>SKELLEFTEÅ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43435-2023</t>
        </is>
      </c>
      <c r="B2296" s="1" t="n">
        <v>45184</v>
      </c>
      <c r="C2296" s="1" t="n">
        <v>45641</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43439-2023</t>
        </is>
      </c>
      <c r="B2297" s="1" t="n">
        <v>45184</v>
      </c>
      <c r="C2297" s="1" t="n">
        <v>45641</v>
      </c>
      <c r="D2297" t="inlineStr">
        <is>
          <t>VÄSTERBOTTENS LÄN</t>
        </is>
      </c>
      <c r="E2297" t="inlineStr">
        <is>
          <t>SKELLEFTEÅ</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43438-2023</t>
        </is>
      </c>
      <c r="B2298" s="1" t="n">
        <v>45184</v>
      </c>
      <c r="C2298" s="1" t="n">
        <v>45641</v>
      </c>
      <c r="D2298" t="inlineStr">
        <is>
          <t>VÄSTERBOTTENS LÄN</t>
        </is>
      </c>
      <c r="E2298" t="inlineStr">
        <is>
          <t>SKELLEFTEÅ</t>
        </is>
      </c>
      <c r="F2298" t="inlineStr">
        <is>
          <t>Holmen skog AB</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43474-2023</t>
        </is>
      </c>
      <c r="B2299" s="1" t="n">
        <v>45184</v>
      </c>
      <c r="C2299" s="1" t="n">
        <v>45641</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43578-2023</t>
        </is>
      </c>
      <c r="B2300" s="1" t="n">
        <v>45184</v>
      </c>
      <c r="C2300" s="1" t="n">
        <v>45641</v>
      </c>
      <c r="D2300" t="inlineStr">
        <is>
          <t>VÄSTERBOTTENS LÄN</t>
        </is>
      </c>
      <c r="E2300" t="inlineStr">
        <is>
          <t>SKELLEFTEÅ</t>
        </is>
      </c>
      <c r="F2300" t="inlineStr">
        <is>
          <t>Holmen skog AB</t>
        </is>
      </c>
      <c r="G2300" t="n">
        <v>14.7</v>
      </c>
      <c r="H2300" t="n">
        <v>0</v>
      </c>
      <c r="I2300" t="n">
        <v>0</v>
      </c>
      <c r="J2300" t="n">
        <v>0</v>
      </c>
      <c r="K2300" t="n">
        <v>0</v>
      </c>
      <c r="L2300" t="n">
        <v>0</v>
      </c>
      <c r="M2300" t="n">
        <v>0</v>
      </c>
      <c r="N2300" t="n">
        <v>0</v>
      </c>
      <c r="O2300" t="n">
        <v>0</v>
      </c>
      <c r="P2300" t="n">
        <v>0</v>
      </c>
      <c r="Q2300" t="n">
        <v>0</v>
      </c>
      <c r="R2300" s="2" t="inlineStr"/>
    </row>
    <row r="2301" ht="15" customHeight="1">
      <c r="A2301" t="inlineStr">
        <is>
          <t>A 43631-2023</t>
        </is>
      </c>
      <c r="B2301" s="1" t="n">
        <v>45185</v>
      </c>
      <c r="C2301" s="1" t="n">
        <v>45641</v>
      </c>
      <c r="D2301" t="inlineStr">
        <is>
          <t>VÄSTERBOTTENS LÄN</t>
        </is>
      </c>
      <c r="E2301" t="inlineStr">
        <is>
          <t>SKELLEFTEÅ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43751-2023</t>
        </is>
      </c>
      <c r="B2302" s="1" t="n">
        <v>45187</v>
      </c>
      <c r="C2302" s="1" t="n">
        <v>45641</v>
      </c>
      <c r="D2302" t="inlineStr">
        <is>
          <t>VÄSTERBOTTENS LÄN</t>
        </is>
      </c>
      <c r="E2302" t="inlineStr">
        <is>
          <t>SKELLEFTEÅ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43686-2023</t>
        </is>
      </c>
      <c r="B2303" s="1" t="n">
        <v>45187</v>
      </c>
      <c r="C2303" s="1" t="n">
        <v>45641</v>
      </c>
      <c r="D2303" t="inlineStr">
        <is>
          <t>VÄSTERBOTTENS LÄN</t>
        </is>
      </c>
      <c r="E2303" t="inlineStr">
        <is>
          <t>SKELLEFTEÅ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45079-2023</t>
        </is>
      </c>
      <c r="B2304" s="1" t="n">
        <v>45187</v>
      </c>
      <c r="C2304" s="1" t="n">
        <v>45641</v>
      </c>
      <c r="D2304" t="inlineStr">
        <is>
          <t>VÄSTERBOTTENS LÄN</t>
        </is>
      </c>
      <c r="E2304" t="inlineStr">
        <is>
          <t>SKELLEFTEÅ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44145-2023</t>
        </is>
      </c>
      <c r="B2305" s="1" t="n">
        <v>45188</v>
      </c>
      <c r="C2305" s="1" t="n">
        <v>45641</v>
      </c>
      <c r="D2305" t="inlineStr">
        <is>
          <t>VÄSTERBOTTENS LÄN</t>
        </is>
      </c>
      <c r="E2305" t="inlineStr">
        <is>
          <t>SKELLEFTEÅ</t>
        </is>
      </c>
      <c r="G2305" t="n">
        <v>15.1</v>
      </c>
      <c r="H2305" t="n">
        <v>0</v>
      </c>
      <c r="I2305" t="n">
        <v>0</v>
      </c>
      <c r="J2305" t="n">
        <v>0</v>
      </c>
      <c r="K2305" t="n">
        <v>0</v>
      </c>
      <c r="L2305" t="n">
        <v>0</v>
      </c>
      <c r="M2305" t="n">
        <v>0</v>
      </c>
      <c r="N2305" t="n">
        <v>0</v>
      </c>
      <c r="O2305" t="n">
        <v>0</v>
      </c>
      <c r="P2305" t="n">
        <v>0</v>
      </c>
      <c r="Q2305" t="n">
        <v>0</v>
      </c>
      <c r="R2305" s="2" t="inlineStr"/>
    </row>
    <row r="2306" ht="15" customHeight="1">
      <c r="A2306" t="inlineStr">
        <is>
          <t>A 44225-2023</t>
        </is>
      </c>
      <c r="B2306" s="1" t="n">
        <v>45188</v>
      </c>
      <c r="C2306" s="1" t="n">
        <v>45641</v>
      </c>
      <c r="D2306" t="inlineStr">
        <is>
          <t>VÄSTERBOTTENS LÄN</t>
        </is>
      </c>
      <c r="E2306" t="inlineStr">
        <is>
          <t>SKELLEFTEÅ</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44078-2023</t>
        </is>
      </c>
      <c r="B2307" s="1" t="n">
        <v>45188</v>
      </c>
      <c r="C2307" s="1" t="n">
        <v>45641</v>
      </c>
      <c r="D2307" t="inlineStr">
        <is>
          <t>VÄSTERBOTTENS LÄN</t>
        </is>
      </c>
      <c r="E2307" t="inlineStr">
        <is>
          <t>SKELLEFTEÅ</t>
        </is>
      </c>
      <c r="F2307" t="inlineStr">
        <is>
          <t>Holmen skog AB</t>
        </is>
      </c>
      <c r="G2307" t="n">
        <v>13.7</v>
      </c>
      <c r="H2307" t="n">
        <v>0</v>
      </c>
      <c r="I2307" t="n">
        <v>0</v>
      </c>
      <c r="J2307" t="n">
        <v>0</v>
      </c>
      <c r="K2307" t="n">
        <v>0</v>
      </c>
      <c r="L2307" t="n">
        <v>0</v>
      </c>
      <c r="M2307" t="n">
        <v>0</v>
      </c>
      <c r="N2307" t="n">
        <v>0</v>
      </c>
      <c r="O2307" t="n">
        <v>0</v>
      </c>
      <c r="P2307" t="n">
        <v>0</v>
      </c>
      <c r="Q2307" t="n">
        <v>0</v>
      </c>
      <c r="R2307" s="2" t="inlineStr"/>
    </row>
    <row r="2308" ht="15" customHeight="1">
      <c r="A2308" t="inlineStr">
        <is>
          <t>A 44250-2023</t>
        </is>
      </c>
      <c r="B2308" s="1" t="n">
        <v>45188</v>
      </c>
      <c r="C2308" s="1" t="n">
        <v>45641</v>
      </c>
      <c r="D2308" t="inlineStr">
        <is>
          <t>VÄSTERBOTTENS LÄN</t>
        </is>
      </c>
      <c r="E2308" t="inlineStr">
        <is>
          <t>SKELLEFTEÅ</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44263-2023</t>
        </is>
      </c>
      <c r="B2309" s="1" t="n">
        <v>45188</v>
      </c>
      <c r="C2309" s="1" t="n">
        <v>45641</v>
      </c>
      <c r="D2309" t="inlineStr">
        <is>
          <t>VÄSTERBOTTENS LÄN</t>
        </is>
      </c>
      <c r="E2309" t="inlineStr">
        <is>
          <t>SKELLEFTEÅ</t>
        </is>
      </c>
      <c r="F2309" t="inlineStr">
        <is>
          <t>Holmen skog AB</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44296-2023</t>
        </is>
      </c>
      <c r="B2310" s="1" t="n">
        <v>45188</v>
      </c>
      <c r="C2310" s="1" t="n">
        <v>45641</v>
      </c>
      <c r="D2310" t="inlineStr">
        <is>
          <t>VÄSTERBOTTENS LÄN</t>
        </is>
      </c>
      <c r="E2310" t="inlineStr">
        <is>
          <t>SKELLEFTEÅ</t>
        </is>
      </c>
      <c r="F2310" t="inlineStr">
        <is>
          <t>Holmen skog AB</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44301-2023</t>
        </is>
      </c>
      <c r="B2311" s="1" t="n">
        <v>45188</v>
      </c>
      <c r="C2311" s="1" t="n">
        <v>45641</v>
      </c>
      <c r="D2311" t="inlineStr">
        <is>
          <t>VÄSTERBOTTENS LÄN</t>
        </is>
      </c>
      <c r="E2311" t="inlineStr">
        <is>
          <t>SKELLEFTEÅ</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44335-2023</t>
        </is>
      </c>
      <c r="B2312" s="1" t="n">
        <v>45188</v>
      </c>
      <c r="C2312" s="1" t="n">
        <v>45641</v>
      </c>
      <c r="D2312" t="inlineStr">
        <is>
          <t>VÄSTERBOTTENS LÄN</t>
        </is>
      </c>
      <c r="E2312" t="inlineStr">
        <is>
          <t>SKELLEFTEÅ</t>
        </is>
      </c>
      <c r="F2312" t="inlineStr">
        <is>
          <t>Holmen skog AB</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45581-2023</t>
        </is>
      </c>
      <c r="B2313" s="1" t="n">
        <v>45188</v>
      </c>
      <c r="C2313" s="1" t="n">
        <v>45641</v>
      </c>
      <c r="D2313" t="inlineStr">
        <is>
          <t>VÄSTERBOTTENS LÄN</t>
        </is>
      </c>
      <c r="E2313" t="inlineStr">
        <is>
          <t>SKELLEFTEÅ</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45576-2023</t>
        </is>
      </c>
      <c r="B2314" s="1" t="n">
        <v>45188</v>
      </c>
      <c r="C2314" s="1" t="n">
        <v>45641</v>
      </c>
      <c r="D2314" t="inlineStr">
        <is>
          <t>VÄSTERBOTTENS LÄN</t>
        </is>
      </c>
      <c r="E2314" t="inlineStr">
        <is>
          <t>SKELLEFTEÅ</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44483-2023</t>
        </is>
      </c>
      <c r="B2315" s="1" t="n">
        <v>45189</v>
      </c>
      <c r="C2315" s="1" t="n">
        <v>45641</v>
      </c>
      <c r="D2315" t="inlineStr">
        <is>
          <t>VÄSTERBOTTENS LÄN</t>
        </is>
      </c>
      <c r="E2315" t="inlineStr">
        <is>
          <t>SKELLEFTEÅ</t>
        </is>
      </c>
      <c r="F2315" t="inlineStr">
        <is>
          <t>Holmen skog AB</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44545-2023</t>
        </is>
      </c>
      <c r="B2316" s="1" t="n">
        <v>45189</v>
      </c>
      <c r="C2316" s="1" t="n">
        <v>45641</v>
      </c>
      <c r="D2316" t="inlineStr">
        <is>
          <t>VÄSTERBOTTENS LÄN</t>
        </is>
      </c>
      <c r="E2316" t="inlineStr">
        <is>
          <t>SKELLEFTEÅ</t>
        </is>
      </c>
      <c r="F2316" t="inlineStr">
        <is>
          <t>Holmen skog AB</t>
        </is>
      </c>
      <c r="G2316" t="n">
        <v>16.9</v>
      </c>
      <c r="H2316" t="n">
        <v>0</v>
      </c>
      <c r="I2316" t="n">
        <v>0</v>
      </c>
      <c r="J2316" t="n">
        <v>0</v>
      </c>
      <c r="K2316" t="n">
        <v>0</v>
      </c>
      <c r="L2316" t="n">
        <v>0</v>
      </c>
      <c r="M2316" t="n">
        <v>0</v>
      </c>
      <c r="N2316" t="n">
        <v>0</v>
      </c>
      <c r="O2316" t="n">
        <v>0</v>
      </c>
      <c r="P2316" t="n">
        <v>0</v>
      </c>
      <c r="Q2316" t="n">
        <v>0</v>
      </c>
      <c r="R2316" s="2" t="inlineStr"/>
    </row>
    <row r="2317" ht="15" customHeight="1">
      <c r="A2317" t="inlineStr">
        <is>
          <t>A 44561-2023</t>
        </is>
      </c>
      <c r="B2317" s="1" t="n">
        <v>45189</v>
      </c>
      <c r="C2317" s="1" t="n">
        <v>45641</v>
      </c>
      <c r="D2317" t="inlineStr">
        <is>
          <t>VÄSTERBOTTENS LÄN</t>
        </is>
      </c>
      <c r="E2317" t="inlineStr">
        <is>
          <t>SKELLEFTEÅ</t>
        </is>
      </c>
      <c r="F2317" t="inlineStr">
        <is>
          <t>Holmen skog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45727-2023</t>
        </is>
      </c>
      <c r="B2318" s="1" t="n">
        <v>45189</v>
      </c>
      <c r="C2318" s="1" t="n">
        <v>45641</v>
      </c>
      <c r="D2318" t="inlineStr">
        <is>
          <t>VÄSTERBOTTENS LÄN</t>
        </is>
      </c>
      <c r="E2318" t="inlineStr">
        <is>
          <t>SKELLEFTEÅ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44567-2023</t>
        </is>
      </c>
      <c r="B2319" s="1" t="n">
        <v>45189</v>
      </c>
      <c r="C2319" s="1" t="n">
        <v>45641</v>
      </c>
      <c r="D2319" t="inlineStr">
        <is>
          <t>VÄSTERBOTTENS LÄN</t>
        </is>
      </c>
      <c r="E2319" t="inlineStr">
        <is>
          <t>SKELLEFTEÅ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44745-2023</t>
        </is>
      </c>
      <c r="B2320" s="1" t="n">
        <v>45190</v>
      </c>
      <c r="C2320" s="1" t="n">
        <v>45641</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44912-2023</t>
        </is>
      </c>
      <c r="B2321" s="1" t="n">
        <v>45190</v>
      </c>
      <c r="C2321" s="1" t="n">
        <v>45641</v>
      </c>
      <c r="D2321" t="inlineStr">
        <is>
          <t>VÄSTERBOTTENS LÄN</t>
        </is>
      </c>
      <c r="E2321" t="inlineStr">
        <is>
          <t>SKELLEFTEÅ</t>
        </is>
      </c>
      <c r="F2321" t="inlineStr">
        <is>
          <t>Holmen skog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44959-2023</t>
        </is>
      </c>
      <c r="B2322" s="1" t="n">
        <v>45190</v>
      </c>
      <c r="C2322" s="1" t="n">
        <v>45641</v>
      </c>
      <c r="D2322" t="inlineStr">
        <is>
          <t>VÄSTERBOTTENS LÄN</t>
        </is>
      </c>
      <c r="E2322" t="inlineStr">
        <is>
          <t>SKELLEFTEÅ</t>
        </is>
      </c>
      <c r="F2322" t="inlineStr">
        <is>
          <t>Sveaskog</t>
        </is>
      </c>
      <c r="G2322" t="n">
        <v>15.3</v>
      </c>
      <c r="H2322" t="n">
        <v>0</v>
      </c>
      <c r="I2322" t="n">
        <v>0</v>
      </c>
      <c r="J2322" t="n">
        <v>0</v>
      </c>
      <c r="K2322" t="n">
        <v>0</v>
      </c>
      <c r="L2322" t="n">
        <v>0</v>
      </c>
      <c r="M2322" t="n">
        <v>0</v>
      </c>
      <c r="N2322" t="n">
        <v>0</v>
      </c>
      <c r="O2322" t="n">
        <v>0</v>
      </c>
      <c r="P2322" t="n">
        <v>0</v>
      </c>
      <c r="Q2322" t="n">
        <v>0</v>
      </c>
      <c r="R2322" s="2" t="inlineStr"/>
    </row>
    <row r="2323" ht="15" customHeight="1">
      <c r="A2323" t="inlineStr">
        <is>
          <t>A 44856-2023</t>
        </is>
      </c>
      <c r="B2323" s="1" t="n">
        <v>45190</v>
      </c>
      <c r="C2323" s="1" t="n">
        <v>45641</v>
      </c>
      <c r="D2323" t="inlineStr">
        <is>
          <t>VÄSTERBOTTENS LÄN</t>
        </is>
      </c>
      <c r="E2323" t="inlineStr">
        <is>
          <t>SKELLEFTEÅ</t>
        </is>
      </c>
      <c r="G2323" t="n">
        <v>13.4</v>
      </c>
      <c r="H2323" t="n">
        <v>0</v>
      </c>
      <c r="I2323" t="n">
        <v>0</v>
      </c>
      <c r="J2323" t="n">
        <v>0</v>
      </c>
      <c r="K2323" t="n">
        <v>0</v>
      </c>
      <c r="L2323" t="n">
        <v>0</v>
      </c>
      <c r="M2323" t="n">
        <v>0</v>
      </c>
      <c r="N2323" t="n">
        <v>0</v>
      </c>
      <c r="O2323" t="n">
        <v>0</v>
      </c>
      <c r="P2323" t="n">
        <v>0</v>
      </c>
      <c r="Q2323" t="n">
        <v>0</v>
      </c>
      <c r="R2323" s="2" t="inlineStr"/>
    </row>
    <row r="2324" ht="15" customHeight="1">
      <c r="A2324" t="inlineStr">
        <is>
          <t>A 44872-2023</t>
        </is>
      </c>
      <c r="B2324" s="1" t="n">
        <v>45190</v>
      </c>
      <c r="C2324" s="1" t="n">
        <v>45641</v>
      </c>
      <c r="D2324" t="inlineStr">
        <is>
          <t>VÄSTERBOTTENS LÄN</t>
        </is>
      </c>
      <c r="E2324" t="inlineStr">
        <is>
          <t>SKELLEFTEÅ</t>
        </is>
      </c>
      <c r="F2324" t="inlineStr">
        <is>
          <t>Holmen skog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44877-2023</t>
        </is>
      </c>
      <c r="B2325" s="1" t="n">
        <v>45190</v>
      </c>
      <c r="C2325" s="1" t="n">
        <v>45641</v>
      </c>
      <c r="D2325" t="inlineStr">
        <is>
          <t>VÄSTERBOTTENS LÄN</t>
        </is>
      </c>
      <c r="E2325" t="inlineStr">
        <is>
          <t>SKELLEFTEÅ</t>
        </is>
      </c>
      <c r="F2325" t="inlineStr">
        <is>
          <t>Holmen skog AB</t>
        </is>
      </c>
      <c r="G2325" t="n">
        <v>11.8</v>
      </c>
      <c r="H2325" t="n">
        <v>0</v>
      </c>
      <c r="I2325" t="n">
        <v>0</v>
      </c>
      <c r="J2325" t="n">
        <v>0</v>
      </c>
      <c r="K2325" t="n">
        <v>0</v>
      </c>
      <c r="L2325" t="n">
        <v>0</v>
      </c>
      <c r="M2325" t="n">
        <v>0</v>
      </c>
      <c r="N2325" t="n">
        <v>0</v>
      </c>
      <c r="O2325" t="n">
        <v>0</v>
      </c>
      <c r="P2325" t="n">
        <v>0</v>
      </c>
      <c r="Q2325" t="n">
        <v>0</v>
      </c>
      <c r="R2325" s="2" t="inlineStr"/>
    </row>
    <row r="2326" ht="15" customHeight="1">
      <c r="A2326" t="inlineStr">
        <is>
          <t>A 44775-2023</t>
        </is>
      </c>
      <c r="B2326" s="1" t="n">
        <v>45190</v>
      </c>
      <c r="C2326" s="1" t="n">
        <v>45641</v>
      </c>
      <c r="D2326" t="inlineStr">
        <is>
          <t>VÄSTERBOTTENS LÄN</t>
        </is>
      </c>
      <c r="E2326" t="inlineStr">
        <is>
          <t>SKELLEFTEÅ</t>
        </is>
      </c>
      <c r="F2326" t="inlineStr">
        <is>
          <t>Sveaskog</t>
        </is>
      </c>
      <c r="G2326" t="n">
        <v>20.4</v>
      </c>
      <c r="H2326" t="n">
        <v>0</v>
      </c>
      <c r="I2326" t="n">
        <v>0</v>
      </c>
      <c r="J2326" t="n">
        <v>0</v>
      </c>
      <c r="K2326" t="n">
        <v>0</v>
      </c>
      <c r="L2326" t="n">
        <v>0</v>
      </c>
      <c r="M2326" t="n">
        <v>0</v>
      </c>
      <c r="N2326" t="n">
        <v>0</v>
      </c>
      <c r="O2326" t="n">
        <v>0</v>
      </c>
      <c r="P2326" t="n">
        <v>0</v>
      </c>
      <c r="Q2326" t="n">
        <v>0</v>
      </c>
      <c r="R2326" s="2" t="inlineStr"/>
    </row>
    <row r="2327" ht="15" customHeight="1">
      <c r="A2327" t="inlineStr">
        <is>
          <t>A 44825-2023</t>
        </is>
      </c>
      <c r="B2327" s="1" t="n">
        <v>45190</v>
      </c>
      <c r="C2327" s="1" t="n">
        <v>45641</v>
      </c>
      <c r="D2327" t="inlineStr">
        <is>
          <t>VÄSTERBOTTENS LÄN</t>
        </is>
      </c>
      <c r="E2327" t="inlineStr">
        <is>
          <t>SKELLEFTEÅ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46191-2023</t>
        </is>
      </c>
      <c r="B2328" s="1" t="n">
        <v>45190</v>
      </c>
      <c r="C2328" s="1" t="n">
        <v>45641</v>
      </c>
      <c r="D2328" t="inlineStr">
        <is>
          <t>VÄSTERBOTTENS LÄN</t>
        </is>
      </c>
      <c r="E2328" t="inlineStr">
        <is>
          <t>SKELLEFTEÅ</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46084-2023</t>
        </is>
      </c>
      <c r="B2329" s="1" t="n">
        <v>45190</v>
      </c>
      <c r="C2329" s="1" t="n">
        <v>45641</v>
      </c>
      <c r="D2329" t="inlineStr">
        <is>
          <t>VÄSTERBOTTENS LÄN</t>
        </is>
      </c>
      <c r="E2329" t="inlineStr">
        <is>
          <t>SKELLEFTEÅ</t>
        </is>
      </c>
      <c r="G2329" t="n">
        <v>10.7</v>
      </c>
      <c r="H2329" t="n">
        <v>0</v>
      </c>
      <c r="I2329" t="n">
        <v>0</v>
      </c>
      <c r="J2329" t="n">
        <v>0</v>
      </c>
      <c r="K2329" t="n">
        <v>0</v>
      </c>
      <c r="L2329" t="n">
        <v>0</v>
      </c>
      <c r="M2329" t="n">
        <v>0</v>
      </c>
      <c r="N2329" t="n">
        <v>0</v>
      </c>
      <c r="O2329" t="n">
        <v>0</v>
      </c>
      <c r="P2329" t="n">
        <v>0</v>
      </c>
      <c r="Q2329" t="n">
        <v>0</v>
      </c>
      <c r="R2329" s="2" t="inlineStr"/>
    </row>
    <row r="2330" ht="15" customHeight="1">
      <c r="A2330" t="inlineStr">
        <is>
          <t>A 46107-2023</t>
        </is>
      </c>
      <c r="B2330" s="1" t="n">
        <v>45190</v>
      </c>
      <c r="C2330" s="1" t="n">
        <v>45641</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45039-2023</t>
        </is>
      </c>
      <c r="B2331" s="1" t="n">
        <v>45191</v>
      </c>
      <c r="C2331" s="1" t="n">
        <v>45641</v>
      </c>
      <c r="D2331" t="inlineStr">
        <is>
          <t>VÄSTERBOTTENS LÄN</t>
        </is>
      </c>
      <c r="E2331" t="inlineStr">
        <is>
          <t>SKELLEFTEÅ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46302-2023</t>
        </is>
      </c>
      <c r="B2332" s="1" t="n">
        <v>45191</v>
      </c>
      <c r="C2332" s="1" t="n">
        <v>45641</v>
      </c>
      <c r="D2332" t="inlineStr">
        <is>
          <t>VÄSTERBOTTENS LÄN</t>
        </is>
      </c>
      <c r="E2332" t="inlineStr">
        <is>
          <t>SKELLEFTEÅ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45552-2023</t>
        </is>
      </c>
      <c r="B2333" s="1" t="n">
        <v>45194</v>
      </c>
      <c r="C2333" s="1" t="n">
        <v>45641</v>
      </c>
      <c r="D2333" t="inlineStr">
        <is>
          <t>VÄSTERBOTTENS LÄN</t>
        </is>
      </c>
      <c r="E2333" t="inlineStr">
        <is>
          <t>SKELLEFTEÅ</t>
        </is>
      </c>
      <c r="G2333" t="n">
        <v>18.3</v>
      </c>
      <c r="H2333" t="n">
        <v>0</v>
      </c>
      <c r="I2333" t="n">
        <v>0</v>
      </c>
      <c r="J2333" t="n">
        <v>0</v>
      </c>
      <c r="K2333" t="n">
        <v>0</v>
      </c>
      <c r="L2333" t="n">
        <v>0</v>
      </c>
      <c r="M2333" t="n">
        <v>0</v>
      </c>
      <c r="N2333" t="n">
        <v>0</v>
      </c>
      <c r="O2333" t="n">
        <v>0</v>
      </c>
      <c r="P2333" t="n">
        <v>0</v>
      </c>
      <c r="Q2333" t="n">
        <v>0</v>
      </c>
      <c r="R2333" s="2" t="inlineStr"/>
    </row>
    <row r="2334" ht="15" customHeight="1">
      <c r="A2334" t="inlineStr">
        <is>
          <t>A 46504-2023</t>
        </is>
      </c>
      <c r="B2334" s="1" t="n">
        <v>45194</v>
      </c>
      <c r="C2334" s="1" t="n">
        <v>45641</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45498-2023</t>
        </is>
      </c>
      <c r="B2335" s="1" t="n">
        <v>45194</v>
      </c>
      <c r="C2335" s="1" t="n">
        <v>45641</v>
      </c>
      <c r="D2335" t="inlineStr">
        <is>
          <t>VÄSTERBOTTENS LÄN</t>
        </is>
      </c>
      <c r="E2335" t="inlineStr">
        <is>
          <t>SKELLEFTEÅ</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46492-2023</t>
        </is>
      </c>
      <c r="B2336" s="1" t="n">
        <v>45194</v>
      </c>
      <c r="C2336" s="1" t="n">
        <v>45641</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46440-2023</t>
        </is>
      </c>
      <c r="B2337" s="1" t="n">
        <v>45197</v>
      </c>
      <c r="C2337" s="1" t="n">
        <v>45641</v>
      </c>
      <c r="D2337" t="inlineStr">
        <is>
          <t>VÄSTERBOTTENS LÄN</t>
        </is>
      </c>
      <c r="E2337" t="inlineStr">
        <is>
          <t>SKELLEFTEÅ</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46540-2023</t>
        </is>
      </c>
      <c r="B2338" s="1" t="n">
        <v>45198</v>
      </c>
      <c r="C2338" s="1" t="n">
        <v>45641</v>
      </c>
      <c r="D2338" t="inlineStr">
        <is>
          <t>VÄSTERBOTTENS LÄN</t>
        </is>
      </c>
      <c r="E2338" t="inlineStr">
        <is>
          <t>SKELLEFTEÅ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46539-2023</t>
        </is>
      </c>
      <c r="B2339" s="1" t="n">
        <v>45198</v>
      </c>
      <c r="C2339" s="1" t="n">
        <v>45641</v>
      </c>
      <c r="D2339" t="inlineStr">
        <is>
          <t>VÄSTERBOTTENS LÄN</t>
        </is>
      </c>
      <c r="E2339" t="inlineStr">
        <is>
          <t>SKELLEFTEÅ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46541-2023</t>
        </is>
      </c>
      <c r="B2340" s="1" t="n">
        <v>45198</v>
      </c>
      <c r="C2340" s="1" t="n">
        <v>45641</v>
      </c>
      <c r="D2340" t="inlineStr">
        <is>
          <t>VÄSTERBOTTENS LÄN</t>
        </is>
      </c>
      <c r="E2340" t="inlineStr">
        <is>
          <t>SKELLEFTEÅ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46448-2023</t>
        </is>
      </c>
      <c r="B2341" s="1" t="n">
        <v>45197</v>
      </c>
      <c r="C2341" s="1" t="n">
        <v>45641</v>
      </c>
      <c r="D2341" t="inlineStr">
        <is>
          <t>VÄSTERBOTTENS LÄN</t>
        </is>
      </c>
      <c r="E2341" t="inlineStr">
        <is>
          <t>SKELLEFTEÅ</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46538-2023</t>
        </is>
      </c>
      <c r="B2342" s="1" t="n">
        <v>45198</v>
      </c>
      <c r="C2342" s="1" t="n">
        <v>45641</v>
      </c>
      <c r="D2342" t="inlineStr">
        <is>
          <t>VÄSTERBOTTENS LÄN</t>
        </is>
      </c>
      <c r="E2342" t="inlineStr">
        <is>
          <t>SKELLEFTEÅ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47447-2023</t>
        </is>
      </c>
      <c r="B2343" s="1" t="n">
        <v>45197</v>
      </c>
      <c r="C2343" s="1" t="n">
        <v>45641</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46584-2023</t>
        </is>
      </c>
      <c r="B2344" s="1" t="n">
        <v>45198</v>
      </c>
      <c r="C2344" s="1" t="n">
        <v>45641</v>
      </c>
      <c r="D2344" t="inlineStr">
        <is>
          <t>VÄSTERBOTTENS LÄN</t>
        </is>
      </c>
      <c r="E2344" t="inlineStr">
        <is>
          <t>SKELLEFTEÅ</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46590-2023</t>
        </is>
      </c>
      <c r="B2345" s="1" t="n">
        <v>45198</v>
      </c>
      <c r="C2345" s="1" t="n">
        <v>45641</v>
      </c>
      <c r="D2345" t="inlineStr">
        <is>
          <t>VÄSTERBOTTENS LÄN</t>
        </is>
      </c>
      <c r="E2345" t="inlineStr">
        <is>
          <t>SKELLEFTEÅ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47924-2023</t>
        </is>
      </c>
      <c r="B2346" s="1" t="n">
        <v>45198</v>
      </c>
      <c r="C2346" s="1" t="n">
        <v>45641</v>
      </c>
      <c r="D2346" t="inlineStr">
        <is>
          <t>VÄSTERBOTTENS LÄN</t>
        </is>
      </c>
      <c r="E2346" t="inlineStr">
        <is>
          <t>SKELLEFTEÅ</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47923-2023</t>
        </is>
      </c>
      <c r="B2347" s="1" t="n">
        <v>45198</v>
      </c>
      <c r="C2347" s="1" t="n">
        <v>45641</v>
      </c>
      <c r="D2347" t="inlineStr">
        <is>
          <t>VÄSTERBOTTENS LÄN</t>
        </is>
      </c>
      <c r="E2347" t="inlineStr">
        <is>
          <t>SKELLEFTEÅ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47925-2023</t>
        </is>
      </c>
      <c r="B2348" s="1" t="n">
        <v>45198</v>
      </c>
      <c r="C2348" s="1" t="n">
        <v>45641</v>
      </c>
      <c r="D2348" t="inlineStr">
        <is>
          <t>VÄSTERBOTTENS LÄN</t>
        </is>
      </c>
      <c r="E2348" t="inlineStr">
        <is>
          <t>SKELLEFTEÅ</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47155-2023</t>
        </is>
      </c>
      <c r="B2349" s="1" t="n">
        <v>45202</v>
      </c>
      <c r="C2349" s="1" t="n">
        <v>45641</v>
      </c>
      <c r="D2349" t="inlineStr">
        <is>
          <t>VÄSTERBOTTENS LÄN</t>
        </is>
      </c>
      <c r="E2349" t="inlineStr">
        <is>
          <t>SKELLEFTEÅ</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47154-2023</t>
        </is>
      </c>
      <c r="B2350" s="1" t="n">
        <v>45202</v>
      </c>
      <c r="C2350" s="1" t="n">
        <v>45641</v>
      </c>
      <c r="D2350" t="inlineStr">
        <is>
          <t>VÄSTERBOTTENS LÄN</t>
        </is>
      </c>
      <c r="E2350" t="inlineStr">
        <is>
          <t>SKELLEFTEÅ</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47139-2023</t>
        </is>
      </c>
      <c r="B2351" s="1" t="n">
        <v>45201</v>
      </c>
      <c r="C2351" s="1" t="n">
        <v>45641</v>
      </c>
      <c r="D2351" t="inlineStr">
        <is>
          <t>VÄSTERBOTTENS LÄN</t>
        </is>
      </c>
      <c r="E2351" t="inlineStr">
        <is>
          <t>SKELLEFTEÅ</t>
        </is>
      </c>
      <c r="F2351" t="inlineStr">
        <is>
          <t>Sveaskog</t>
        </is>
      </c>
      <c r="G2351" t="n">
        <v>11.3</v>
      </c>
      <c r="H2351" t="n">
        <v>0</v>
      </c>
      <c r="I2351" t="n">
        <v>0</v>
      </c>
      <c r="J2351" t="n">
        <v>0</v>
      </c>
      <c r="K2351" t="n">
        <v>0</v>
      </c>
      <c r="L2351" t="n">
        <v>0</v>
      </c>
      <c r="M2351" t="n">
        <v>0</v>
      </c>
      <c r="N2351" t="n">
        <v>0</v>
      </c>
      <c r="O2351" t="n">
        <v>0</v>
      </c>
      <c r="P2351" t="n">
        <v>0</v>
      </c>
      <c r="Q2351" t="n">
        <v>0</v>
      </c>
      <c r="R2351" s="2" t="inlineStr"/>
    </row>
    <row r="2352" ht="15" customHeight="1">
      <c r="A2352" t="inlineStr">
        <is>
          <t>A 46965-2023</t>
        </is>
      </c>
      <c r="B2352" s="1" t="n">
        <v>45201</v>
      </c>
      <c r="C2352" s="1" t="n">
        <v>45641</v>
      </c>
      <c r="D2352" t="inlineStr">
        <is>
          <t>VÄSTERBOTTENS LÄN</t>
        </is>
      </c>
      <c r="E2352" t="inlineStr">
        <is>
          <t>SKELLEFTEÅ</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48392-2023</t>
        </is>
      </c>
      <c r="B2353" s="1" t="n">
        <v>45201</v>
      </c>
      <c r="C2353" s="1" t="n">
        <v>45641</v>
      </c>
      <c r="D2353" t="inlineStr">
        <is>
          <t>VÄSTERBOTTENS LÄN</t>
        </is>
      </c>
      <c r="E2353" t="inlineStr">
        <is>
          <t>SKELLEFTEÅ</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48394-2023</t>
        </is>
      </c>
      <c r="B2354" s="1" t="n">
        <v>45201</v>
      </c>
      <c r="C2354" s="1" t="n">
        <v>45641</v>
      </c>
      <c r="D2354" t="inlineStr">
        <is>
          <t>VÄSTERBOTTENS LÄN</t>
        </is>
      </c>
      <c r="E2354" t="inlineStr">
        <is>
          <t>SKELLEFTEÅ</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47312-2023</t>
        </is>
      </c>
      <c r="B2355" s="1" t="n">
        <v>45202</v>
      </c>
      <c r="C2355" s="1" t="n">
        <v>45641</v>
      </c>
      <c r="D2355" t="inlineStr">
        <is>
          <t>VÄSTERBOTTENS LÄN</t>
        </is>
      </c>
      <c r="E2355" t="inlineStr">
        <is>
          <t>SKELLEFTEÅ</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47406-2023</t>
        </is>
      </c>
      <c r="B2356" s="1" t="n">
        <v>45202</v>
      </c>
      <c r="C2356" s="1" t="n">
        <v>45641</v>
      </c>
      <c r="D2356" t="inlineStr">
        <is>
          <t>VÄSTERBOTTENS LÄN</t>
        </is>
      </c>
      <c r="E2356" t="inlineStr">
        <is>
          <t>SKELLEFTEÅ</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47468-2023</t>
        </is>
      </c>
      <c r="B2357" s="1" t="n">
        <v>45202</v>
      </c>
      <c r="C2357" s="1" t="n">
        <v>45641</v>
      </c>
      <c r="D2357" t="inlineStr">
        <is>
          <t>VÄSTERBOTTENS LÄN</t>
        </is>
      </c>
      <c r="E2357" t="inlineStr">
        <is>
          <t>SKELLEFTEÅ</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47716-2023</t>
        </is>
      </c>
      <c r="B2358" s="1" t="n">
        <v>45203</v>
      </c>
      <c r="C2358" s="1" t="n">
        <v>45641</v>
      </c>
      <c r="D2358" t="inlineStr">
        <is>
          <t>VÄSTERBOTTENS LÄN</t>
        </is>
      </c>
      <c r="E2358" t="inlineStr">
        <is>
          <t>SKELLEFTEÅ</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47531-2023</t>
        </is>
      </c>
      <c r="B2359" s="1" t="n">
        <v>45203</v>
      </c>
      <c r="C2359" s="1" t="n">
        <v>45641</v>
      </c>
      <c r="D2359" t="inlineStr">
        <is>
          <t>VÄSTERBOTTENS LÄN</t>
        </is>
      </c>
      <c r="E2359" t="inlineStr">
        <is>
          <t>SKELLEFTEÅ</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47534-2023</t>
        </is>
      </c>
      <c r="B2360" s="1" t="n">
        <v>45203</v>
      </c>
      <c r="C2360" s="1" t="n">
        <v>45641</v>
      </c>
      <c r="D2360" t="inlineStr">
        <is>
          <t>VÄSTERBOTTENS LÄN</t>
        </is>
      </c>
      <c r="E2360" t="inlineStr">
        <is>
          <t>SKELLEFTEÅ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47910-2023</t>
        </is>
      </c>
      <c r="B2361" s="1" t="n">
        <v>45204</v>
      </c>
      <c r="C2361" s="1" t="n">
        <v>45641</v>
      </c>
      <c r="D2361" t="inlineStr">
        <is>
          <t>VÄSTERBOTTENS LÄN</t>
        </is>
      </c>
      <c r="E2361" t="inlineStr">
        <is>
          <t>SKELLEFTEÅ</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48062-2023</t>
        </is>
      </c>
      <c r="B2362" s="1" t="n">
        <v>45205</v>
      </c>
      <c r="C2362" s="1" t="n">
        <v>45641</v>
      </c>
      <c r="D2362" t="inlineStr">
        <is>
          <t>VÄSTERBOTTENS LÄN</t>
        </is>
      </c>
      <c r="E2362" t="inlineStr">
        <is>
          <t>SKELLEFTEÅ</t>
        </is>
      </c>
      <c r="G2362" t="n">
        <v>12.4</v>
      </c>
      <c r="H2362" t="n">
        <v>0</v>
      </c>
      <c r="I2362" t="n">
        <v>0</v>
      </c>
      <c r="J2362" t="n">
        <v>0</v>
      </c>
      <c r="K2362" t="n">
        <v>0</v>
      </c>
      <c r="L2362" t="n">
        <v>0</v>
      </c>
      <c r="M2362" t="n">
        <v>0</v>
      </c>
      <c r="N2362" t="n">
        <v>0</v>
      </c>
      <c r="O2362" t="n">
        <v>0</v>
      </c>
      <c r="P2362" t="n">
        <v>0</v>
      </c>
      <c r="Q2362" t="n">
        <v>0</v>
      </c>
      <c r="R2362" s="2" t="inlineStr"/>
    </row>
    <row r="2363" ht="15" customHeight="1">
      <c r="A2363" t="inlineStr">
        <is>
          <t>A 48160-2023</t>
        </is>
      </c>
      <c r="B2363" s="1" t="n">
        <v>45205</v>
      </c>
      <c r="C2363" s="1" t="n">
        <v>45641</v>
      </c>
      <c r="D2363" t="inlineStr">
        <is>
          <t>VÄSTERBOTTENS LÄN</t>
        </is>
      </c>
      <c r="E2363" t="inlineStr">
        <is>
          <t>SKELLEFTEÅ</t>
        </is>
      </c>
      <c r="G2363" t="n">
        <v>18.8</v>
      </c>
      <c r="H2363" t="n">
        <v>0</v>
      </c>
      <c r="I2363" t="n">
        <v>0</v>
      </c>
      <c r="J2363" t="n">
        <v>0</v>
      </c>
      <c r="K2363" t="n">
        <v>0</v>
      </c>
      <c r="L2363" t="n">
        <v>0</v>
      </c>
      <c r="M2363" t="n">
        <v>0</v>
      </c>
      <c r="N2363" t="n">
        <v>0</v>
      </c>
      <c r="O2363" t="n">
        <v>0</v>
      </c>
      <c r="P2363" t="n">
        <v>0</v>
      </c>
      <c r="Q2363" t="n">
        <v>0</v>
      </c>
      <c r="R2363" s="2" t="inlineStr"/>
    </row>
    <row r="2364" ht="15" customHeight="1">
      <c r="A2364" t="inlineStr">
        <is>
          <t>A 48316-2023</t>
        </is>
      </c>
      <c r="B2364" s="1" t="n">
        <v>45205</v>
      </c>
      <c r="C2364" s="1" t="n">
        <v>45641</v>
      </c>
      <c r="D2364" t="inlineStr">
        <is>
          <t>VÄSTERBOTTENS LÄN</t>
        </is>
      </c>
      <c r="E2364" t="inlineStr">
        <is>
          <t>SKELLEFTEÅ</t>
        </is>
      </c>
      <c r="F2364" t="inlineStr">
        <is>
          <t>Holmen skog AB</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48264-2023</t>
        </is>
      </c>
      <c r="B2365" s="1" t="n">
        <v>45205</v>
      </c>
      <c r="C2365" s="1" t="n">
        <v>45641</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48361-2023</t>
        </is>
      </c>
      <c r="B2366" s="1" t="n">
        <v>45205</v>
      </c>
      <c r="C2366" s="1" t="n">
        <v>45641</v>
      </c>
      <c r="D2366" t="inlineStr">
        <is>
          <t>VÄSTERBOTTENS LÄN</t>
        </is>
      </c>
      <c r="E2366" t="inlineStr">
        <is>
          <t>SKELLEFTEÅ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49573-2023</t>
        </is>
      </c>
      <c r="B2367" s="1" t="n">
        <v>45205</v>
      </c>
      <c r="C2367" s="1" t="n">
        <v>45641</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49587-2023</t>
        </is>
      </c>
      <c r="B2368" s="1" t="n">
        <v>45206</v>
      </c>
      <c r="C2368" s="1" t="n">
        <v>45641</v>
      </c>
      <c r="D2368" t="inlineStr">
        <is>
          <t>VÄSTERBOTTENS LÄN</t>
        </is>
      </c>
      <c r="E2368" t="inlineStr">
        <is>
          <t>SKELLEFTEÅ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49594-2023</t>
        </is>
      </c>
      <c r="B2369" s="1" t="n">
        <v>45206</v>
      </c>
      <c r="C2369" s="1" t="n">
        <v>45641</v>
      </c>
      <c r="D2369" t="inlineStr">
        <is>
          <t>VÄSTERBOTTENS LÄN</t>
        </is>
      </c>
      <c r="E2369" t="inlineStr">
        <is>
          <t>SKELLEFTEÅ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48454-2023</t>
        </is>
      </c>
      <c r="B2370" s="1" t="n">
        <v>45206</v>
      </c>
      <c r="C2370" s="1" t="n">
        <v>45641</v>
      </c>
      <c r="D2370" t="inlineStr">
        <is>
          <t>VÄSTERBOTTENS LÄN</t>
        </is>
      </c>
      <c r="E2370" t="inlineStr">
        <is>
          <t>SKELLEFTEÅ</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48501-2023</t>
        </is>
      </c>
      <c r="B2371" s="1" t="n">
        <v>45207</v>
      </c>
      <c r="C2371" s="1" t="n">
        <v>45641</v>
      </c>
      <c r="D2371" t="inlineStr">
        <is>
          <t>VÄSTERBOTTENS LÄN</t>
        </is>
      </c>
      <c r="E2371" t="inlineStr">
        <is>
          <t>SKELLEFTEÅ</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48517-2023</t>
        </is>
      </c>
      <c r="B2372" s="1" t="n">
        <v>45208</v>
      </c>
      <c r="C2372" s="1" t="n">
        <v>45641</v>
      </c>
      <c r="D2372" t="inlineStr">
        <is>
          <t>VÄSTERBOTTENS LÄN</t>
        </is>
      </c>
      <c r="E2372" t="inlineStr">
        <is>
          <t>SKELLEFTEÅ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48518-2023</t>
        </is>
      </c>
      <c r="B2373" s="1" t="n">
        <v>45208</v>
      </c>
      <c r="C2373" s="1" t="n">
        <v>45641</v>
      </c>
      <c r="D2373" t="inlineStr">
        <is>
          <t>VÄSTERBOTTENS LÄN</t>
        </is>
      </c>
      <c r="E2373" t="inlineStr">
        <is>
          <t>SKELLEFTEÅ</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48573-2023</t>
        </is>
      </c>
      <c r="B2374" s="1" t="n">
        <v>45208</v>
      </c>
      <c r="C2374" s="1" t="n">
        <v>45641</v>
      </c>
      <c r="D2374" t="inlineStr">
        <is>
          <t>VÄSTERBOTTENS LÄN</t>
        </is>
      </c>
      <c r="E2374" t="inlineStr">
        <is>
          <t>SKELLEFTEÅ</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48516-2023</t>
        </is>
      </c>
      <c r="B2375" s="1" t="n">
        <v>45208</v>
      </c>
      <c r="C2375" s="1" t="n">
        <v>45641</v>
      </c>
      <c r="D2375" t="inlineStr">
        <is>
          <t>VÄSTERBOTTENS LÄN</t>
        </is>
      </c>
      <c r="E2375" t="inlineStr">
        <is>
          <t>SKELLEFTEÅ</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48802-2023</t>
        </is>
      </c>
      <c r="B2376" s="1" t="n">
        <v>45209</v>
      </c>
      <c r="C2376" s="1" t="n">
        <v>45641</v>
      </c>
      <c r="D2376" t="inlineStr">
        <is>
          <t>VÄSTERBOTTENS LÄN</t>
        </is>
      </c>
      <c r="E2376" t="inlineStr">
        <is>
          <t>SKELLEFTEÅ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50185-2023</t>
        </is>
      </c>
      <c r="B2377" s="1" t="n">
        <v>45209</v>
      </c>
      <c r="C2377" s="1" t="n">
        <v>45641</v>
      </c>
      <c r="D2377" t="inlineStr">
        <is>
          <t>VÄSTERBOTTENS LÄN</t>
        </is>
      </c>
      <c r="E2377" t="inlineStr">
        <is>
          <t>SKELLEFTEÅ</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49161-2023</t>
        </is>
      </c>
      <c r="B2378" s="1" t="n">
        <v>45210</v>
      </c>
      <c r="C2378" s="1" t="n">
        <v>45641</v>
      </c>
      <c r="D2378" t="inlineStr">
        <is>
          <t>VÄSTERBOTTENS LÄN</t>
        </is>
      </c>
      <c r="E2378" t="inlineStr">
        <is>
          <t>SKELLEFTEÅ</t>
        </is>
      </c>
      <c r="F2378" t="inlineStr">
        <is>
          <t>Holmen skog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49130-2023</t>
        </is>
      </c>
      <c r="B2379" s="1" t="n">
        <v>45210</v>
      </c>
      <c r="C2379" s="1" t="n">
        <v>45641</v>
      </c>
      <c r="D2379" t="inlineStr">
        <is>
          <t>VÄSTERBOTTENS LÄN</t>
        </is>
      </c>
      <c r="E2379" t="inlineStr">
        <is>
          <t>SKELLEFTEÅ</t>
        </is>
      </c>
      <c r="F2379" t="inlineStr">
        <is>
          <t>Holmen skog AB</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49055-2023</t>
        </is>
      </c>
      <c r="B2380" s="1" t="n">
        <v>45210</v>
      </c>
      <c r="C2380" s="1" t="n">
        <v>45641</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49241-2023</t>
        </is>
      </c>
      <c r="B2381" s="1" t="n">
        <v>45210</v>
      </c>
      <c r="C2381" s="1" t="n">
        <v>45641</v>
      </c>
      <c r="D2381" t="inlineStr">
        <is>
          <t>VÄSTERBOTTENS LÄN</t>
        </is>
      </c>
      <c r="E2381" t="inlineStr">
        <is>
          <t>SKELLEFTEÅ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49243-2023</t>
        </is>
      </c>
      <c r="B2382" s="1" t="n">
        <v>45210</v>
      </c>
      <c r="C2382" s="1" t="n">
        <v>45641</v>
      </c>
      <c r="D2382" t="inlineStr">
        <is>
          <t>VÄSTERBOTTENS LÄN</t>
        </is>
      </c>
      <c r="E2382" t="inlineStr">
        <is>
          <t>SKELLEFTEÅ</t>
        </is>
      </c>
      <c r="F2382" t="inlineStr">
        <is>
          <t>Holmen skog AB</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50378-2023</t>
        </is>
      </c>
      <c r="B2383" s="1" t="n">
        <v>45210</v>
      </c>
      <c r="C2383" s="1" t="n">
        <v>45641</v>
      </c>
      <c r="D2383" t="inlineStr">
        <is>
          <t>VÄSTERBOTTENS LÄN</t>
        </is>
      </c>
      <c r="E2383" t="inlineStr">
        <is>
          <t>SKELLEFTEÅ</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49283-2023</t>
        </is>
      </c>
      <c r="B2384" s="1" t="n">
        <v>45210</v>
      </c>
      <c r="C2384" s="1" t="n">
        <v>45641</v>
      </c>
      <c r="D2384" t="inlineStr">
        <is>
          <t>VÄSTERBOTTENS LÄN</t>
        </is>
      </c>
      <c r="E2384" t="inlineStr">
        <is>
          <t>SKELLEFTEÅ</t>
        </is>
      </c>
      <c r="F2384" t="inlineStr">
        <is>
          <t>Holmen skog AB</t>
        </is>
      </c>
      <c r="G2384" t="n">
        <v>8.5</v>
      </c>
      <c r="H2384" t="n">
        <v>0</v>
      </c>
      <c r="I2384" t="n">
        <v>0</v>
      </c>
      <c r="J2384" t="n">
        <v>0</v>
      </c>
      <c r="K2384" t="n">
        <v>0</v>
      </c>
      <c r="L2384" t="n">
        <v>0</v>
      </c>
      <c r="M2384" t="n">
        <v>0</v>
      </c>
      <c r="N2384" t="n">
        <v>0</v>
      </c>
      <c r="O2384" t="n">
        <v>0</v>
      </c>
      <c r="P2384" t="n">
        <v>0</v>
      </c>
      <c r="Q2384" t="n">
        <v>0</v>
      </c>
      <c r="R2384" s="2" t="inlineStr"/>
    </row>
    <row r="2385" ht="15" customHeight="1">
      <c r="A2385" t="inlineStr">
        <is>
          <t>A 49688-2023</t>
        </is>
      </c>
      <c r="B2385" s="1" t="n">
        <v>45212</v>
      </c>
      <c r="C2385" s="1" t="n">
        <v>45641</v>
      </c>
      <c r="D2385" t="inlineStr">
        <is>
          <t>VÄSTERBOTTENS LÄN</t>
        </is>
      </c>
      <c r="E2385" t="inlineStr">
        <is>
          <t>SKELLEFTEÅ</t>
        </is>
      </c>
      <c r="F2385" t="inlineStr">
        <is>
          <t>Holmen skog AB</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49730-2023</t>
        </is>
      </c>
      <c r="B2386" s="1" t="n">
        <v>45212</v>
      </c>
      <c r="C2386" s="1" t="n">
        <v>45641</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49728-2023</t>
        </is>
      </c>
      <c r="B2387" s="1" t="n">
        <v>45212</v>
      </c>
      <c r="C2387" s="1" t="n">
        <v>45641</v>
      </c>
      <c r="D2387" t="inlineStr">
        <is>
          <t>VÄSTERBOTTENS LÄN</t>
        </is>
      </c>
      <c r="E2387" t="inlineStr">
        <is>
          <t>SKELLEFTEÅ</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51342-2023</t>
        </is>
      </c>
      <c r="B2388" s="1" t="n">
        <v>45212</v>
      </c>
      <c r="C2388" s="1" t="n">
        <v>45641</v>
      </c>
      <c r="D2388" t="inlineStr">
        <is>
          <t>VÄSTERBOTTENS LÄN</t>
        </is>
      </c>
      <c r="E2388" t="inlineStr">
        <is>
          <t>SKELLEFTEÅ</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49901-2023</t>
        </is>
      </c>
      <c r="B2389" s="1" t="n">
        <v>45213</v>
      </c>
      <c r="C2389" s="1" t="n">
        <v>45641</v>
      </c>
      <c r="D2389" t="inlineStr">
        <is>
          <t>VÄSTERBOTTENS LÄN</t>
        </is>
      </c>
      <c r="E2389" t="inlineStr">
        <is>
          <t>SKELLEFTEÅ</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49900-2023</t>
        </is>
      </c>
      <c r="B2390" s="1" t="n">
        <v>45213</v>
      </c>
      <c r="C2390" s="1" t="n">
        <v>45641</v>
      </c>
      <c r="D2390" t="inlineStr">
        <is>
          <t>VÄSTERBOTTENS LÄN</t>
        </is>
      </c>
      <c r="E2390" t="inlineStr">
        <is>
          <t>SKELLEFTEÅ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49949-2023</t>
        </is>
      </c>
      <c r="B2391" s="1" t="n">
        <v>45215</v>
      </c>
      <c r="C2391" s="1" t="n">
        <v>45641</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50081-2023</t>
        </is>
      </c>
      <c r="B2392" s="1" t="n">
        <v>45215</v>
      </c>
      <c r="C2392" s="1" t="n">
        <v>45641</v>
      </c>
      <c r="D2392" t="inlineStr">
        <is>
          <t>VÄSTERBOTTENS LÄN</t>
        </is>
      </c>
      <c r="E2392" t="inlineStr">
        <is>
          <t>SKELLEFTEÅ</t>
        </is>
      </c>
      <c r="F2392" t="inlineStr">
        <is>
          <t>Holmen skog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50108-2023</t>
        </is>
      </c>
      <c r="B2393" s="1" t="n">
        <v>45215</v>
      </c>
      <c r="C2393" s="1" t="n">
        <v>45641</v>
      </c>
      <c r="D2393" t="inlineStr">
        <is>
          <t>VÄSTERBOTTENS LÄN</t>
        </is>
      </c>
      <c r="E2393" t="inlineStr">
        <is>
          <t>SKELLEFTEÅ</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51590-2023</t>
        </is>
      </c>
      <c r="B2394" s="1" t="n">
        <v>45215</v>
      </c>
      <c r="C2394" s="1" t="n">
        <v>45641</v>
      </c>
      <c r="D2394" t="inlineStr">
        <is>
          <t>VÄSTERBOTTENS LÄN</t>
        </is>
      </c>
      <c r="E2394" t="inlineStr">
        <is>
          <t>SKELLEFTEÅ</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51611-2023</t>
        </is>
      </c>
      <c r="B2395" s="1" t="n">
        <v>45215</v>
      </c>
      <c r="C2395" s="1" t="n">
        <v>45641</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51683-2023</t>
        </is>
      </c>
      <c r="B2396" s="1" t="n">
        <v>45215</v>
      </c>
      <c r="C2396" s="1" t="n">
        <v>45641</v>
      </c>
      <c r="D2396" t="inlineStr">
        <is>
          <t>VÄSTERBOTTENS LÄN</t>
        </is>
      </c>
      <c r="E2396" t="inlineStr">
        <is>
          <t>SKELLEFTEÅ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51664-2023</t>
        </is>
      </c>
      <c r="B2397" s="1" t="n">
        <v>45215</v>
      </c>
      <c r="C2397" s="1" t="n">
        <v>45641</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50474-2023</t>
        </is>
      </c>
      <c r="B2398" s="1" t="n">
        <v>45217</v>
      </c>
      <c r="C2398" s="1" t="n">
        <v>45641</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50462-2023</t>
        </is>
      </c>
      <c r="B2399" s="1" t="n">
        <v>45216</v>
      </c>
      <c r="C2399" s="1" t="n">
        <v>45641</v>
      </c>
      <c r="D2399" t="inlineStr">
        <is>
          <t>VÄSTERBOTTENS LÄN</t>
        </is>
      </c>
      <c r="E2399" t="inlineStr">
        <is>
          <t>SKELLEFTEÅ</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50477-2023</t>
        </is>
      </c>
      <c r="B2400" s="1" t="n">
        <v>45217</v>
      </c>
      <c r="C2400" s="1" t="n">
        <v>45641</v>
      </c>
      <c r="D2400" t="inlineStr">
        <is>
          <t>VÄSTERBOTTENS LÄN</t>
        </is>
      </c>
      <c r="E2400" t="inlineStr">
        <is>
          <t>SKELLEFTEÅ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50338-2023</t>
        </is>
      </c>
      <c r="B2401" s="1" t="n">
        <v>45216</v>
      </c>
      <c r="C2401" s="1" t="n">
        <v>45641</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52062-2023</t>
        </is>
      </c>
      <c r="B2402" s="1" t="n">
        <v>45216</v>
      </c>
      <c r="C2402" s="1" t="n">
        <v>45641</v>
      </c>
      <c r="D2402" t="inlineStr">
        <is>
          <t>VÄSTERBOTTENS LÄN</t>
        </is>
      </c>
      <c r="E2402" t="inlineStr">
        <is>
          <t>SKELLEFTEÅ</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52037-2023</t>
        </is>
      </c>
      <c r="B2403" s="1" t="n">
        <v>45216</v>
      </c>
      <c r="C2403" s="1" t="n">
        <v>45641</v>
      </c>
      <c r="D2403" t="inlineStr">
        <is>
          <t>VÄSTERBOTTENS LÄN</t>
        </is>
      </c>
      <c r="E2403" t="inlineStr">
        <is>
          <t>SKELLEFTEÅ</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51926-2023</t>
        </is>
      </c>
      <c r="B2404" s="1" t="n">
        <v>45216</v>
      </c>
      <c r="C2404" s="1" t="n">
        <v>45641</v>
      </c>
      <c r="D2404" t="inlineStr">
        <is>
          <t>VÄSTERBOTTENS LÄN</t>
        </is>
      </c>
      <c r="E2404" t="inlineStr">
        <is>
          <t>SKELLEFTEÅ</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50475-2023</t>
        </is>
      </c>
      <c r="B2405" s="1" t="n">
        <v>45217</v>
      </c>
      <c r="C2405" s="1" t="n">
        <v>45641</v>
      </c>
      <c r="D2405" t="inlineStr">
        <is>
          <t>VÄSTERBOTTENS LÄN</t>
        </is>
      </c>
      <c r="E2405" t="inlineStr">
        <is>
          <t>SKELLEFTEÅ</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51970-2023</t>
        </is>
      </c>
      <c r="B2406" s="1" t="n">
        <v>45216</v>
      </c>
      <c r="C2406" s="1" t="n">
        <v>45641</v>
      </c>
      <c r="D2406" t="inlineStr">
        <is>
          <t>VÄSTERBOTTENS LÄN</t>
        </is>
      </c>
      <c r="E2406" t="inlineStr">
        <is>
          <t>SKELLEFTEÅ</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51928-2023</t>
        </is>
      </c>
      <c r="B2407" s="1" t="n">
        <v>45216</v>
      </c>
      <c r="C2407" s="1" t="n">
        <v>45641</v>
      </c>
      <c r="D2407" t="inlineStr">
        <is>
          <t>VÄSTERBOTTENS LÄN</t>
        </is>
      </c>
      <c r="E2407" t="inlineStr">
        <is>
          <t>SKELLEFTEÅ</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51960-2023</t>
        </is>
      </c>
      <c r="B2408" s="1" t="n">
        <v>45216</v>
      </c>
      <c r="C2408" s="1" t="n">
        <v>45641</v>
      </c>
      <c r="D2408" t="inlineStr">
        <is>
          <t>VÄSTERBOTTENS LÄN</t>
        </is>
      </c>
      <c r="E2408" t="inlineStr">
        <is>
          <t>SKELLEFTEÅ</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51963-2023</t>
        </is>
      </c>
      <c r="B2409" s="1" t="n">
        <v>45216</v>
      </c>
      <c r="C2409" s="1" t="n">
        <v>45641</v>
      </c>
      <c r="D2409" t="inlineStr">
        <is>
          <t>VÄSTERBOTTENS LÄN</t>
        </is>
      </c>
      <c r="E2409" t="inlineStr">
        <is>
          <t>SKELLEFTEÅ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50488-2023</t>
        </is>
      </c>
      <c r="B2410" s="1" t="n">
        <v>45217</v>
      </c>
      <c r="C2410" s="1" t="n">
        <v>45641</v>
      </c>
      <c r="D2410" t="inlineStr">
        <is>
          <t>VÄSTERBOTTENS LÄN</t>
        </is>
      </c>
      <c r="E2410" t="inlineStr">
        <is>
          <t>SKELLEFTEÅ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50476-2023</t>
        </is>
      </c>
      <c r="B2411" s="1" t="n">
        <v>45217</v>
      </c>
      <c r="C2411" s="1" t="n">
        <v>45641</v>
      </c>
      <c r="D2411" t="inlineStr">
        <is>
          <t>VÄSTERBOTTENS LÄN</t>
        </is>
      </c>
      <c r="E2411" t="inlineStr">
        <is>
          <t>SKELLEFTEÅ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50464-2023</t>
        </is>
      </c>
      <c r="B2412" s="1" t="n">
        <v>45216</v>
      </c>
      <c r="C2412" s="1" t="n">
        <v>45641</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50549-2023</t>
        </is>
      </c>
      <c r="B2413" s="1" t="n">
        <v>45217</v>
      </c>
      <c r="C2413" s="1" t="n">
        <v>45641</v>
      </c>
      <c r="D2413" t="inlineStr">
        <is>
          <t>VÄSTERBOTTENS LÄN</t>
        </is>
      </c>
      <c r="E2413" t="inlineStr">
        <is>
          <t>SKELLEFTEÅ</t>
        </is>
      </c>
      <c r="F2413" t="inlineStr">
        <is>
          <t>Holmen skog AB</t>
        </is>
      </c>
      <c r="G2413" t="n">
        <v>28.5</v>
      </c>
      <c r="H2413" t="n">
        <v>0</v>
      </c>
      <c r="I2413" t="n">
        <v>0</v>
      </c>
      <c r="J2413" t="n">
        <v>0</v>
      </c>
      <c r="K2413" t="n">
        <v>0</v>
      </c>
      <c r="L2413" t="n">
        <v>0</v>
      </c>
      <c r="M2413" t="n">
        <v>0</v>
      </c>
      <c r="N2413" t="n">
        <v>0</v>
      </c>
      <c r="O2413" t="n">
        <v>0</v>
      </c>
      <c r="P2413" t="n">
        <v>0</v>
      </c>
      <c r="Q2413" t="n">
        <v>0</v>
      </c>
      <c r="R2413" s="2" t="inlineStr"/>
    </row>
    <row r="2414" ht="15" customHeight="1">
      <c r="A2414" t="inlineStr">
        <is>
          <t>A 50821-2023</t>
        </is>
      </c>
      <c r="B2414" s="1" t="n">
        <v>45218</v>
      </c>
      <c r="C2414" s="1" t="n">
        <v>45641</v>
      </c>
      <c r="D2414" t="inlineStr">
        <is>
          <t>VÄSTERBOTTENS LÄN</t>
        </is>
      </c>
      <c r="E2414" t="inlineStr">
        <is>
          <t>SKELLEFTEÅ</t>
        </is>
      </c>
      <c r="G2414" t="n">
        <v>19.3</v>
      </c>
      <c r="H2414" t="n">
        <v>0</v>
      </c>
      <c r="I2414" t="n">
        <v>0</v>
      </c>
      <c r="J2414" t="n">
        <v>0</v>
      </c>
      <c r="K2414" t="n">
        <v>0</v>
      </c>
      <c r="L2414" t="n">
        <v>0</v>
      </c>
      <c r="M2414" t="n">
        <v>0</v>
      </c>
      <c r="N2414" t="n">
        <v>0</v>
      </c>
      <c r="O2414" t="n">
        <v>0</v>
      </c>
      <c r="P2414" t="n">
        <v>0</v>
      </c>
      <c r="Q2414" t="n">
        <v>0</v>
      </c>
      <c r="R2414" s="2" t="inlineStr"/>
    </row>
    <row r="2415" ht="15" customHeight="1">
      <c r="A2415" t="inlineStr">
        <is>
          <t>A 52228-2023</t>
        </is>
      </c>
      <c r="B2415" s="1" t="n">
        <v>45217</v>
      </c>
      <c r="C2415" s="1" t="n">
        <v>45641</v>
      </c>
      <c r="D2415" t="inlineStr">
        <is>
          <t>VÄSTERBOTTENS LÄN</t>
        </is>
      </c>
      <c r="E2415" t="inlineStr">
        <is>
          <t>SKELLEFTEÅ</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52305-2023</t>
        </is>
      </c>
      <c r="B2416" s="1" t="n">
        <v>45217</v>
      </c>
      <c r="C2416" s="1" t="n">
        <v>45641</v>
      </c>
      <c r="D2416" t="inlineStr">
        <is>
          <t>VÄSTERBOTTENS LÄN</t>
        </is>
      </c>
      <c r="E2416" t="inlineStr">
        <is>
          <t>SKELLEFTEÅ</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52300-2023</t>
        </is>
      </c>
      <c r="B2417" s="1" t="n">
        <v>45217</v>
      </c>
      <c r="C2417" s="1" t="n">
        <v>45641</v>
      </c>
      <c r="D2417" t="inlineStr">
        <is>
          <t>VÄSTERBOTTENS LÄN</t>
        </is>
      </c>
      <c r="E2417" t="inlineStr">
        <is>
          <t>SKELLEFTEÅ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52287-2023</t>
        </is>
      </c>
      <c r="B2418" s="1" t="n">
        <v>45217</v>
      </c>
      <c r="C2418" s="1" t="n">
        <v>45641</v>
      </c>
      <c r="D2418" t="inlineStr">
        <is>
          <t>VÄSTERBOTTENS LÄN</t>
        </is>
      </c>
      <c r="E2418" t="inlineStr">
        <is>
          <t>SKELLEFTEÅ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52239-2023</t>
        </is>
      </c>
      <c r="B2419" s="1" t="n">
        <v>45217</v>
      </c>
      <c r="C2419" s="1" t="n">
        <v>45641</v>
      </c>
      <c r="D2419" t="inlineStr">
        <is>
          <t>VÄSTERBOTTENS LÄN</t>
        </is>
      </c>
      <c r="E2419" t="inlineStr">
        <is>
          <t>SKELLEFTEÅ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52792-2023</t>
        </is>
      </c>
      <c r="B2420" s="1" t="n">
        <v>45219</v>
      </c>
      <c r="C2420" s="1" t="n">
        <v>45641</v>
      </c>
      <c r="D2420" t="inlineStr">
        <is>
          <t>VÄSTERBOTTENS LÄN</t>
        </is>
      </c>
      <c r="E2420" t="inlineStr">
        <is>
          <t>SKELLEFTEÅ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52809-2023</t>
        </is>
      </c>
      <c r="B2421" s="1" t="n">
        <v>45219</v>
      </c>
      <c r="C2421" s="1" t="n">
        <v>45641</v>
      </c>
      <c r="D2421" t="inlineStr">
        <is>
          <t>VÄSTERBOTTENS LÄN</t>
        </is>
      </c>
      <c r="E2421" t="inlineStr">
        <is>
          <t>SKELLEFTEÅ</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51339-2023</t>
        </is>
      </c>
      <c r="B2422" s="1" t="n">
        <v>45219</v>
      </c>
      <c r="C2422" s="1" t="n">
        <v>45641</v>
      </c>
      <c r="D2422" t="inlineStr">
        <is>
          <t>VÄSTERBOTTENS LÄN</t>
        </is>
      </c>
      <c r="E2422" t="inlineStr">
        <is>
          <t>SKELLEFTEÅ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51396-2023</t>
        </is>
      </c>
      <c r="B2423" s="1" t="n">
        <v>45219</v>
      </c>
      <c r="C2423" s="1" t="n">
        <v>45641</v>
      </c>
      <c r="D2423" t="inlineStr">
        <is>
          <t>VÄSTERBOTTENS LÄN</t>
        </is>
      </c>
      <c r="E2423" t="inlineStr">
        <is>
          <t>SKELLEFTEÅ</t>
        </is>
      </c>
      <c r="F2423" t="inlineStr">
        <is>
          <t>Holmen skog AB</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51418-2023</t>
        </is>
      </c>
      <c r="B2424" s="1" t="n">
        <v>45219</v>
      </c>
      <c r="C2424" s="1" t="n">
        <v>45641</v>
      </c>
      <c r="D2424" t="inlineStr">
        <is>
          <t>VÄSTERBOTTENS LÄN</t>
        </is>
      </c>
      <c r="E2424" t="inlineStr">
        <is>
          <t>SKELLEFTEÅ</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51455-2023</t>
        </is>
      </c>
      <c r="B2425" s="1" t="n">
        <v>45221</v>
      </c>
      <c r="C2425" s="1" t="n">
        <v>45641</v>
      </c>
      <c r="D2425" t="inlineStr">
        <is>
          <t>VÄSTERBOTTENS LÄN</t>
        </is>
      </c>
      <c r="E2425" t="inlineStr">
        <is>
          <t>SKELLEFTEÅ</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51470-2023</t>
        </is>
      </c>
      <c r="B2426" s="1" t="n">
        <v>45221</v>
      </c>
      <c r="C2426" s="1" t="n">
        <v>45641</v>
      </c>
      <c r="D2426" t="inlineStr">
        <is>
          <t>VÄSTERBOTTENS LÄN</t>
        </is>
      </c>
      <c r="E2426" t="inlineStr">
        <is>
          <t>SKELLEFTEÅ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51478-2023</t>
        </is>
      </c>
      <c r="B2427" s="1" t="n">
        <v>45221</v>
      </c>
      <c r="C2427" s="1" t="n">
        <v>45641</v>
      </c>
      <c r="D2427" t="inlineStr">
        <is>
          <t>VÄSTERBOTTENS LÄN</t>
        </is>
      </c>
      <c r="E2427" t="inlineStr">
        <is>
          <t>SKELLEFTEÅ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51526-2023</t>
        </is>
      </c>
      <c r="B2428" s="1" t="n">
        <v>45222</v>
      </c>
      <c r="C2428" s="1" t="n">
        <v>45641</v>
      </c>
      <c r="D2428" t="inlineStr">
        <is>
          <t>VÄSTERBOTTENS LÄN</t>
        </is>
      </c>
      <c r="E2428" t="inlineStr">
        <is>
          <t>SKELLEFTEÅ</t>
        </is>
      </c>
      <c r="F2428" t="inlineStr">
        <is>
          <t>Holmen skog AB</t>
        </is>
      </c>
      <c r="G2428" t="n">
        <v>14.1</v>
      </c>
      <c r="H2428" t="n">
        <v>0</v>
      </c>
      <c r="I2428" t="n">
        <v>0</v>
      </c>
      <c r="J2428" t="n">
        <v>0</v>
      </c>
      <c r="K2428" t="n">
        <v>0</v>
      </c>
      <c r="L2428" t="n">
        <v>0</v>
      </c>
      <c r="M2428" t="n">
        <v>0</v>
      </c>
      <c r="N2428" t="n">
        <v>0</v>
      </c>
      <c r="O2428" t="n">
        <v>0</v>
      </c>
      <c r="P2428" t="n">
        <v>0</v>
      </c>
      <c r="Q2428" t="n">
        <v>0</v>
      </c>
      <c r="R2428" s="2" t="inlineStr"/>
    </row>
    <row r="2429" ht="15" customHeight="1">
      <c r="A2429" t="inlineStr">
        <is>
          <t>A 51644-2023</t>
        </is>
      </c>
      <c r="B2429" s="1" t="n">
        <v>45222</v>
      </c>
      <c r="C2429" s="1" t="n">
        <v>45641</v>
      </c>
      <c r="D2429" t="inlineStr">
        <is>
          <t>VÄSTERBOTTENS LÄN</t>
        </is>
      </c>
      <c r="E2429" t="inlineStr">
        <is>
          <t>SKELLEFTEÅ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51703-2023</t>
        </is>
      </c>
      <c r="B2430" s="1" t="n">
        <v>45222</v>
      </c>
      <c r="C2430" s="1" t="n">
        <v>45641</v>
      </c>
      <c r="D2430" t="inlineStr">
        <is>
          <t>VÄSTERBOTTENS LÄN</t>
        </is>
      </c>
      <c r="E2430" t="inlineStr">
        <is>
          <t>SKELLEFTEÅ</t>
        </is>
      </c>
      <c r="F2430" t="inlineStr">
        <is>
          <t>Kommuner</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51667-2023</t>
        </is>
      </c>
      <c r="B2431" s="1" t="n">
        <v>45222</v>
      </c>
      <c r="C2431" s="1" t="n">
        <v>45641</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53215-2023</t>
        </is>
      </c>
      <c r="B2432" s="1" t="n">
        <v>45222</v>
      </c>
      <c r="C2432" s="1" t="n">
        <v>45641</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51502-2023</t>
        </is>
      </c>
      <c r="B2433" s="1" t="n">
        <v>45222</v>
      </c>
      <c r="C2433" s="1" t="n">
        <v>45641</v>
      </c>
      <c r="D2433" t="inlineStr">
        <is>
          <t>VÄSTERBOTTENS LÄN</t>
        </is>
      </c>
      <c r="E2433" t="inlineStr">
        <is>
          <t>SKELLEFTEÅ</t>
        </is>
      </c>
      <c r="F2433" t="inlineStr">
        <is>
          <t>Kommuner</t>
        </is>
      </c>
      <c r="G2433" t="n">
        <v>16.3</v>
      </c>
      <c r="H2433" t="n">
        <v>0</v>
      </c>
      <c r="I2433" t="n">
        <v>0</v>
      </c>
      <c r="J2433" t="n">
        <v>0</v>
      </c>
      <c r="K2433" t="n">
        <v>0</v>
      </c>
      <c r="L2433" t="n">
        <v>0</v>
      </c>
      <c r="M2433" t="n">
        <v>0</v>
      </c>
      <c r="N2433" t="n">
        <v>0</v>
      </c>
      <c r="O2433" t="n">
        <v>0</v>
      </c>
      <c r="P2433" t="n">
        <v>0</v>
      </c>
      <c r="Q2433" t="n">
        <v>0</v>
      </c>
      <c r="R2433" s="2" t="inlineStr"/>
    </row>
    <row r="2434" ht="15" customHeight="1">
      <c r="A2434" t="inlineStr">
        <is>
          <t>A 51507-2023</t>
        </is>
      </c>
      <c r="B2434" s="1" t="n">
        <v>45222</v>
      </c>
      <c r="C2434" s="1" t="n">
        <v>45641</v>
      </c>
      <c r="D2434" t="inlineStr">
        <is>
          <t>VÄSTERBOTTENS LÄN</t>
        </is>
      </c>
      <c r="E2434" t="inlineStr">
        <is>
          <t>SKELLEFTEÅ</t>
        </is>
      </c>
      <c r="F2434" t="inlineStr">
        <is>
          <t>Kommuner</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52107-2023</t>
        </is>
      </c>
      <c r="B2435" s="1" t="n">
        <v>45224</v>
      </c>
      <c r="C2435" s="1" t="n">
        <v>45641</v>
      </c>
      <c r="D2435" t="inlineStr">
        <is>
          <t>VÄSTERBOTTENS LÄN</t>
        </is>
      </c>
      <c r="E2435" t="inlineStr">
        <is>
          <t>SKELLEFTEÅ</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52007-2023</t>
        </is>
      </c>
      <c r="B2436" s="1" t="n">
        <v>45223</v>
      </c>
      <c r="C2436" s="1" t="n">
        <v>45641</v>
      </c>
      <c r="D2436" t="inlineStr">
        <is>
          <t>VÄSTERBOTTENS LÄN</t>
        </is>
      </c>
      <c r="E2436" t="inlineStr">
        <is>
          <t>SKELLEFTEÅ</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52082-2023</t>
        </is>
      </c>
      <c r="B2437" s="1" t="n">
        <v>45223</v>
      </c>
      <c r="C2437" s="1" t="n">
        <v>45641</v>
      </c>
      <c r="D2437" t="inlineStr">
        <is>
          <t>VÄSTERBOTTENS LÄN</t>
        </is>
      </c>
      <c r="E2437" t="inlineStr">
        <is>
          <t>SKELLEFTEÅ</t>
        </is>
      </c>
      <c r="F2437" t="inlineStr">
        <is>
          <t>Sveaskog</t>
        </is>
      </c>
      <c r="G2437" t="n">
        <v>15.5</v>
      </c>
      <c r="H2437" t="n">
        <v>0</v>
      </c>
      <c r="I2437" t="n">
        <v>0</v>
      </c>
      <c r="J2437" t="n">
        <v>0</v>
      </c>
      <c r="K2437" t="n">
        <v>0</v>
      </c>
      <c r="L2437" t="n">
        <v>0</v>
      </c>
      <c r="M2437" t="n">
        <v>0</v>
      </c>
      <c r="N2437" t="n">
        <v>0</v>
      </c>
      <c r="O2437" t="n">
        <v>0</v>
      </c>
      <c r="P2437" t="n">
        <v>0</v>
      </c>
      <c r="Q2437" t="n">
        <v>0</v>
      </c>
      <c r="R2437" s="2" t="inlineStr"/>
    </row>
    <row r="2438" ht="15" customHeight="1">
      <c r="A2438" t="inlineStr">
        <is>
          <t>A 52106-2023</t>
        </is>
      </c>
      <c r="B2438" s="1" t="n">
        <v>45224</v>
      </c>
      <c r="C2438" s="1" t="n">
        <v>45641</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51958-2023</t>
        </is>
      </c>
      <c r="B2439" s="1" t="n">
        <v>45223</v>
      </c>
      <c r="C2439" s="1" t="n">
        <v>45641</v>
      </c>
      <c r="D2439" t="inlineStr">
        <is>
          <t>VÄSTERBOTTENS LÄN</t>
        </is>
      </c>
      <c r="E2439" t="inlineStr">
        <is>
          <t>SKELLEFTEÅ</t>
        </is>
      </c>
      <c r="G2439" t="n">
        <v>18.7</v>
      </c>
      <c r="H2439" t="n">
        <v>0</v>
      </c>
      <c r="I2439" t="n">
        <v>0</v>
      </c>
      <c r="J2439" t="n">
        <v>0</v>
      </c>
      <c r="K2439" t="n">
        <v>0</v>
      </c>
      <c r="L2439" t="n">
        <v>0</v>
      </c>
      <c r="M2439" t="n">
        <v>0</v>
      </c>
      <c r="N2439" t="n">
        <v>0</v>
      </c>
      <c r="O2439" t="n">
        <v>0</v>
      </c>
      <c r="P2439" t="n">
        <v>0</v>
      </c>
      <c r="Q2439" t="n">
        <v>0</v>
      </c>
      <c r="R2439" s="2" t="inlineStr"/>
    </row>
    <row r="2440" ht="15" customHeight="1">
      <c r="A2440" t="inlineStr">
        <is>
          <t>A 51969-2023</t>
        </is>
      </c>
      <c r="B2440" s="1" t="n">
        <v>45223</v>
      </c>
      <c r="C2440" s="1" t="n">
        <v>45641</v>
      </c>
      <c r="D2440" t="inlineStr">
        <is>
          <t>VÄSTERBOTTENS LÄN</t>
        </is>
      </c>
      <c r="E2440" t="inlineStr">
        <is>
          <t>SKELLEFTEÅ</t>
        </is>
      </c>
      <c r="F2440" t="inlineStr">
        <is>
          <t>Sveaskog</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52105-2023</t>
        </is>
      </c>
      <c r="B2441" s="1" t="n">
        <v>45224</v>
      </c>
      <c r="C2441" s="1" t="n">
        <v>45641</v>
      </c>
      <c r="D2441" t="inlineStr">
        <is>
          <t>VÄSTERBOTTENS LÄN</t>
        </is>
      </c>
      <c r="E2441" t="inlineStr">
        <is>
          <t>SKELLEFTEÅ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53500-2023</t>
        </is>
      </c>
      <c r="B2442" s="1" t="n">
        <v>45223</v>
      </c>
      <c r="C2442" s="1" t="n">
        <v>45641</v>
      </c>
      <c r="D2442" t="inlineStr">
        <is>
          <t>VÄSTERBOTTENS LÄN</t>
        </is>
      </c>
      <c r="E2442" t="inlineStr">
        <is>
          <t>SKELLEFTEÅ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52364-2023</t>
        </is>
      </c>
      <c r="B2443" s="1" t="n">
        <v>45224</v>
      </c>
      <c r="C2443" s="1" t="n">
        <v>45641</v>
      </c>
      <c r="D2443" t="inlineStr">
        <is>
          <t>VÄSTERBOTTENS LÄN</t>
        </is>
      </c>
      <c r="E2443" t="inlineStr">
        <is>
          <t>SKELLEFTEÅ</t>
        </is>
      </c>
      <c r="F2443" t="inlineStr">
        <is>
          <t>Sveaskog</t>
        </is>
      </c>
      <c r="G2443" t="n">
        <v>14.8</v>
      </c>
      <c r="H2443" t="n">
        <v>0</v>
      </c>
      <c r="I2443" t="n">
        <v>0</v>
      </c>
      <c r="J2443" t="n">
        <v>0</v>
      </c>
      <c r="K2443" t="n">
        <v>0</v>
      </c>
      <c r="L2443" t="n">
        <v>0</v>
      </c>
      <c r="M2443" t="n">
        <v>0</v>
      </c>
      <c r="N2443" t="n">
        <v>0</v>
      </c>
      <c r="O2443" t="n">
        <v>0</v>
      </c>
      <c r="P2443" t="n">
        <v>0</v>
      </c>
      <c r="Q2443" t="n">
        <v>0</v>
      </c>
      <c r="R2443" s="2" t="inlineStr"/>
    </row>
    <row r="2444" ht="15" customHeight="1">
      <c r="A2444" t="inlineStr">
        <is>
          <t>A 52185-2023</t>
        </is>
      </c>
      <c r="B2444" s="1" t="n">
        <v>45224</v>
      </c>
      <c r="C2444" s="1" t="n">
        <v>45641</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52203-2023</t>
        </is>
      </c>
      <c r="B2445" s="1" t="n">
        <v>45224</v>
      </c>
      <c r="C2445" s="1" t="n">
        <v>45641</v>
      </c>
      <c r="D2445" t="inlineStr">
        <is>
          <t>VÄSTERBOTTENS LÄN</t>
        </is>
      </c>
      <c r="E2445" t="inlineStr">
        <is>
          <t>SKELLEFTEÅ</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53656-2023</t>
        </is>
      </c>
      <c r="B2446" s="1" t="n">
        <v>45224</v>
      </c>
      <c r="C2446" s="1" t="n">
        <v>45641</v>
      </c>
      <c r="D2446" t="inlineStr">
        <is>
          <t>VÄSTERBOTTENS LÄN</t>
        </is>
      </c>
      <c r="E2446" t="inlineStr">
        <is>
          <t>SKELLEFTEÅ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53680-2023</t>
        </is>
      </c>
      <c r="B2447" s="1" t="n">
        <v>45224</v>
      </c>
      <c r="C2447" s="1" t="n">
        <v>45641</v>
      </c>
      <c r="D2447" t="inlineStr">
        <is>
          <t>VÄSTERBOTTENS LÄN</t>
        </is>
      </c>
      <c r="E2447" t="inlineStr">
        <is>
          <t>SKELLEFTEÅ</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52384-2023</t>
        </is>
      </c>
      <c r="B2448" s="1" t="n">
        <v>45224</v>
      </c>
      <c r="C2448" s="1" t="n">
        <v>45641</v>
      </c>
      <c r="D2448" t="inlineStr">
        <is>
          <t>VÄSTERBOTTENS LÄN</t>
        </is>
      </c>
      <c r="E2448" t="inlineStr">
        <is>
          <t>SKELLEFTEÅ</t>
        </is>
      </c>
      <c r="F2448" t="inlineStr">
        <is>
          <t>Sveaskog</t>
        </is>
      </c>
      <c r="G2448" t="n">
        <v>14.1</v>
      </c>
      <c r="H2448" t="n">
        <v>0</v>
      </c>
      <c r="I2448" t="n">
        <v>0</v>
      </c>
      <c r="J2448" t="n">
        <v>0</v>
      </c>
      <c r="K2448" t="n">
        <v>0</v>
      </c>
      <c r="L2448" t="n">
        <v>0</v>
      </c>
      <c r="M2448" t="n">
        <v>0</v>
      </c>
      <c r="N2448" t="n">
        <v>0</v>
      </c>
      <c r="O2448" t="n">
        <v>0</v>
      </c>
      <c r="P2448" t="n">
        <v>0</v>
      </c>
      <c r="Q2448" t="n">
        <v>0</v>
      </c>
      <c r="R2448" s="2" t="inlineStr"/>
    </row>
    <row r="2449" ht="15" customHeight="1">
      <c r="A2449" t="inlineStr">
        <is>
          <t>A 52419-2023</t>
        </is>
      </c>
      <c r="B2449" s="1" t="n">
        <v>45225</v>
      </c>
      <c r="C2449" s="1" t="n">
        <v>45641</v>
      </c>
      <c r="D2449" t="inlineStr">
        <is>
          <t>VÄSTERBOTTENS LÄN</t>
        </is>
      </c>
      <c r="E2449" t="inlineStr">
        <is>
          <t>SKELLEFTEÅ</t>
        </is>
      </c>
      <c r="G2449" t="n">
        <v>10.4</v>
      </c>
      <c r="H2449" t="n">
        <v>0</v>
      </c>
      <c r="I2449" t="n">
        <v>0</v>
      </c>
      <c r="J2449" t="n">
        <v>0</v>
      </c>
      <c r="K2449" t="n">
        <v>0</v>
      </c>
      <c r="L2449" t="n">
        <v>0</v>
      </c>
      <c r="M2449" t="n">
        <v>0</v>
      </c>
      <c r="N2449" t="n">
        <v>0</v>
      </c>
      <c r="O2449" t="n">
        <v>0</v>
      </c>
      <c r="P2449" t="n">
        <v>0</v>
      </c>
      <c r="Q2449" t="n">
        <v>0</v>
      </c>
      <c r="R2449" s="2" t="inlineStr"/>
    </row>
    <row r="2450" ht="15" customHeight="1">
      <c r="A2450" t="inlineStr">
        <is>
          <t>A 52425-2023</t>
        </is>
      </c>
      <c r="B2450" s="1" t="n">
        <v>45225</v>
      </c>
      <c r="C2450" s="1" t="n">
        <v>45641</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52444-2023</t>
        </is>
      </c>
      <c r="B2451" s="1" t="n">
        <v>45225</v>
      </c>
      <c r="C2451" s="1" t="n">
        <v>45641</v>
      </c>
      <c r="D2451" t="inlineStr">
        <is>
          <t>VÄSTERBOTTENS LÄN</t>
        </is>
      </c>
      <c r="E2451" t="inlineStr">
        <is>
          <t>SKELLEFTEÅ</t>
        </is>
      </c>
      <c r="F2451" t="inlineStr">
        <is>
          <t>Sveaskog</t>
        </is>
      </c>
      <c r="G2451" t="n">
        <v>28.5</v>
      </c>
      <c r="H2451" t="n">
        <v>0</v>
      </c>
      <c r="I2451" t="n">
        <v>0</v>
      </c>
      <c r="J2451" t="n">
        <v>0</v>
      </c>
      <c r="K2451" t="n">
        <v>0</v>
      </c>
      <c r="L2451" t="n">
        <v>0</v>
      </c>
      <c r="M2451" t="n">
        <v>0</v>
      </c>
      <c r="N2451" t="n">
        <v>0</v>
      </c>
      <c r="O2451" t="n">
        <v>0</v>
      </c>
      <c r="P2451" t="n">
        <v>0</v>
      </c>
      <c r="Q2451" t="n">
        <v>0</v>
      </c>
      <c r="R2451" s="2" t="inlineStr"/>
    </row>
    <row r="2452" ht="15" customHeight="1">
      <c r="A2452" t="inlineStr">
        <is>
          <t>A 52441-2023</t>
        </is>
      </c>
      <c r="B2452" s="1" t="n">
        <v>45225</v>
      </c>
      <c r="C2452" s="1" t="n">
        <v>45641</v>
      </c>
      <c r="D2452" t="inlineStr">
        <is>
          <t>VÄSTERBOTTENS LÄN</t>
        </is>
      </c>
      <c r="E2452" t="inlineStr">
        <is>
          <t>SKELLEFTEÅ</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52489-2023</t>
        </is>
      </c>
      <c r="B2453" s="1" t="n">
        <v>45225</v>
      </c>
      <c r="C2453" s="1" t="n">
        <v>45641</v>
      </c>
      <c r="D2453" t="inlineStr">
        <is>
          <t>VÄSTERBOTTENS LÄN</t>
        </is>
      </c>
      <c r="E2453" t="inlineStr">
        <is>
          <t>SKELLEFTEÅ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52493-2023</t>
        </is>
      </c>
      <c r="B2454" s="1" t="n">
        <v>45225</v>
      </c>
      <c r="C2454" s="1" t="n">
        <v>45641</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52442-2023</t>
        </is>
      </c>
      <c r="B2455" s="1" t="n">
        <v>45225</v>
      </c>
      <c r="C2455" s="1" t="n">
        <v>45641</v>
      </c>
      <c r="D2455" t="inlineStr">
        <is>
          <t>VÄSTERBOTTENS LÄN</t>
        </is>
      </c>
      <c r="E2455" t="inlineStr">
        <is>
          <t>SKELLEFTEÅ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52447-2023</t>
        </is>
      </c>
      <c r="B2456" s="1" t="n">
        <v>45225</v>
      </c>
      <c r="C2456" s="1" t="n">
        <v>45641</v>
      </c>
      <c r="D2456" t="inlineStr">
        <is>
          <t>VÄSTERBOTTENS LÄN</t>
        </is>
      </c>
      <c r="E2456" t="inlineStr">
        <is>
          <t>SKELLEFTEÅ</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52686-2023</t>
        </is>
      </c>
      <c r="B2457" s="1" t="n">
        <v>45225</v>
      </c>
      <c r="C2457" s="1" t="n">
        <v>45641</v>
      </c>
      <c r="D2457" t="inlineStr">
        <is>
          <t>VÄSTERBOTTENS LÄN</t>
        </is>
      </c>
      <c r="E2457" t="inlineStr">
        <is>
          <t>SKELLEFTEÅ</t>
        </is>
      </c>
      <c r="F2457" t="inlineStr">
        <is>
          <t>Sveaskog</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54399-2023</t>
        </is>
      </c>
      <c r="B2458" s="1" t="n">
        <v>45226</v>
      </c>
      <c r="C2458" s="1" t="n">
        <v>45641</v>
      </c>
      <c r="D2458" t="inlineStr">
        <is>
          <t>VÄSTERBOTTENS LÄN</t>
        </is>
      </c>
      <c r="E2458" t="inlineStr">
        <is>
          <t>SKELLEFTEÅ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54394-2023</t>
        </is>
      </c>
      <c r="B2459" s="1" t="n">
        <v>45226</v>
      </c>
      <c r="C2459" s="1" t="n">
        <v>45641</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54411-2023</t>
        </is>
      </c>
      <c r="B2460" s="1" t="n">
        <v>45226</v>
      </c>
      <c r="C2460" s="1" t="n">
        <v>45641</v>
      </c>
      <c r="D2460" t="inlineStr">
        <is>
          <t>VÄSTERBOTTENS LÄN</t>
        </is>
      </c>
      <c r="E2460" t="inlineStr">
        <is>
          <t>SKELLEFTEÅ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54449-2023</t>
        </is>
      </c>
      <c r="B2461" s="1" t="n">
        <v>45226</v>
      </c>
      <c r="C2461" s="1" t="n">
        <v>45641</v>
      </c>
      <c r="D2461" t="inlineStr">
        <is>
          <t>VÄSTERBOTTENS LÄN</t>
        </is>
      </c>
      <c r="E2461" t="inlineStr">
        <is>
          <t>SKELLEFTEÅ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54469-2023</t>
        </is>
      </c>
      <c r="B2462" s="1" t="n">
        <v>45226</v>
      </c>
      <c r="C2462" s="1" t="n">
        <v>45641</v>
      </c>
      <c r="D2462" t="inlineStr">
        <is>
          <t>VÄSTERBOTTENS LÄN</t>
        </is>
      </c>
      <c r="E2462" t="inlineStr">
        <is>
          <t>SKELLEFTEÅ</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54497-2023</t>
        </is>
      </c>
      <c r="B2463" s="1" t="n">
        <v>45226</v>
      </c>
      <c r="C2463" s="1" t="n">
        <v>45641</v>
      </c>
      <c r="D2463" t="inlineStr">
        <is>
          <t>VÄSTERBOTTENS LÄN</t>
        </is>
      </c>
      <c r="E2463" t="inlineStr">
        <is>
          <t>SKELLEFTEÅ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54499-2023</t>
        </is>
      </c>
      <c r="B2464" s="1" t="n">
        <v>45226</v>
      </c>
      <c r="C2464" s="1" t="n">
        <v>45641</v>
      </c>
      <c r="D2464" t="inlineStr">
        <is>
          <t>VÄSTERBOTTENS LÄN</t>
        </is>
      </c>
      <c r="E2464" t="inlineStr">
        <is>
          <t>SKELLEFTEÅ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54401-2023</t>
        </is>
      </c>
      <c r="B2465" s="1" t="n">
        <v>45226</v>
      </c>
      <c r="C2465" s="1" t="n">
        <v>45641</v>
      </c>
      <c r="D2465" t="inlineStr">
        <is>
          <t>VÄSTERBOTTENS LÄN</t>
        </is>
      </c>
      <c r="E2465" t="inlineStr">
        <is>
          <t>SKELLEFTEÅ</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52993-2023</t>
        </is>
      </c>
      <c r="B2466" s="1" t="n">
        <v>45226</v>
      </c>
      <c r="C2466" s="1" t="n">
        <v>45641</v>
      </c>
      <c r="D2466" t="inlineStr">
        <is>
          <t>VÄSTERBOTTENS LÄN</t>
        </is>
      </c>
      <c r="E2466" t="inlineStr">
        <is>
          <t>SKELLEFTEÅ</t>
        </is>
      </c>
      <c r="F2466" t="inlineStr">
        <is>
          <t>Holmen skog AB</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52829-2023</t>
        </is>
      </c>
      <c r="B2467" s="1" t="n">
        <v>45226</v>
      </c>
      <c r="C2467" s="1" t="n">
        <v>45641</v>
      </c>
      <c r="D2467" t="inlineStr">
        <is>
          <t>VÄSTERBOTTENS LÄN</t>
        </is>
      </c>
      <c r="E2467" t="inlineStr">
        <is>
          <t>SKELLEFTEÅ</t>
        </is>
      </c>
      <c r="F2467" t="inlineStr">
        <is>
          <t>Sveaskog</t>
        </is>
      </c>
      <c r="G2467" t="n">
        <v>10.8</v>
      </c>
      <c r="H2467" t="n">
        <v>0</v>
      </c>
      <c r="I2467" t="n">
        <v>0</v>
      </c>
      <c r="J2467" t="n">
        <v>0</v>
      </c>
      <c r="K2467" t="n">
        <v>0</v>
      </c>
      <c r="L2467" t="n">
        <v>0</v>
      </c>
      <c r="M2467" t="n">
        <v>0</v>
      </c>
      <c r="N2467" t="n">
        <v>0</v>
      </c>
      <c r="O2467" t="n">
        <v>0</v>
      </c>
      <c r="P2467" t="n">
        <v>0</v>
      </c>
      <c r="Q2467" t="n">
        <v>0</v>
      </c>
      <c r="R2467" s="2" t="inlineStr"/>
    </row>
    <row r="2468" ht="15" customHeight="1">
      <c r="A2468" t="inlineStr">
        <is>
          <t>A 53028-2023</t>
        </is>
      </c>
      <c r="B2468" s="1" t="n">
        <v>45226</v>
      </c>
      <c r="C2468" s="1" t="n">
        <v>45641</v>
      </c>
      <c r="D2468" t="inlineStr">
        <is>
          <t>VÄSTERBOTTENS LÄN</t>
        </is>
      </c>
      <c r="E2468" t="inlineStr">
        <is>
          <t>SKELLEFTEÅ</t>
        </is>
      </c>
      <c r="F2468" t="inlineStr">
        <is>
          <t>Holmen skog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53020-2023</t>
        </is>
      </c>
      <c r="B2469" s="1" t="n">
        <v>45226</v>
      </c>
      <c r="C2469" s="1" t="n">
        <v>45641</v>
      </c>
      <c r="D2469" t="inlineStr">
        <is>
          <t>VÄSTERBOTTENS LÄN</t>
        </is>
      </c>
      <c r="E2469" t="inlineStr">
        <is>
          <t>SKELLEFTEÅ</t>
        </is>
      </c>
      <c r="F2469" t="inlineStr">
        <is>
          <t>Sveaskog</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53183-2023</t>
        </is>
      </c>
      <c r="B2470" s="1" t="n">
        <v>45229</v>
      </c>
      <c r="C2470" s="1" t="n">
        <v>45641</v>
      </c>
      <c r="D2470" t="inlineStr">
        <is>
          <t>VÄSTERBOTTENS LÄN</t>
        </is>
      </c>
      <c r="E2470" t="inlineStr">
        <is>
          <t>SKELLEFTEÅ</t>
        </is>
      </c>
      <c r="F2470" t="inlineStr">
        <is>
          <t>Sveaskog</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53311-2023</t>
        </is>
      </c>
      <c r="B2471" s="1" t="n">
        <v>45229</v>
      </c>
      <c r="C2471" s="1" t="n">
        <v>45641</v>
      </c>
      <c r="D2471" t="inlineStr">
        <is>
          <t>VÄSTERBOTTENS LÄN</t>
        </is>
      </c>
      <c r="E2471" t="inlineStr">
        <is>
          <t>SKELLEFTEÅ</t>
        </is>
      </c>
      <c r="F2471" t="inlineStr">
        <is>
          <t>Holmen skog AB</t>
        </is>
      </c>
      <c r="G2471" t="n">
        <v>9.800000000000001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53255-2023</t>
        </is>
      </c>
      <c r="B2472" s="1" t="n">
        <v>45229</v>
      </c>
      <c r="C2472" s="1" t="n">
        <v>45641</v>
      </c>
      <c r="D2472" t="inlineStr">
        <is>
          <t>VÄSTERBOTTENS LÄN</t>
        </is>
      </c>
      <c r="E2472" t="inlineStr">
        <is>
          <t>SKELLEFTEÅ</t>
        </is>
      </c>
      <c r="F2472" t="inlineStr">
        <is>
          <t>Sveaskog</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53426-2023</t>
        </is>
      </c>
      <c r="B2473" s="1" t="n">
        <v>45229</v>
      </c>
      <c r="C2473" s="1" t="n">
        <v>45641</v>
      </c>
      <c r="D2473" t="inlineStr">
        <is>
          <t>VÄSTERBOTTENS LÄN</t>
        </is>
      </c>
      <c r="E2473" t="inlineStr">
        <is>
          <t>SKELLEFTEÅ</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55077-2023</t>
        </is>
      </c>
      <c r="B2474" s="1" t="n">
        <v>45230</v>
      </c>
      <c r="C2474" s="1" t="n">
        <v>45641</v>
      </c>
      <c r="D2474" t="inlineStr">
        <is>
          <t>VÄSTERBOTTENS LÄN</t>
        </is>
      </c>
      <c r="E2474" t="inlineStr">
        <is>
          <t>SKELLEFTEÅ</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55081-2023</t>
        </is>
      </c>
      <c r="B2475" s="1" t="n">
        <v>45230</v>
      </c>
      <c r="C2475" s="1" t="n">
        <v>45641</v>
      </c>
      <c r="D2475" t="inlineStr">
        <is>
          <t>VÄSTERBOTTENS LÄN</t>
        </is>
      </c>
      <c r="E2475" t="inlineStr">
        <is>
          <t>SKELLEFTEÅ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55409-2023</t>
        </is>
      </c>
      <c r="B2476" s="1" t="n">
        <v>45231</v>
      </c>
      <c r="C2476" s="1" t="n">
        <v>45641</v>
      </c>
      <c r="D2476" t="inlineStr">
        <is>
          <t>VÄSTERBOTTENS LÄN</t>
        </is>
      </c>
      <c r="E2476" t="inlineStr">
        <is>
          <t>SKELLEFTEÅ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55414-2023</t>
        </is>
      </c>
      <c r="B2477" s="1" t="n">
        <v>45231</v>
      </c>
      <c r="C2477" s="1" t="n">
        <v>45641</v>
      </c>
      <c r="D2477" t="inlineStr">
        <is>
          <t>VÄSTERBOTTENS LÄN</t>
        </is>
      </c>
      <c r="E2477" t="inlineStr">
        <is>
          <t>SKELLEFTEÅ</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55420-2023</t>
        </is>
      </c>
      <c r="B2478" s="1" t="n">
        <v>45231</v>
      </c>
      <c r="C2478" s="1" t="n">
        <v>45641</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54024-2023</t>
        </is>
      </c>
      <c r="B2479" s="1" t="n">
        <v>45231</v>
      </c>
      <c r="C2479" s="1" t="n">
        <v>45641</v>
      </c>
      <c r="D2479" t="inlineStr">
        <is>
          <t>VÄSTERBOTTENS LÄN</t>
        </is>
      </c>
      <c r="E2479" t="inlineStr">
        <is>
          <t>SKELLEFTEÅ</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55413-2023</t>
        </is>
      </c>
      <c r="B2480" s="1" t="n">
        <v>45231</v>
      </c>
      <c r="C2480" s="1" t="n">
        <v>45641</v>
      </c>
      <c r="D2480" t="inlineStr">
        <is>
          <t>VÄSTERBOTTENS LÄN</t>
        </is>
      </c>
      <c r="E2480" t="inlineStr">
        <is>
          <t>SKELLEFTEÅ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54087-2023</t>
        </is>
      </c>
      <c r="B2481" s="1" t="n">
        <v>45232</v>
      </c>
      <c r="C2481" s="1" t="n">
        <v>45641</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54111-2023</t>
        </is>
      </c>
      <c r="B2482" s="1" t="n">
        <v>45232</v>
      </c>
      <c r="C2482" s="1" t="n">
        <v>45641</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54113-2023</t>
        </is>
      </c>
      <c r="B2483" s="1" t="n">
        <v>45232</v>
      </c>
      <c r="C2483" s="1" t="n">
        <v>45641</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55783-2023</t>
        </is>
      </c>
      <c r="B2484" s="1" t="n">
        <v>45232</v>
      </c>
      <c r="C2484" s="1" t="n">
        <v>45641</v>
      </c>
      <c r="D2484" t="inlineStr">
        <is>
          <t>VÄSTERBOTTENS LÄN</t>
        </is>
      </c>
      <c r="E2484" t="inlineStr">
        <is>
          <t>SKELLEFTEÅ</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54596-2023</t>
        </is>
      </c>
      <c r="B2485" s="1" t="n">
        <v>45233</v>
      </c>
      <c r="C2485" s="1" t="n">
        <v>45641</v>
      </c>
      <c r="D2485" t="inlineStr">
        <is>
          <t>VÄSTERBOTTENS LÄN</t>
        </is>
      </c>
      <c r="E2485" t="inlineStr">
        <is>
          <t>SKELLEFTEÅ</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54476-2023</t>
        </is>
      </c>
      <c r="B2486" s="1" t="n">
        <v>45233</v>
      </c>
      <c r="C2486" s="1" t="n">
        <v>45641</v>
      </c>
      <c r="D2486" t="inlineStr">
        <is>
          <t>VÄSTERBOTTENS LÄN</t>
        </is>
      </c>
      <c r="E2486" t="inlineStr">
        <is>
          <t>SKELLEFTEÅ</t>
        </is>
      </c>
      <c r="G2486" t="n">
        <v>11.3</v>
      </c>
      <c r="H2486" t="n">
        <v>0</v>
      </c>
      <c r="I2486" t="n">
        <v>0</v>
      </c>
      <c r="J2486" t="n">
        <v>0</v>
      </c>
      <c r="K2486" t="n">
        <v>0</v>
      </c>
      <c r="L2486" t="n">
        <v>0</v>
      </c>
      <c r="M2486" t="n">
        <v>0</v>
      </c>
      <c r="N2486" t="n">
        <v>0</v>
      </c>
      <c r="O2486" t="n">
        <v>0</v>
      </c>
      <c r="P2486" t="n">
        <v>0</v>
      </c>
      <c r="Q2486" t="n">
        <v>0</v>
      </c>
      <c r="R2486" s="2" t="inlineStr"/>
    </row>
    <row r="2487" ht="15" customHeight="1">
      <c r="A2487" t="inlineStr">
        <is>
          <t>A 54361-2023</t>
        </is>
      </c>
      <c r="B2487" s="1" t="n">
        <v>45233</v>
      </c>
      <c r="C2487" s="1" t="n">
        <v>45641</v>
      </c>
      <c r="D2487" t="inlineStr">
        <is>
          <t>VÄSTERBOTTENS LÄN</t>
        </is>
      </c>
      <c r="E2487" t="inlineStr">
        <is>
          <t>SKELLEFTEÅ</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56114-2023</t>
        </is>
      </c>
      <c r="B2488" s="1" t="n">
        <v>45235</v>
      </c>
      <c r="C2488" s="1" t="n">
        <v>45641</v>
      </c>
      <c r="D2488" t="inlineStr">
        <is>
          <t>VÄSTERBOTTENS LÄN</t>
        </is>
      </c>
      <c r="E2488" t="inlineStr">
        <is>
          <t>SKELLEFTEÅ</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56111-2023</t>
        </is>
      </c>
      <c r="B2489" s="1" t="n">
        <v>45235</v>
      </c>
      <c r="C2489" s="1" t="n">
        <v>45641</v>
      </c>
      <c r="D2489" t="inlineStr">
        <is>
          <t>VÄSTERBOTTENS LÄN</t>
        </is>
      </c>
      <c r="E2489" t="inlineStr">
        <is>
          <t>SKELLEFTEÅ</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56108-2023</t>
        </is>
      </c>
      <c r="B2490" s="1" t="n">
        <v>45235</v>
      </c>
      <c r="C2490" s="1" t="n">
        <v>45641</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56104-2023</t>
        </is>
      </c>
      <c r="B2491" s="1" t="n">
        <v>45235</v>
      </c>
      <c r="C2491" s="1" t="n">
        <v>45641</v>
      </c>
      <c r="D2491" t="inlineStr">
        <is>
          <t>VÄSTERBOTTENS LÄN</t>
        </is>
      </c>
      <c r="E2491" t="inlineStr">
        <is>
          <t>SKELLEFTEÅ</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54813-2023</t>
        </is>
      </c>
      <c r="B2492" s="1" t="n">
        <v>45236</v>
      </c>
      <c r="C2492" s="1" t="n">
        <v>45641</v>
      </c>
      <c r="D2492" t="inlineStr">
        <is>
          <t>VÄSTERBOTTENS LÄN</t>
        </is>
      </c>
      <c r="E2492" t="inlineStr">
        <is>
          <t>SKELLEFTEÅ</t>
        </is>
      </c>
      <c r="F2492" t="inlineStr">
        <is>
          <t>Sveaskog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54821-2023</t>
        </is>
      </c>
      <c r="B2493" s="1" t="n">
        <v>45236</v>
      </c>
      <c r="C2493" s="1" t="n">
        <v>45641</v>
      </c>
      <c r="D2493" t="inlineStr">
        <is>
          <t>VÄSTERBOTTENS LÄN</t>
        </is>
      </c>
      <c r="E2493" t="inlineStr">
        <is>
          <t>SKELLEFTEÅ</t>
        </is>
      </c>
      <c r="F2493" t="inlineStr">
        <is>
          <t>Kommuner</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56185-2023</t>
        </is>
      </c>
      <c r="B2494" s="1" t="n">
        <v>45236</v>
      </c>
      <c r="C2494" s="1" t="n">
        <v>45641</v>
      </c>
      <c r="D2494" t="inlineStr">
        <is>
          <t>VÄSTERBOTTENS LÄN</t>
        </is>
      </c>
      <c r="E2494" t="inlineStr">
        <is>
          <t>SKELLEFTEÅ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54700-2023</t>
        </is>
      </c>
      <c r="B2495" s="1" t="n">
        <v>45236</v>
      </c>
      <c r="C2495" s="1" t="n">
        <v>45641</v>
      </c>
      <c r="D2495" t="inlineStr">
        <is>
          <t>VÄSTERBOTTENS LÄN</t>
        </is>
      </c>
      <c r="E2495" t="inlineStr">
        <is>
          <t>SKELLEFTEÅ</t>
        </is>
      </c>
      <c r="F2495" t="inlineStr">
        <is>
          <t>Holmen skog AB</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56323-2023</t>
        </is>
      </c>
      <c r="B2496" s="1" t="n">
        <v>45236</v>
      </c>
      <c r="C2496" s="1" t="n">
        <v>45641</v>
      </c>
      <c r="D2496" t="inlineStr">
        <is>
          <t>VÄSTERBOTTENS LÄN</t>
        </is>
      </c>
      <c r="E2496" t="inlineStr">
        <is>
          <t>SKELLEFTEÅ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54811-2023</t>
        </is>
      </c>
      <c r="B2497" s="1" t="n">
        <v>45236</v>
      </c>
      <c r="C2497" s="1" t="n">
        <v>45641</v>
      </c>
      <c r="D2497" t="inlineStr">
        <is>
          <t>VÄSTERBOTTENS LÄN</t>
        </is>
      </c>
      <c r="E2497" t="inlineStr">
        <is>
          <t>SKELLEFTEÅ</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55095-2023</t>
        </is>
      </c>
      <c r="B2498" s="1" t="n">
        <v>45237</v>
      </c>
      <c r="C2498" s="1" t="n">
        <v>45641</v>
      </c>
      <c r="D2498" t="inlineStr">
        <is>
          <t>VÄSTERBOTTENS LÄN</t>
        </is>
      </c>
      <c r="E2498" t="inlineStr">
        <is>
          <t>SKELLEFTEÅ</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56404-2023</t>
        </is>
      </c>
      <c r="B2499" s="1" t="n">
        <v>45237</v>
      </c>
      <c r="C2499" s="1" t="n">
        <v>45641</v>
      </c>
      <c r="D2499" t="inlineStr">
        <is>
          <t>VÄSTERBOTTENS LÄN</t>
        </is>
      </c>
      <c r="E2499" t="inlineStr">
        <is>
          <t>SKELLEFTEÅ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55528-2023</t>
        </is>
      </c>
      <c r="B2500" s="1" t="n">
        <v>45238</v>
      </c>
      <c r="C2500" s="1" t="n">
        <v>45641</v>
      </c>
      <c r="D2500" t="inlineStr">
        <is>
          <t>VÄSTERBOTTENS LÄN</t>
        </is>
      </c>
      <c r="E2500" t="inlineStr">
        <is>
          <t>SKELLEFTEÅ</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55613-2023</t>
        </is>
      </c>
      <c r="B2501" s="1" t="n">
        <v>45238</v>
      </c>
      <c r="C2501" s="1" t="n">
        <v>45641</v>
      </c>
      <c r="D2501" t="inlineStr">
        <is>
          <t>VÄSTERBOTTENS LÄN</t>
        </is>
      </c>
      <c r="E2501" t="inlineStr">
        <is>
          <t>SKELLEFTEÅ</t>
        </is>
      </c>
      <c r="F2501" t="inlineStr">
        <is>
          <t>Sveaskog</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55532-2023</t>
        </is>
      </c>
      <c r="B2502" s="1" t="n">
        <v>45238</v>
      </c>
      <c r="C2502" s="1" t="n">
        <v>45641</v>
      </c>
      <c r="D2502" t="inlineStr">
        <is>
          <t>VÄSTERBOTTENS LÄN</t>
        </is>
      </c>
      <c r="E2502" t="inlineStr">
        <is>
          <t>SKELLEFTEÅ</t>
        </is>
      </c>
      <c r="F2502" t="inlineStr">
        <is>
          <t>Sveaskog</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56509-2023</t>
        </is>
      </c>
      <c r="B2503" s="1" t="n">
        <v>45238</v>
      </c>
      <c r="C2503" s="1" t="n">
        <v>45641</v>
      </c>
      <c r="D2503" t="inlineStr">
        <is>
          <t>VÄSTERBOTTENS LÄN</t>
        </is>
      </c>
      <c r="E2503" t="inlineStr">
        <is>
          <t>SKELLEFTEÅ</t>
        </is>
      </c>
      <c r="G2503" t="n">
        <v>10.4</v>
      </c>
      <c r="H2503" t="n">
        <v>0</v>
      </c>
      <c r="I2503" t="n">
        <v>0</v>
      </c>
      <c r="J2503" t="n">
        <v>0</v>
      </c>
      <c r="K2503" t="n">
        <v>0</v>
      </c>
      <c r="L2503" t="n">
        <v>0</v>
      </c>
      <c r="M2503" t="n">
        <v>0</v>
      </c>
      <c r="N2503" t="n">
        <v>0</v>
      </c>
      <c r="O2503" t="n">
        <v>0</v>
      </c>
      <c r="P2503" t="n">
        <v>0</v>
      </c>
      <c r="Q2503" t="n">
        <v>0</v>
      </c>
      <c r="R2503" s="2" t="inlineStr"/>
    </row>
    <row r="2504" ht="15" customHeight="1">
      <c r="A2504" t="inlineStr">
        <is>
          <t>A 56528-2023</t>
        </is>
      </c>
      <c r="B2504" s="1" t="n">
        <v>45238</v>
      </c>
      <c r="C2504" s="1" t="n">
        <v>45641</v>
      </c>
      <c r="D2504" t="inlineStr">
        <is>
          <t>VÄSTERBOTTENS LÄN</t>
        </is>
      </c>
      <c r="E2504" t="inlineStr">
        <is>
          <t>SKELLEFTEÅ</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55739-2023</t>
        </is>
      </c>
      <c r="B2505" s="1" t="n">
        <v>45239</v>
      </c>
      <c r="C2505" s="1" t="n">
        <v>45641</v>
      </c>
      <c r="D2505" t="inlineStr">
        <is>
          <t>VÄSTERBOTTENS LÄN</t>
        </is>
      </c>
      <c r="E2505" t="inlineStr">
        <is>
          <t>SKELLEFTEÅ</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55718-2023</t>
        </is>
      </c>
      <c r="B2506" s="1" t="n">
        <v>45239</v>
      </c>
      <c r="C2506" s="1" t="n">
        <v>45641</v>
      </c>
      <c r="D2506" t="inlineStr">
        <is>
          <t>VÄSTERBOTTENS LÄN</t>
        </is>
      </c>
      <c r="E2506" t="inlineStr">
        <is>
          <t>SKELLEFTEÅ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55730-2023</t>
        </is>
      </c>
      <c r="B2507" s="1" t="n">
        <v>45239</v>
      </c>
      <c r="C2507" s="1" t="n">
        <v>45641</v>
      </c>
      <c r="D2507" t="inlineStr">
        <is>
          <t>VÄSTERBOTTENS LÄN</t>
        </is>
      </c>
      <c r="E2507" t="inlineStr">
        <is>
          <t>SKELLEFTEÅ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55744-2023</t>
        </is>
      </c>
      <c r="B2508" s="1" t="n">
        <v>45239</v>
      </c>
      <c r="C2508" s="1" t="n">
        <v>45641</v>
      </c>
      <c r="D2508" t="inlineStr">
        <is>
          <t>VÄSTERBOTTENS LÄN</t>
        </is>
      </c>
      <c r="E2508" t="inlineStr">
        <is>
          <t>SKELLEFTEÅ</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55873-2023</t>
        </is>
      </c>
      <c r="B2509" s="1" t="n">
        <v>45239</v>
      </c>
      <c r="C2509" s="1" t="n">
        <v>45641</v>
      </c>
      <c r="D2509" t="inlineStr">
        <is>
          <t>VÄSTERBOTTENS LÄN</t>
        </is>
      </c>
      <c r="E2509" t="inlineStr">
        <is>
          <t>SKELLEFTEÅ</t>
        </is>
      </c>
      <c r="F2509" t="inlineStr">
        <is>
          <t>Sveaskog</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55750-2023</t>
        </is>
      </c>
      <c r="B2510" s="1" t="n">
        <v>45239</v>
      </c>
      <c r="C2510" s="1" t="n">
        <v>45641</v>
      </c>
      <c r="D2510" t="inlineStr">
        <is>
          <t>VÄSTERBOTTENS LÄN</t>
        </is>
      </c>
      <c r="E2510" t="inlineStr">
        <is>
          <t>SKELLEFTEÅ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55895-2023</t>
        </is>
      </c>
      <c r="B2511" s="1" t="n">
        <v>45239</v>
      </c>
      <c r="C2511" s="1" t="n">
        <v>45641</v>
      </c>
      <c r="D2511" t="inlineStr">
        <is>
          <t>VÄSTERBOTTENS LÄN</t>
        </is>
      </c>
      <c r="E2511" t="inlineStr">
        <is>
          <t>SKELLEFTEÅ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55907-2023</t>
        </is>
      </c>
      <c r="B2512" s="1" t="n">
        <v>45239</v>
      </c>
      <c r="C2512" s="1" t="n">
        <v>45641</v>
      </c>
      <c r="D2512" t="inlineStr">
        <is>
          <t>VÄSTERBOTTENS LÄN</t>
        </is>
      </c>
      <c r="E2512" t="inlineStr">
        <is>
          <t>SKELLEFTEÅ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57440-2023</t>
        </is>
      </c>
      <c r="B2513" s="1" t="n">
        <v>45240</v>
      </c>
      <c r="C2513" s="1" t="n">
        <v>45641</v>
      </c>
      <c r="D2513" t="inlineStr">
        <is>
          <t>VÄSTERBOTTENS LÄN</t>
        </is>
      </c>
      <c r="E2513" t="inlineStr">
        <is>
          <t>SKELLEFTEÅ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56265-2023</t>
        </is>
      </c>
      <c r="B2514" s="1" t="n">
        <v>45240</v>
      </c>
      <c r="C2514" s="1" t="n">
        <v>45641</v>
      </c>
      <c r="D2514" t="inlineStr">
        <is>
          <t>VÄSTERBOTTENS LÄN</t>
        </is>
      </c>
      <c r="E2514" t="inlineStr">
        <is>
          <t>SKELLEFTEÅ</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56153-2023</t>
        </is>
      </c>
      <c r="B2515" s="1" t="n">
        <v>45240</v>
      </c>
      <c r="C2515" s="1" t="n">
        <v>45641</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56264-2023</t>
        </is>
      </c>
      <c r="B2516" s="1" t="n">
        <v>45240</v>
      </c>
      <c r="C2516" s="1" t="n">
        <v>45641</v>
      </c>
      <c r="D2516" t="inlineStr">
        <is>
          <t>VÄSTERBOTTENS LÄN</t>
        </is>
      </c>
      <c r="E2516" t="inlineStr">
        <is>
          <t>SKELLEFTEÅ</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56163-2023</t>
        </is>
      </c>
      <c r="B2517" s="1" t="n">
        <v>45240</v>
      </c>
      <c r="C2517" s="1" t="n">
        <v>45641</v>
      </c>
      <c r="D2517" t="inlineStr">
        <is>
          <t>VÄSTERBOTTENS LÄN</t>
        </is>
      </c>
      <c r="E2517" t="inlineStr">
        <is>
          <t>SKELLEFTEÅ</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57437-2023</t>
        </is>
      </c>
      <c r="B2518" s="1" t="n">
        <v>45240</v>
      </c>
      <c r="C2518" s="1" t="n">
        <v>45641</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56263-2023</t>
        </is>
      </c>
      <c r="B2519" s="1" t="n">
        <v>45240</v>
      </c>
      <c r="C2519" s="1" t="n">
        <v>45641</v>
      </c>
      <c r="D2519" t="inlineStr">
        <is>
          <t>VÄSTERBOTTENS LÄN</t>
        </is>
      </c>
      <c r="E2519" t="inlineStr">
        <is>
          <t>SKELLEFTEÅ</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56203-2023</t>
        </is>
      </c>
      <c r="B2520" s="1" t="n">
        <v>45240</v>
      </c>
      <c r="C2520" s="1" t="n">
        <v>45641</v>
      </c>
      <c r="D2520" t="inlineStr">
        <is>
          <t>VÄSTERBOTTENS LÄN</t>
        </is>
      </c>
      <c r="E2520" t="inlineStr">
        <is>
          <t>SKELLEFTEÅ</t>
        </is>
      </c>
      <c r="F2520" t="inlineStr">
        <is>
          <t>Holmen skog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55986-2023</t>
        </is>
      </c>
      <c r="B2521" s="1" t="n">
        <v>45240</v>
      </c>
      <c r="C2521" s="1" t="n">
        <v>45641</v>
      </c>
      <c r="D2521" t="inlineStr">
        <is>
          <t>VÄSTERBOTTENS LÄN</t>
        </is>
      </c>
      <c r="E2521" t="inlineStr">
        <is>
          <t>SKELLEFTEÅ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56143-2023</t>
        </is>
      </c>
      <c r="B2522" s="1" t="n">
        <v>45240</v>
      </c>
      <c r="C2522" s="1" t="n">
        <v>45641</v>
      </c>
      <c r="D2522" t="inlineStr">
        <is>
          <t>VÄSTERBOTTENS LÄN</t>
        </is>
      </c>
      <c r="E2522" t="inlineStr">
        <is>
          <t>SKELLEFTEÅ</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56291-2023</t>
        </is>
      </c>
      <c r="B2523" s="1" t="n">
        <v>45242</v>
      </c>
      <c r="C2523" s="1" t="n">
        <v>45641</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56463-2023</t>
        </is>
      </c>
      <c r="B2524" s="1" t="n">
        <v>45243</v>
      </c>
      <c r="C2524" s="1" t="n">
        <v>45641</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56450-2023</t>
        </is>
      </c>
      <c r="B2525" s="1" t="n">
        <v>45243</v>
      </c>
      <c r="C2525" s="1" t="n">
        <v>45641</v>
      </c>
      <c r="D2525" t="inlineStr">
        <is>
          <t>VÄSTERBOTTENS LÄN</t>
        </is>
      </c>
      <c r="E2525" t="inlineStr">
        <is>
          <t>SKELLEFTEÅ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56548-2023</t>
        </is>
      </c>
      <c r="B2526" s="1" t="n">
        <v>45243</v>
      </c>
      <c r="C2526" s="1" t="n">
        <v>45641</v>
      </c>
      <c r="D2526" t="inlineStr">
        <is>
          <t>VÄSTERBOTTENS LÄN</t>
        </is>
      </c>
      <c r="E2526" t="inlineStr">
        <is>
          <t>SKELLEFTEÅ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56653-2023</t>
        </is>
      </c>
      <c r="B2527" s="1" t="n">
        <v>45243</v>
      </c>
      <c r="C2527" s="1" t="n">
        <v>45641</v>
      </c>
      <c r="D2527" t="inlineStr">
        <is>
          <t>VÄSTERBOTTENS LÄN</t>
        </is>
      </c>
      <c r="E2527" t="inlineStr">
        <is>
          <t>SKELLEFTEÅ</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57558-2023</t>
        </is>
      </c>
      <c r="B2528" s="1" t="n">
        <v>45243</v>
      </c>
      <c r="C2528" s="1" t="n">
        <v>45641</v>
      </c>
      <c r="D2528" t="inlineStr">
        <is>
          <t>VÄSTERBOTTENS LÄN</t>
        </is>
      </c>
      <c r="E2528" t="inlineStr">
        <is>
          <t>SKELLEFTEÅ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56375-2023</t>
        </is>
      </c>
      <c r="B2529" s="1" t="n">
        <v>45243</v>
      </c>
      <c r="C2529" s="1" t="n">
        <v>45641</v>
      </c>
      <c r="D2529" t="inlineStr">
        <is>
          <t>VÄSTERBOTTENS LÄN</t>
        </is>
      </c>
      <c r="E2529" t="inlineStr">
        <is>
          <t>SKELLEFTEÅ</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56471-2023</t>
        </is>
      </c>
      <c r="B2530" s="1" t="n">
        <v>45243</v>
      </c>
      <c r="C2530" s="1" t="n">
        <v>45641</v>
      </c>
      <c r="D2530" t="inlineStr">
        <is>
          <t>VÄSTERBOTTENS LÄN</t>
        </is>
      </c>
      <c r="E2530" t="inlineStr">
        <is>
          <t>SKELLEFTEÅ</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56839-2023</t>
        </is>
      </c>
      <c r="B2531" s="1" t="n">
        <v>45244</v>
      </c>
      <c r="C2531" s="1" t="n">
        <v>45641</v>
      </c>
      <c r="D2531" t="inlineStr">
        <is>
          <t>VÄSTERBOTTENS LÄN</t>
        </is>
      </c>
      <c r="E2531" t="inlineStr">
        <is>
          <t>SKELLEFTEÅ</t>
        </is>
      </c>
      <c r="F2531" t="inlineStr">
        <is>
          <t>Holmen skog AB</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57985-2023</t>
        </is>
      </c>
      <c r="B2532" s="1" t="n">
        <v>45244</v>
      </c>
      <c r="C2532" s="1" t="n">
        <v>45641</v>
      </c>
      <c r="D2532" t="inlineStr">
        <is>
          <t>VÄSTERBOTTENS LÄN</t>
        </is>
      </c>
      <c r="E2532" t="inlineStr">
        <is>
          <t>SKELLEFTEÅ</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58012-2023</t>
        </is>
      </c>
      <c r="B2533" s="1" t="n">
        <v>45244</v>
      </c>
      <c r="C2533" s="1" t="n">
        <v>45641</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57085-2023</t>
        </is>
      </c>
      <c r="B2534" s="1" t="n">
        <v>45245</v>
      </c>
      <c r="C2534" s="1" t="n">
        <v>45641</v>
      </c>
      <c r="D2534" t="inlineStr">
        <is>
          <t>VÄSTERBOTTENS LÄN</t>
        </is>
      </c>
      <c r="E2534" t="inlineStr">
        <is>
          <t>SKELLEFTEÅ</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57191-2023</t>
        </is>
      </c>
      <c r="B2535" s="1" t="n">
        <v>45245</v>
      </c>
      <c r="C2535" s="1" t="n">
        <v>45641</v>
      </c>
      <c r="D2535" t="inlineStr">
        <is>
          <t>VÄSTERBOTTENS LÄN</t>
        </is>
      </c>
      <c r="E2535" t="inlineStr">
        <is>
          <t>SKELLEFTEÅ</t>
        </is>
      </c>
      <c r="F2535" t="inlineStr">
        <is>
          <t>Sveaskog</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57453-2023</t>
        </is>
      </c>
      <c r="B2536" s="1" t="n">
        <v>45246</v>
      </c>
      <c r="C2536" s="1" t="n">
        <v>45641</v>
      </c>
      <c r="D2536" t="inlineStr">
        <is>
          <t>VÄSTERBOTTENS LÄN</t>
        </is>
      </c>
      <c r="E2536" t="inlineStr">
        <is>
          <t>SKELLEFTEÅ</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58581-2023</t>
        </is>
      </c>
      <c r="B2537" s="1" t="n">
        <v>45246</v>
      </c>
      <c r="C2537" s="1" t="n">
        <v>45641</v>
      </c>
      <c r="D2537" t="inlineStr">
        <is>
          <t>VÄSTERBOTTENS LÄN</t>
        </is>
      </c>
      <c r="E2537" t="inlineStr">
        <is>
          <t>SKELLEFTEÅ</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57838-2023</t>
        </is>
      </c>
      <c r="B2538" s="1" t="n">
        <v>45247</v>
      </c>
      <c r="C2538" s="1" t="n">
        <v>45641</v>
      </c>
      <c r="D2538" t="inlineStr">
        <is>
          <t>VÄSTERBOTTENS LÄN</t>
        </is>
      </c>
      <c r="E2538" t="inlineStr">
        <is>
          <t>SKELLEFTEÅ</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58043-2023</t>
        </is>
      </c>
      <c r="B2539" s="1" t="n">
        <v>45247</v>
      </c>
      <c r="C2539" s="1" t="n">
        <v>45641</v>
      </c>
      <c r="D2539" t="inlineStr">
        <is>
          <t>VÄSTERBOTTENS LÄN</t>
        </is>
      </c>
      <c r="E2539" t="inlineStr">
        <is>
          <t>SKELLEFTEÅ</t>
        </is>
      </c>
      <c r="F2539" t="inlineStr">
        <is>
          <t>Sveaskog</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58058-2023</t>
        </is>
      </c>
      <c r="B2540" s="1" t="n">
        <v>45247</v>
      </c>
      <c r="C2540" s="1" t="n">
        <v>45641</v>
      </c>
      <c r="D2540" t="inlineStr">
        <is>
          <t>VÄSTERBOTTENS LÄN</t>
        </is>
      </c>
      <c r="E2540" t="inlineStr">
        <is>
          <t>SKELLEFTEÅ</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58069-2023</t>
        </is>
      </c>
      <c r="B2541" s="1" t="n">
        <v>45247</v>
      </c>
      <c r="C2541" s="1" t="n">
        <v>45641</v>
      </c>
      <c r="D2541" t="inlineStr">
        <is>
          <t>VÄSTERBOTTENS LÄN</t>
        </is>
      </c>
      <c r="E2541" t="inlineStr">
        <is>
          <t>SKELLEFTEÅ</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58059-2023</t>
        </is>
      </c>
      <c r="B2542" s="1" t="n">
        <v>45247</v>
      </c>
      <c r="C2542" s="1" t="n">
        <v>45641</v>
      </c>
      <c r="D2542" t="inlineStr">
        <is>
          <t>VÄSTERBOTTENS LÄN</t>
        </is>
      </c>
      <c r="E2542" t="inlineStr">
        <is>
          <t>SKELLEFTEÅ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58072-2023</t>
        </is>
      </c>
      <c r="B2543" s="1" t="n">
        <v>45247</v>
      </c>
      <c r="C2543" s="1" t="n">
        <v>45641</v>
      </c>
      <c r="D2543" t="inlineStr">
        <is>
          <t>VÄSTERBOTTENS LÄN</t>
        </is>
      </c>
      <c r="E2543" t="inlineStr">
        <is>
          <t>SKELLEFTEÅ</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58680-2023</t>
        </is>
      </c>
      <c r="B2544" s="1" t="n">
        <v>45247</v>
      </c>
      <c r="C2544" s="1" t="n">
        <v>45641</v>
      </c>
      <c r="D2544" t="inlineStr">
        <is>
          <t>VÄSTERBOTTENS LÄN</t>
        </is>
      </c>
      <c r="E2544" t="inlineStr">
        <is>
          <t>SKELLEFTEÅ</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58701-2023</t>
        </is>
      </c>
      <c r="B2545" s="1" t="n">
        <v>45247</v>
      </c>
      <c r="C2545" s="1" t="n">
        <v>45641</v>
      </c>
      <c r="D2545" t="inlineStr">
        <is>
          <t>VÄSTERBOTTENS LÄN</t>
        </is>
      </c>
      <c r="E2545" t="inlineStr">
        <is>
          <t>SKELLEFTEÅ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58821-2023</t>
        </is>
      </c>
      <c r="B2546" s="1" t="n">
        <v>45247</v>
      </c>
      <c r="C2546" s="1" t="n">
        <v>45641</v>
      </c>
      <c r="D2546" t="inlineStr">
        <is>
          <t>VÄSTERBOTTENS LÄN</t>
        </is>
      </c>
      <c r="E2546" t="inlineStr">
        <is>
          <t>SKELLEFTEÅ</t>
        </is>
      </c>
      <c r="G2546" t="n">
        <v>15.6</v>
      </c>
      <c r="H2546" t="n">
        <v>0</v>
      </c>
      <c r="I2546" t="n">
        <v>0</v>
      </c>
      <c r="J2546" t="n">
        <v>0</v>
      </c>
      <c r="K2546" t="n">
        <v>0</v>
      </c>
      <c r="L2546" t="n">
        <v>0</v>
      </c>
      <c r="M2546" t="n">
        <v>0</v>
      </c>
      <c r="N2546" t="n">
        <v>0</v>
      </c>
      <c r="O2546" t="n">
        <v>0</v>
      </c>
      <c r="P2546" t="n">
        <v>0</v>
      </c>
      <c r="Q2546" t="n">
        <v>0</v>
      </c>
      <c r="R2546" s="2" t="inlineStr"/>
    </row>
    <row r="2547" ht="15" customHeight="1">
      <c r="A2547" t="inlineStr">
        <is>
          <t>A 58060-2023</t>
        </is>
      </c>
      <c r="B2547" s="1" t="n">
        <v>45247</v>
      </c>
      <c r="C2547" s="1" t="n">
        <v>45641</v>
      </c>
      <c r="D2547" t="inlineStr">
        <is>
          <t>VÄSTERBOTTENS LÄN</t>
        </is>
      </c>
      <c r="E2547" t="inlineStr">
        <is>
          <t>SKELLEFTEÅ</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58008-2023</t>
        </is>
      </c>
      <c r="B2548" s="1" t="n">
        <v>45247</v>
      </c>
      <c r="C2548" s="1" t="n">
        <v>45641</v>
      </c>
      <c r="D2548" t="inlineStr">
        <is>
          <t>VÄSTERBOTTENS LÄN</t>
        </is>
      </c>
      <c r="E2548" t="inlineStr">
        <is>
          <t>SKELLEFTEÅ</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57958-2023</t>
        </is>
      </c>
      <c r="B2549" s="1" t="n">
        <v>45247</v>
      </c>
      <c r="C2549" s="1" t="n">
        <v>45641</v>
      </c>
      <c r="D2549" t="inlineStr">
        <is>
          <t>VÄSTERBOTTENS LÄN</t>
        </is>
      </c>
      <c r="E2549" t="inlineStr">
        <is>
          <t>SKELLEFTEÅ</t>
        </is>
      </c>
      <c r="F2549" t="inlineStr">
        <is>
          <t>Holmen skog AB</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57926-2023</t>
        </is>
      </c>
      <c r="B2550" s="1" t="n">
        <v>45247</v>
      </c>
      <c r="C2550" s="1" t="n">
        <v>45641</v>
      </c>
      <c r="D2550" t="inlineStr">
        <is>
          <t>VÄSTERBOTTENS LÄN</t>
        </is>
      </c>
      <c r="E2550" t="inlineStr">
        <is>
          <t>SKELLEFTEÅ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58117-2023</t>
        </is>
      </c>
      <c r="B2551" s="1" t="n">
        <v>45249</v>
      </c>
      <c r="C2551" s="1" t="n">
        <v>45641</v>
      </c>
      <c r="D2551" t="inlineStr">
        <is>
          <t>VÄSTERBOTTENS LÄN</t>
        </is>
      </c>
      <c r="E2551" t="inlineStr">
        <is>
          <t>SKELLEFTEÅ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58194-2023</t>
        </is>
      </c>
      <c r="B2552" s="1" t="n">
        <v>45250</v>
      </c>
      <c r="C2552" s="1" t="n">
        <v>45641</v>
      </c>
      <c r="D2552" t="inlineStr">
        <is>
          <t>VÄSTERBOTTENS LÄN</t>
        </is>
      </c>
      <c r="E2552" t="inlineStr">
        <is>
          <t>SKELLEFTEÅ</t>
        </is>
      </c>
      <c r="G2552" t="n">
        <v>10.1</v>
      </c>
      <c r="H2552" t="n">
        <v>0</v>
      </c>
      <c r="I2552" t="n">
        <v>0</v>
      </c>
      <c r="J2552" t="n">
        <v>0</v>
      </c>
      <c r="K2552" t="n">
        <v>0</v>
      </c>
      <c r="L2552" t="n">
        <v>0</v>
      </c>
      <c r="M2552" t="n">
        <v>0</v>
      </c>
      <c r="N2552" t="n">
        <v>0</v>
      </c>
      <c r="O2552" t="n">
        <v>0</v>
      </c>
      <c r="P2552" t="n">
        <v>0</v>
      </c>
      <c r="Q2552" t="n">
        <v>0</v>
      </c>
      <c r="R2552" s="2" t="inlineStr"/>
    </row>
    <row r="2553" ht="15" customHeight="1">
      <c r="A2553" t="inlineStr">
        <is>
          <t>A 58940-2023</t>
        </is>
      </c>
      <c r="B2553" s="1" t="n">
        <v>45250</v>
      </c>
      <c r="C2553" s="1" t="n">
        <v>45641</v>
      </c>
      <c r="D2553" t="inlineStr">
        <is>
          <t>VÄSTERBOTTENS LÄN</t>
        </is>
      </c>
      <c r="E2553" t="inlineStr">
        <is>
          <t>SKELLEFTEÅ</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58503-2023</t>
        </is>
      </c>
      <c r="B2554" s="1" t="n">
        <v>45251</v>
      </c>
      <c r="C2554" s="1" t="n">
        <v>45641</v>
      </c>
      <c r="D2554" t="inlineStr">
        <is>
          <t>VÄSTERBOTTENS LÄN</t>
        </is>
      </c>
      <c r="E2554" t="inlineStr">
        <is>
          <t>SKELLEFTEÅ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58517-2023</t>
        </is>
      </c>
      <c r="B2555" s="1" t="n">
        <v>45251</v>
      </c>
      <c r="C2555" s="1" t="n">
        <v>45641</v>
      </c>
      <c r="D2555" t="inlineStr">
        <is>
          <t>VÄSTERBOTTENS LÄN</t>
        </is>
      </c>
      <c r="E2555" t="inlineStr">
        <is>
          <t>SKELLEFTEÅ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58525-2023</t>
        </is>
      </c>
      <c r="B2556" s="1" t="n">
        <v>45251</v>
      </c>
      <c r="C2556" s="1" t="n">
        <v>45641</v>
      </c>
      <c r="D2556" t="inlineStr">
        <is>
          <t>VÄSTERBOTTENS LÄN</t>
        </is>
      </c>
      <c r="E2556" t="inlineStr">
        <is>
          <t>SKELLEFTEÅ</t>
        </is>
      </c>
      <c r="F2556" t="inlineStr">
        <is>
          <t>Holmen skog AB</t>
        </is>
      </c>
      <c r="G2556" t="n">
        <v>19.1</v>
      </c>
      <c r="H2556" t="n">
        <v>0</v>
      </c>
      <c r="I2556" t="n">
        <v>0</v>
      </c>
      <c r="J2556" t="n">
        <v>0</v>
      </c>
      <c r="K2556" t="n">
        <v>0</v>
      </c>
      <c r="L2556" t="n">
        <v>0</v>
      </c>
      <c r="M2556" t="n">
        <v>0</v>
      </c>
      <c r="N2556" t="n">
        <v>0</v>
      </c>
      <c r="O2556" t="n">
        <v>0</v>
      </c>
      <c r="P2556" t="n">
        <v>0</v>
      </c>
      <c r="Q2556" t="n">
        <v>0</v>
      </c>
      <c r="R2556" s="2" t="inlineStr"/>
    </row>
    <row r="2557" ht="15" customHeight="1">
      <c r="A2557" t="inlineStr">
        <is>
          <t>A 58546-2023</t>
        </is>
      </c>
      <c r="B2557" s="1" t="n">
        <v>45251</v>
      </c>
      <c r="C2557" s="1" t="n">
        <v>45641</v>
      </c>
      <c r="D2557" t="inlineStr">
        <is>
          <t>VÄSTERBOTTENS LÄN</t>
        </is>
      </c>
      <c r="E2557" t="inlineStr">
        <is>
          <t>SKELLEFTEÅ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58560-2023</t>
        </is>
      </c>
      <c r="B2558" s="1" t="n">
        <v>45251</v>
      </c>
      <c r="C2558" s="1" t="n">
        <v>45641</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58566-2023</t>
        </is>
      </c>
      <c r="B2559" s="1" t="n">
        <v>45251</v>
      </c>
      <c r="C2559" s="1" t="n">
        <v>45641</v>
      </c>
      <c r="D2559" t="inlineStr">
        <is>
          <t>VÄSTERBOTTENS LÄN</t>
        </is>
      </c>
      <c r="E2559" t="inlineStr">
        <is>
          <t>SKELLEFTEÅ</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58555-2023</t>
        </is>
      </c>
      <c r="B2560" s="1" t="n">
        <v>45251</v>
      </c>
      <c r="C2560" s="1" t="n">
        <v>45641</v>
      </c>
      <c r="D2560" t="inlineStr">
        <is>
          <t>VÄSTERBOTTENS LÄN</t>
        </is>
      </c>
      <c r="E2560" t="inlineStr">
        <is>
          <t>SKELLEFTEÅ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58575-2023</t>
        </is>
      </c>
      <c r="B2561" s="1" t="n">
        <v>45251</v>
      </c>
      <c r="C2561" s="1" t="n">
        <v>45641</v>
      </c>
      <c r="D2561" t="inlineStr">
        <is>
          <t>VÄSTERBOTTENS LÄN</t>
        </is>
      </c>
      <c r="E2561" t="inlineStr">
        <is>
          <t>SKELLEFTEÅ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58750-2023</t>
        </is>
      </c>
      <c r="B2562" s="1" t="n">
        <v>45251</v>
      </c>
      <c r="C2562" s="1" t="n">
        <v>45641</v>
      </c>
      <c r="D2562" t="inlineStr">
        <is>
          <t>VÄSTERBOTTENS LÄN</t>
        </is>
      </c>
      <c r="E2562" t="inlineStr">
        <is>
          <t>SKELLEFTEÅ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58754-2023</t>
        </is>
      </c>
      <c r="B2563" s="1" t="n">
        <v>45251</v>
      </c>
      <c r="C2563" s="1" t="n">
        <v>45641</v>
      </c>
      <c r="D2563" t="inlineStr">
        <is>
          <t>VÄSTERBOTTENS LÄN</t>
        </is>
      </c>
      <c r="E2563" t="inlineStr">
        <is>
          <t>SKELLEFTEÅ</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58752-2023</t>
        </is>
      </c>
      <c r="B2564" s="1" t="n">
        <v>45251</v>
      </c>
      <c r="C2564" s="1" t="n">
        <v>45641</v>
      </c>
      <c r="D2564" t="inlineStr">
        <is>
          <t>VÄSTERBOTTENS LÄN</t>
        </is>
      </c>
      <c r="E2564" t="inlineStr">
        <is>
          <t>SKELLEFTEÅ</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58672-2023</t>
        </is>
      </c>
      <c r="B2565" s="1" t="n">
        <v>45251</v>
      </c>
      <c r="C2565" s="1" t="n">
        <v>45641</v>
      </c>
      <c r="D2565" t="inlineStr">
        <is>
          <t>VÄSTERBOTTENS LÄN</t>
        </is>
      </c>
      <c r="E2565" t="inlineStr">
        <is>
          <t>SKELLEFTEÅ</t>
        </is>
      </c>
      <c r="F2565" t="inlineStr">
        <is>
          <t>Holmen skog AB</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58751-2023</t>
        </is>
      </c>
      <c r="B2566" s="1" t="n">
        <v>45251</v>
      </c>
      <c r="C2566" s="1" t="n">
        <v>45641</v>
      </c>
      <c r="D2566" t="inlineStr">
        <is>
          <t>VÄSTERBOTTENS LÄN</t>
        </is>
      </c>
      <c r="E2566" t="inlineStr">
        <is>
          <t>SKELLEFTEÅ</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58755-2023</t>
        </is>
      </c>
      <c r="B2567" s="1" t="n">
        <v>45251</v>
      </c>
      <c r="C2567" s="1" t="n">
        <v>45641</v>
      </c>
      <c r="D2567" t="inlineStr">
        <is>
          <t>VÄSTERBOTTENS LÄN</t>
        </is>
      </c>
      <c r="E2567" t="inlineStr">
        <is>
          <t>SKELLEFTEÅ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59127-2023</t>
        </is>
      </c>
      <c r="B2568" s="1" t="n">
        <v>45251</v>
      </c>
      <c r="C2568" s="1" t="n">
        <v>45641</v>
      </c>
      <c r="D2568" t="inlineStr">
        <is>
          <t>VÄSTERBOTTENS LÄN</t>
        </is>
      </c>
      <c r="E2568" t="inlineStr">
        <is>
          <t>SKELLEFTEÅ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59165-2023</t>
        </is>
      </c>
      <c r="B2569" s="1" t="n">
        <v>45251</v>
      </c>
      <c r="C2569" s="1" t="n">
        <v>45641</v>
      </c>
      <c r="D2569" t="inlineStr">
        <is>
          <t>VÄSTERBOTTENS LÄN</t>
        </is>
      </c>
      <c r="E2569" t="inlineStr">
        <is>
          <t>SKELLEFTEÅ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58838-2023</t>
        </is>
      </c>
      <c r="B2570" s="1" t="n">
        <v>45252</v>
      </c>
      <c r="C2570" s="1" t="n">
        <v>45641</v>
      </c>
      <c r="D2570" t="inlineStr">
        <is>
          <t>VÄSTERBOTTENS LÄN</t>
        </is>
      </c>
      <c r="E2570" t="inlineStr">
        <is>
          <t>SKELLEFTEÅ</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59242-2023</t>
        </is>
      </c>
      <c r="B2571" s="1" t="n">
        <v>45252</v>
      </c>
      <c r="C2571" s="1" t="n">
        <v>45641</v>
      </c>
      <c r="D2571" t="inlineStr">
        <is>
          <t>VÄSTERBOTTENS LÄN</t>
        </is>
      </c>
      <c r="E2571" t="inlineStr">
        <is>
          <t>SKELLEFTEÅ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59245-2023</t>
        </is>
      </c>
      <c r="B2572" s="1" t="n">
        <v>45252</v>
      </c>
      <c r="C2572" s="1" t="n">
        <v>45641</v>
      </c>
      <c r="D2572" t="inlineStr">
        <is>
          <t>VÄSTERBOTTENS LÄN</t>
        </is>
      </c>
      <c r="E2572" t="inlineStr">
        <is>
          <t>SKELLEFTEÅ</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59404-2023</t>
        </is>
      </c>
      <c r="B2573" s="1" t="n">
        <v>45253</v>
      </c>
      <c r="C2573" s="1" t="n">
        <v>45641</v>
      </c>
      <c r="D2573" t="inlineStr">
        <is>
          <t>VÄSTERBOTTENS LÄN</t>
        </is>
      </c>
      <c r="E2573" t="inlineStr">
        <is>
          <t>SKELLEFTEÅ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59648-2023</t>
        </is>
      </c>
      <c r="B2574" s="1" t="n">
        <v>45253</v>
      </c>
      <c r="C2574" s="1" t="n">
        <v>45641</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59406-2023</t>
        </is>
      </c>
      <c r="B2575" s="1" t="n">
        <v>45253</v>
      </c>
      <c r="C2575" s="1" t="n">
        <v>45641</v>
      </c>
      <c r="D2575" t="inlineStr">
        <is>
          <t>VÄSTERBOTTENS LÄN</t>
        </is>
      </c>
      <c r="E2575" t="inlineStr">
        <is>
          <t>SKELLEFTEÅ</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59405-2023</t>
        </is>
      </c>
      <c r="B2576" s="1" t="n">
        <v>45253</v>
      </c>
      <c r="C2576" s="1" t="n">
        <v>45641</v>
      </c>
      <c r="D2576" t="inlineStr">
        <is>
          <t>VÄSTERBOTTENS LÄN</t>
        </is>
      </c>
      <c r="E2576" t="inlineStr">
        <is>
          <t>SKELLEFTEÅ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59647-2023</t>
        </is>
      </c>
      <c r="B2577" s="1" t="n">
        <v>45253</v>
      </c>
      <c r="C2577" s="1" t="n">
        <v>45641</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59653-2023</t>
        </is>
      </c>
      <c r="B2578" s="1" t="n">
        <v>45254</v>
      </c>
      <c r="C2578" s="1" t="n">
        <v>45641</v>
      </c>
      <c r="D2578" t="inlineStr">
        <is>
          <t>VÄSTERBOTTENS LÄN</t>
        </is>
      </c>
      <c r="E2578" t="inlineStr">
        <is>
          <t>SKELLEFTEÅ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59945-2023</t>
        </is>
      </c>
      <c r="B2579" s="1" t="n">
        <v>45254</v>
      </c>
      <c r="C2579" s="1" t="n">
        <v>45641</v>
      </c>
      <c r="D2579" t="inlineStr">
        <is>
          <t>VÄSTERBOTTENS LÄN</t>
        </is>
      </c>
      <c r="E2579" t="inlineStr">
        <is>
          <t>SKELLEFTEÅ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59793-2023</t>
        </is>
      </c>
      <c r="B2580" s="1" t="n">
        <v>45257</v>
      </c>
      <c r="C2580" s="1" t="n">
        <v>45641</v>
      </c>
      <c r="D2580" t="inlineStr">
        <is>
          <t>VÄSTERBOTTENS LÄN</t>
        </is>
      </c>
      <c r="E2580" t="inlineStr">
        <is>
          <t>SKELLEFTEÅ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59791-2023</t>
        </is>
      </c>
      <c r="B2581" s="1" t="n">
        <v>45257</v>
      </c>
      <c r="C2581" s="1" t="n">
        <v>45641</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59919-2023</t>
        </is>
      </c>
      <c r="B2582" s="1" t="n">
        <v>45257</v>
      </c>
      <c r="C2582" s="1" t="n">
        <v>45641</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59907-2023</t>
        </is>
      </c>
      <c r="B2583" s="1" t="n">
        <v>45257</v>
      </c>
      <c r="C2583" s="1" t="n">
        <v>45641</v>
      </c>
      <c r="D2583" t="inlineStr">
        <is>
          <t>VÄSTERBOTTENS LÄN</t>
        </is>
      </c>
      <c r="E2583" t="inlineStr">
        <is>
          <t>SKELLEFTEÅ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59788-2023</t>
        </is>
      </c>
      <c r="B2584" s="1" t="n">
        <v>45257</v>
      </c>
      <c r="C2584" s="1" t="n">
        <v>45641</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60109-2023</t>
        </is>
      </c>
      <c r="B2585" s="1" t="n">
        <v>45257</v>
      </c>
      <c r="C2585" s="1" t="n">
        <v>45641</v>
      </c>
      <c r="D2585" t="inlineStr">
        <is>
          <t>VÄSTERBOTTENS LÄN</t>
        </is>
      </c>
      <c r="E2585" t="inlineStr">
        <is>
          <t>SKELLEFTEÅ</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59798-2023</t>
        </is>
      </c>
      <c r="B2586" s="1" t="n">
        <v>45257</v>
      </c>
      <c r="C2586" s="1" t="n">
        <v>45641</v>
      </c>
      <c r="D2586" t="inlineStr">
        <is>
          <t>VÄSTERBOTTENS LÄN</t>
        </is>
      </c>
      <c r="E2586" t="inlineStr">
        <is>
          <t>SKELLEFTEÅ</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60130-2023</t>
        </is>
      </c>
      <c r="B2587" s="1" t="n">
        <v>45257</v>
      </c>
      <c r="C2587" s="1" t="n">
        <v>45641</v>
      </c>
      <c r="D2587" t="inlineStr">
        <is>
          <t>VÄSTERBOTTENS LÄN</t>
        </is>
      </c>
      <c r="E2587" t="inlineStr">
        <is>
          <t>SKELLEFTEÅ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60305-2023</t>
        </is>
      </c>
      <c r="B2588" s="1" t="n">
        <v>45258</v>
      </c>
      <c r="C2588" s="1" t="n">
        <v>45641</v>
      </c>
      <c r="D2588" t="inlineStr">
        <is>
          <t>VÄSTERBOTTENS LÄN</t>
        </is>
      </c>
      <c r="E2588" t="inlineStr">
        <is>
          <t>SKELLEFTEÅ</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60451-2023</t>
        </is>
      </c>
      <c r="B2589" s="1" t="n">
        <v>45258</v>
      </c>
      <c r="C2589" s="1" t="n">
        <v>45641</v>
      </c>
      <c r="D2589" t="inlineStr">
        <is>
          <t>VÄSTERBOTTENS LÄN</t>
        </is>
      </c>
      <c r="E2589" t="inlineStr">
        <is>
          <t>SKELLEFTEÅ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60479-2023</t>
        </is>
      </c>
      <c r="B2590" s="1" t="n">
        <v>45258</v>
      </c>
      <c r="C2590" s="1" t="n">
        <v>45641</v>
      </c>
      <c r="D2590" t="inlineStr">
        <is>
          <t>VÄSTERBOTTENS LÄN</t>
        </is>
      </c>
      <c r="E2590" t="inlineStr">
        <is>
          <t>SKELLEFTEÅ</t>
        </is>
      </c>
      <c r="G2590" t="n">
        <v>21.5</v>
      </c>
      <c r="H2590" t="n">
        <v>0</v>
      </c>
      <c r="I2590" t="n">
        <v>0</v>
      </c>
      <c r="J2590" t="n">
        <v>0</v>
      </c>
      <c r="K2590" t="n">
        <v>0</v>
      </c>
      <c r="L2590" t="n">
        <v>0</v>
      </c>
      <c r="M2590" t="n">
        <v>0</v>
      </c>
      <c r="N2590" t="n">
        <v>0</v>
      </c>
      <c r="O2590" t="n">
        <v>0</v>
      </c>
      <c r="P2590" t="n">
        <v>0</v>
      </c>
      <c r="Q2590" t="n">
        <v>0</v>
      </c>
      <c r="R2590" s="2" t="inlineStr"/>
    </row>
    <row r="2591" ht="15" customHeight="1">
      <c r="A2591" t="inlineStr">
        <is>
          <t>A 60412-2023</t>
        </is>
      </c>
      <c r="B2591" s="1" t="n">
        <v>45258</v>
      </c>
      <c r="C2591" s="1" t="n">
        <v>45641</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60339-2023</t>
        </is>
      </c>
      <c r="B2592" s="1" t="n">
        <v>45259</v>
      </c>
      <c r="C2592" s="1" t="n">
        <v>45641</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60569-2023</t>
        </is>
      </c>
      <c r="B2593" s="1" t="n">
        <v>45259</v>
      </c>
      <c r="C2593" s="1" t="n">
        <v>45641</v>
      </c>
      <c r="D2593" t="inlineStr">
        <is>
          <t>VÄSTERBOTTENS LÄN</t>
        </is>
      </c>
      <c r="E2593" t="inlineStr">
        <is>
          <t>SKELLEFTEÅ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61064-2023</t>
        </is>
      </c>
      <c r="B2594" s="1" t="n">
        <v>45259</v>
      </c>
      <c r="C2594" s="1" t="n">
        <v>45641</v>
      </c>
      <c r="D2594" t="inlineStr">
        <is>
          <t>VÄSTERBOTTENS LÄN</t>
        </is>
      </c>
      <c r="E2594" t="inlineStr">
        <is>
          <t>SKELLEFTEÅ</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61069-2023</t>
        </is>
      </c>
      <c r="B2595" s="1" t="n">
        <v>45259</v>
      </c>
      <c r="C2595" s="1" t="n">
        <v>45641</v>
      </c>
      <c r="D2595" t="inlineStr">
        <is>
          <t>VÄSTERBOTTENS LÄN</t>
        </is>
      </c>
      <c r="E2595" t="inlineStr">
        <is>
          <t>SKELLEFTEÅ</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61049-2023</t>
        </is>
      </c>
      <c r="B2596" s="1" t="n">
        <v>45259</v>
      </c>
      <c r="C2596" s="1" t="n">
        <v>45641</v>
      </c>
      <c r="D2596" t="inlineStr">
        <is>
          <t>VÄSTERBOTTENS LÄN</t>
        </is>
      </c>
      <c r="E2596" t="inlineStr">
        <is>
          <t>SKELLEFTEÅ</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60614-2023</t>
        </is>
      </c>
      <c r="B2597" s="1" t="n">
        <v>45260</v>
      </c>
      <c r="C2597" s="1" t="n">
        <v>45641</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60612-2023</t>
        </is>
      </c>
      <c r="B2598" s="1" t="n">
        <v>45260</v>
      </c>
      <c r="C2598" s="1" t="n">
        <v>45641</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60785-2023</t>
        </is>
      </c>
      <c r="B2599" s="1" t="n">
        <v>45260</v>
      </c>
      <c r="C2599" s="1" t="n">
        <v>45641</v>
      </c>
      <c r="D2599" t="inlineStr">
        <is>
          <t>VÄSTERBOTTENS LÄN</t>
        </is>
      </c>
      <c r="E2599" t="inlineStr">
        <is>
          <t>SKELLEFTEÅ</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60601-2023</t>
        </is>
      </c>
      <c r="B2600" s="1" t="n">
        <v>45260</v>
      </c>
      <c r="C2600" s="1" t="n">
        <v>45641</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61089-2023</t>
        </is>
      </c>
      <c r="B2601" s="1" t="n">
        <v>45260</v>
      </c>
      <c r="C2601" s="1" t="n">
        <v>45641</v>
      </c>
      <c r="D2601" t="inlineStr">
        <is>
          <t>VÄSTERBOTTENS LÄN</t>
        </is>
      </c>
      <c r="E2601" t="inlineStr">
        <is>
          <t>SKELLEFTEÅ</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61239-2023</t>
        </is>
      </c>
      <c r="B2602" s="1" t="n">
        <v>45260</v>
      </c>
      <c r="C2602" s="1" t="n">
        <v>45641</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61087-2023</t>
        </is>
      </c>
      <c r="B2603" s="1" t="n">
        <v>45260</v>
      </c>
      <c r="C2603" s="1" t="n">
        <v>45641</v>
      </c>
      <c r="D2603" t="inlineStr">
        <is>
          <t>VÄSTERBOTTENS LÄN</t>
        </is>
      </c>
      <c r="E2603" t="inlineStr">
        <is>
          <t>SKELLEFTEÅ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60896-2023</t>
        </is>
      </c>
      <c r="B2604" s="1" t="n">
        <v>45261</v>
      </c>
      <c r="C2604" s="1" t="n">
        <v>45641</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61033-2023</t>
        </is>
      </c>
      <c r="B2605" s="1" t="n">
        <v>45261</v>
      </c>
      <c r="C2605" s="1" t="n">
        <v>45641</v>
      </c>
      <c r="D2605" t="inlineStr">
        <is>
          <t>VÄSTERBOTTENS LÄN</t>
        </is>
      </c>
      <c r="E2605" t="inlineStr">
        <is>
          <t>SKELLEFTEÅ</t>
        </is>
      </c>
      <c r="F2605" t="inlineStr">
        <is>
          <t>Sveaskog</t>
        </is>
      </c>
      <c r="G2605" t="n">
        <v>16.4</v>
      </c>
      <c r="H2605" t="n">
        <v>0</v>
      </c>
      <c r="I2605" t="n">
        <v>0</v>
      </c>
      <c r="J2605" t="n">
        <v>0</v>
      </c>
      <c r="K2605" t="n">
        <v>0</v>
      </c>
      <c r="L2605" t="n">
        <v>0</v>
      </c>
      <c r="M2605" t="n">
        <v>0</v>
      </c>
      <c r="N2605" t="n">
        <v>0</v>
      </c>
      <c r="O2605" t="n">
        <v>0</v>
      </c>
      <c r="P2605" t="n">
        <v>0</v>
      </c>
      <c r="Q2605" t="n">
        <v>0</v>
      </c>
      <c r="R2605" s="2" t="inlineStr"/>
    </row>
    <row r="2606" ht="15" customHeight="1">
      <c r="A2606" t="inlineStr">
        <is>
          <t>A 60898-2023</t>
        </is>
      </c>
      <c r="B2606" s="1" t="n">
        <v>45261</v>
      </c>
      <c r="C2606" s="1" t="n">
        <v>45641</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61130-2023</t>
        </is>
      </c>
      <c r="B2607" s="1" t="n">
        <v>45261</v>
      </c>
      <c r="C2607" s="1" t="n">
        <v>45641</v>
      </c>
      <c r="D2607" t="inlineStr">
        <is>
          <t>VÄSTERBOTTENS LÄN</t>
        </is>
      </c>
      <c r="E2607" t="inlineStr">
        <is>
          <t>SKELLEFTEÅ</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61147-2023</t>
        </is>
      </c>
      <c r="B2608" s="1" t="n">
        <v>45262</v>
      </c>
      <c r="C2608" s="1" t="n">
        <v>45641</v>
      </c>
      <c r="D2608" t="inlineStr">
        <is>
          <t>VÄSTERBOTTENS LÄN</t>
        </is>
      </c>
      <c r="E2608" t="inlineStr">
        <is>
          <t>SKELLEFTEÅ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61145-2023</t>
        </is>
      </c>
      <c r="B2609" s="1" t="n">
        <v>45262</v>
      </c>
      <c r="C2609" s="1" t="n">
        <v>45641</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61146-2023</t>
        </is>
      </c>
      <c r="B2610" s="1" t="n">
        <v>45262</v>
      </c>
      <c r="C2610" s="1" t="n">
        <v>45641</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61292-2023</t>
        </is>
      </c>
      <c r="B2611" s="1" t="n">
        <v>45264</v>
      </c>
      <c r="C2611" s="1" t="n">
        <v>45641</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61186-2023</t>
        </is>
      </c>
      <c r="B2612" s="1" t="n">
        <v>45264</v>
      </c>
      <c r="C2612" s="1" t="n">
        <v>45641</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61242-2023</t>
        </is>
      </c>
      <c r="B2613" s="1" t="n">
        <v>45264</v>
      </c>
      <c r="C2613" s="1" t="n">
        <v>45641</v>
      </c>
      <c r="D2613" t="inlineStr">
        <is>
          <t>VÄSTERBOTTENS LÄN</t>
        </is>
      </c>
      <c r="E2613" t="inlineStr">
        <is>
          <t>SKELLEFTEÅ</t>
        </is>
      </c>
      <c r="F2613" t="inlineStr">
        <is>
          <t>Holmen skog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61188-2023</t>
        </is>
      </c>
      <c r="B2614" s="1" t="n">
        <v>45264</v>
      </c>
      <c r="C2614" s="1" t="n">
        <v>45641</v>
      </c>
      <c r="D2614" t="inlineStr">
        <is>
          <t>VÄSTERBOTTENS LÄN</t>
        </is>
      </c>
      <c r="E2614" t="inlineStr">
        <is>
          <t>SKELLEFTEÅ</t>
        </is>
      </c>
      <c r="F2614" t="inlineStr">
        <is>
          <t>Sveaskog</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61457-2023</t>
        </is>
      </c>
      <c r="B2615" s="1" t="n">
        <v>45264</v>
      </c>
      <c r="C2615" s="1" t="n">
        <v>45641</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61733-2023</t>
        </is>
      </c>
      <c r="B2616" s="1" t="n">
        <v>45264</v>
      </c>
      <c r="C2616" s="1" t="n">
        <v>45641</v>
      </c>
      <c r="D2616" t="inlineStr">
        <is>
          <t>VÄSTERBOTTENS LÄN</t>
        </is>
      </c>
      <c r="E2616" t="inlineStr">
        <is>
          <t>SKELLEFTEÅ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61730-2023</t>
        </is>
      </c>
      <c r="B2617" s="1" t="n">
        <v>45264</v>
      </c>
      <c r="C2617" s="1" t="n">
        <v>45641</v>
      </c>
      <c r="D2617" t="inlineStr">
        <is>
          <t>VÄSTERBOTTENS LÄN</t>
        </is>
      </c>
      <c r="E2617" t="inlineStr">
        <is>
          <t>SKELLEFTEÅ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61723-2023</t>
        </is>
      </c>
      <c r="B2618" s="1" t="n">
        <v>45264</v>
      </c>
      <c r="C2618" s="1" t="n">
        <v>45641</v>
      </c>
      <c r="D2618" t="inlineStr">
        <is>
          <t>VÄSTERBOTTENS LÄN</t>
        </is>
      </c>
      <c r="E2618" t="inlineStr">
        <is>
          <t>SKELLEFTEÅ</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61808-2023</t>
        </is>
      </c>
      <c r="B2619" s="1" t="n">
        <v>45264</v>
      </c>
      <c r="C2619" s="1" t="n">
        <v>45641</v>
      </c>
      <c r="D2619" t="inlineStr">
        <is>
          <t>VÄSTERBOTTENS LÄN</t>
        </is>
      </c>
      <c r="E2619" t="inlineStr">
        <is>
          <t>SKELLEFTEÅ</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61928-2023</t>
        </is>
      </c>
      <c r="B2620" s="1" t="n">
        <v>45265</v>
      </c>
      <c r="C2620" s="1" t="n">
        <v>45641</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61927-2023</t>
        </is>
      </c>
      <c r="B2621" s="1" t="n">
        <v>45265</v>
      </c>
      <c r="C2621" s="1" t="n">
        <v>45641</v>
      </c>
      <c r="D2621" t="inlineStr">
        <is>
          <t>VÄSTERBOTTENS LÄN</t>
        </is>
      </c>
      <c r="E2621" t="inlineStr">
        <is>
          <t>SKELLEFTEÅ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62300-2023</t>
        </is>
      </c>
      <c r="B2622" s="1" t="n">
        <v>45266</v>
      </c>
      <c r="C2622" s="1" t="n">
        <v>45641</v>
      </c>
      <c r="D2622" t="inlineStr">
        <is>
          <t>VÄSTERBOTTENS LÄN</t>
        </is>
      </c>
      <c r="E2622" t="inlineStr">
        <is>
          <t>SKELLEFTEÅ</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62141-2023</t>
        </is>
      </c>
      <c r="B2623" s="1" t="n">
        <v>45267</v>
      </c>
      <c r="C2623" s="1" t="n">
        <v>45641</v>
      </c>
      <c r="D2623" t="inlineStr">
        <is>
          <t>VÄSTERBOTTENS LÄN</t>
        </is>
      </c>
      <c r="E2623" t="inlineStr">
        <is>
          <t>SKELLEFTEÅ</t>
        </is>
      </c>
      <c r="G2623" t="n">
        <v>12.7</v>
      </c>
      <c r="H2623" t="n">
        <v>0</v>
      </c>
      <c r="I2623" t="n">
        <v>0</v>
      </c>
      <c r="J2623" t="n">
        <v>0</v>
      </c>
      <c r="K2623" t="n">
        <v>0</v>
      </c>
      <c r="L2623" t="n">
        <v>0</v>
      </c>
      <c r="M2623" t="n">
        <v>0</v>
      </c>
      <c r="N2623" t="n">
        <v>0</v>
      </c>
      <c r="O2623" t="n">
        <v>0</v>
      </c>
      <c r="P2623" t="n">
        <v>0</v>
      </c>
      <c r="Q2623" t="n">
        <v>0</v>
      </c>
      <c r="R2623" s="2" t="inlineStr"/>
    </row>
    <row r="2624" ht="15" customHeight="1">
      <c r="A2624" t="inlineStr">
        <is>
          <t>A 62345-2023</t>
        </is>
      </c>
      <c r="B2624" s="1" t="n">
        <v>45267</v>
      </c>
      <c r="C2624" s="1" t="n">
        <v>45641</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62336-2023</t>
        </is>
      </c>
      <c r="B2625" s="1" t="n">
        <v>45267</v>
      </c>
      <c r="C2625" s="1" t="n">
        <v>45641</v>
      </c>
      <c r="D2625" t="inlineStr">
        <is>
          <t>VÄSTERBOTTENS LÄN</t>
        </is>
      </c>
      <c r="E2625" t="inlineStr">
        <is>
          <t>SKELLEFTEÅ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62344-2023</t>
        </is>
      </c>
      <c r="B2626" s="1" t="n">
        <v>45267</v>
      </c>
      <c r="C2626" s="1" t="n">
        <v>45641</v>
      </c>
      <c r="D2626" t="inlineStr">
        <is>
          <t>VÄSTERBOTTENS LÄN</t>
        </is>
      </c>
      <c r="E2626" t="inlineStr">
        <is>
          <t>SKELLEFTEÅ</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62347-2023</t>
        </is>
      </c>
      <c r="B2627" s="1" t="n">
        <v>45267</v>
      </c>
      <c r="C2627" s="1" t="n">
        <v>45641</v>
      </c>
      <c r="D2627" t="inlineStr">
        <is>
          <t>VÄSTERBOTTENS LÄN</t>
        </is>
      </c>
      <c r="E2627" t="inlineStr">
        <is>
          <t>SKELLEFTEÅ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62599-2023</t>
        </is>
      </c>
      <c r="B2628" s="1" t="n">
        <v>45267</v>
      </c>
      <c r="C2628" s="1" t="n">
        <v>45641</v>
      </c>
      <c r="D2628" t="inlineStr">
        <is>
          <t>VÄSTERBOTTENS LÄN</t>
        </is>
      </c>
      <c r="E2628" t="inlineStr">
        <is>
          <t>SKELLEFTEÅ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62601-2023</t>
        </is>
      </c>
      <c r="B2629" s="1" t="n">
        <v>45267</v>
      </c>
      <c r="C2629" s="1" t="n">
        <v>45641</v>
      </c>
      <c r="D2629" t="inlineStr">
        <is>
          <t>VÄSTERBOTTENS LÄN</t>
        </is>
      </c>
      <c r="E2629" t="inlineStr">
        <is>
          <t>SKELLEFTEÅ</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62547-2023</t>
        </is>
      </c>
      <c r="B2630" s="1" t="n">
        <v>45268</v>
      </c>
      <c r="C2630" s="1" t="n">
        <v>45641</v>
      </c>
      <c r="D2630" t="inlineStr">
        <is>
          <t>VÄSTERBOTTENS LÄN</t>
        </is>
      </c>
      <c r="E2630" t="inlineStr">
        <is>
          <t>SKELLEFTEÅ</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62504-2023</t>
        </is>
      </c>
      <c r="B2631" s="1" t="n">
        <v>45268</v>
      </c>
      <c r="C2631" s="1" t="n">
        <v>45641</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62708-2023</t>
        </is>
      </c>
      <c r="B2632" s="1" t="n">
        <v>45271</v>
      </c>
      <c r="C2632" s="1" t="n">
        <v>45641</v>
      </c>
      <c r="D2632" t="inlineStr">
        <is>
          <t>VÄSTERBOTTENS LÄN</t>
        </is>
      </c>
      <c r="E2632" t="inlineStr">
        <is>
          <t>SKELLEFTEÅ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62885-2023</t>
        </is>
      </c>
      <c r="B2633" s="1" t="n">
        <v>45271</v>
      </c>
      <c r="C2633" s="1" t="n">
        <v>45641</v>
      </c>
      <c r="D2633" t="inlineStr">
        <is>
          <t>VÄSTERBOTTENS LÄN</t>
        </is>
      </c>
      <c r="E2633" t="inlineStr">
        <is>
          <t>SKELLEFTEÅ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63010-2023</t>
        </is>
      </c>
      <c r="B2634" s="1" t="n">
        <v>45272</v>
      </c>
      <c r="C2634" s="1" t="n">
        <v>45641</v>
      </c>
      <c r="D2634" t="inlineStr">
        <is>
          <t>VÄSTERBOTTENS LÄN</t>
        </is>
      </c>
      <c r="E2634" t="inlineStr">
        <is>
          <t>SKELLEFTEÅ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62961-2023</t>
        </is>
      </c>
      <c r="B2635" s="1" t="n">
        <v>45272</v>
      </c>
      <c r="C2635" s="1" t="n">
        <v>45641</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63525-2023</t>
        </is>
      </c>
      <c r="B2636" s="1" t="n">
        <v>45274</v>
      </c>
      <c r="C2636" s="1" t="n">
        <v>45641</v>
      </c>
      <c r="D2636" t="inlineStr">
        <is>
          <t>VÄSTERBOTTENS LÄN</t>
        </is>
      </c>
      <c r="E2636" t="inlineStr">
        <is>
          <t>SKELLEFTEÅ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63704-2023</t>
        </is>
      </c>
      <c r="B2637" s="1" t="n">
        <v>45275</v>
      </c>
      <c r="C2637" s="1" t="n">
        <v>45641</v>
      </c>
      <c r="D2637" t="inlineStr">
        <is>
          <t>VÄSTERBOTTENS LÄN</t>
        </is>
      </c>
      <c r="E2637" t="inlineStr">
        <is>
          <t>SKELLEFTEÅ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63757-2023</t>
        </is>
      </c>
      <c r="B2638" s="1" t="n">
        <v>45278</v>
      </c>
      <c r="C2638" s="1" t="n">
        <v>45641</v>
      </c>
      <c r="D2638" t="inlineStr">
        <is>
          <t>VÄSTERBOTTENS LÄN</t>
        </is>
      </c>
      <c r="E2638" t="inlineStr">
        <is>
          <t>SKELLEFTEÅ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63759-2023</t>
        </is>
      </c>
      <c r="B2639" s="1" t="n">
        <v>45278</v>
      </c>
      <c r="C2639" s="1" t="n">
        <v>45641</v>
      </c>
      <c r="D2639" t="inlineStr">
        <is>
          <t>VÄSTERBOTTENS LÄN</t>
        </is>
      </c>
      <c r="E2639" t="inlineStr">
        <is>
          <t>SKELLEFTEÅ</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63935-2023</t>
        </is>
      </c>
      <c r="B2640" s="1" t="n">
        <v>45278</v>
      </c>
      <c r="C2640" s="1" t="n">
        <v>45641</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64009-2023</t>
        </is>
      </c>
      <c r="B2641" s="1" t="n">
        <v>45278</v>
      </c>
      <c r="C2641" s="1" t="n">
        <v>45641</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64006-2023</t>
        </is>
      </c>
      <c r="B2642" s="1" t="n">
        <v>45278</v>
      </c>
      <c r="C2642" s="1" t="n">
        <v>45641</v>
      </c>
      <c r="D2642" t="inlineStr">
        <is>
          <t>VÄSTERBOTTENS LÄN</t>
        </is>
      </c>
      <c r="E2642" t="inlineStr">
        <is>
          <t>SKELLEFTEÅ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64008-2023</t>
        </is>
      </c>
      <c r="B2643" s="1" t="n">
        <v>45278</v>
      </c>
      <c r="C2643" s="1" t="n">
        <v>45641</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64258-2023</t>
        </is>
      </c>
      <c r="B2644" s="1" t="n">
        <v>45279</v>
      </c>
      <c r="C2644" s="1" t="n">
        <v>45641</v>
      </c>
      <c r="D2644" t="inlineStr">
        <is>
          <t>VÄSTERBOTTENS LÄN</t>
        </is>
      </c>
      <c r="E2644" t="inlineStr">
        <is>
          <t>SKELLEFTEÅ</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64257-2023</t>
        </is>
      </c>
      <c r="B2645" s="1" t="n">
        <v>45279</v>
      </c>
      <c r="C2645" s="1" t="n">
        <v>45641</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64183-2023</t>
        </is>
      </c>
      <c r="B2646" s="1" t="n">
        <v>45279</v>
      </c>
      <c r="C2646" s="1" t="n">
        <v>45641</v>
      </c>
      <c r="D2646" t="inlineStr">
        <is>
          <t>VÄSTERBOTTENS LÄN</t>
        </is>
      </c>
      <c r="E2646" t="inlineStr">
        <is>
          <t>SKELLEFTEÅ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1815-2024</t>
        </is>
      </c>
      <c r="B2647" s="1" t="n">
        <v>45279</v>
      </c>
      <c r="C2647" s="1" t="n">
        <v>45641</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64323-2023</t>
        </is>
      </c>
      <c r="B2648" s="1" t="n">
        <v>45280</v>
      </c>
      <c r="C2648" s="1" t="n">
        <v>45641</v>
      </c>
      <c r="D2648" t="inlineStr">
        <is>
          <t>VÄSTERBOTTENS LÄN</t>
        </is>
      </c>
      <c r="E2648" t="inlineStr">
        <is>
          <t>SKELLEFTEÅ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64340-2023</t>
        </is>
      </c>
      <c r="B2649" s="1" t="n">
        <v>45280</v>
      </c>
      <c r="C2649" s="1" t="n">
        <v>45641</v>
      </c>
      <c r="D2649" t="inlineStr">
        <is>
          <t>VÄSTERBOTTENS LÄN</t>
        </is>
      </c>
      <c r="E2649" t="inlineStr">
        <is>
          <t>SKELLEFTEÅ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64370-2023</t>
        </is>
      </c>
      <c r="B2650" s="1" t="n">
        <v>45280</v>
      </c>
      <c r="C2650" s="1" t="n">
        <v>45641</v>
      </c>
      <c r="D2650" t="inlineStr">
        <is>
          <t>VÄSTERBOTTENS LÄN</t>
        </is>
      </c>
      <c r="E2650" t="inlineStr">
        <is>
          <t>SKELLEFTEÅ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64598-2023</t>
        </is>
      </c>
      <c r="B2651" s="1" t="n">
        <v>45281</v>
      </c>
      <c r="C2651" s="1" t="n">
        <v>45641</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64682-2023</t>
        </is>
      </c>
      <c r="B2652" s="1" t="n">
        <v>45281</v>
      </c>
      <c r="C2652" s="1" t="n">
        <v>45641</v>
      </c>
      <c r="D2652" t="inlineStr">
        <is>
          <t>VÄSTERBOTTENS LÄN</t>
        </is>
      </c>
      <c r="E2652" t="inlineStr">
        <is>
          <t>SKELLEFTEÅ</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64720-2023</t>
        </is>
      </c>
      <c r="B2653" s="1" t="n">
        <v>45281</v>
      </c>
      <c r="C2653" s="1" t="n">
        <v>45641</v>
      </c>
      <c r="D2653" t="inlineStr">
        <is>
          <t>VÄSTERBOTTENS LÄN</t>
        </is>
      </c>
      <c r="E2653" t="inlineStr">
        <is>
          <t>SKELLEFTEÅ</t>
        </is>
      </c>
      <c r="G2653" t="n">
        <v>9</v>
      </c>
      <c r="H2653" t="n">
        <v>0</v>
      </c>
      <c r="I2653" t="n">
        <v>0</v>
      </c>
      <c r="J2653" t="n">
        <v>0</v>
      </c>
      <c r="K2653" t="n">
        <v>0</v>
      </c>
      <c r="L2653" t="n">
        <v>0</v>
      </c>
      <c r="M2653" t="n">
        <v>0</v>
      </c>
      <c r="N2653" t="n">
        <v>0</v>
      </c>
      <c r="O2653" t="n">
        <v>0</v>
      </c>
      <c r="P2653" t="n">
        <v>0</v>
      </c>
      <c r="Q2653" t="n">
        <v>0</v>
      </c>
      <c r="R2653" s="2" t="inlineStr"/>
    </row>
    <row r="2654" ht="15" customHeight="1">
      <c r="A2654" t="inlineStr">
        <is>
          <t>A 64716-2023</t>
        </is>
      </c>
      <c r="B2654" s="1" t="n">
        <v>45281</v>
      </c>
      <c r="C2654" s="1" t="n">
        <v>45641</v>
      </c>
      <c r="D2654" t="inlineStr">
        <is>
          <t>VÄSTERBOTTENS LÄN</t>
        </is>
      </c>
      <c r="E2654" t="inlineStr">
        <is>
          <t>SKELLEFTEÅ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64723-2023</t>
        </is>
      </c>
      <c r="B2655" s="1" t="n">
        <v>45281</v>
      </c>
      <c r="C2655" s="1" t="n">
        <v>45641</v>
      </c>
      <c r="D2655" t="inlineStr">
        <is>
          <t>VÄSTERBOTTENS LÄN</t>
        </is>
      </c>
      <c r="E2655" t="inlineStr">
        <is>
          <t>SKELLEFTEÅ</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64726-2023</t>
        </is>
      </c>
      <c r="B2656" s="1" t="n">
        <v>45281</v>
      </c>
      <c r="C2656" s="1" t="n">
        <v>45641</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64750-2023</t>
        </is>
      </c>
      <c r="B2657" s="1" t="n">
        <v>45281</v>
      </c>
      <c r="C2657" s="1" t="n">
        <v>45641</v>
      </c>
      <c r="D2657" t="inlineStr">
        <is>
          <t>VÄSTERBOTTENS LÄN</t>
        </is>
      </c>
      <c r="E2657" t="inlineStr">
        <is>
          <t>SKELLEFTEÅ</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64920-2023</t>
        </is>
      </c>
      <c r="B2658" s="1" t="n">
        <v>45282</v>
      </c>
      <c r="C2658" s="1" t="n">
        <v>45641</v>
      </c>
      <c r="D2658" t="inlineStr">
        <is>
          <t>VÄSTERBOTTENS LÄN</t>
        </is>
      </c>
      <c r="E2658" t="inlineStr">
        <is>
          <t>SKELLEFTEÅ</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64942-2023</t>
        </is>
      </c>
      <c r="B2659" s="1" t="n">
        <v>45282</v>
      </c>
      <c r="C2659" s="1" t="n">
        <v>45641</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65010-2023</t>
        </is>
      </c>
      <c r="B2660" s="1" t="n">
        <v>45282</v>
      </c>
      <c r="C2660" s="1" t="n">
        <v>45641</v>
      </c>
      <c r="D2660" t="inlineStr">
        <is>
          <t>VÄSTERBOTTENS LÄN</t>
        </is>
      </c>
      <c r="E2660" t="inlineStr">
        <is>
          <t>SKELLEFTEÅ</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64941-2023</t>
        </is>
      </c>
      <c r="B2661" s="1" t="n">
        <v>45282</v>
      </c>
      <c r="C2661" s="1" t="n">
        <v>45641</v>
      </c>
      <c r="D2661" t="inlineStr">
        <is>
          <t>VÄSTERBOTTENS LÄN</t>
        </is>
      </c>
      <c r="E2661" t="inlineStr">
        <is>
          <t>SKELLEFTEÅ</t>
        </is>
      </c>
      <c r="G2661" t="n">
        <v>12.9</v>
      </c>
      <c r="H2661" t="n">
        <v>0</v>
      </c>
      <c r="I2661" t="n">
        <v>0</v>
      </c>
      <c r="J2661" t="n">
        <v>0</v>
      </c>
      <c r="K2661" t="n">
        <v>0</v>
      </c>
      <c r="L2661" t="n">
        <v>0</v>
      </c>
      <c r="M2661" t="n">
        <v>0</v>
      </c>
      <c r="N2661" t="n">
        <v>0</v>
      </c>
      <c r="O2661" t="n">
        <v>0</v>
      </c>
      <c r="P2661" t="n">
        <v>0</v>
      </c>
      <c r="Q2661" t="n">
        <v>0</v>
      </c>
      <c r="R2661" s="2" t="inlineStr"/>
    </row>
    <row r="2662" ht="15" customHeight="1">
      <c r="A2662" t="inlineStr">
        <is>
          <t>A 65009-2023</t>
        </is>
      </c>
      <c r="B2662" s="1" t="n">
        <v>45287</v>
      </c>
      <c r="C2662" s="1" t="n">
        <v>45641</v>
      </c>
      <c r="D2662" t="inlineStr">
        <is>
          <t>VÄSTERBOTTENS LÄN</t>
        </is>
      </c>
      <c r="E2662" t="inlineStr">
        <is>
          <t>SKELLEFTEÅ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65011-2023</t>
        </is>
      </c>
      <c r="B2663" s="1" t="n">
        <v>45287</v>
      </c>
      <c r="C2663" s="1" t="n">
        <v>45641</v>
      </c>
      <c r="D2663" t="inlineStr">
        <is>
          <t>VÄSTERBOTTENS LÄN</t>
        </is>
      </c>
      <c r="E2663" t="inlineStr">
        <is>
          <t>SKELLEFTEÅ</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65128-2023</t>
        </is>
      </c>
      <c r="B2664" s="1" t="n">
        <v>45288</v>
      </c>
      <c r="C2664" s="1" t="n">
        <v>45641</v>
      </c>
      <c r="D2664" t="inlineStr">
        <is>
          <t>VÄSTERBOTTENS LÄN</t>
        </is>
      </c>
      <c r="E2664" t="inlineStr">
        <is>
          <t>SKELLEFTEÅ</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65165-2023</t>
        </is>
      </c>
      <c r="B2665" s="1" t="n">
        <v>45288</v>
      </c>
      <c r="C2665" s="1" t="n">
        <v>45641</v>
      </c>
      <c r="D2665" t="inlineStr">
        <is>
          <t>VÄSTERBOTTENS LÄN</t>
        </is>
      </c>
      <c r="E2665" t="inlineStr">
        <is>
          <t>SKELLEFTEÅ</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65178-2023</t>
        </is>
      </c>
      <c r="B2666" s="1" t="n">
        <v>45288</v>
      </c>
      <c r="C2666" s="1" t="n">
        <v>45641</v>
      </c>
      <c r="D2666" t="inlineStr">
        <is>
          <t>VÄSTERBOTTENS LÄN</t>
        </is>
      </c>
      <c r="E2666" t="inlineStr">
        <is>
          <t>SKELLEFTEÅ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65191-2023</t>
        </is>
      </c>
      <c r="B2667" s="1" t="n">
        <v>45288</v>
      </c>
      <c r="C2667" s="1" t="n">
        <v>45641</v>
      </c>
      <c r="D2667" t="inlineStr">
        <is>
          <t>VÄSTERBOTTENS LÄN</t>
        </is>
      </c>
      <c r="E2667" t="inlineStr">
        <is>
          <t>SKELLEFTEÅ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65206-2023</t>
        </is>
      </c>
      <c r="B2668" s="1" t="n">
        <v>45289</v>
      </c>
      <c r="C2668" s="1" t="n">
        <v>45641</v>
      </c>
      <c r="D2668" t="inlineStr">
        <is>
          <t>VÄSTERBOTTENS LÄN</t>
        </is>
      </c>
      <c r="E2668" t="inlineStr">
        <is>
          <t>SKELLEFTEÅ</t>
        </is>
      </c>
      <c r="G2668" t="n">
        <v>19.2</v>
      </c>
      <c r="H2668" t="n">
        <v>0</v>
      </c>
      <c r="I2668" t="n">
        <v>0</v>
      </c>
      <c r="J2668" t="n">
        <v>0</v>
      </c>
      <c r="K2668" t="n">
        <v>0</v>
      </c>
      <c r="L2668" t="n">
        <v>0</v>
      </c>
      <c r="M2668" t="n">
        <v>0</v>
      </c>
      <c r="N2668" t="n">
        <v>0</v>
      </c>
      <c r="O2668" t="n">
        <v>0</v>
      </c>
      <c r="P2668" t="n">
        <v>0</v>
      </c>
      <c r="Q2668" t="n">
        <v>0</v>
      </c>
      <c r="R2668" s="2" t="inlineStr"/>
    </row>
    <row r="2669" ht="15" customHeight="1">
      <c r="A2669" t="inlineStr">
        <is>
          <t>A 65243-2023</t>
        </is>
      </c>
      <c r="B2669" s="1" t="n">
        <v>45289</v>
      </c>
      <c r="C2669" s="1" t="n">
        <v>45641</v>
      </c>
      <c r="D2669" t="inlineStr">
        <is>
          <t>VÄSTERBOTTENS LÄN</t>
        </is>
      </c>
      <c r="E2669" t="inlineStr">
        <is>
          <t>SKELLEFTEÅ</t>
        </is>
      </c>
      <c r="G2669" t="n">
        <v>22.2</v>
      </c>
      <c r="H2669" t="n">
        <v>0</v>
      </c>
      <c r="I2669" t="n">
        <v>0</v>
      </c>
      <c r="J2669" t="n">
        <v>0</v>
      </c>
      <c r="K2669" t="n">
        <v>0</v>
      </c>
      <c r="L2669" t="n">
        <v>0</v>
      </c>
      <c r="M2669" t="n">
        <v>0</v>
      </c>
      <c r="N2669" t="n">
        <v>0</v>
      </c>
      <c r="O2669" t="n">
        <v>0</v>
      </c>
      <c r="P2669" t="n">
        <v>0</v>
      </c>
      <c r="Q2669" t="n">
        <v>0</v>
      </c>
      <c r="R2669" s="2" t="inlineStr"/>
    </row>
    <row r="2670" ht="15" customHeight="1">
      <c r="A2670" t="inlineStr">
        <is>
          <t>A 27-2024</t>
        </is>
      </c>
      <c r="B2670" s="1" t="n">
        <v>45293</v>
      </c>
      <c r="C2670" s="1" t="n">
        <v>45641</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207-2024</t>
        </is>
      </c>
      <c r="B2671" s="1" t="n">
        <v>45293</v>
      </c>
      <c r="C2671" s="1" t="n">
        <v>45641</v>
      </c>
      <c r="D2671" t="inlineStr">
        <is>
          <t>VÄSTERBOTTENS LÄN</t>
        </is>
      </c>
      <c r="E2671" t="inlineStr">
        <is>
          <t>SKELLEFTEÅ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381-2024</t>
        </is>
      </c>
      <c r="B2672" s="1" t="n">
        <v>45296</v>
      </c>
      <c r="C2672" s="1" t="n">
        <v>45641</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418-2024</t>
        </is>
      </c>
      <c r="B2673" s="1" t="n">
        <v>45296</v>
      </c>
      <c r="C2673" s="1" t="n">
        <v>45641</v>
      </c>
      <c r="D2673" t="inlineStr">
        <is>
          <t>VÄSTERBOTTENS LÄN</t>
        </is>
      </c>
      <c r="E2673" t="inlineStr">
        <is>
          <t>SKELLEFTEÅ</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671-2024</t>
        </is>
      </c>
      <c r="B2674" s="1" t="n">
        <v>45299</v>
      </c>
      <c r="C2674" s="1" t="n">
        <v>45641</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668-2024</t>
        </is>
      </c>
      <c r="B2675" s="1" t="n">
        <v>45300</v>
      </c>
      <c r="C2675" s="1" t="n">
        <v>45641</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1114-2024</t>
        </is>
      </c>
      <c r="B2676" s="1" t="n">
        <v>45302</v>
      </c>
      <c r="C2676" s="1" t="n">
        <v>45641</v>
      </c>
      <c r="D2676" t="inlineStr">
        <is>
          <t>VÄSTERBOTTENS LÄN</t>
        </is>
      </c>
      <c r="E2676" t="inlineStr">
        <is>
          <t>SKELLEFTEÅ</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1255-2024</t>
        </is>
      </c>
      <c r="B2677" s="1" t="n">
        <v>45302</v>
      </c>
      <c r="C2677" s="1" t="n">
        <v>45641</v>
      </c>
      <c r="D2677" t="inlineStr">
        <is>
          <t>VÄSTERBOTTENS LÄN</t>
        </is>
      </c>
      <c r="E2677" t="inlineStr">
        <is>
          <t>SKELLEFTEÅ</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1250-2024</t>
        </is>
      </c>
      <c r="B2678" s="1" t="n">
        <v>45302</v>
      </c>
      <c r="C2678" s="1" t="n">
        <v>45641</v>
      </c>
      <c r="D2678" t="inlineStr">
        <is>
          <t>VÄSTERBOTTENS LÄN</t>
        </is>
      </c>
      <c r="E2678" t="inlineStr">
        <is>
          <t>SKELLEFTEÅ</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1257-2024</t>
        </is>
      </c>
      <c r="B2679" s="1" t="n">
        <v>45302</v>
      </c>
      <c r="C2679" s="1" t="n">
        <v>45641</v>
      </c>
      <c r="D2679" t="inlineStr">
        <is>
          <t>VÄSTERBOTTENS LÄN</t>
        </is>
      </c>
      <c r="E2679" t="inlineStr">
        <is>
          <t>SKELLEFTEÅ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1256-2024</t>
        </is>
      </c>
      <c r="B2680" s="1" t="n">
        <v>45302</v>
      </c>
      <c r="C2680" s="1" t="n">
        <v>45641</v>
      </c>
      <c r="D2680" t="inlineStr">
        <is>
          <t>VÄSTERBOTTENS LÄN</t>
        </is>
      </c>
      <c r="E2680" t="inlineStr">
        <is>
          <t>SKELLEFTEÅ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1280-2024</t>
        </is>
      </c>
      <c r="B2681" s="1" t="n">
        <v>45303</v>
      </c>
      <c r="C2681" s="1" t="n">
        <v>45641</v>
      </c>
      <c r="D2681" t="inlineStr">
        <is>
          <t>VÄSTERBOTTENS LÄN</t>
        </is>
      </c>
      <c r="E2681" t="inlineStr">
        <is>
          <t>SKELLEFTEÅ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1419-2024</t>
        </is>
      </c>
      <c r="B2682" s="1" t="n">
        <v>45303</v>
      </c>
      <c r="C2682" s="1" t="n">
        <v>45641</v>
      </c>
      <c r="D2682" t="inlineStr">
        <is>
          <t>VÄSTERBOTTENS LÄN</t>
        </is>
      </c>
      <c r="E2682" t="inlineStr">
        <is>
          <t>SKELLEFTEÅ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1507-2024</t>
        </is>
      </c>
      <c r="B2683" s="1" t="n">
        <v>45306</v>
      </c>
      <c r="C2683" s="1" t="n">
        <v>45641</v>
      </c>
      <c r="D2683" t="inlineStr">
        <is>
          <t>VÄSTERBOTTENS LÄN</t>
        </is>
      </c>
      <c r="E2683" t="inlineStr">
        <is>
          <t>SKELLEFTEÅ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1498-2024</t>
        </is>
      </c>
      <c r="B2684" s="1" t="n">
        <v>45306</v>
      </c>
      <c r="C2684" s="1" t="n">
        <v>45641</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1564-2024</t>
        </is>
      </c>
      <c r="B2685" s="1" t="n">
        <v>45306</v>
      </c>
      <c r="C2685" s="1" t="n">
        <v>45641</v>
      </c>
      <c r="D2685" t="inlineStr">
        <is>
          <t>VÄSTERBOTTENS LÄN</t>
        </is>
      </c>
      <c r="E2685" t="inlineStr">
        <is>
          <t>SKELLEFTEÅ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1829-2024</t>
        </is>
      </c>
      <c r="B2686" s="1" t="n">
        <v>45307</v>
      </c>
      <c r="C2686" s="1" t="n">
        <v>45641</v>
      </c>
      <c r="D2686" t="inlineStr">
        <is>
          <t>VÄSTERBOTTENS LÄN</t>
        </is>
      </c>
      <c r="E2686" t="inlineStr">
        <is>
          <t>SKELLEFTEÅ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1827-2024</t>
        </is>
      </c>
      <c r="B2687" s="1" t="n">
        <v>45307</v>
      </c>
      <c r="C2687" s="1" t="n">
        <v>45641</v>
      </c>
      <c r="D2687" t="inlineStr">
        <is>
          <t>VÄSTERBOTTENS LÄN</t>
        </is>
      </c>
      <c r="E2687" t="inlineStr">
        <is>
          <t>SKELLEFTEÅ</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1809-2024</t>
        </is>
      </c>
      <c r="B2688" s="1" t="n">
        <v>45307</v>
      </c>
      <c r="C2688" s="1" t="n">
        <v>45641</v>
      </c>
      <c r="D2688" t="inlineStr">
        <is>
          <t>VÄSTERBOTTENS LÄN</t>
        </is>
      </c>
      <c r="E2688" t="inlineStr">
        <is>
          <t>SKELLEFTEÅ</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1826-2024</t>
        </is>
      </c>
      <c r="B2689" s="1" t="n">
        <v>45307</v>
      </c>
      <c r="C2689" s="1" t="n">
        <v>45641</v>
      </c>
      <c r="D2689" t="inlineStr">
        <is>
          <t>VÄSTERBOTTENS LÄN</t>
        </is>
      </c>
      <c r="E2689" t="inlineStr">
        <is>
          <t>SKELLEFTEÅ</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2050-2024</t>
        </is>
      </c>
      <c r="B2690" s="1" t="n">
        <v>45308</v>
      </c>
      <c r="C2690" s="1" t="n">
        <v>45641</v>
      </c>
      <c r="D2690" t="inlineStr">
        <is>
          <t>VÄSTERBOTTENS LÄN</t>
        </is>
      </c>
      <c r="E2690" t="inlineStr">
        <is>
          <t>SKELLEFTEÅ</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2058-2024</t>
        </is>
      </c>
      <c r="B2691" s="1" t="n">
        <v>45308</v>
      </c>
      <c r="C2691" s="1" t="n">
        <v>45641</v>
      </c>
      <c r="D2691" t="inlineStr">
        <is>
          <t>VÄSTERBOTTENS LÄN</t>
        </is>
      </c>
      <c r="E2691" t="inlineStr">
        <is>
          <t>SKELLEFTEÅ</t>
        </is>
      </c>
      <c r="G2691" t="n">
        <v>29.4</v>
      </c>
      <c r="H2691" t="n">
        <v>0</v>
      </c>
      <c r="I2691" t="n">
        <v>0</v>
      </c>
      <c r="J2691" t="n">
        <v>0</v>
      </c>
      <c r="K2691" t="n">
        <v>0</v>
      </c>
      <c r="L2691" t="n">
        <v>0</v>
      </c>
      <c r="M2691" t="n">
        <v>0</v>
      </c>
      <c r="N2691" t="n">
        <v>0</v>
      </c>
      <c r="O2691" t="n">
        <v>0</v>
      </c>
      <c r="P2691" t="n">
        <v>0</v>
      </c>
      <c r="Q2691" t="n">
        <v>0</v>
      </c>
      <c r="R2691" s="2" t="inlineStr"/>
    </row>
    <row r="2692" ht="15" customHeight="1">
      <c r="A2692" t="inlineStr">
        <is>
          <t>A 2043-2024</t>
        </is>
      </c>
      <c r="B2692" s="1" t="n">
        <v>45308</v>
      </c>
      <c r="C2692" s="1" t="n">
        <v>45641</v>
      </c>
      <c r="D2692" t="inlineStr">
        <is>
          <t>VÄSTERBOTTENS LÄN</t>
        </is>
      </c>
      <c r="E2692" t="inlineStr">
        <is>
          <t>SKELLEFTEÅ</t>
        </is>
      </c>
      <c r="G2692" t="n">
        <v>10.5</v>
      </c>
      <c r="H2692" t="n">
        <v>0</v>
      </c>
      <c r="I2692" t="n">
        <v>0</v>
      </c>
      <c r="J2692" t="n">
        <v>0</v>
      </c>
      <c r="K2692" t="n">
        <v>0</v>
      </c>
      <c r="L2692" t="n">
        <v>0</v>
      </c>
      <c r="M2692" t="n">
        <v>0</v>
      </c>
      <c r="N2692" t="n">
        <v>0</v>
      </c>
      <c r="O2692" t="n">
        <v>0</v>
      </c>
      <c r="P2692" t="n">
        <v>0</v>
      </c>
      <c r="Q2692" t="n">
        <v>0</v>
      </c>
      <c r="R2692" s="2" t="inlineStr"/>
    </row>
    <row r="2693" ht="15" customHeight="1">
      <c r="A2693" t="inlineStr">
        <is>
          <t>A 2051-2024</t>
        </is>
      </c>
      <c r="B2693" s="1" t="n">
        <v>45308</v>
      </c>
      <c r="C2693" s="1" t="n">
        <v>45641</v>
      </c>
      <c r="D2693" t="inlineStr">
        <is>
          <t>VÄSTERBOTTENS LÄN</t>
        </is>
      </c>
      <c r="E2693" t="inlineStr">
        <is>
          <t>SKELLEFTEÅ</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2055-2024</t>
        </is>
      </c>
      <c r="B2694" s="1" t="n">
        <v>45308</v>
      </c>
      <c r="C2694" s="1" t="n">
        <v>45641</v>
      </c>
      <c r="D2694" t="inlineStr">
        <is>
          <t>VÄSTERBOTTENS LÄN</t>
        </is>
      </c>
      <c r="E2694" t="inlineStr">
        <is>
          <t>SKELLEFTEÅ</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2059-2024</t>
        </is>
      </c>
      <c r="B2695" s="1" t="n">
        <v>45308</v>
      </c>
      <c r="C2695" s="1" t="n">
        <v>45641</v>
      </c>
      <c r="D2695" t="inlineStr">
        <is>
          <t>VÄSTERBOTTENS LÄN</t>
        </is>
      </c>
      <c r="E2695" t="inlineStr">
        <is>
          <t>SKELLEFTEÅ</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2045-2024</t>
        </is>
      </c>
      <c r="B2696" s="1" t="n">
        <v>45308</v>
      </c>
      <c r="C2696" s="1" t="n">
        <v>45641</v>
      </c>
      <c r="D2696" t="inlineStr">
        <is>
          <t>VÄSTERBOTTENS LÄN</t>
        </is>
      </c>
      <c r="E2696" t="inlineStr">
        <is>
          <t>SKELLEFTEÅ</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2052-2024</t>
        </is>
      </c>
      <c r="B2697" s="1" t="n">
        <v>45308</v>
      </c>
      <c r="C2697" s="1" t="n">
        <v>45641</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2170-2024</t>
        </is>
      </c>
      <c r="B2698" s="1" t="n">
        <v>45309</v>
      </c>
      <c r="C2698" s="1" t="n">
        <v>45641</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2090-2024</t>
        </is>
      </c>
      <c r="B2699" s="1" t="n">
        <v>45309</v>
      </c>
      <c r="C2699" s="1" t="n">
        <v>45641</v>
      </c>
      <c r="D2699" t="inlineStr">
        <is>
          <t>VÄSTERBOTTENS LÄN</t>
        </is>
      </c>
      <c r="E2699" t="inlineStr">
        <is>
          <t>SKELLEFTEÅ</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2417-2024</t>
        </is>
      </c>
      <c r="B2700" s="1" t="n">
        <v>45310</v>
      </c>
      <c r="C2700" s="1" t="n">
        <v>45641</v>
      </c>
      <c r="D2700" t="inlineStr">
        <is>
          <t>VÄSTERBOTTENS LÄN</t>
        </is>
      </c>
      <c r="E2700" t="inlineStr">
        <is>
          <t>SKELLEFTEÅ</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2579-2024</t>
        </is>
      </c>
      <c r="B2701" s="1" t="n">
        <v>45313</v>
      </c>
      <c r="C2701" s="1" t="n">
        <v>45641</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2526-2024</t>
        </is>
      </c>
      <c r="B2702" s="1" t="n">
        <v>45313</v>
      </c>
      <c r="C2702" s="1" t="n">
        <v>45641</v>
      </c>
      <c r="D2702" t="inlineStr">
        <is>
          <t>VÄSTERBOTTENS LÄN</t>
        </is>
      </c>
      <c r="E2702" t="inlineStr">
        <is>
          <t>SKELLEFTEÅ</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2562-2024</t>
        </is>
      </c>
      <c r="B2703" s="1" t="n">
        <v>45313</v>
      </c>
      <c r="C2703" s="1" t="n">
        <v>45641</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2572-2024</t>
        </is>
      </c>
      <c r="B2704" s="1" t="n">
        <v>45313</v>
      </c>
      <c r="C2704" s="1" t="n">
        <v>45641</v>
      </c>
      <c r="D2704" t="inlineStr">
        <is>
          <t>VÄSTERBOTTENS LÄN</t>
        </is>
      </c>
      <c r="E2704" t="inlineStr">
        <is>
          <t>SKELLEFTEÅ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2641-2024</t>
        </is>
      </c>
      <c r="B2705" s="1" t="n">
        <v>45314</v>
      </c>
      <c r="C2705" s="1" t="n">
        <v>45641</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2773-2024</t>
        </is>
      </c>
      <c r="B2706" s="1" t="n">
        <v>45314</v>
      </c>
      <c r="C2706" s="1" t="n">
        <v>45641</v>
      </c>
      <c r="D2706" t="inlineStr">
        <is>
          <t>VÄSTERBOTTENS LÄN</t>
        </is>
      </c>
      <c r="E2706" t="inlineStr">
        <is>
          <t>SKELLEFTEÅ</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2811-2024</t>
        </is>
      </c>
      <c r="B2707" s="1" t="n">
        <v>45314</v>
      </c>
      <c r="C2707" s="1" t="n">
        <v>45641</v>
      </c>
      <c r="D2707" t="inlineStr">
        <is>
          <t>VÄSTERBOTTENS LÄN</t>
        </is>
      </c>
      <c r="E2707" t="inlineStr">
        <is>
          <t>SKELLEFTEÅ</t>
        </is>
      </c>
      <c r="F2707" t="inlineStr">
        <is>
          <t>Sveaskog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2840-2024</t>
        </is>
      </c>
      <c r="B2708" s="1" t="n">
        <v>45315</v>
      </c>
      <c r="C2708" s="1" t="n">
        <v>45641</v>
      </c>
      <c r="D2708" t="inlineStr">
        <is>
          <t>VÄSTERBOTTENS LÄN</t>
        </is>
      </c>
      <c r="E2708" t="inlineStr">
        <is>
          <t>SKELLEFTEÅ</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2848-2024</t>
        </is>
      </c>
      <c r="B2709" s="1" t="n">
        <v>45315</v>
      </c>
      <c r="C2709" s="1" t="n">
        <v>45641</v>
      </c>
      <c r="D2709" t="inlineStr">
        <is>
          <t>VÄSTERBOTTENS LÄN</t>
        </is>
      </c>
      <c r="E2709" t="inlineStr">
        <is>
          <t>SKELLEFTEÅ</t>
        </is>
      </c>
      <c r="F2709" t="inlineStr">
        <is>
          <t>Sveaskog</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2845-2024</t>
        </is>
      </c>
      <c r="B2710" s="1" t="n">
        <v>45315</v>
      </c>
      <c r="C2710" s="1" t="n">
        <v>45641</v>
      </c>
      <c r="D2710" t="inlineStr">
        <is>
          <t>VÄSTERBOTTENS LÄN</t>
        </is>
      </c>
      <c r="E2710" t="inlineStr">
        <is>
          <t>SKELLEFTEÅ</t>
        </is>
      </c>
      <c r="F2710" t="inlineStr">
        <is>
          <t>Sveaskog</t>
        </is>
      </c>
      <c r="G2710" t="n">
        <v>15.7</v>
      </c>
      <c r="H2710" t="n">
        <v>0</v>
      </c>
      <c r="I2710" t="n">
        <v>0</v>
      </c>
      <c r="J2710" t="n">
        <v>0</v>
      </c>
      <c r="K2710" t="n">
        <v>0</v>
      </c>
      <c r="L2710" t="n">
        <v>0</v>
      </c>
      <c r="M2710" t="n">
        <v>0</v>
      </c>
      <c r="N2710" t="n">
        <v>0</v>
      </c>
      <c r="O2710" t="n">
        <v>0</v>
      </c>
      <c r="P2710" t="n">
        <v>0</v>
      </c>
      <c r="Q2710" t="n">
        <v>0</v>
      </c>
      <c r="R2710" s="2" t="inlineStr"/>
    </row>
    <row r="2711" ht="15" customHeight="1">
      <c r="A2711" t="inlineStr">
        <is>
          <t>A 2955-2024</t>
        </is>
      </c>
      <c r="B2711" s="1" t="n">
        <v>45315</v>
      </c>
      <c r="C2711" s="1" t="n">
        <v>45641</v>
      </c>
      <c r="D2711" t="inlineStr">
        <is>
          <t>VÄSTERBOTTENS LÄN</t>
        </is>
      </c>
      <c r="E2711" t="inlineStr">
        <is>
          <t>SKELLEFTEÅ</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2987-2024</t>
        </is>
      </c>
      <c r="B2712" s="1" t="n">
        <v>45315</v>
      </c>
      <c r="C2712" s="1" t="n">
        <v>45641</v>
      </c>
      <c r="D2712" t="inlineStr">
        <is>
          <t>VÄSTERBOTTENS LÄN</t>
        </is>
      </c>
      <c r="E2712" t="inlineStr">
        <is>
          <t>SKELLEFTEÅ</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2976-2024</t>
        </is>
      </c>
      <c r="B2713" s="1" t="n">
        <v>45315</v>
      </c>
      <c r="C2713" s="1" t="n">
        <v>45641</v>
      </c>
      <c r="D2713" t="inlineStr">
        <is>
          <t>VÄSTERBOTTENS LÄN</t>
        </is>
      </c>
      <c r="E2713" t="inlineStr">
        <is>
          <t>SKELLEFTEÅ</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3045-2024</t>
        </is>
      </c>
      <c r="B2714" s="1" t="n">
        <v>45316</v>
      </c>
      <c r="C2714" s="1" t="n">
        <v>45641</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3143-2024</t>
        </is>
      </c>
      <c r="B2715" s="1" t="n">
        <v>45316</v>
      </c>
      <c r="C2715" s="1" t="n">
        <v>45641</v>
      </c>
      <c r="D2715" t="inlineStr">
        <is>
          <t>VÄSTERBOTTENS LÄN</t>
        </is>
      </c>
      <c r="E2715" t="inlineStr">
        <is>
          <t>SKELLEFTEÅ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3142-2024</t>
        </is>
      </c>
      <c r="B2716" s="1" t="n">
        <v>45316</v>
      </c>
      <c r="C2716" s="1" t="n">
        <v>45641</v>
      </c>
      <c r="D2716" t="inlineStr">
        <is>
          <t>VÄSTERBOTTENS LÄN</t>
        </is>
      </c>
      <c r="E2716" t="inlineStr">
        <is>
          <t>SKELLEFTEÅ</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3141-2024</t>
        </is>
      </c>
      <c r="B2717" s="1" t="n">
        <v>45316</v>
      </c>
      <c r="C2717" s="1" t="n">
        <v>45641</v>
      </c>
      <c r="D2717" t="inlineStr">
        <is>
          <t>VÄSTERBOTTENS LÄN</t>
        </is>
      </c>
      <c r="E2717" t="inlineStr">
        <is>
          <t>SKELLEFTEÅ</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3358-2024</t>
        </is>
      </c>
      <c r="B2718" s="1" t="n">
        <v>45317</v>
      </c>
      <c r="C2718" s="1" t="n">
        <v>45641</v>
      </c>
      <c r="D2718" t="inlineStr">
        <is>
          <t>VÄSTERBOTTENS LÄN</t>
        </is>
      </c>
      <c r="E2718" t="inlineStr">
        <is>
          <t>SKELLEFTEÅ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3445-2024</t>
        </is>
      </c>
      <c r="B2719" s="1" t="n">
        <v>45320</v>
      </c>
      <c r="C2719" s="1" t="n">
        <v>45641</v>
      </c>
      <c r="D2719" t="inlineStr">
        <is>
          <t>VÄSTERBOTTENS LÄN</t>
        </is>
      </c>
      <c r="E2719" t="inlineStr">
        <is>
          <t>SKELLEFTEÅ</t>
        </is>
      </c>
      <c r="G2719" t="n">
        <v>19.1</v>
      </c>
      <c r="H2719" t="n">
        <v>0</v>
      </c>
      <c r="I2719" t="n">
        <v>0</v>
      </c>
      <c r="J2719" t="n">
        <v>0</v>
      </c>
      <c r="K2719" t="n">
        <v>0</v>
      </c>
      <c r="L2719" t="n">
        <v>0</v>
      </c>
      <c r="M2719" t="n">
        <v>0</v>
      </c>
      <c r="N2719" t="n">
        <v>0</v>
      </c>
      <c r="O2719" t="n">
        <v>0</v>
      </c>
      <c r="P2719" t="n">
        <v>0</v>
      </c>
      <c r="Q2719" t="n">
        <v>0</v>
      </c>
      <c r="R2719" s="2" t="inlineStr"/>
    </row>
    <row r="2720" ht="15" customHeight="1">
      <c r="A2720" t="inlineStr">
        <is>
          <t>A 3451-2024</t>
        </is>
      </c>
      <c r="B2720" s="1" t="n">
        <v>45320</v>
      </c>
      <c r="C2720" s="1" t="n">
        <v>45641</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3465-2024</t>
        </is>
      </c>
      <c r="B2721" s="1" t="n">
        <v>45320</v>
      </c>
      <c r="C2721" s="1" t="n">
        <v>45641</v>
      </c>
      <c r="D2721" t="inlineStr">
        <is>
          <t>VÄSTERBOTTENS LÄN</t>
        </is>
      </c>
      <c r="E2721" t="inlineStr">
        <is>
          <t>SKELLEFTEÅ</t>
        </is>
      </c>
      <c r="G2721" t="n">
        <v>17.4</v>
      </c>
      <c r="H2721" t="n">
        <v>0</v>
      </c>
      <c r="I2721" t="n">
        <v>0</v>
      </c>
      <c r="J2721" t="n">
        <v>0</v>
      </c>
      <c r="K2721" t="n">
        <v>0</v>
      </c>
      <c r="L2721" t="n">
        <v>0</v>
      </c>
      <c r="M2721" t="n">
        <v>0</v>
      </c>
      <c r="N2721" t="n">
        <v>0</v>
      </c>
      <c r="O2721" t="n">
        <v>0</v>
      </c>
      <c r="P2721" t="n">
        <v>0</v>
      </c>
      <c r="Q2721" t="n">
        <v>0</v>
      </c>
      <c r="R2721" s="2" t="inlineStr"/>
    </row>
    <row r="2722" ht="15" customHeight="1">
      <c r="A2722" t="inlineStr">
        <is>
          <t>A 3571-2024</t>
        </is>
      </c>
      <c r="B2722" s="1" t="n">
        <v>45320</v>
      </c>
      <c r="C2722" s="1" t="n">
        <v>45641</v>
      </c>
      <c r="D2722" t="inlineStr">
        <is>
          <t>VÄSTERBOTTENS LÄN</t>
        </is>
      </c>
      <c r="E2722" t="inlineStr">
        <is>
          <t>SKELLEFTEÅ</t>
        </is>
      </c>
      <c r="F2722" t="inlineStr">
        <is>
          <t>Holmen skog AB</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3453-2024</t>
        </is>
      </c>
      <c r="B2723" s="1" t="n">
        <v>45320</v>
      </c>
      <c r="C2723" s="1" t="n">
        <v>45641</v>
      </c>
      <c r="D2723" t="inlineStr">
        <is>
          <t>VÄSTERBOTTENS LÄN</t>
        </is>
      </c>
      <c r="E2723" t="inlineStr">
        <is>
          <t>SKELLEFTEÅ</t>
        </is>
      </c>
      <c r="G2723" t="n">
        <v>11.3</v>
      </c>
      <c r="H2723" t="n">
        <v>0</v>
      </c>
      <c r="I2723" t="n">
        <v>0</v>
      </c>
      <c r="J2723" t="n">
        <v>0</v>
      </c>
      <c r="K2723" t="n">
        <v>0</v>
      </c>
      <c r="L2723" t="n">
        <v>0</v>
      </c>
      <c r="M2723" t="n">
        <v>0</v>
      </c>
      <c r="N2723" t="n">
        <v>0</v>
      </c>
      <c r="O2723" t="n">
        <v>0</v>
      </c>
      <c r="P2723" t="n">
        <v>0</v>
      </c>
      <c r="Q2723" t="n">
        <v>0</v>
      </c>
      <c r="R2723" s="2" t="inlineStr"/>
    </row>
    <row r="2724" ht="15" customHeight="1">
      <c r="A2724" t="inlineStr">
        <is>
          <t>A 3458-2024</t>
        </is>
      </c>
      <c r="B2724" s="1" t="n">
        <v>45320</v>
      </c>
      <c r="C2724" s="1" t="n">
        <v>45641</v>
      </c>
      <c r="D2724" t="inlineStr">
        <is>
          <t>VÄSTERBOTTENS LÄN</t>
        </is>
      </c>
      <c r="E2724" t="inlineStr">
        <is>
          <t>SKELLEFTEÅ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3611-2024</t>
        </is>
      </c>
      <c r="B2725" s="1" t="n">
        <v>45320</v>
      </c>
      <c r="C2725" s="1" t="n">
        <v>45641</v>
      </c>
      <c r="D2725" t="inlineStr">
        <is>
          <t>VÄSTERBOTTENS LÄN</t>
        </is>
      </c>
      <c r="E2725" t="inlineStr">
        <is>
          <t>SKELLEFTEÅ</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3947-2024</t>
        </is>
      </c>
      <c r="B2726" s="1" t="n">
        <v>45322</v>
      </c>
      <c r="C2726" s="1" t="n">
        <v>45641</v>
      </c>
      <c r="D2726" t="inlineStr">
        <is>
          <t>VÄSTERBOTTENS LÄN</t>
        </is>
      </c>
      <c r="E2726" t="inlineStr">
        <is>
          <t>SKELLEFTEÅ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3983-2024</t>
        </is>
      </c>
      <c r="B2727" s="1" t="n">
        <v>45322</v>
      </c>
      <c r="C2727" s="1" t="n">
        <v>45641</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3962-2024</t>
        </is>
      </c>
      <c r="B2728" s="1" t="n">
        <v>45322</v>
      </c>
      <c r="C2728" s="1" t="n">
        <v>45641</v>
      </c>
      <c r="D2728" t="inlineStr">
        <is>
          <t>VÄSTERBOTTENS LÄN</t>
        </is>
      </c>
      <c r="E2728" t="inlineStr">
        <is>
          <t>SKELLEFTEÅ</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4022-2024</t>
        </is>
      </c>
      <c r="B2729" s="1" t="n">
        <v>45323</v>
      </c>
      <c r="C2729" s="1" t="n">
        <v>45641</v>
      </c>
      <c r="D2729" t="inlineStr">
        <is>
          <t>VÄSTERBOTTENS LÄN</t>
        </is>
      </c>
      <c r="E2729" t="inlineStr">
        <is>
          <t>SKELLEFTEÅ</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4034-2024</t>
        </is>
      </c>
      <c r="B2730" s="1" t="n">
        <v>45323</v>
      </c>
      <c r="C2730" s="1" t="n">
        <v>45641</v>
      </c>
      <c r="D2730" t="inlineStr">
        <is>
          <t>VÄSTERBOTTENS LÄN</t>
        </is>
      </c>
      <c r="E2730" t="inlineStr">
        <is>
          <t>SKELLEFTEÅ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4106-2024</t>
        </is>
      </c>
      <c r="B2731" s="1" t="n">
        <v>45323</v>
      </c>
      <c r="C2731" s="1" t="n">
        <v>45641</v>
      </c>
      <c r="D2731" t="inlineStr">
        <is>
          <t>VÄSTERBOTTENS LÄN</t>
        </is>
      </c>
      <c r="E2731" t="inlineStr">
        <is>
          <t>SKELLEFTEÅ</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4118-2024</t>
        </is>
      </c>
      <c r="B2732" s="1" t="n">
        <v>45323</v>
      </c>
      <c r="C2732" s="1" t="n">
        <v>45641</v>
      </c>
      <c r="D2732" t="inlineStr">
        <is>
          <t>VÄSTERBOTTENS LÄN</t>
        </is>
      </c>
      <c r="E2732" t="inlineStr">
        <is>
          <t>SKELLEFTEÅ</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4138-2024</t>
        </is>
      </c>
      <c r="B2733" s="1" t="n">
        <v>45323</v>
      </c>
      <c r="C2733" s="1" t="n">
        <v>45641</v>
      </c>
      <c r="D2733" t="inlineStr">
        <is>
          <t>VÄSTERBOTTENS LÄN</t>
        </is>
      </c>
      <c r="E2733" t="inlineStr">
        <is>
          <t>SKELLEFTEÅ</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4008-2024</t>
        </is>
      </c>
      <c r="B2734" s="1" t="n">
        <v>45323</v>
      </c>
      <c r="C2734" s="1" t="n">
        <v>45641</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4032-2024</t>
        </is>
      </c>
      <c r="B2735" s="1" t="n">
        <v>45323</v>
      </c>
      <c r="C2735" s="1" t="n">
        <v>45641</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4019-2024</t>
        </is>
      </c>
      <c r="B2736" s="1" t="n">
        <v>45323</v>
      </c>
      <c r="C2736" s="1" t="n">
        <v>45641</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4084-2024</t>
        </is>
      </c>
      <c r="B2737" s="1" t="n">
        <v>45323</v>
      </c>
      <c r="C2737" s="1" t="n">
        <v>45641</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4124-2024</t>
        </is>
      </c>
      <c r="B2738" s="1" t="n">
        <v>45323</v>
      </c>
      <c r="C2738" s="1" t="n">
        <v>45641</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4292-2024</t>
        </is>
      </c>
      <c r="B2739" s="1" t="n">
        <v>45324</v>
      </c>
      <c r="C2739" s="1" t="n">
        <v>45641</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4617-2024</t>
        </is>
      </c>
      <c r="B2740" s="1" t="n">
        <v>45327</v>
      </c>
      <c r="C2740" s="1" t="n">
        <v>45641</v>
      </c>
      <c r="D2740" t="inlineStr">
        <is>
          <t>VÄSTERBOTTENS LÄN</t>
        </is>
      </c>
      <c r="E2740" t="inlineStr">
        <is>
          <t>SKELLEFTEÅ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4656-2024</t>
        </is>
      </c>
      <c r="B2741" s="1" t="n">
        <v>45327</v>
      </c>
      <c r="C2741" s="1" t="n">
        <v>45641</v>
      </c>
      <c r="D2741" t="inlineStr">
        <is>
          <t>VÄSTERBOTTENS LÄN</t>
        </is>
      </c>
      <c r="E2741" t="inlineStr">
        <is>
          <t>SKELLEFTEÅ</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4777-2024</t>
        </is>
      </c>
      <c r="B2742" s="1" t="n">
        <v>45328</v>
      </c>
      <c r="C2742" s="1" t="n">
        <v>45641</v>
      </c>
      <c r="D2742" t="inlineStr">
        <is>
          <t>VÄSTERBOTTENS LÄN</t>
        </is>
      </c>
      <c r="E2742" t="inlineStr">
        <is>
          <t>SKELLEFTEÅ</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4900-2024</t>
        </is>
      </c>
      <c r="B2743" s="1" t="n">
        <v>45329</v>
      </c>
      <c r="C2743" s="1" t="n">
        <v>45641</v>
      </c>
      <c r="D2743" t="inlineStr">
        <is>
          <t>VÄSTERBOTTENS LÄN</t>
        </is>
      </c>
      <c r="E2743" t="inlineStr">
        <is>
          <t>SKELLEFTEÅ</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5220-2024</t>
        </is>
      </c>
      <c r="B2744" s="1" t="n">
        <v>45330</v>
      </c>
      <c r="C2744" s="1" t="n">
        <v>45641</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5236-2024</t>
        </is>
      </c>
      <c r="B2745" s="1" t="n">
        <v>45330</v>
      </c>
      <c r="C2745" s="1" t="n">
        <v>45641</v>
      </c>
      <c r="D2745" t="inlineStr">
        <is>
          <t>VÄSTERBOTTENS LÄN</t>
        </is>
      </c>
      <c r="E2745" t="inlineStr">
        <is>
          <t>SKELLEFTEÅ</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5252-2024</t>
        </is>
      </c>
      <c r="B2746" s="1" t="n">
        <v>45330</v>
      </c>
      <c r="C2746" s="1" t="n">
        <v>45641</v>
      </c>
      <c r="D2746" t="inlineStr">
        <is>
          <t>VÄSTERBOTTENS LÄN</t>
        </is>
      </c>
      <c r="E2746" t="inlineStr">
        <is>
          <t>SKELLEFTEÅ</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5239-2024</t>
        </is>
      </c>
      <c r="B2747" s="1" t="n">
        <v>45330</v>
      </c>
      <c r="C2747" s="1" t="n">
        <v>45641</v>
      </c>
      <c r="D2747" t="inlineStr">
        <is>
          <t>VÄSTERBOTTENS LÄN</t>
        </is>
      </c>
      <c r="E2747" t="inlineStr">
        <is>
          <t>SKELLEFTEÅ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5237-2024</t>
        </is>
      </c>
      <c r="B2748" s="1" t="n">
        <v>45330</v>
      </c>
      <c r="C2748" s="1" t="n">
        <v>45641</v>
      </c>
      <c r="D2748" t="inlineStr">
        <is>
          <t>VÄSTERBOTTENS LÄN</t>
        </is>
      </c>
      <c r="E2748" t="inlineStr">
        <is>
          <t>SKELLEFTEÅ</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5603-2024</t>
        </is>
      </c>
      <c r="B2749" s="1" t="n">
        <v>45334</v>
      </c>
      <c r="C2749" s="1" t="n">
        <v>45641</v>
      </c>
      <c r="D2749" t="inlineStr">
        <is>
          <t>VÄSTERBOTTENS LÄN</t>
        </is>
      </c>
      <c r="E2749" t="inlineStr">
        <is>
          <t>SKELLEFTEÅ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5636-2024</t>
        </is>
      </c>
      <c r="B2750" s="1" t="n">
        <v>45334</v>
      </c>
      <c r="C2750" s="1" t="n">
        <v>45641</v>
      </c>
      <c r="D2750" t="inlineStr">
        <is>
          <t>VÄSTERBOTTENS LÄN</t>
        </is>
      </c>
      <c r="E2750" t="inlineStr">
        <is>
          <t>SKELLEFTEÅ</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5660-2024</t>
        </is>
      </c>
      <c r="B2751" s="1" t="n">
        <v>45334</v>
      </c>
      <c r="C2751" s="1" t="n">
        <v>45641</v>
      </c>
      <c r="D2751" t="inlineStr">
        <is>
          <t>VÄSTERBOTTENS LÄN</t>
        </is>
      </c>
      <c r="E2751" t="inlineStr">
        <is>
          <t>SKELLEFTEÅ</t>
        </is>
      </c>
      <c r="G2751" t="n">
        <v>14.1</v>
      </c>
      <c r="H2751" t="n">
        <v>0</v>
      </c>
      <c r="I2751" t="n">
        <v>0</v>
      </c>
      <c r="J2751" t="n">
        <v>0</v>
      </c>
      <c r="K2751" t="n">
        <v>0</v>
      </c>
      <c r="L2751" t="n">
        <v>0</v>
      </c>
      <c r="M2751" t="n">
        <v>0</v>
      </c>
      <c r="N2751" t="n">
        <v>0</v>
      </c>
      <c r="O2751" t="n">
        <v>0</v>
      </c>
      <c r="P2751" t="n">
        <v>0</v>
      </c>
      <c r="Q2751" t="n">
        <v>0</v>
      </c>
      <c r="R2751" s="2" t="inlineStr"/>
    </row>
    <row r="2752" ht="15" customHeight="1">
      <c r="A2752" t="inlineStr">
        <is>
          <t>A 5639-2024</t>
        </is>
      </c>
      <c r="B2752" s="1" t="n">
        <v>45334</v>
      </c>
      <c r="C2752" s="1" t="n">
        <v>45641</v>
      </c>
      <c r="D2752" t="inlineStr">
        <is>
          <t>VÄSTERBOTTENS LÄN</t>
        </is>
      </c>
      <c r="E2752" t="inlineStr">
        <is>
          <t>SKELLEFTEÅ</t>
        </is>
      </c>
      <c r="G2752" t="n">
        <v>9.4</v>
      </c>
      <c r="H2752" t="n">
        <v>0</v>
      </c>
      <c r="I2752" t="n">
        <v>0</v>
      </c>
      <c r="J2752" t="n">
        <v>0</v>
      </c>
      <c r="K2752" t="n">
        <v>0</v>
      </c>
      <c r="L2752" t="n">
        <v>0</v>
      </c>
      <c r="M2752" t="n">
        <v>0</v>
      </c>
      <c r="N2752" t="n">
        <v>0</v>
      </c>
      <c r="O2752" t="n">
        <v>0</v>
      </c>
      <c r="P2752" t="n">
        <v>0</v>
      </c>
      <c r="Q2752" t="n">
        <v>0</v>
      </c>
      <c r="R2752" s="2" t="inlineStr"/>
    </row>
    <row r="2753" ht="15" customHeight="1">
      <c r="A2753" t="inlineStr">
        <is>
          <t>A 5596-2024</t>
        </is>
      </c>
      <c r="B2753" s="1" t="n">
        <v>45334</v>
      </c>
      <c r="C2753" s="1" t="n">
        <v>45641</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6018-2024</t>
        </is>
      </c>
      <c r="B2754" s="1" t="n">
        <v>45336</v>
      </c>
      <c r="C2754" s="1" t="n">
        <v>45641</v>
      </c>
      <c r="D2754" t="inlineStr">
        <is>
          <t>VÄSTERBOTTENS LÄN</t>
        </is>
      </c>
      <c r="E2754" t="inlineStr">
        <is>
          <t>SKELLEFTEÅ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6078-2024</t>
        </is>
      </c>
      <c r="B2755" s="1" t="n">
        <v>45336</v>
      </c>
      <c r="C2755" s="1" t="n">
        <v>45641</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6244-2024</t>
        </is>
      </c>
      <c r="B2756" s="1" t="n">
        <v>45337</v>
      </c>
      <c r="C2756" s="1" t="n">
        <v>45641</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6398-2024</t>
        </is>
      </c>
      <c r="B2757" s="1" t="n">
        <v>45338</v>
      </c>
      <c r="C2757" s="1" t="n">
        <v>45641</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6420-2024</t>
        </is>
      </c>
      <c r="B2758" s="1" t="n">
        <v>45338</v>
      </c>
      <c r="C2758" s="1" t="n">
        <v>45641</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6428-2024</t>
        </is>
      </c>
      <c r="B2759" s="1" t="n">
        <v>45338</v>
      </c>
      <c r="C2759" s="1" t="n">
        <v>45641</v>
      </c>
      <c r="D2759" t="inlineStr">
        <is>
          <t>VÄSTERBOTTENS LÄN</t>
        </is>
      </c>
      <c r="E2759" t="inlineStr">
        <is>
          <t>SKELLEFTEÅ</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6422-2024</t>
        </is>
      </c>
      <c r="B2760" s="1" t="n">
        <v>45338</v>
      </c>
      <c r="C2760" s="1" t="n">
        <v>45641</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6448-2024</t>
        </is>
      </c>
      <c r="B2761" s="1" t="n">
        <v>45338</v>
      </c>
      <c r="C2761" s="1" t="n">
        <v>45641</v>
      </c>
      <c r="D2761" t="inlineStr">
        <is>
          <t>VÄSTERBOTTENS LÄN</t>
        </is>
      </c>
      <c r="E2761" t="inlineStr">
        <is>
          <t>SKELLEFTEÅ</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6435-2024</t>
        </is>
      </c>
      <c r="B2762" s="1" t="n">
        <v>45338</v>
      </c>
      <c r="C2762" s="1" t="n">
        <v>45641</v>
      </c>
      <c r="D2762" t="inlineStr">
        <is>
          <t>VÄSTERBOTTENS LÄN</t>
        </is>
      </c>
      <c r="E2762" t="inlineStr">
        <is>
          <t>SKELLEFTEÅ</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6710-2024</t>
        </is>
      </c>
      <c r="B2763" s="1" t="n">
        <v>45341</v>
      </c>
      <c r="C2763" s="1" t="n">
        <v>45641</v>
      </c>
      <c r="D2763" t="inlineStr">
        <is>
          <t>VÄSTERBOTTENS LÄN</t>
        </is>
      </c>
      <c r="E2763" t="inlineStr">
        <is>
          <t>SKELLEFTEÅ</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6723-2024</t>
        </is>
      </c>
      <c r="B2764" s="1" t="n">
        <v>45342</v>
      </c>
      <c r="C2764" s="1" t="n">
        <v>45641</v>
      </c>
      <c r="D2764" t="inlineStr">
        <is>
          <t>VÄSTERBOTTENS LÄN</t>
        </is>
      </c>
      <c r="E2764" t="inlineStr">
        <is>
          <t>SKELLEFTEÅ</t>
        </is>
      </c>
      <c r="F2764" t="inlineStr">
        <is>
          <t>Sveaskog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6720-2024</t>
        </is>
      </c>
      <c r="B2765" s="1" t="n">
        <v>45342</v>
      </c>
      <c r="C2765" s="1" t="n">
        <v>45641</v>
      </c>
      <c r="D2765" t="inlineStr">
        <is>
          <t>VÄSTERBOTTENS LÄN</t>
        </is>
      </c>
      <c r="E2765" t="inlineStr">
        <is>
          <t>SKELLEFTEÅ</t>
        </is>
      </c>
      <c r="F2765" t="inlineStr">
        <is>
          <t>Sveaskog</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6704-2024</t>
        </is>
      </c>
      <c r="B2766" s="1" t="n">
        <v>45342</v>
      </c>
      <c r="C2766" s="1" t="n">
        <v>45641</v>
      </c>
      <c r="D2766" t="inlineStr">
        <is>
          <t>VÄSTERBOTTENS LÄN</t>
        </is>
      </c>
      <c r="E2766" t="inlineStr">
        <is>
          <t>SKELLEFTEÅ</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6931-2024</t>
        </is>
      </c>
      <c r="B2767" s="1" t="n">
        <v>45343</v>
      </c>
      <c r="C2767" s="1" t="n">
        <v>45641</v>
      </c>
      <c r="D2767" t="inlineStr">
        <is>
          <t>VÄSTERBOTTENS LÄN</t>
        </is>
      </c>
      <c r="E2767" t="inlineStr">
        <is>
          <t>SKELLEFTEÅ</t>
        </is>
      </c>
      <c r="F2767" t="inlineStr">
        <is>
          <t>Holmen skog AB</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7225-2024</t>
        </is>
      </c>
      <c r="B2768" s="1" t="n">
        <v>45344</v>
      </c>
      <c r="C2768" s="1" t="n">
        <v>45641</v>
      </c>
      <c r="D2768" t="inlineStr">
        <is>
          <t>VÄSTERBOTTENS LÄN</t>
        </is>
      </c>
      <c r="E2768" t="inlineStr">
        <is>
          <t>SKELLEFTEÅ</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7255-2024</t>
        </is>
      </c>
      <c r="B2769" s="1" t="n">
        <v>45344</v>
      </c>
      <c r="C2769" s="1" t="n">
        <v>45641</v>
      </c>
      <c r="D2769" t="inlineStr">
        <is>
          <t>VÄSTERBOTTENS LÄN</t>
        </is>
      </c>
      <c r="E2769" t="inlineStr">
        <is>
          <t>SKELLEFTEÅ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7256-2024</t>
        </is>
      </c>
      <c r="B2770" s="1" t="n">
        <v>45344</v>
      </c>
      <c r="C2770" s="1" t="n">
        <v>45641</v>
      </c>
      <c r="D2770" t="inlineStr">
        <is>
          <t>VÄSTERBOTTENS LÄN</t>
        </is>
      </c>
      <c r="E2770" t="inlineStr">
        <is>
          <t>SKELLEFTEÅ</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7668-2024</t>
        </is>
      </c>
      <c r="B2771" s="1" t="n">
        <v>45348</v>
      </c>
      <c r="C2771" s="1" t="n">
        <v>45641</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7742-2024</t>
        </is>
      </c>
      <c r="B2772" s="1" t="n">
        <v>45348</v>
      </c>
      <c r="C2772" s="1" t="n">
        <v>45641</v>
      </c>
      <c r="D2772" t="inlineStr">
        <is>
          <t>VÄSTERBOTTENS LÄN</t>
        </is>
      </c>
      <c r="E2772" t="inlineStr">
        <is>
          <t>SKELLEFTEÅ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7767-2024</t>
        </is>
      </c>
      <c r="B2773" s="1" t="n">
        <v>45348</v>
      </c>
      <c r="C2773" s="1" t="n">
        <v>45641</v>
      </c>
      <c r="D2773" t="inlineStr">
        <is>
          <t>VÄSTERBOTTENS LÄN</t>
        </is>
      </c>
      <c r="E2773" t="inlineStr">
        <is>
          <t>SKELLEFTEÅ</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7766-2024</t>
        </is>
      </c>
      <c r="B2774" s="1" t="n">
        <v>45348</v>
      </c>
      <c r="C2774" s="1" t="n">
        <v>45641</v>
      </c>
      <c r="D2774" t="inlineStr">
        <is>
          <t>VÄSTERBOTTENS LÄN</t>
        </is>
      </c>
      <c r="E2774" t="inlineStr">
        <is>
          <t>SKELLEFTEÅ</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7745-2024</t>
        </is>
      </c>
      <c r="B2775" s="1" t="n">
        <v>45348</v>
      </c>
      <c r="C2775" s="1" t="n">
        <v>45641</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7800-2024</t>
        </is>
      </c>
      <c r="B2776" s="1" t="n">
        <v>45348</v>
      </c>
      <c r="C2776" s="1" t="n">
        <v>45641</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7832-2024</t>
        </is>
      </c>
      <c r="B2777" s="1" t="n">
        <v>45349</v>
      </c>
      <c r="C2777" s="1" t="n">
        <v>45641</v>
      </c>
      <c r="D2777" t="inlineStr">
        <is>
          <t>VÄSTERBOTTENS LÄN</t>
        </is>
      </c>
      <c r="E2777" t="inlineStr">
        <is>
          <t>SKELLEFTEÅ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7872-2024</t>
        </is>
      </c>
      <c r="B2778" s="1" t="n">
        <v>45349</v>
      </c>
      <c r="C2778" s="1" t="n">
        <v>45641</v>
      </c>
      <c r="D2778" t="inlineStr">
        <is>
          <t>VÄSTERBOTTENS LÄN</t>
        </is>
      </c>
      <c r="E2778" t="inlineStr">
        <is>
          <t>SKELLEFTEÅ</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7831-2024</t>
        </is>
      </c>
      <c r="B2779" s="1" t="n">
        <v>45349</v>
      </c>
      <c r="C2779" s="1" t="n">
        <v>45641</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7884-2024</t>
        </is>
      </c>
      <c r="B2780" s="1" t="n">
        <v>45349</v>
      </c>
      <c r="C2780" s="1" t="n">
        <v>45641</v>
      </c>
      <c r="D2780" t="inlineStr">
        <is>
          <t>VÄSTERBOTTENS LÄN</t>
        </is>
      </c>
      <c r="E2780" t="inlineStr">
        <is>
          <t>SKELLEFTEÅ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7943-2024</t>
        </is>
      </c>
      <c r="B2781" s="1" t="n">
        <v>45350</v>
      </c>
      <c r="C2781" s="1" t="n">
        <v>45641</v>
      </c>
      <c r="D2781" t="inlineStr">
        <is>
          <t>VÄSTERBOTTENS LÄN</t>
        </is>
      </c>
      <c r="E2781" t="inlineStr">
        <is>
          <t>SKELLEFTEÅ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8532-2024</t>
        </is>
      </c>
      <c r="B2782" s="1" t="n">
        <v>45351</v>
      </c>
      <c r="C2782" s="1" t="n">
        <v>45641</v>
      </c>
      <c r="D2782" t="inlineStr">
        <is>
          <t>VÄSTERBOTTENS LÄN</t>
        </is>
      </c>
      <c r="E2782" t="inlineStr">
        <is>
          <t>SKELLEFTEÅ</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8341-2024</t>
        </is>
      </c>
      <c r="B2783" s="1" t="n">
        <v>45351</v>
      </c>
      <c r="C2783" s="1" t="n">
        <v>45641</v>
      </c>
      <c r="D2783" t="inlineStr">
        <is>
          <t>VÄSTERBOTTENS LÄN</t>
        </is>
      </c>
      <c r="E2783" t="inlineStr">
        <is>
          <t>SKELLEFTEÅ</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8569-2024</t>
        </is>
      </c>
      <c r="B2784" s="1" t="n">
        <v>45351</v>
      </c>
      <c r="C2784" s="1" t="n">
        <v>45641</v>
      </c>
      <c r="D2784" t="inlineStr">
        <is>
          <t>VÄSTERBOTTENS LÄN</t>
        </is>
      </c>
      <c r="E2784" t="inlineStr">
        <is>
          <t>SKELLEFTEÅ</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8566-2024</t>
        </is>
      </c>
      <c r="B2785" s="1" t="n">
        <v>45355</v>
      </c>
      <c r="C2785" s="1" t="n">
        <v>45641</v>
      </c>
      <c r="D2785" t="inlineStr">
        <is>
          <t>VÄSTERBOTTENS LÄN</t>
        </is>
      </c>
      <c r="E2785" t="inlineStr">
        <is>
          <t>SKELLEFTEÅ</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8920-2024</t>
        </is>
      </c>
      <c r="B2786" s="1" t="n">
        <v>45357</v>
      </c>
      <c r="C2786" s="1" t="n">
        <v>45641</v>
      </c>
      <c r="D2786" t="inlineStr">
        <is>
          <t>VÄSTERBOTTENS LÄN</t>
        </is>
      </c>
      <c r="E2786" t="inlineStr">
        <is>
          <t>SKELLEFTEÅ</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8927-2024</t>
        </is>
      </c>
      <c r="B2787" s="1" t="n">
        <v>45357</v>
      </c>
      <c r="C2787" s="1" t="n">
        <v>45641</v>
      </c>
      <c r="D2787" t="inlineStr">
        <is>
          <t>VÄSTERBOTTENS LÄN</t>
        </is>
      </c>
      <c r="E2787" t="inlineStr">
        <is>
          <t>SKELLEFTEÅ</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8924-2024</t>
        </is>
      </c>
      <c r="B2788" s="1" t="n">
        <v>45357</v>
      </c>
      <c r="C2788" s="1" t="n">
        <v>45641</v>
      </c>
      <c r="D2788" t="inlineStr">
        <is>
          <t>VÄSTERBOTTENS LÄN</t>
        </is>
      </c>
      <c r="E2788" t="inlineStr">
        <is>
          <t>SKELLEFTEÅ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8928-2024</t>
        </is>
      </c>
      <c r="B2789" s="1" t="n">
        <v>45357</v>
      </c>
      <c r="C2789" s="1" t="n">
        <v>45641</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8932-2024</t>
        </is>
      </c>
      <c r="B2790" s="1" t="n">
        <v>45357</v>
      </c>
      <c r="C2790" s="1" t="n">
        <v>45641</v>
      </c>
      <c r="D2790" t="inlineStr">
        <is>
          <t>VÄSTERBOTTENS LÄN</t>
        </is>
      </c>
      <c r="E2790" t="inlineStr">
        <is>
          <t>SKELLEFTEÅ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8919-2024</t>
        </is>
      </c>
      <c r="B2791" s="1" t="n">
        <v>45357</v>
      </c>
      <c r="C2791" s="1" t="n">
        <v>45641</v>
      </c>
      <c r="D2791" t="inlineStr">
        <is>
          <t>VÄSTERBOTTENS LÄN</t>
        </is>
      </c>
      <c r="E2791" t="inlineStr">
        <is>
          <t>SKELLEFTEÅ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9233-2024</t>
        </is>
      </c>
      <c r="B2792" s="1" t="n">
        <v>45358</v>
      </c>
      <c r="C2792" s="1" t="n">
        <v>45641</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9228-2024</t>
        </is>
      </c>
      <c r="B2793" s="1" t="n">
        <v>45358</v>
      </c>
      <c r="C2793" s="1" t="n">
        <v>45641</v>
      </c>
      <c r="D2793" t="inlineStr">
        <is>
          <t>VÄSTERBOTTENS LÄN</t>
        </is>
      </c>
      <c r="E2793" t="inlineStr">
        <is>
          <t>SKELLEFTEÅ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9207-2024</t>
        </is>
      </c>
      <c r="B2794" s="1" t="n">
        <v>45358</v>
      </c>
      <c r="C2794" s="1" t="n">
        <v>45641</v>
      </c>
      <c r="D2794" t="inlineStr">
        <is>
          <t>VÄSTERBOTTENS LÄN</t>
        </is>
      </c>
      <c r="E2794" t="inlineStr">
        <is>
          <t>SKELLEFTEÅ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9466-2024</t>
        </is>
      </c>
      <c r="B2795" s="1" t="n">
        <v>45359</v>
      </c>
      <c r="C2795" s="1" t="n">
        <v>45641</v>
      </c>
      <c r="D2795" t="inlineStr">
        <is>
          <t>VÄSTERBOTTENS LÄN</t>
        </is>
      </c>
      <c r="E2795" t="inlineStr">
        <is>
          <t>SKELLEFTEÅ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9364-2024</t>
        </is>
      </c>
      <c r="B2796" s="1" t="n">
        <v>45359</v>
      </c>
      <c r="C2796" s="1" t="n">
        <v>45641</v>
      </c>
      <c r="D2796" t="inlineStr">
        <is>
          <t>VÄSTERBOTTENS LÄN</t>
        </is>
      </c>
      <c r="E2796" t="inlineStr">
        <is>
          <t>SKELLEFTEÅ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9425-2024</t>
        </is>
      </c>
      <c r="B2797" s="1" t="n">
        <v>45359</v>
      </c>
      <c r="C2797" s="1" t="n">
        <v>45641</v>
      </c>
      <c r="D2797" t="inlineStr">
        <is>
          <t>VÄSTERBOTTENS LÄN</t>
        </is>
      </c>
      <c r="E2797" t="inlineStr">
        <is>
          <t>SKELLEFTEÅ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9465-2024</t>
        </is>
      </c>
      <c r="B2798" s="1" t="n">
        <v>45359</v>
      </c>
      <c r="C2798" s="1" t="n">
        <v>45641</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9470-2024</t>
        </is>
      </c>
      <c r="B2799" s="1" t="n">
        <v>45359</v>
      </c>
      <c r="C2799" s="1" t="n">
        <v>45641</v>
      </c>
      <c r="D2799" t="inlineStr">
        <is>
          <t>VÄSTERBOTTENS LÄN</t>
        </is>
      </c>
      <c r="E2799" t="inlineStr">
        <is>
          <t>SKELLEFTEÅ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9717-2024</t>
        </is>
      </c>
      <c r="B2800" s="1" t="n">
        <v>45362</v>
      </c>
      <c r="C2800" s="1" t="n">
        <v>45641</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9711-2024</t>
        </is>
      </c>
      <c r="B2801" s="1" t="n">
        <v>45362</v>
      </c>
      <c r="C2801" s="1" t="n">
        <v>45641</v>
      </c>
      <c r="D2801" t="inlineStr">
        <is>
          <t>VÄSTERBOTTENS LÄN</t>
        </is>
      </c>
      <c r="E2801" t="inlineStr">
        <is>
          <t>SKELLEFTEÅ</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9807-2024</t>
        </is>
      </c>
      <c r="B2802" s="1" t="n">
        <v>45362</v>
      </c>
      <c r="C2802" s="1" t="n">
        <v>45641</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9897-2024</t>
        </is>
      </c>
      <c r="B2803" s="1" t="n">
        <v>45363</v>
      </c>
      <c r="C2803" s="1" t="n">
        <v>45641</v>
      </c>
      <c r="D2803" t="inlineStr">
        <is>
          <t>VÄSTERBOTTENS LÄN</t>
        </is>
      </c>
      <c r="E2803" t="inlineStr">
        <is>
          <t>SKELLEFTEÅ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9983-2024</t>
        </is>
      </c>
      <c r="B2804" s="1" t="n">
        <v>45363</v>
      </c>
      <c r="C2804" s="1" t="n">
        <v>45641</v>
      </c>
      <c r="D2804" t="inlineStr">
        <is>
          <t>VÄSTERBOTTENS LÄN</t>
        </is>
      </c>
      <c r="E2804" t="inlineStr">
        <is>
          <t>SKELLEFTEÅ</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10340-2024</t>
        </is>
      </c>
      <c r="B2805" s="1" t="n">
        <v>45365</v>
      </c>
      <c r="C2805" s="1" t="n">
        <v>45641</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10250-2024</t>
        </is>
      </c>
      <c r="B2806" s="1" t="n">
        <v>45365</v>
      </c>
      <c r="C2806" s="1" t="n">
        <v>45641</v>
      </c>
      <c r="D2806" t="inlineStr">
        <is>
          <t>VÄSTERBOTTENS LÄN</t>
        </is>
      </c>
      <c r="E2806" t="inlineStr">
        <is>
          <t>SKELLEFTEÅ</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10343-2024</t>
        </is>
      </c>
      <c r="B2807" s="1" t="n">
        <v>45365</v>
      </c>
      <c r="C2807" s="1" t="n">
        <v>45641</v>
      </c>
      <c r="D2807" t="inlineStr">
        <is>
          <t>VÄSTERBOTTENS LÄN</t>
        </is>
      </c>
      <c r="E2807" t="inlineStr">
        <is>
          <t>SKELLEFTEÅ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10604-2024</t>
        </is>
      </c>
      <c r="B2808" s="1" t="n">
        <v>45366</v>
      </c>
      <c r="C2808" s="1" t="n">
        <v>45641</v>
      </c>
      <c r="D2808" t="inlineStr">
        <is>
          <t>VÄSTERBOTTENS LÄN</t>
        </is>
      </c>
      <c r="E2808" t="inlineStr">
        <is>
          <t>SKELLEFTEÅ</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10655-2024</t>
        </is>
      </c>
      <c r="B2809" s="1" t="n">
        <v>45368</v>
      </c>
      <c r="C2809" s="1" t="n">
        <v>45641</v>
      </c>
      <c r="D2809" t="inlineStr">
        <is>
          <t>VÄSTERBOTTENS LÄN</t>
        </is>
      </c>
      <c r="E2809" t="inlineStr">
        <is>
          <t>SKELLEFTEÅ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10719-2024</t>
        </is>
      </c>
      <c r="B2810" s="1" t="n">
        <v>45369</v>
      </c>
      <c r="C2810" s="1" t="n">
        <v>45641</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10825-2024</t>
        </is>
      </c>
      <c r="B2811" s="1" t="n">
        <v>45369</v>
      </c>
      <c r="C2811" s="1" t="n">
        <v>45641</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10693-2024</t>
        </is>
      </c>
      <c r="B2812" s="1" t="n">
        <v>45369</v>
      </c>
      <c r="C2812" s="1" t="n">
        <v>45641</v>
      </c>
      <c r="D2812" t="inlineStr">
        <is>
          <t>VÄSTERBOTTENS LÄN</t>
        </is>
      </c>
      <c r="E2812" t="inlineStr">
        <is>
          <t>SKELLEFTEÅ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10659-2024</t>
        </is>
      </c>
      <c r="B2813" s="1" t="n">
        <v>45369</v>
      </c>
      <c r="C2813" s="1" t="n">
        <v>45641</v>
      </c>
      <c r="D2813" t="inlineStr">
        <is>
          <t>VÄSTERBOTTENS LÄN</t>
        </is>
      </c>
      <c r="E2813" t="inlineStr">
        <is>
          <t>SKELLEFTEÅ</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10879-2024</t>
        </is>
      </c>
      <c r="B2814" s="1" t="n">
        <v>45370</v>
      </c>
      <c r="C2814" s="1" t="n">
        <v>45641</v>
      </c>
      <c r="D2814" t="inlineStr">
        <is>
          <t>VÄSTERBOTTENS LÄN</t>
        </is>
      </c>
      <c r="E2814" t="inlineStr">
        <is>
          <t>SKELLEFTEÅ</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10883-2024</t>
        </is>
      </c>
      <c r="B2815" s="1" t="n">
        <v>45370</v>
      </c>
      <c r="C2815" s="1" t="n">
        <v>45641</v>
      </c>
      <c r="D2815" t="inlineStr">
        <is>
          <t>VÄSTERBOTTENS LÄN</t>
        </is>
      </c>
      <c r="E2815" t="inlineStr">
        <is>
          <t>SKELLEFTEÅ</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10893-2024</t>
        </is>
      </c>
      <c r="B2816" s="1" t="n">
        <v>45370</v>
      </c>
      <c r="C2816" s="1" t="n">
        <v>45641</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10886-2024</t>
        </is>
      </c>
      <c r="B2817" s="1" t="n">
        <v>45370</v>
      </c>
      <c r="C2817" s="1" t="n">
        <v>45641</v>
      </c>
      <c r="D2817" t="inlineStr">
        <is>
          <t>VÄSTERBOTTENS LÄN</t>
        </is>
      </c>
      <c r="E2817" t="inlineStr">
        <is>
          <t>SKELLEFTEÅ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10892-2024</t>
        </is>
      </c>
      <c r="B2818" s="1" t="n">
        <v>45370</v>
      </c>
      <c r="C2818" s="1" t="n">
        <v>45641</v>
      </c>
      <c r="D2818" t="inlineStr">
        <is>
          <t>VÄSTERBOTTENS LÄN</t>
        </is>
      </c>
      <c r="E2818" t="inlineStr">
        <is>
          <t>SKELLEFTEÅ</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10900-2024</t>
        </is>
      </c>
      <c r="B2819" s="1" t="n">
        <v>45370</v>
      </c>
      <c r="C2819" s="1" t="n">
        <v>45641</v>
      </c>
      <c r="D2819" t="inlineStr">
        <is>
          <t>VÄSTERBOTTENS LÄN</t>
        </is>
      </c>
      <c r="E2819" t="inlineStr">
        <is>
          <t>SKELLEFTEÅ</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11027-2024</t>
        </is>
      </c>
      <c r="B2820" s="1" t="n">
        <v>45370</v>
      </c>
      <c r="C2820" s="1" t="n">
        <v>45641</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11025-2024</t>
        </is>
      </c>
      <c r="B2821" s="1" t="n">
        <v>45370</v>
      </c>
      <c r="C2821" s="1" t="n">
        <v>45641</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11082-2024</t>
        </is>
      </c>
      <c r="B2822" s="1" t="n">
        <v>45370</v>
      </c>
      <c r="C2822" s="1" t="n">
        <v>45641</v>
      </c>
      <c r="D2822" t="inlineStr">
        <is>
          <t>VÄSTERBOTTENS LÄN</t>
        </is>
      </c>
      <c r="E2822" t="inlineStr">
        <is>
          <t>SKELLEFTEÅ</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11078-2024</t>
        </is>
      </c>
      <c r="B2823" s="1" t="n">
        <v>45370</v>
      </c>
      <c r="C2823" s="1" t="n">
        <v>45641</v>
      </c>
      <c r="D2823" t="inlineStr">
        <is>
          <t>VÄSTERBOTTENS LÄN</t>
        </is>
      </c>
      <c r="E2823" t="inlineStr">
        <is>
          <t>SKELLEFTEÅ</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10911-2024</t>
        </is>
      </c>
      <c r="B2824" s="1" t="n">
        <v>45370</v>
      </c>
      <c r="C2824" s="1" t="n">
        <v>45641</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11079-2024</t>
        </is>
      </c>
      <c r="B2825" s="1" t="n">
        <v>45370</v>
      </c>
      <c r="C2825" s="1" t="n">
        <v>45641</v>
      </c>
      <c r="D2825" t="inlineStr">
        <is>
          <t>VÄSTERBOTTENS LÄN</t>
        </is>
      </c>
      <c r="E2825" t="inlineStr">
        <is>
          <t>SKELLEFTEÅ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11081-2024</t>
        </is>
      </c>
      <c r="B2826" s="1" t="n">
        <v>45370</v>
      </c>
      <c r="C2826" s="1" t="n">
        <v>45641</v>
      </c>
      <c r="D2826" t="inlineStr">
        <is>
          <t>VÄSTERBOTTENS LÄN</t>
        </is>
      </c>
      <c r="E2826" t="inlineStr">
        <is>
          <t>SKELLEFTEÅ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11076-2024</t>
        </is>
      </c>
      <c r="B2827" s="1" t="n">
        <v>45370</v>
      </c>
      <c r="C2827" s="1" t="n">
        <v>45641</v>
      </c>
      <c r="D2827" t="inlineStr">
        <is>
          <t>VÄSTERBOTTENS LÄN</t>
        </is>
      </c>
      <c r="E2827" t="inlineStr">
        <is>
          <t>SKELLEFTEÅ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11077-2024</t>
        </is>
      </c>
      <c r="B2828" s="1" t="n">
        <v>45370</v>
      </c>
      <c r="C2828" s="1" t="n">
        <v>45641</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11130-2024</t>
        </is>
      </c>
      <c r="B2829" s="1" t="n">
        <v>45371</v>
      </c>
      <c r="C2829" s="1" t="n">
        <v>45641</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11313-2024</t>
        </is>
      </c>
      <c r="B2830" s="1" t="n">
        <v>45371</v>
      </c>
      <c r="C2830" s="1" t="n">
        <v>45641</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11490-2024</t>
        </is>
      </c>
      <c r="B2831" s="1" t="n">
        <v>45372</v>
      </c>
      <c r="C2831" s="1" t="n">
        <v>45641</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11527-2024</t>
        </is>
      </c>
      <c r="B2832" s="1" t="n">
        <v>45372</v>
      </c>
      <c r="C2832" s="1" t="n">
        <v>45641</v>
      </c>
      <c r="D2832" t="inlineStr">
        <is>
          <t>VÄSTERBOTTENS LÄN</t>
        </is>
      </c>
      <c r="E2832" t="inlineStr">
        <is>
          <t>SKELLEFTEÅ</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11528-2024</t>
        </is>
      </c>
      <c r="B2833" s="1" t="n">
        <v>45372</v>
      </c>
      <c r="C2833" s="1" t="n">
        <v>45641</v>
      </c>
      <c r="D2833" t="inlineStr">
        <is>
          <t>VÄSTERBOTTENS LÄN</t>
        </is>
      </c>
      <c r="E2833" t="inlineStr">
        <is>
          <t>SKELLEFTEÅ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11526-2024</t>
        </is>
      </c>
      <c r="B2834" s="1" t="n">
        <v>45372</v>
      </c>
      <c r="C2834" s="1" t="n">
        <v>45641</v>
      </c>
      <c r="D2834" t="inlineStr">
        <is>
          <t>VÄSTERBOTTENS LÄN</t>
        </is>
      </c>
      <c r="E2834" t="inlineStr">
        <is>
          <t>SKELLEFTEÅ</t>
        </is>
      </c>
      <c r="G2834" t="n">
        <v>21.4</v>
      </c>
      <c r="H2834" t="n">
        <v>0</v>
      </c>
      <c r="I2834" t="n">
        <v>0</v>
      </c>
      <c r="J2834" t="n">
        <v>0</v>
      </c>
      <c r="K2834" t="n">
        <v>0</v>
      </c>
      <c r="L2834" t="n">
        <v>0</v>
      </c>
      <c r="M2834" t="n">
        <v>0</v>
      </c>
      <c r="N2834" t="n">
        <v>0</v>
      </c>
      <c r="O2834" t="n">
        <v>0</v>
      </c>
      <c r="P2834" t="n">
        <v>0</v>
      </c>
      <c r="Q2834" t="n">
        <v>0</v>
      </c>
      <c r="R2834" s="2" t="inlineStr"/>
    </row>
    <row r="2835" ht="15" customHeight="1">
      <c r="A2835" t="inlineStr">
        <is>
          <t>A 11525-2024</t>
        </is>
      </c>
      <c r="B2835" s="1" t="n">
        <v>45372</v>
      </c>
      <c r="C2835" s="1" t="n">
        <v>45641</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11529-2024</t>
        </is>
      </c>
      <c r="B2836" s="1" t="n">
        <v>45372</v>
      </c>
      <c r="C2836" s="1" t="n">
        <v>45641</v>
      </c>
      <c r="D2836" t="inlineStr">
        <is>
          <t>VÄSTERBOTTENS LÄN</t>
        </is>
      </c>
      <c r="E2836" t="inlineStr">
        <is>
          <t>SKELLEFTEÅ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11875-2024</t>
        </is>
      </c>
      <c r="B2837" s="1" t="n">
        <v>45376</v>
      </c>
      <c r="C2837" s="1" t="n">
        <v>45641</v>
      </c>
      <c r="D2837" t="inlineStr">
        <is>
          <t>VÄSTERBOTTENS LÄN</t>
        </is>
      </c>
      <c r="E2837" t="inlineStr">
        <is>
          <t>SKELLEFTEÅ</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12073-2024</t>
        </is>
      </c>
      <c r="B2838" s="1" t="n">
        <v>45376</v>
      </c>
      <c r="C2838" s="1" t="n">
        <v>45641</v>
      </c>
      <c r="D2838" t="inlineStr">
        <is>
          <t>VÄSTERBOTTENS LÄN</t>
        </is>
      </c>
      <c r="E2838" t="inlineStr">
        <is>
          <t>SKELLEFTEÅ</t>
        </is>
      </c>
      <c r="G2838" t="n">
        <v>41.5</v>
      </c>
      <c r="H2838" t="n">
        <v>0</v>
      </c>
      <c r="I2838" t="n">
        <v>0</v>
      </c>
      <c r="J2838" t="n">
        <v>0</v>
      </c>
      <c r="K2838" t="n">
        <v>0</v>
      </c>
      <c r="L2838" t="n">
        <v>0</v>
      </c>
      <c r="M2838" t="n">
        <v>0</v>
      </c>
      <c r="N2838" t="n">
        <v>0</v>
      </c>
      <c r="O2838" t="n">
        <v>0</v>
      </c>
      <c r="P2838" t="n">
        <v>0</v>
      </c>
      <c r="Q2838" t="n">
        <v>0</v>
      </c>
      <c r="R2838" s="2" t="inlineStr"/>
    </row>
    <row r="2839" ht="15" customHeight="1">
      <c r="A2839" t="inlineStr">
        <is>
          <t>A 12112-2024</t>
        </is>
      </c>
      <c r="B2839" s="1" t="n">
        <v>45376</v>
      </c>
      <c r="C2839" s="1" t="n">
        <v>45641</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12007-2024</t>
        </is>
      </c>
      <c r="B2840" s="1" t="n">
        <v>45377</v>
      </c>
      <c r="C2840" s="1" t="n">
        <v>45641</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12045-2024</t>
        </is>
      </c>
      <c r="B2841" s="1" t="n">
        <v>45377</v>
      </c>
      <c r="C2841" s="1" t="n">
        <v>45641</v>
      </c>
      <c r="D2841" t="inlineStr">
        <is>
          <t>VÄSTERBOTTENS LÄN</t>
        </is>
      </c>
      <c r="E2841" t="inlineStr">
        <is>
          <t>SKELLEFTEÅ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12004-2024</t>
        </is>
      </c>
      <c r="B2842" s="1" t="n">
        <v>45377</v>
      </c>
      <c r="C2842" s="1" t="n">
        <v>45641</v>
      </c>
      <c r="D2842" t="inlineStr">
        <is>
          <t>VÄSTERBOTTENS LÄN</t>
        </is>
      </c>
      <c r="E2842" t="inlineStr">
        <is>
          <t>SKELLEFTEÅ</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12537-2024</t>
        </is>
      </c>
      <c r="B2843" s="1" t="n">
        <v>45379</v>
      </c>
      <c r="C2843" s="1" t="n">
        <v>45641</v>
      </c>
      <c r="D2843" t="inlineStr">
        <is>
          <t>VÄSTERBOTTENS LÄN</t>
        </is>
      </c>
      <c r="E2843" t="inlineStr">
        <is>
          <t>SKELLEFTEÅ</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12515-2024</t>
        </is>
      </c>
      <c r="B2844" s="1" t="n">
        <v>45379</v>
      </c>
      <c r="C2844" s="1" t="n">
        <v>45641</v>
      </c>
      <c r="D2844" t="inlineStr">
        <is>
          <t>VÄSTERBOTTENS LÄN</t>
        </is>
      </c>
      <c r="E2844" t="inlineStr">
        <is>
          <t>SKELLEFTEÅ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12763-2024</t>
        </is>
      </c>
      <c r="B2845" s="1" t="n">
        <v>45384</v>
      </c>
      <c r="C2845" s="1" t="n">
        <v>45641</v>
      </c>
      <c r="D2845" t="inlineStr">
        <is>
          <t>VÄSTERBOTTENS LÄN</t>
        </is>
      </c>
      <c r="E2845" t="inlineStr">
        <is>
          <t>SKELLEFTEÅ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12771-2024</t>
        </is>
      </c>
      <c r="B2846" s="1" t="n">
        <v>45384</v>
      </c>
      <c r="C2846" s="1" t="n">
        <v>45641</v>
      </c>
      <c r="D2846" t="inlineStr">
        <is>
          <t>VÄSTERBOTTENS LÄN</t>
        </is>
      </c>
      <c r="E2846" t="inlineStr">
        <is>
          <t>SKELLEFTEÅ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12804-2024</t>
        </is>
      </c>
      <c r="B2847" s="1" t="n">
        <v>45384</v>
      </c>
      <c r="C2847" s="1" t="n">
        <v>45641</v>
      </c>
      <c r="D2847" t="inlineStr">
        <is>
          <t>VÄSTERBOTTENS LÄN</t>
        </is>
      </c>
      <c r="E2847" t="inlineStr">
        <is>
          <t>SKELLEFTEÅ</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12798-2024</t>
        </is>
      </c>
      <c r="B2848" s="1" t="n">
        <v>45384</v>
      </c>
      <c r="C2848" s="1" t="n">
        <v>45641</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12759-2024</t>
        </is>
      </c>
      <c r="B2849" s="1" t="n">
        <v>45384</v>
      </c>
      <c r="C2849" s="1" t="n">
        <v>45641</v>
      </c>
      <c r="D2849" t="inlineStr">
        <is>
          <t>VÄSTERBOTTENS LÄN</t>
        </is>
      </c>
      <c r="E2849" t="inlineStr">
        <is>
          <t>SKELLEFTEÅ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12772-2024</t>
        </is>
      </c>
      <c r="B2850" s="1" t="n">
        <v>45384</v>
      </c>
      <c r="C2850" s="1" t="n">
        <v>45641</v>
      </c>
      <c r="D2850" t="inlineStr">
        <is>
          <t>VÄSTERBOTTENS LÄN</t>
        </is>
      </c>
      <c r="E2850" t="inlineStr">
        <is>
          <t>SKELLEFTEÅ</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12801-2024</t>
        </is>
      </c>
      <c r="B2851" s="1" t="n">
        <v>45384</v>
      </c>
      <c r="C2851" s="1" t="n">
        <v>45641</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13270-2024</t>
        </is>
      </c>
      <c r="B2852" s="1" t="n">
        <v>45386</v>
      </c>
      <c r="C2852" s="1" t="n">
        <v>45641</v>
      </c>
      <c r="D2852" t="inlineStr">
        <is>
          <t>VÄSTERBOTTENS LÄN</t>
        </is>
      </c>
      <c r="E2852" t="inlineStr">
        <is>
          <t>SKELLEFTEÅ</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13267-2024</t>
        </is>
      </c>
      <c r="B2853" s="1" t="n">
        <v>45386</v>
      </c>
      <c r="C2853" s="1" t="n">
        <v>45641</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13257-2024</t>
        </is>
      </c>
      <c r="B2854" s="1" t="n">
        <v>45386</v>
      </c>
      <c r="C2854" s="1" t="n">
        <v>45641</v>
      </c>
      <c r="D2854" t="inlineStr">
        <is>
          <t>VÄSTERBOTTENS LÄN</t>
        </is>
      </c>
      <c r="E2854" t="inlineStr">
        <is>
          <t>SKELLEFTEÅ</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13298-2024</t>
        </is>
      </c>
      <c r="B2855" s="1" t="n">
        <v>45386</v>
      </c>
      <c r="C2855" s="1" t="n">
        <v>45641</v>
      </c>
      <c r="D2855" t="inlineStr">
        <is>
          <t>VÄSTERBOTTENS LÄN</t>
        </is>
      </c>
      <c r="E2855" t="inlineStr">
        <is>
          <t>SKELLEFTEÅ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13330-2024</t>
        </is>
      </c>
      <c r="B2856" s="1" t="n">
        <v>45386</v>
      </c>
      <c r="C2856" s="1" t="n">
        <v>45641</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13920-2024</t>
        </is>
      </c>
      <c r="B2857" s="1" t="n">
        <v>45391</v>
      </c>
      <c r="C2857" s="1" t="n">
        <v>45641</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14227-2024</t>
        </is>
      </c>
      <c r="B2858" s="1" t="n">
        <v>45393</v>
      </c>
      <c r="C2858" s="1" t="n">
        <v>45641</v>
      </c>
      <c r="D2858" t="inlineStr">
        <is>
          <t>VÄSTERBOTTENS LÄN</t>
        </is>
      </c>
      <c r="E2858" t="inlineStr">
        <is>
          <t>SKELLEFTEÅ</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14232-2024</t>
        </is>
      </c>
      <c r="B2859" s="1" t="n">
        <v>45393</v>
      </c>
      <c r="C2859" s="1" t="n">
        <v>45641</v>
      </c>
      <c r="D2859" t="inlineStr">
        <is>
          <t>VÄSTERBOTTENS LÄN</t>
        </is>
      </c>
      <c r="E2859" t="inlineStr">
        <is>
          <t>SKELLEFTEÅ</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14342-2024</t>
        </is>
      </c>
      <c r="B2860" s="1" t="n">
        <v>45393</v>
      </c>
      <c r="C2860" s="1" t="n">
        <v>45641</v>
      </c>
      <c r="D2860" t="inlineStr">
        <is>
          <t>VÄSTERBOTTENS LÄN</t>
        </is>
      </c>
      <c r="E2860" t="inlineStr">
        <is>
          <t>SKELLEFTEÅ</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14653-2024</t>
        </is>
      </c>
      <c r="B2861" s="1" t="n">
        <v>45397</v>
      </c>
      <c r="C2861" s="1" t="n">
        <v>45641</v>
      </c>
      <c r="D2861" t="inlineStr">
        <is>
          <t>VÄSTERBOTTENS LÄN</t>
        </is>
      </c>
      <c r="E2861" t="inlineStr">
        <is>
          <t>SKELLEFTEÅ</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14663-2024</t>
        </is>
      </c>
      <c r="B2862" s="1" t="n">
        <v>45397</v>
      </c>
      <c r="C2862" s="1" t="n">
        <v>45641</v>
      </c>
      <c r="D2862" t="inlineStr">
        <is>
          <t>VÄSTERBOTTENS LÄN</t>
        </is>
      </c>
      <c r="E2862" t="inlineStr">
        <is>
          <t>SKELLEFTEÅ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14650-2024</t>
        </is>
      </c>
      <c r="B2863" s="1" t="n">
        <v>45397</v>
      </c>
      <c r="C2863" s="1" t="n">
        <v>45641</v>
      </c>
      <c r="D2863" t="inlineStr">
        <is>
          <t>VÄSTERBOTTENS LÄN</t>
        </is>
      </c>
      <c r="E2863" t="inlineStr">
        <is>
          <t>SKELLEFTEÅ</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14962-2024</t>
        </is>
      </c>
      <c r="B2864" s="1" t="n">
        <v>45399</v>
      </c>
      <c r="C2864" s="1" t="n">
        <v>45641</v>
      </c>
      <c r="D2864" t="inlineStr">
        <is>
          <t>VÄSTERBOTTENS LÄN</t>
        </is>
      </c>
      <c r="E2864" t="inlineStr">
        <is>
          <t>SKELLEFTEÅ</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14963-2024</t>
        </is>
      </c>
      <c r="B2865" s="1" t="n">
        <v>45398</v>
      </c>
      <c r="C2865" s="1" t="n">
        <v>45641</v>
      </c>
      <c r="D2865" t="inlineStr">
        <is>
          <t>VÄSTERBOTTENS LÄN</t>
        </is>
      </c>
      <c r="E2865" t="inlineStr">
        <is>
          <t>SKELLEFTEÅ</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15137-2024</t>
        </is>
      </c>
      <c r="B2866" s="1" t="n">
        <v>45399</v>
      </c>
      <c r="C2866" s="1" t="n">
        <v>45641</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15136-2024</t>
        </is>
      </c>
      <c r="B2867" s="1" t="n">
        <v>45399</v>
      </c>
      <c r="C2867" s="1" t="n">
        <v>45641</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15424-2024</t>
        </is>
      </c>
      <c r="B2868" s="1" t="n">
        <v>45400</v>
      </c>
      <c r="C2868" s="1" t="n">
        <v>45641</v>
      </c>
      <c r="D2868" t="inlineStr">
        <is>
          <t>VÄSTERBOTTENS LÄN</t>
        </is>
      </c>
      <c r="E2868" t="inlineStr">
        <is>
          <t>SKELLEFTEÅ</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15467-2024</t>
        </is>
      </c>
      <c r="B2869" s="1" t="n">
        <v>45400</v>
      </c>
      <c r="C2869" s="1" t="n">
        <v>45641</v>
      </c>
      <c r="D2869" t="inlineStr">
        <is>
          <t>VÄSTERBOTTENS LÄN</t>
        </is>
      </c>
      <c r="E2869" t="inlineStr">
        <is>
          <t>SKELLEFTEÅ</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15473-2024</t>
        </is>
      </c>
      <c r="B2870" s="1" t="n">
        <v>45400</v>
      </c>
      <c r="C2870" s="1" t="n">
        <v>45641</v>
      </c>
      <c r="D2870" t="inlineStr">
        <is>
          <t>VÄSTERBOTTENS LÄN</t>
        </is>
      </c>
      <c r="E2870" t="inlineStr">
        <is>
          <t>SKELLEFTEÅ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15460-2024</t>
        </is>
      </c>
      <c r="B2871" s="1" t="n">
        <v>45400</v>
      </c>
      <c r="C2871" s="1" t="n">
        <v>45641</v>
      </c>
      <c r="D2871" t="inlineStr">
        <is>
          <t>VÄSTERBOTTENS LÄN</t>
        </is>
      </c>
      <c r="E2871" t="inlineStr">
        <is>
          <t>SKELLEFTEÅ</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15625-2024</t>
        </is>
      </c>
      <c r="B2872" s="1" t="n">
        <v>45402</v>
      </c>
      <c r="C2872" s="1" t="n">
        <v>45641</v>
      </c>
      <c r="D2872" t="inlineStr">
        <is>
          <t>VÄSTERBOTTENS LÄN</t>
        </is>
      </c>
      <c r="E2872" t="inlineStr">
        <is>
          <t>SKELLEFTEÅ</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15728-2024</t>
        </is>
      </c>
      <c r="B2873" s="1" t="n">
        <v>45404</v>
      </c>
      <c r="C2873" s="1" t="n">
        <v>45641</v>
      </c>
      <c r="D2873" t="inlineStr">
        <is>
          <t>VÄSTERBOTTENS LÄN</t>
        </is>
      </c>
      <c r="E2873" t="inlineStr">
        <is>
          <t>SKELLEFTEÅ</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15801-2024</t>
        </is>
      </c>
      <c r="B2874" s="1" t="n">
        <v>45404</v>
      </c>
      <c r="C2874" s="1" t="n">
        <v>45641</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15846-2024</t>
        </is>
      </c>
      <c r="B2875" s="1" t="n">
        <v>45404</v>
      </c>
      <c r="C2875" s="1" t="n">
        <v>45641</v>
      </c>
      <c r="D2875" t="inlineStr">
        <is>
          <t>VÄSTERBOTTENS LÄN</t>
        </is>
      </c>
      <c r="E2875" t="inlineStr">
        <is>
          <t>SKELLEFTEÅ</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15848-2024</t>
        </is>
      </c>
      <c r="B2876" s="1" t="n">
        <v>45404</v>
      </c>
      <c r="C2876" s="1" t="n">
        <v>45641</v>
      </c>
      <c r="D2876" t="inlineStr">
        <is>
          <t>VÄSTERBOTTENS LÄN</t>
        </is>
      </c>
      <c r="E2876" t="inlineStr">
        <is>
          <t>SKELLEFTEÅ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15856-2024</t>
        </is>
      </c>
      <c r="B2877" s="1" t="n">
        <v>45404</v>
      </c>
      <c r="C2877" s="1" t="n">
        <v>45641</v>
      </c>
      <c r="D2877" t="inlineStr">
        <is>
          <t>VÄSTERBOTTENS LÄN</t>
        </is>
      </c>
      <c r="E2877" t="inlineStr">
        <is>
          <t>SKELLEFTEÅ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15855-2024</t>
        </is>
      </c>
      <c r="B2878" s="1" t="n">
        <v>45405</v>
      </c>
      <c r="C2878" s="1" t="n">
        <v>45641</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15927-2024</t>
        </is>
      </c>
      <c r="B2879" s="1" t="n">
        <v>45405</v>
      </c>
      <c r="C2879" s="1" t="n">
        <v>45641</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16037-2024</t>
        </is>
      </c>
      <c r="B2880" s="1" t="n">
        <v>45405</v>
      </c>
      <c r="C2880" s="1" t="n">
        <v>45641</v>
      </c>
      <c r="D2880" t="inlineStr">
        <is>
          <t>VÄSTERBOTTENS LÄN</t>
        </is>
      </c>
      <c r="E2880" t="inlineStr">
        <is>
          <t>SKELLEFTEÅ</t>
        </is>
      </c>
      <c r="F2880" t="inlineStr">
        <is>
          <t>Holmen skog AB</t>
        </is>
      </c>
      <c r="G2880" t="n">
        <v>11.7</v>
      </c>
      <c r="H2880" t="n">
        <v>0</v>
      </c>
      <c r="I2880" t="n">
        <v>0</v>
      </c>
      <c r="J2880" t="n">
        <v>0</v>
      </c>
      <c r="K2880" t="n">
        <v>0</v>
      </c>
      <c r="L2880" t="n">
        <v>0</v>
      </c>
      <c r="M2880" t="n">
        <v>0</v>
      </c>
      <c r="N2880" t="n">
        <v>0</v>
      </c>
      <c r="O2880" t="n">
        <v>0</v>
      </c>
      <c r="P2880" t="n">
        <v>0</v>
      </c>
      <c r="Q2880" t="n">
        <v>0</v>
      </c>
      <c r="R2880" s="2" t="inlineStr"/>
    </row>
    <row r="2881" ht="15" customHeight="1">
      <c r="A2881" t="inlineStr">
        <is>
          <t>A 16096-2024</t>
        </is>
      </c>
      <c r="B2881" s="1" t="n">
        <v>45406</v>
      </c>
      <c r="C2881" s="1" t="n">
        <v>45641</v>
      </c>
      <c r="D2881" t="inlineStr">
        <is>
          <t>VÄSTERBOTTENS LÄN</t>
        </is>
      </c>
      <c r="E2881" t="inlineStr">
        <is>
          <t>SKELLEFTEÅ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16501-2024</t>
        </is>
      </c>
      <c r="B2882" s="1" t="n">
        <v>45408</v>
      </c>
      <c r="C2882" s="1" t="n">
        <v>45641</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16519-2024</t>
        </is>
      </c>
      <c r="B2883" s="1" t="n">
        <v>45408</v>
      </c>
      <c r="C2883" s="1" t="n">
        <v>45641</v>
      </c>
      <c r="D2883" t="inlineStr">
        <is>
          <t>VÄSTERBOTTENS LÄN</t>
        </is>
      </c>
      <c r="E2883" t="inlineStr">
        <is>
          <t>SKELLEFTEÅ</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16711-2024</t>
        </is>
      </c>
      <c r="B2884" s="1" t="n">
        <v>45409</v>
      </c>
      <c r="C2884" s="1" t="n">
        <v>45641</v>
      </c>
      <c r="D2884" t="inlineStr">
        <is>
          <t>VÄSTERBOTTENS LÄN</t>
        </is>
      </c>
      <c r="E2884" t="inlineStr">
        <is>
          <t>SKELLEFTEÅ</t>
        </is>
      </c>
      <c r="F2884" t="inlineStr">
        <is>
          <t>SCA</t>
        </is>
      </c>
      <c r="G2884" t="n">
        <v>30.4</v>
      </c>
      <c r="H2884" t="n">
        <v>0</v>
      </c>
      <c r="I2884" t="n">
        <v>0</v>
      </c>
      <c r="J2884" t="n">
        <v>0</v>
      </c>
      <c r="K2884" t="n">
        <v>0</v>
      </c>
      <c r="L2884" t="n">
        <v>0</v>
      </c>
      <c r="M2884" t="n">
        <v>0</v>
      </c>
      <c r="N2884" t="n">
        <v>0</v>
      </c>
      <c r="O2884" t="n">
        <v>0</v>
      </c>
      <c r="P2884" t="n">
        <v>0</v>
      </c>
      <c r="Q2884" t="n">
        <v>0</v>
      </c>
      <c r="R2884" s="2" t="inlineStr"/>
      <c r="U2884">
        <f>HYPERLINK("https://klasma.github.io/Logging_2482/knärot/A 16711-2024 karta knärot.png", "A 16711-2024")</f>
        <v/>
      </c>
      <c r="V2884">
        <f>HYPERLINK("https://klasma.github.io/Logging_2482/klagomål/A 16711-2024 FSC-klagomål.docx", "A 16711-2024")</f>
        <v/>
      </c>
      <c r="W2884">
        <f>HYPERLINK("https://klasma.github.io/Logging_2482/klagomålsmail/A 16711-2024 FSC-klagomål mail.docx", "A 16711-2024")</f>
        <v/>
      </c>
      <c r="X2884">
        <f>HYPERLINK("https://klasma.github.io/Logging_2482/tillsyn/A 16711-2024 tillsynsbegäran.docx", "A 16711-2024")</f>
        <v/>
      </c>
      <c r="Y2884">
        <f>HYPERLINK("https://klasma.github.io/Logging_2482/tillsynsmail/A 16711-2024 tillsynsbegäran mail.docx", "A 16711-2024")</f>
        <v/>
      </c>
    </row>
    <row r="2885" ht="15" customHeight="1">
      <c r="A2885" t="inlineStr">
        <is>
          <t>A 16959-2024</t>
        </is>
      </c>
      <c r="B2885" s="1" t="n">
        <v>45411</v>
      </c>
      <c r="C2885" s="1" t="n">
        <v>45641</v>
      </c>
      <c r="D2885" t="inlineStr">
        <is>
          <t>VÄSTERBOTTENS LÄN</t>
        </is>
      </c>
      <c r="E2885" t="inlineStr">
        <is>
          <t>SKELLEFTEÅ</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17005-2024</t>
        </is>
      </c>
      <c r="B2886" s="1" t="n">
        <v>45411</v>
      </c>
      <c r="C2886" s="1" t="n">
        <v>45641</v>
      </c>
      <c r="D2886" t="inlineStr">
        <is>
          <t>VÄSTERBOTTENS LÄN</t>
        </is>
      </c>
      <c r="E2886" t="inlineStr">
        <is>
          <t>SKELLEFTEÅ</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16977-2024</t>
        </is>
      </c>
      <c r="B2887" s="1" t="n">
        <v>45412</v>
      </c>
      <c r="C2887" s="1" t="n">
        <v>45641</v>
      </c>
      <c r="D2887" t="inlineStr">
        <is>
          <t>VÄSTERBOTTENS LÄN</t>
        </is>
      </c>
      <c r="E2887" t="inlineStr">
        <is>
          <t>SKELLEFTEÅ</t>
        </is>
      </c>
      <c r="F2887" t="inlineStr">
        <is>
          <t>SCA</t>
        </is>
      </c>
      <c r="G2887" t="n">
        <v>16.8</v>
      </c>
      <c r="H2887" t="n">
        <v>0</v>
      </c>
      <c r="I2887" t="n">
        <v>0</v>
      </c>
      <c r="J2887" t="n">
        <v>0</v>
      </c>
      <c r="K2887" t="n">
        <v>0</v>
      </c>
      <c r="L2887" t="n">
        <v>0</v>
      </c>
      <c r="M2887" t="n">
        <v>0</v>
      </c>
      <c r="N2887" t="n">
        <v>0</v>
      </c>
      <c r="O2887" t="n">
        <v>0</v>
      </c>
      <c r="P2887" t="n">
        <v>0</v>
      </c>
      <c r="Q2887" t="n">
        <v>0</v>
      </c>
      <c r="R2887" s="2" t="inlineStr"/>
    </row>
    <row r="2888" ht="15" customHeight="1">
      <c r="A2888" t="inlineStr">
        <is>
          <t>A 17509-2024</t>
        </is>
      </c>
      <c r="B2888" s="1" t="n">
        <v>45415</v>
      </c>
      <c r="C2888" s="1" t="n">
        <v>45641</v>
      </c>
      <c r="D2888" t="inlineStr">
        <is>
          <t>VÄSTERBOTTENS LÄN</t>
        </is>
      </c>
      <c r="E2888" t="inlineStr">
        <is>
          <t>SKELLEFTEÅ</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17542-2024</t>
        </is>
      </c>
      <c r="B2889" s="1" t="n">
        <v>45415</v>
      </c>
      <c r="C2889" s="1" t="n">
        <v>45641</v>
      </c>
      <c r="D2889" t="inlineStr">
        <is>
          <t>VÄSTERBOTTENS LÄN</t>
        </is>
      </c>
      <c r="E2889" t="inlineStr">
        <is>
          <t>SKELLEFTEÅ</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17550-2024</t>
        </is>
      </c>
      <c r="B2890" s="1" t="n">
        <v>45415</v>
      </c>
      <c r="C2890" s="1" t="n">
        <v>45641</v>
      </c>
      <c r="D2890" t="inlineStr">
        <is>
          <t>VÄSTERBOTTENS LÄN</t>
        </is>
      </c>
      <c r="E2890" t="inlineStr">
        <is>
          <t>SKELLEFTEÅ</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17506-2024</t>
        </is>
      </c>
      <c r="B2891" s="1" t="n">
        <v>45415</v>
      </c>
      <c r="C2891" s="1" t="n">
        <v>45641</v>
      </c>
      <c r="D2891" t="inlineStr">
        <is>
          <t>VÄSTERBOTTENS LÄN</t>
        </is>
      </c>
      <c r="E2891" t="inlineStr">
        <is>
          <t>SKELLEFTEÅ</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17568-2024</t>
        </is>
      </c>
      <c r="B2892" s="1" t="n">
        <v>45415</v>
      </c>
      <c r="C2892" s="1" t="n">
        <v>45641</v>
      </c>
      <c r="D2892" t="inlineStr">
        <is>
          <t>VÄSTERBOTTENS LÄN</t>
        </is>
      </c>
      <c r="E2892" t="inlineStr">
        <is>
          <t>SKELLEFTEÅ</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18595-2024</t>
        </is>
      </c>
      <c r="B2893" s="1" t="n">
        <v>45415</v>
      </c>
      <c r="C2893" s="1" t="n">
        <v>45641</v>
      </c>
      <c r="D2893" t="inlineStr">
        <is>
          <t>VÄSTERBOTTENS LÄN</t>
        </is>
      </c>
      <c r="E2893" t="inlineStr">
        <is>
          <t>SKELLEFTEÅ</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17751-2024</t>
        </is>
      </c>
      <c r="B2894" s="1" t="n">
        <v>45418</v>
      </c>
      <c r="C2894" s="1" t="n">
        <v>45641</v>
      </c>
      <c r="D2894" t="inlineStr">
        <is>
          <t>VÄSTERBOTTENS LÄN</t>
        </is>
      </c>
      <c r="E2894" t="inlineStr">
        <is>
          <t>SKELLEFTEÅ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17880-2024</t>
        </is>
      </c>
      <c r="B2895" s="1" t="n">
        <v>45419</v>
      </c>
      <c r="C2895" s="1" t="n">
        <v>45641</v>
      </c>
      <c r="D2895" t="inlineStr">
        <is>
          <t>VÄSTERBOTTENS LÄN</t>
        </is>
      </c>
      <c r="E2895" t="inlineStr">
        <is>
          <t>SKELLEFTEÅ</t>
        </is>
      </c>
      <c r="F2895" t="inlineStr">
        <is>
          <t>Kommuner</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17884-2024</t>
        </is>
      </c>
      <c r="B2896" s="1" t="n">
        <v>45419</v>
      </c>
      <c r="C2896" s="1" t="n">
        <v>45641</v>
      </c>
      <c r="D2896" t="inlineStr">
        <is>
          <t>VÄSTERBOTTENS LÄN</t>
        </is>
      </c>
      <c r="E2896" t="inlineStr">
        <is>
          <t>SKELLEFTEÅ</t>
        </is>
      </c>
      <c r="F2896" t="inlineStr">
        <is>
          <t>Kommuner</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18367-2024</t>
        </is>
      </c>
      <c r="B2897" s="1" t="n">
        <v>45422</v>
      </c>
      <c r="C2897" s="1" t="n">
        <v>45641</v>
      </c>
      <c r="D2897" t="inlineStr">
        <is>
          <t>VÄSTERBOTTENS LÄN</t>
        </is>
      </c>
      <c r="E2897" t="inlineStr">
        <is>
          <t>SKELLEFTEÅ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18368-2024</t>
        </is>
      </c>
      <c r="B2898" s="1" t="n">
        <v>45422</v>
      </c>
      <c r="C2898" s="1" t="n">
        <v>45641</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18578-2024</t>
        </is>
      </c>
      <c r="B2899" s="1" t="n">
        <v>45425</v>
      </c>
      <c r="C2899" s="1" t="n">
        <v>45641</v>
      </c>
      <c r="D2899" t="inlineStr">
        <is>
          <t>VÄSTERBOTTENS LÄN</t>
        </is>
      </c>
      <c r="E2899" t="inlineStr">
        <is>
          <t>SKELLEFTEÅ</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18564-2024</t>
        </is>
      </c>
      <c r="B2900" s="1" t="n">
        <v>45425</v>
      </c>
      <c r="C2900" s="1" t="n">
        <v>45641</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18580-2024</t>
        </is>
      </c>
      <c r="B2901" s="1" t="n">
        <v>45425</v>
      </c>
      <c r="C2901" s="1" t="n">
        <v>45641</v>
      </c>
      <c r="D2901" t="inlineStr">
        <is>
          <t>VÄSTERBOTTENS LÄN</t>
        </is>
      </c>
      <c r="E2901" t="inlineStr">
        <is>
          <t>SKELLEFTEÅ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18681-2024</t>
        </is>
      </c>
      <c r="B2902" s="1" t="n">
        <v>45426</v>
      </c>
      <c r="C2902" s="1" t="n">
        <v>45641</v>
      </c>
      <c r="D2902" t="inlineStr">
        <is>
          <t>VÄSTERBOTTENS LÄN</t>
        </is>
      </c>
      <c r="E2902" t="inlineStr">
        <is>
          <t>SKELLEFTEÅ</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18979-2024</t>
        </is>
      </c>
      <c r="B2903" s="1" t="n">
        <v>45427</v>
      </c>
      <c r="C2903" s="1" t="n">
        <v>45641</v>
      </c>
      <c r="D2903" t="inlineStr">
        <is>
          <t>VÄSTERBOTTENS LÄN</t>
        </is>
      </c>
      <c r="E2903" t="inlineStr">
        <is>
          <t>SKELLEFTEÅ</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19405-2024</t>
        </is>
      </c>
      <c r="B2904" s="1" t="n">
        <v>45428</v>
      </c>
      <c r="C2904" s="1" t="n">
        <v>45641</v>
      </c>
      <c r="D2904" t="inlineStr">
        <is>
          <t>VÄSTERBOTTENS LÄN</t>
        </is>
      </c>
      <c r="E2904" t="inlineStr">
        <is>
          <t>SKELLEFTEÅ</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19582-2024</t>
        </is>
      </c>
      <c r="B2905" s="1" t="n">
        <v>45430</v>
      </c>
      <c r="C2905" s="1" t="n">
        <v>45641</v>
      </c>
      <c r="D2905" t="inlineStr">
        <is>
          <t>VÄSTERBOTTENS LÄN</t>
        </is>
      </c>
      <c r="E2905" t="inlineStr">
        <is>
          <t>SKELLEFTEÅ</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19576-2024</t>
        </is>
      </c>
      <c r="B2906" s="1" t="n">
        <v>45430</v>
      </c>
      <c r="C2906" s="1" t="n">
        <v>45641</v>
      </c>
      <c r="D2906" t="inlineStr">
        <is>
          <t>VÄSTERBOTTENS LÄN</t>
        </is>
      </c>
      <c r="E2906" t="inlineStr">
        <is>
          <t>SKELLEFTEÅ</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19782-2024</t>
        </is>
      </c>
      <c r="B2907" s="1" t="n">
        <v>45432</v>
      </c>
      <c r="C2907" s="1" t="n">
        <v>45641</v>
      </c>
      <c r="D2907" t="inlineStr">
        <is>
          <t>VÄSTERBOTTENS LÄN</t>
        </is>
      </c>
      <c r="E2907" t="inlineStr">
        <is>
          <t>SKELLEFTEÅ</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19784-2024</t>
        </is>
      </c>
      <c r="B2908" s="1" t="n">
        <v>45432</v>
      </c>
      <c r="C2908" s="1" t="n">
        <v>45641</v>
      </c>
      <c r="D2908" t="inlineStr">
        <is>
          <t>VÄSTERBOTTENS LÄN</t>
        </is>
      </c>
      <c r="E2908" t="inlineStr">
        <is>
          <t>SKELLEFTEÅ</t>
        </is>
      </c>
      <c r="F2908" t="inlineStr">
        <is>
          <t>Sveaskog</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19801-2024</t>
        </is>
      </c>
      <c r="B2909" s="1" t="n">
        <v>45432</v>
      </c>
      <c r="C2909" s="1" t="n">
        <v>45641</v>
      </c>
      <c r="D2909" t="inlineStr">
        <is>
          <t>VÄSTERBOTTENS LÄN</t>
        </is>
      </c>
      <c r="E2909" t="inlineStr">
        <is>
          <t>SKELLEFTEÅ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19808-2024</t>
        </is>
      </c>
      <c r="B2910" s="1" t="n">
        <v>45432</v>
      </c>
      <c r="C2910" s="1" t="n">
        <v>45641</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19809-2024</t>
        </is>
      </c>
      <c r="B2911" s="1" t="n">
        <v>45432</v>
      </c>
      <c r="C2911" s="1" t="n">
        <v>45641</v>
      </c>
      <c r="D2911" t="inlineStr">
        <is>
          <t>VÄSTERBOTTENS LÄN</t>
        </is>
      </c>
      <c r="E2911" t="inlineStr">
        <is>
          <t>SKELLEFTEÅ</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19839-2024</t>
        </is>
      </c>
      <c r="B2912" s="1" t="n">
        <v>45433</v>
      </c>
      <c r="C2912" s="1" t="n">
        <v>45641</v>
      </c>
      <c r="D2912" t="inlineStr">
        <is>
          <t>VÄSTERBOTTENS LÄN</t>
        </is>
      </c>
      <c r="E2912" t="inlineStr">
        <is>
          <t>SKELLEFTEÅ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19905-2024</t>
        </is>
      </c>
      <c r="B2913" s="1" t="n">
        <v>45433</v>
      </c>
      <c r="C2913" s="1" t="n">
        <v>45641</v>
      </c>
      <c r="D2913" t="inlineStr">
        <is>
          <t>VÄSTERBOTTENS LÄN</t>
        </is>
      </c>
      <c r="E2913" t="inlineStr">
        <is>
          <t>SKELLEFTEÅ</t>
        </is>
      </c>
      <c r="F2913" t="inlineStr">
        <is>
          <t>Holmen skog AB</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19957-2024</t>
        </is>
      </c>
      <c r="B2914" s="1" t="n">
        <v>45433</v>
      </c>
      <c r="C2914" s="1" t="n">
        <v>45641</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19975-2024</t>
        </is>
      </c>
      <c r="B2915" s="1" t="n">
        <v>45433</v>
      </c>
      <c r="C2915" s="1" t="n">
        <v>45641</v>
      </c>
      <c r="D2915" t="inlineStr">
        <is>
          <t>VÄSTERBOTTENS LÄN</t>
        </is>
      </c>
      <c r="E2915" t="inlineStr">
        <is>
          <t>SKELLEFTEÅ</t>
        </is>
      </c>
      <c r="F2915" t="inlineStr">
        <is>
          <t>Sveaskog</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20153-2024</t>
        </is>
      </c>
      <c r="B2916" s="1" t="n">
        <v>45434</v>
      </c>
      <c r="C2916" s="1" t="n">
        <v>45641</v>
      </c>
      <c r="D2916" t="inlineStr">
        <is>
          <t>VÄSTERBOTTENS LÄN</t>
        </is>
      </c>
      <c r="E2916" t="inlineStr">
        <is>
          <t>SKELLEFTEÅ</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20205-2024</t>
        </is>
      </c>
      <c r="B2917" s="1" t="n">
        <v>45434</v>
      </c>
      <c r="C2917" s="1" t="n">
        <v>45641</v>
      </c>
      <c r="D2917" t="inlineStr">
        <is>
          <t>VÄSTERBOTTENS LÄN</t>
        </is>
      </c>
      <c r="E2917" t="inlineStr">
        <is>
          <t>SKELLEFTEÅ</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20209-2024</t>
        </is>
      </c>
      <c r="B2918" s="1" t="n">
        <v>45434</v>
      </c>
      <c r="C2918" s="1" t="n">
        <v>45641</v>
      </c>
      <c r="D2918" t="inlineStr">
        <is>
          <t>VÄSTERBOTTENS LÄN</t>
        </is>
      </c>
      <c r="E2918" t="inlineStr">
        <is>
          <t>SKELLEFTEÅ</t>
        </is>
      </c>
      <c r="F2918" t="inlineStr">
        <is>
          <t>Holmen skog AB</t>
        </is>
      </c>
      <c r="G2918" t="n">
        <v>22.1</v>
      </c>
      <c r="H2918" t="n">
        <v>0</v>
      </c>
      <c r="I2918" t="n">
        <v>0</v>
      </c>
      <c r="J2918" t="n">
        <v>0</v>
      </c>
      <c r="K2918" t="n">
        <v>0</v>
      </c>
      <c r="L2918" t="n">
        <v>0</v>
      </c>
      <c r="M2918" t="n">
        <v>0</v>
      </c>
      <c r="N2918" t="n">
        <v>0</v>
      </c>
      <c r="O2918" t="n">
        <v>0</v>
      </c>
      <c r="P2918" t="n">
        <v>0</v>
      </c>
      <c r="Q2918" t="n">
        <v>0</v>
      </c>
      <c r="R2918" s="2" t="inlineStr"/>
    </row>
    <row r="2919" ht="15" customHeight="1">
      <c r="A2919" t="inlineStr">
        <is>
          <t>A 20320-2024</t>
        </is>
      </c>
      <c r="B2919" s="1" t="n">
        <v>45435</v>
      </c>
      <c r="C2919" s="1" t="n">
        <v>45641</v>
      </c>
      <c r="D2919" t="inlineStr">
        <is>
          <t>VÄSTERBOTTENS LÄN</t>
        </is>
      </c>
      <c r="E2919" t="inlineStr">
        <is>
          <t>SKELLEFTEÅ</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20454-2024</t>
        </is>
      </c>
      <c r="B2920" s="1" t="n">
        <v>45435</v>
      </c>
      <c r="C2920" s="1" t="n">
        <v>45641</v>
      </c>
      <c r="D2920" t="inlineStr">
        <is>
          <t>VÄSTERBOTTENS LÄN</t>
        </is>
      </c>
      <c r="E2920" t="inlineStr">
        <is>
          <t>SKELLEFTEÅ</t>
        </is>
      </c>
      <c r="F2920" t="inlineStr">
        <is>
          <t>Holmen skog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20498-2024</t>
        </is>
      </c>
      <c r="B2921" s="1" t="n">
        <v>45435</v>
      </c>
      <c r="C2921" s="1" t="n">
        <v>45641</v>
      </c>
      <c r="D2921" t="inlineStr">
        <is>
          <t>VÄSTERBOTTENS LÄN</t>
        </is>
      </c>
      <c r="E2921" t="inlineStr">
        <is>
          <t>SKELLEFTEÅ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20429-2024</t>
        </is>
      </c>
      <c r="B2922" s="1" t="n">
        <v>45435</v>
      </c>
      <c r="C2922" s="1" t="n">
        <v>45641</v>
      </c>
      <c r="D2922" t="inlineStr">
        <is>
          <t>VÄSTERBOTTENS LÄN</t>
        </is>
      </c>
      <c r="E2922" t="inlineStr">
        <is>
          <t>SKELLEFTEÅ</t>
        </is>
      </c>
      <c r="F2922" t="inlineStr">
        <is>
          <t>Holmen skog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20497-2024</t>
        </is>
      </c>
      <c r="B2923" s="1" t="n">
        <v>45435</v>
      </c>
      <c r="C2923" s="1" t="n">
        <v>45641</v>
      </c>
      <c r="D2923" t="inlineStr">
        <is>
          <t>VÄSTERBOTTENS LÄN</t>
        </is>
      </c>
      <c r="E2923" t="inlineStr">
        <is>
          <t>SKELLEFTEÅ</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20448-2024</t>
        </is>
      </c>
      <c r="B2924" s="1" t="n">
        <v>45435</v>
      </c>
      <c r="C2924" s="1" t="n">
        <v>45641</v>
      </c>
      <c r="D2924" t="inlineStr">
        <is>
          <t>VÄSTERBOTTENS LÄN</t>
        </is>
      </c>
      <c r="E2924" t="inlineStr">
        <is>
          <t>SKELLEFTEÅ</t>
        </is>
      </c>
      <c r="F2924" t="inlineStr">
        <is>
          <t>Holmen skog AB</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20500-2024</t>
        </is>
      </c>
      <c r="B2925" s="1" t="n">
        <v>45436</v>
      </c>
      <c r="C2925" s="1" t="n">
        <v>45641</v>
      </c>
      <c r="D2925" t="inlineStr">
        <is>
          <t>VÄSTERBOTTENS LÄN</t>
        </is>
      </c>
      <c r="E2925" t="inlineStr">
        <is>
          <t>SKELLEFTEÅ</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20479-2024</t>
        </is>
      </c>
      <c r="B2926" s="1" t="n">
        <v>45435</v>
      </c>
      <c r="C2926" s="1" t="n">
        <v>45641</v>
      </c>
      <c r="D2926" t="inlineStr">
        <is>
          <t>VÄSTERBOTTENS LÄN</t>
        </is>
      </c>
      <c r="E2926" t="inlineStr">
        <is>
          <t>SKELLEFTEÅ</t>
        </is>
      </c>
      <c r="F2926" t="inlineStr">
        <is>
          <t>Holmen skog AB</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20499-2024</t>
        </is>
      </c>
      <c r="B2927" s="1" t="n">
        <v>45435</v>
      </c>
      <c r="C2927" s="1" t="n">
        <v>45641</v>
      </c>
      <c r="D2927" t="inlineStr">
        <is>
          <t>VÄSTERBOTTENS LÄN</t>
        </is>
      </c>
      <c r="E2927" t="inlineStr">
        <is>
          <t>SKELLEFTEÅ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20592-2024</t>
        </is>
      </c>
      <c r="B2928" s="1" t="n">
        <v>45436</v>
      </c>
      <c r="C2928" s="1" t="n">
        <v>45641</v>
      </c>
      <c r="D2928" t="inlineStr">
        <is>
          <t>VÄSTERBOTTENS LÄN</t>
        </is>
      </c>
      <c r="E2928" t="inlineStr">
        <is>
          <t>SKELLEFTEÅ</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20596-2024</t>
        </is>
      </c>
      <c r="B2929" s="1" t="n">
        <v>45436</v>
      </c>
      <c r="C2929" s="1" t="n">
        <v>45641</v>
      </c>
      <c r="D2929" t="inlineStr">
        <is>
          <t>VÄSTERBOTTENS LÄN</t>
        </is>
      </c>
      <c r="E2929" t="inlineStr">
        <is>
          <t>SKELLEFTEÅ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20723-2024</t>
        </is>
      </c>
      <c r="B2930" s="1" t="n">
        <v>45436</v>
      </c>
      <c r="C2930" s="1" t="n">
        <v>45641</v>
      </c>
      <c r="D2930" t="inlineStr">
        <is>
          <t>VÄSTERBOTTENS LÄN</t>
        </is>
      </c>
      <c r="E2930" t="inlineStr">
        <is>
          <t>SKELLEFTEÅ</t>
        </is>
      </c>
      <c r="F2930" t="inlineStr">
        <is>
          <t>Holmen skog AB</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20637-2024</t>
        </is>
      </c>
      <c r="B2931" s="1" t="n">
        <v>45436</v>
      </c>
      <c r="C2931" s="1" t="n">
        <v>45641</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20559-2024</t>
        </is>
      </c>
      <c r="B2932" s="1" t="n">
        <v>45436</v>
      </c>
      <c r="C2932" s="1" t="n">
        <v>45641</v>
      </c>
      <c r="D2932" t="inlineStr">
        <is>
          <t>VÄSTERBOTTENS LÄN</t>
        </is>
      </c>
      <c r="E2932" t="inlineStr">
        <is>
          <t>SKELLEFTEÅ</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20900-2024</t>
        </is>
      </c>
      <c r="B2933" s="1" t="n">
        <v>45439</v>
      </c>
      <c r="C2933" s="1" t="n">
        <v>45641</v>
      </c>
      <c r="D2933" t="inlineStr">
        <is>
          <t>VÄSTERBOTTENS LÄN</t>
        </is>
      </c>
      <c r="E2933" t="inlineStr">
        <is>
          <t>SKELLEFTEÅ</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21078-2024</t>
        </is>
      </c>
      <c r="B2934" s="1" t="n">
        <v>45440</v>
      </c>
      <c r="C2934" s="1" t="n">
        <v>45641</v>
      </c>
      <c r="D2934" t="inlineStr">
        <is>
          <t>VÄSTERBOTTENS LÄN</t>
        </is>
      </c>
      <c r="E2934" t="inlineStr">
        <is>
          <t>SKELLEFTEÅ</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21057-2024</t>
        </is>
      </c>
      <c r="B2935" s="1" t="n">
        <v>45439</v>
      </c>
      <c r="C2935" s="1" t="n">
        <v>45641</v>
      </c>
      <c r="D2935" t="inlineStr">
        <is>
          <t>VÄSTERBOTTENS LÄN</t>
        </is>
      </c>
      <c r="E2935" t="inlineStr">
        <is>
          <t>SKELLEFTEÅ</t>
        </is>
      </c>
      <c r="F2935" t="inlineStr">
        <is>
          <t>Sveaskog</t>
        </is>
      </c>
      <c r="G2935" t="n">
        <v>18.8</v>
      </c>
      <c r="H2935" t="n">
        <v>0</v>
      </c>
      <c r="I2935" t="n">
        <v>0</v>
      </c>
      <c r="J2935" t="n">
        <v>0</v>
      </c>
      <c r="K2935" t="n">
        <v>0</v>
      </c>
      <c r="L2935" t="n">
        <v>0</v>
      </c>
      <c r="M2935" t="n">
        <v>0</v>
      </c>
      <c r="N2935" t="n">
        <v>0</v>
      </c>
      <c r="O2935" t="n">
        <v>0</v>
      </c>
      <c r="P2935" t="n">
        <v>0</v>
      </c>
      <c r="Q2935" t="n">
        <v>0</v>
      </c>
      <c r="R2935" s="2" t="inlineStr"/>
    </row>
    <row r="2936" ht="15" customHeight="1">
      <c r="A2936" t="inlineStr">
        <is>
          <t>A 21076-2024</t>
        </is>
      </c>
      <c r="B2936" s="1" t="n">
        <v>45440</v>
      </c>
      <c r="C2936" s="1" t="n">
        <v>45641</v>
      </c>
      <c r="D2936" t="inlineStr">
        <is>
          <t>VÄSTERBOTTENS LÄN</t>
        </is>
      </c>
      <c r="E2936" t="inlineStr">
        <is>
          <t>SKELLEFTEÅ</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20924-2024</t>
        </is>
      </c>
      <c r="B2937" s="1" t="n">
        <v>45439</v>
      </c>
      <c r="C2937" s="1" t="n">
        <v>45641</v>
      </c>
      <c r="D2937" t="inlineStr">
        <is>
          <t>VÄSTERBOTTENS LÄN</t>
        </is>
      </c>
      <c r="E2937" t="inlineStr">
        <is>
          <t>SKELLEFTEÅ</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21077-2024</t>
        </is>
      </c>
      <c r="B2938" s="1" t="n">
        <v>45440</v>
      </c>
      <c r="C2938" s="1" t="n">
        <v>45641</v>
      </c>
      <c r="D2938" t="inlineStr">
        <is>
          <t>VÄSTERBOTTENS LÄN</t>
        </is>
      </c>
      <c r="E2938" t="inlineStr">
        <is>
          <t>SKELLEFTEÅ</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21152-2024</t>
        </is>
      </c>
      <c r="B2939" s="1" t="n">
        <v>45440</v>
      </c>
      <c r="C2939" s="1" t="n">
        <v>45641</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21146-2024</t>
        </is>
      </c>
      <c r="B2940" s="1" t="n">
        <v>45440</v>
      </c>
      <c r="C2940" s="1" t="n">
        <v>45641</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21426-2024</t>
        </is>
      </c>
      <c r="B2941" s="1" t="n">
        <v>45441</v>
      </c>
      <c r="C2941" s="1" t="n">
        <v>45641</v>
      </c>
      <c r="D2941" t="inlineStr">
        <is>
          <t>VÄSTERBOTTENS LÄN</t>
        </is>
      </c>
      <c r="E2941" t="inlineStr">
        <is>
          <t>SKELLEFTEÅ</t>
        </is>
      </c>
      <c r="G2941" t="n">
        <v>12.2</v>
      </c>
      <c r="H2941" t="n">
        <v>0</v>
      </c>
      <c r="I2941" t="n">
        <v>0</v>
      </c>
      <c r="J2941" t="n">
        <v>0</v>
      </c>
      <c r="K2941" t="n">
        <v>0</v>
      </c>
      <c r="L2941" t="n">
        <v>0</v>
      </c>
      <c r="M2941" t="n">
        <v>0</v>
      </c>
      <c r="N2941" t="n">
        <v>0</v>
      </c>
      <c r="O2941" t="n">
        <v>0</v>
      </c>
      <c r="P2941" t="n">
        <v>0</v>
      </c>
      <c r="Q2941" t="n">
        <v>0</v>
      </c>
      <c r="R2941" s="2" t="inlineStr"/>
    </row>
    <row r="2942" ht="15" customHeight="1">
      <c r="A2942" t="inlineStr">
        <is>
          <t>A 21438-2024</t>
        </is>
      </c>
      <c r="B2942" s="1" t="n">
        <v>45441</v>
      </c>
      <c r="C2942" s="1" t="n">
        <v>45641</v>
      </c>
      <c r="D2942" t="inlineStr">
        <is>
          <t>VÄSTERBOTTENS LÄN</t>
        </is>
      </c>
      <c r="E2942" t="inlineStr">
        <is>
          <t>SKELLEFTEÅ</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21495-2024</t>
        </is>
      </c>
      <c r="B2943" s="1" t="n">
        <v>45441</v>
      </c>
      <c r="C2943" s="1" t="n">
        <v>45641</v>
      </c>
      <c r="D2943" t="inlineStr">
        <is>
          <t>VÄSTERBOTTENS LÄN</t>
        </is>
      </c>
      <c r="E2943" t="inlineStr">
        <is>
          <t>SKELLEFTEÅ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21593-2024</t>
        </is>
      </c>
      <c r="B2944" s="1" t="n">
        <v>45441</v>
      </c>
      <c r="C2944" s="1" t="n">
        <v>45641</v>
      </c>
      <c r="D2944" t="inlineStr">
        <is>
          <t>VÄSTERBOTTENS LÄN</t>
        </is>
      </c>
      <c r="E2944" t="inlineStr">
        <is>
          <t>SKELLEFTEÅ</t>
        </is>
      </c>
      <c r="F2944" t="inlineStr">
        <is>
          <t>Sveaskog</t>
        </is>
      </c>
      <c r="G2944" t="n">
        <v>12.3</v>
      </c>
      <c r="H2944" t="n">
        <v>0</v>
      </c>
      <c r="I2944" t="n">
        <v>0</v>
      </c>
      <c r="J2944" t="n">
        <v>0</v>
      </c>
      <c r="K2944" t="n">
        <v>0</v>
      </c>
      <c r="L2944" t="n">
        <v>0</v>
      </c>
      <c r="M2944" t="n">
        <v>0</v>
      </c>
      <c r="N2944" t="n">
        <v>0</v>
      </c>
      <c r="O2944" t="n">
        <v>0</v>
      </c>
      <c r="P2944" t="n">
        <v>0</v>
      </c>
      <c r="Q2944" t="n">
        <v>0</v>
      </c>
      <c r="R2944" s="2" t="inlineStr"/>
    </row>
    <row r="2945" ht="15" customHeight="1">
      <c r="A2945" t="inlineStr">
        <is>
          <t>A 21730-2024</t>
        </is>
      </c>
      <c r="B2945" s="1" t="n">
        <v>45442</v>
      </c>
      <c r="C2945" s="1" t="n">
        <v>45641</v>
      </c>
      <c r="D2945" t="inlineStr">
        <is>
          <t>VÄSTERBOTTENS LÄN</t>
        </is>
      </c>
      <c r="E2945" t="inlineStr">
        <is>
          <t>SKELLEFTEÅ</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21737-2024</t>
        </is>
      </c>
      <c r="B2946" s="1" t="n">
        <v>45442</v>
      </c>
      <c r="C2946" s="1" t="n">
        <v>45641</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21765-2024</t>
        </is>
      </c>
      <c r="B2947" s="1" t="n">
        <v>45442</v>
      </c>
      <c r="C2947" s="1" t="n">
        <v>45641</v>
      </c>
      <c r="D2947" t="inlineStr">
        <is>
          <t>VÄSTERBOTTENS LÄN</t>
        </is>
      </c>
      <c r="E2947" t="inlineStr">
        <is>
          <t>SKELLEFTEÅ</t>
        </is>
      </c>
      <c r="F2947" t="inlineStr">
        <is>
          <t>Holmen skog AB</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21785-2024</t>
        </is>
      </c>
      <c r="B2948" s="1" t="n">
        <v>45442</v>
      </c>
      <c r="C2948" s="1" t="n">
        <v>45641</v>
      </c>
      <c r="D2948" t="inlineStr">
        <is>
          <t>VÄSTERBOTTENS LÄN</t>
        </is>
      </c>
      <c r="E2948" t="inlineStr">
        <is>
          <t>SKELLEFTEÅ</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21812-2024</t>
        </is>
      </c>
      <c r="B2949" s="1" t="n">
        <v>45442</v>
      </c>
      <c r="C2949" s="1" t="n">
        <v>45641</v>
      </c>
      <c r="D2949" t="inlineStr">
        <is>
          <t>VÄSTERBOTTENS LÄN</t>
        </is>
      </c>
      <c r="E2949" t="inlineStr">
        <is>
          <t>SKELLEFTEÅ</t>
        </is>
      </c>
      <c r="F2949" t="inlineStr">
        <is>
          <t>Holmen skog AB</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21854-2024</t>
        </is>
      </c>
      <c r="B2950" s="1" t="n">
        <v>45442</v>
      </c>
      <c r="C2950" s="1" t="n">
        <v>45641</v>
      </c>
      <c r="D2950" t="inlineStr">
        <is>
          <t>VÄSTERBOTTENS LÄN</t>
        </is>
      </c>
      <c r="E2950" t="inlineStr">
        <is>
          <t>SKELLEFTEÅ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21836-2024</t>
        </is>
      </c>
      <c r="B2951" s="1" t="n">
        <v>45443</v>
      </c>
      <c r="C2951" s="1" t="n">
        <v>45641</v>
      </c>
      <c r="D2951" t="inlineStr">
        <is>
          <t>VÄSTERBOTTENS LÄN</t>
        </is>
      </c>
      <c r="E2951" t="inlineStr">
        <is>
          <t>SKELLEFTEÅ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22044-2024</t>
        </is>
      </c>
      <c r="B2952" s="1" t="n">
        <v>45443</v>
      </c>
      <c r="C2952" s="1" t="n">
        <v>45641</v>
      </c>
      <c r="D2952" t="inlineStr">
        <is>
          <t>VÄSTERBOTTENS LÄN</t>
        </is>
      </c>
      <c r="E2952" t="inlineStr">
        <is>
          <t>SKELLEFTEÅ</t>
        </is>
      </c>
      <c r="F2952" t="inlineStr">
        <is>
          <t>Holmen skog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22014-2024</t>
        </is>
      </c>
      <c r="B2953" s="1" t="n">
        <v>45443</v>
      </c>
      <c r="C2953" s="1" t="n">
        <v>45641</v>
      </c>
      <c r="D2953" t="inlineStr">
        <is>
          <t>VÄSTERBOTTENS LÄN</t>
        </is>
      </c>
      <c r="E2953" t="inlineStr">
        <is>
          <t>SKELLEFTEÅ</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22072-2024</t>
        </is>
      </c>
      <c r="B2954" s="1" t="n">
        <v>45443</v>
      </c>
      <c r="C2954" s="1" t="n">
        <v>45641</v>
      </c>
      <c r="D2954" t="inlineStr">
        <is>
          <t>VÄSTERBOTTENS LÄN</t>
        </is>
      </c>
      <c r="E2954" t="inlineStr">
        <is>
          <t>SKELLEFTEÅ</t>
        </is>
      </c>
      <c r="F2954" t="inlineStr">
        <is>
          <t>Holmen skog AB</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22136-2024</t>
        </is>
      </c>
      <c r="B2955" s="1" t="n">
        <v>45444</v>
      </c>
      <c r="C2955" s="1" t="n">
        <v>45641</v>
      </c>
      <c r="D2955" t="inlineStr">
        <is>
          <t>VÄSTERBOTTENS LÄN</t>
        </is>
      </c>
      <c r="E2955" t="inlineStr">
        <is>
          <t>SKELLEFTEÅ</t>
        </is>
      </c>
      <c r="F2955" t="inlineStr">
        <is>
          <t>Sveaskog</t>
        </is>
      </c>
      <c r="G2955" t="n">
        <v>13.7</v>
      </c>
      <c r="H2955" t="n">
        <v>0</v>
      </c>
      <c r="I2955" t="n">
        <v>0</v>
      </c>
      <c r="J2955" t="n">
        <v>0</v>
      </c>
      <c r="K2955" t="n">
        <v>0</v>
      </c>
      <c r="L2955" t="n">
        <v>0</v>
      </c>
      <c r="M2955" t="n">
        <v>0</v>
      </c>
      <c r="N2955" t="n">
        <v>0</v>
      </c>
      <c r="O2955" t="n">
        <v>0</v>
      </c>
      <c r="P2955" t="n">
        <v>0</v>
      </c>
      <c r="Q2955" t="n">
        <v>0</v>
      </c>
      <c r="R2955" s="2" t="inlineStr"/>
    </row>
    <row r="2956" ht="15" customHeight="1">
      <c r="A2956" t="inlineStr">
        <is>
          <t>A 22219-2024</t>
        </is>
      </c>
      <c r="B2956" s="1" t="n">
        <v>45446</v>
      </c>
      <c r="C2956" s="1" t="n">
        <v>45641</v>
      </c>
      <c r="D2956" t="inlineStr">
        <is>
          <t>VÄSTERBOTTENS LÄN</t>
        </is>
      </c>
      <c r="E2956" t="inlineStr">
        <is>
          <t>SKELLEFTEÅ</t>
        </is>
      </c>
      <c r="G2956" t="n">
        <v>14.9</v>
      </c>
      <c r="H2956" t="n">
        <v>0</v>
      </c>
      <c r="I2956" t="n">
        <v>0</v>
      </c>
      <c r="J2956" t="n">
        <v>0</v>
      </c>
      <c r="K2956" t="n">
        <v>0</v>
      </c>
      <c r="L2956" t="n">
        <v>0</v>
      </c>
      <c r="M2956" t="n">
        <v>0</v>
      </c>
      <c r="N2956" t="n">
        <v>0</v>
      </c>
      <c r="O2956" t="n">
        <v>0</v>
      </c>
      <c r="P2956" t="n">
        <v>0</v>
      </c>
      <c r="Q2956" t="n">
        <v>0</v>
      </c>
      <c r="R2956" s="2" t="inlineStr"/>
    </row>
    <row r="2957" ht="15" customHeight="1">
      <c r="A2957" t="inlineStr">
        <is>
          <t>A 22395-2024</t>
        </is>
      </c>
      <c r="B2957" s="1" t="n">
        <v>45446</v>
      </c>
      <c r="C2957" s="1" t="n">
        <v>45641</v>
      </c>
      <c r="D2957" t="inlineStr">
        <is>
          <t>VÄSTERBOTTENS LÄN</t>
        </is>
      </c>
      <c r="E2957" t="inlineStr">
        <is>
          <t>SKELLEFTEÅ</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22199-2024</t>
        </is>
      </c>
      <c r="B2958" s="1" t="n">
        <v>45446</v>
      </c>
      <c r="C2958" s="1" t="n">
        <v>45641</v>
      </c>
      <c r="D2958" t="inlineStr">
        <is>
          <t>VÄSTERBOTTENS LÄN</t>
        </is>
      </c>
      <c r="E2958" t="inlineStr">
        <is>
          <t>SKELLEFTEÅ</t>
        </is>
      </c>
      <c r="F2958" t="inlineStr">
        <is>
          <t>Sveaskog</t>
        </is>
      </c>
      <c r="G2958" t="n">
        <v>40.5</v>
      </c>
      <c r="H2958" t="n">
        <v>0</v>
      </c>
      <c r="I2958" t="n">
        <v>0</v>
      </c>
      <c r="J2958" t="n">
        <v>0</v>
      </c>
      <c r="K2958" t="n">
        <v>0</v>
      </c>
      <c r="L2958" t="n">
        <v>0</v>
      </c>
      <c r="M2958" t="n">
        <v>0</v>
      </c>
      <c r="N2958" t="n">
        <v>0</v>
      </c>
      <c r="O2958" t="n">
        <v>0</v>
      </c>
      <c r="P2958" t="n">
        <v>0</v>
      </c>
      <c r="Q2958" t="n">
        <v>0</v>
      </c>
      <c r="R2958" s="2" t="inlineStr"/>
    </row>
    <row r="2959" ht="15" customHeight="1">
      <c r="A2959" t="inlineStr">
        <is>
          <t>A 22203-2024</t>
        </is>
      </c>
      <c r="B2959" s="1" t="n">
        <v>45446</v>
      </c>
      <c r="C2959" s="1" t="n">
        <v>45641</v>
      </c>
      <c r="D2959" t="inlineStr">
        <is>
          <t>VÄSTERBOTTENS LÄN</t>
        </is>
      </c>
      <c r="E2959" t="inlineStr">
        <is>
          <t>SKELLEFTEÅ</t>
        </is>
      </c>
      <c r="F2959" t="inlineStr">
        <is>
          <t>Sveaskog</t>
        </is>
      </c>
      <c r="G2959" t="n">
        <v>48.1</v>
      </c>
      <c r="H2959" t="n">
        <v>0</v>
      </c>
      <c r="I2959" t="n">
        <v>0</v>
      </c>
      <c r="J2959" t="n">
        <v>0</v>
      </c>
      <c r="K2959" t="n">
        <v>0</v>
      </c>
      <c r="L2959" t="n">
        <v>0</v>
      </c>
      <c r="M2959" t="n">
        <v>0</v>
      </c>
      <c r="N2959" t="n">
        <v>0</v>
      </c>
      <c r="O2959" t="n">
        <v>0</v>
      </c>
      <c r="P2959" t="n">
        <v>0</v>
      </c>
      <c r="Q2959" t="n">
        <v>0</v>
      </c>
      <c r="R2959" s="2" t="inlineStr"/>
    </row>
    <row r="2960" ht="15" customHeight="1">
      <c r="A2960" t="inlineStr">
        <is>
          <t>A 22205-2024</t>
        </is>
      </c>
      <c r="B2960" s="1" t="n">
        <v>45446</v>
      </c>
      <c r="C2960" s="1" t="n">
        <v>45641</v>
      </c>
      <c r="D2960" t="inlineStr">
        <is>
          <t>VÄSTERBOTTENS LÄN</t>
        </is>
      </c>
      <c r="E2960" t="inlineStr">
        <is>
          <t>SKELLEFTEÅ</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22654-2024</t>
        </is>
      </c>
      <c r="B2961" s="1" t="n">
        <v>45447</v>
      </c>
      <c r="C2961" s="1" t="n">
        <v>45641</v>
      </c>
      <c r="D2961" t="inlineStr">
        <is>
          <t>VÄSTERBOTTENS LÄN</t>
        </is>
      </c>
      <c r="E2961" t="inlineStr">
        <is>
          <t>SKELLEFTEÅ</t>
        </is>
      </c>
      <c r="F2961" t="inlineStr">
        <is>
          <t>Sveaskog</t>
        </is>
      </c>
      <c r="G2961" t="n">
        <v>17.6</v>
      </c>
      <c r="H2961" t="n">
        <v>0</v>
      </c>
      <c r="I2961" t="n">
        <v>0</v>
      </c>
      <c r="J2961" t="n">
        <v>0</v>
      </c>
      <c r="K2961" t="n">
        <v>0</v>
      </c>
      <c r="L2961" t="n">
        <v>0</v>
      </c>
      <c r="M2961" t="n">
        <v>0</v>
      </c>
      <c r="N2961" t="n">
        <v>0</v>
      </c>
      <c r="O2961" t="n">
        <v>0</v>
      </c>
      <c r="P2961" t="n">
        <v>0</v>
      </c>
      <c r="Q2961" t="n">
        <v>0</v>
      </c>
      <c r="R2961" s="2" t="inlineStr"/>
    </row>
    <row r="2962" ht="15" customHeight="1">
      <c r="A2962" t="inlineStr">
        <is>
          <t>A 22609-2024</t>
        </is>
      </c>
      <c r="B2962" s="1" t="n">
        <v>45447</v>
      </c>
      <c r="C2962" s="1" t="n">
        <v>45641</v>
      </c>
      <c r="D2962" t="inlineStr">
        <is>
          <t>VÄSTERBOTTENS LÄN</t>
        </is>
      </c>
      <c r="E2962" t="inlineStr">
        <is>
          <t>SKELLEFTEÅ</t>
        </is>
      </c>
      <c r="F2962" t="inlineStr">
        <is>
          <t>Holmen skog AB</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22921-2024</t>
        </is>
      </c>
      <c r="B2963" s="1" t="n">
        <v>45448</v>
      </c>
      <c r="C2963" s="1" t="n">
        <v>45641</v>
      </c>
      <c r="D2963" t="inlineStr">
        <is>
          <t>VÄSTERBOTTENS LÄN</t>
        </is>
      </c>
      <c r="E2963" t="inlineStr">
        <is>
          <t>SKELLEFTEÅ</t>
        </is>
      </c>
      <c r="F2963" t="inlineStr">
        <is>
          <t>Sveaskog</t>
        </is>
      </c>
      <c r="G2963" t="n">
        <v>18.6</v>
      </c>
      <c r="H2963" t="n">
        <v>0</v>
      </c>
      <c r="I2963" t="n">
        <v>0</v>
      </c>
      <c r="J2963" t="n">
        <v>0</v>
      </c>
      <c r="K2963" t="n">
        <v>0</v>
      </c>
      <c r="L2963" t="n">
        <v>0</v>
      </c>
      <c r="M2963" t="n">
        <v>0</v>
      </c>
      <c r="N2963" t="n">
        <v>0</v>
      </c>
      <c r="O2963" t="n">
        <v>0</v>
      </c>
      <c r="P2963" t="n">
        <v>0</v>
      </c>
      <c r="Q2963" t="n">
        <v>0</v>
      </c>
      <c r="R2963" s="2" t="inlineStr"/>
    </row>
    <row r="2964" ht="15" customHeight="1">
      <c r="A2964" t="inlineStr">
        <is>
          <t>A 22796-2024</t>
        </is>
      </c>
      <c r="B2964" s="1" t="n">
        <v>45448</v>
      </c>
      <c r="C2964" s="1" t="n">
        <v>45641</v>
      </c>
      <c r="D2964" t="inlineStr">
        <is>
          <t>VÄSTERBOTTENS LÄN</t>
        </is>
      </c>
      <c r="E2964" t="inlineStr">
        <is>
          <t>SKELLEFTEÅ</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22859-2024</t>
        </is>
      </c>
      <c r="B2965" s="1" t="n">
        <v>45448</v>
      </c>
      <c r="C2965" s="1" t="n">
        <v>45641</v>
      </c>
      <c r="D2965" t="inlineStr">
        <is>
          <t>VÄSTERBOTTENS LÄN</t>
        </is>
      </c>
      <c r="E2965" t="inlineStr">
        <is>
          <t>SKELLEFTEÅ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23059-2024</t>
        </is>
      </c>
      <c r="B2966" s="1" t="n">
        <v>45450</v>
      </c>
      <c r="C2966" s="1" t="n">
        <v>45641</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23135-2024</t>
        </is>
      </c>
      <c r="B2967" s="1" t="n">
        <v>45450</v>
      </c>
      <c r="C2967" s="1" t="n">
        <v>45641</v>
      </c>
      <c r="D2967" t="inlineStr">
        <is>
          <t>VÄSTERBOTTENS LÄN</t>
        </is>
      </c>
      <c r="E2967" t="inlineStr">
        <is>
          <t>SKELLEFTEÅ</t>
        </is>
      </c>
      <c r="F2967" t="inlineStr">
        <is>
          <t>Holmen skog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23164-2024</t>
        </is>
      </c>
      <c r="B2968" s="1" t="n">
        <v>45450</v>
      </c>
      <c r="C2968" s="1" t="n">
        <v>45641</v>
      </c>
      <c r="D2968" t="inlineStr">
        <is>
          <t>VÄSTERBOTTENS LÄN</t>
        </is>
      </c>
      <c r="E2968" t="inlineStr">
        <is>
          <t>SKELLEFTEÅ</t>
        </is>
      </c>
      <c r="F2968" t="inlineStr">
        <is>
          <t>Sveaskog</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23168-2024</t>
        </is>
      </c>
      <c r="B2969" s="1" t="n">
        <v>45450</v>
      </c>
      <c r="C2969" s="1" t="n">
        <v>45641</v>
      </c>
      <c r="D2969" t="inlineStr">
        <is>
          <t>VÄSTERBOTTENS LÄN</t>
        </is>
      </c>
      <c r="E2969" t="inlineStr">
        <is>
          <t>SKELLEFTEÅ</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23062-2024</t>
        </is>
      </c>
      <c r="B2970" s="1" t="n">
        <v>45450</v>
      </c>
      <c r="C2970" s="1" t="n">
        <v>45641</v>
      </c>
      <c r="D2970" t="inlineStr">
        <is>
          <t>VÄSTERBOTTENS LÄN</t>
        </is>
      </c>
      <c r="E2970" t="inlineStr">
        <is>
          <t>SKELLEFTEÅ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23169-2024</t>
        </is>
      </c>
      <c r="B2971" s="1" t="n">
        <v>45450</v>
      </c>
      <c r="C2971" s="1" t="n">
        <v>45641</v>
      </c>
      <c r="D2971" t="inlineStr">
        <is>
          <t>VÄSTERBOTTENS LÄN</t>
        </is>
      </c>
      <c r="E2971" t="inlineStr">
        <is>
          <t>SKELLEFTEÅ</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23522-2024</t>
        </is>
      </c>
      <c r="B2972" s="1" t="n">
        <v>45454</v>
      </c>
      <c r="C2972" s="1" t="n">
        <v>45641</v>
      </c>
      <c r="D2972" t="inlineStr">
        <is>
          <t>VÄSTERBOTTENS LÄN</t>
        </is>
      </c>
      <c r="E2972" t="inlineStr">
        <is>
          <t>SKELLEFTEÅ</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23502-2024</t>
        </is>
      </c>
      <c r="B2973" s="1" t="n">
        <v>45453</v>
      </c>
      <c r="C2973" s="1" t="n">
        <v>45641</v>
      </c>
      <c r="D2973" t="inlineStr">
        <is>
          <t>VÄSTERBOTTENS LÄN</t>
        </is>
      </c>
      <c r="E2973" t="inlineStr">
        <is>
          <t>SKELLEFTEÅ</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23520-2024</t>
        </is>
      </c>
      <c r="B2974" s="1" t="n">
        <v>45453</v>
      </c>
      <c r="C2974" s="1" t="n">
        <v>45641</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23503-2024</t>
        </is>
      </c>
      <c r="B2975" s="1" t="n">
        <v>45453</v>
      </c>
      <c r="C2975" s="1" t="n">
        <v>45641</v>
      </c>
      <c r="D2975" t="inlineStr">
        <is>
          <t>VÄSTERBOTTENS LÄN</t>
        </is>
      </c>
      <c r="E2975" t="inlineStr">
        <is>
          <t>SKELLEFTEÅ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23445-2024</t>
        </is>
      </c>
      <c r="B2976" s="1" t="n">
        <v>45453</v>
      </c>
      <c r="C2976" s="1" t="n">
        <v>45641</v>
      </c>
      <c r="D2976" t="inlineStr">
        <is>
          <t>VÄSTERBOTTENS LÄN</t>
        </is>
      </c>
      <c r="E2976" t="inlineStr">
        <is>
          <t>SKELLEFTEÅ</t>
        </is>
      </c>
      <c r="F2976" t="inlineStr">
        <is>
          <t>Sveaskog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23501-2024</t>
        </is>
      </c>
      <c r="B2977" s="1" t="n">
        <v>45453</v>
      </c>
      <c r="C2977" s="1" t="n">
        <v>45641</v>
      </c>
      <c r="D2977" t="inlineStr">
        <is>
          <t>VÄSTERBOTTENS LÄN</t>
        </is>
      </c>
      <c r="E2977" t="inlineStr">
        <is>
          <t>SKELLEFTEÅ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23521-2024</t>
        </is>
      </c>
      <c r="B2978" s="1" t="n">
        <v>45454</v>
      </c>
      <c r="C2978" s="1" t="n">
        <v>45641</v>
      </c>
      <c r="D2978" t="inlineStr">
        <is>
          <t>VÄSTERBOTTENS LÄN</t>
        </is>
      </c>
      <c r="E2978" t="inlineStr">
        <is>
          <t>SKELLEFTEÅ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23239-2024</t>
        </is>
      </c>
      <c r="B2979" s="1" t="n">
        <v>45453</v>
      </c>
      <c r="C2979" s="1" t="n">
        <v>45641</v>
      </c>
      <c r="D2979" t="inlineStr">
        <is>
          <t>VÄSTERBOTTENS LÄN</t>
        </is>
      </c>
      <c r="E2979" t="inlineStr">
        <is>
          <t>SKELLEFTEÅ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23634-2024</t>
        </is>
      </c>
      <c r="B2980" s="1" t="n">
        <v>45454</v>
      </c>
      <c r="C2980" s="1" t="n">
        <v>45641</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23629-2024</t>
        </is>
      </c>
      <c r="B2981" s="1" t="n">
        <v>45454</v>
      </c>
      <c r="C2981" s="1" t="n">
        <v>45641</v>
      </c>
      <c r="D2981" t="inlineStr">
        <is>
          <t>VÄSTERBOTTENS LÄN</t>
        </is>
      </c>
      <c r="E2981" t="inlineStr">
        <is>
          <t>SKELLEFTEÅ</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23925-2024</t>
        </is>
      </c>
      <c r="B2982" s="1" t="n">
        <v>45456</v>
      </c>
      <c r="C2982" s="1" t="n">
        <v>45641</v>
      </c>
      <c r="D2982" t="inlineStr">
        <is>
          <t>VÄSTERBOTTENS LÄN</t>
        </is>
      </c>
      <c r="E2982" t="inlineStr">
        <is>
          <t>SKELLEFTEÅ</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23929-2024</t>
        </is>
      </c>
      <c r="B2983" s="1" t="n">
        <v>45456</v>
      </c>
      <c r="C2983" s="1" t="n">
        <v>45641</v>
      </c>
      <c r="D2983" t="inlineStr">
        <is>
          <t>VÄSTERBOTTENS LÄN</t>
        </is>
      </c>
      <c r="E2983" t="inlineStr">
        <is>
          <t>SKELLEFTEÅ</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23903-2024</t>
        </is>
      </c>
      <c r="B2984" s="1" t="n">
        <v>45455</v>
      </c>
      <c r="C2984" s="1" t="n">
        <v>45641</v>
      </c>
      <c r="D2984" t="inlineStr">
        <is>
          <t>VÄSTERBOTTENS LÄN</t>
        </is>
      </c>
      <c r="E2984" t="inlineStr">
        <is>
          <t>SKELLEFTEÅ</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23823-2024</t>
        </is>
      </c>
      <c r="B2985" s="1" t="n">
        <v>45455</v>
      </c>
      <c r="C2985" s="1" t="n">
        <v>45641</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24080-2024</t>
        </is>
      </c>
      <c r="B2986" s="1" t="n">
        <v>45456</v>
      </c>
      <c r="C2986" s="1" t="n">
        <v>45641</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24195-2024</t>
        </is>
      </c>
      <c r="B2987" s="1" t="n">
        <v>45456</v>
      </c>
      <c r="C2987" s="1" t="n">
        <v>45641</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24362-2024</t>
        </is>
      </c>
      <c r="B2988" s="1" t="n">
        <v>45457</v>
      </c>
      <c r="C2988" s="1" t="n">
        <v>45641</v>
      </c>
      <c r="D2988" t="inlineStr">
        <is>
          <t>VÄSTERBOTTENS LÄN</t>
        </is>
      </c>
      <c r="E2988" t="inlineStr">
        <is>
          <t>SKELLEFTEÅ</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24418-2024</t>
        </is>
      </c>
      <c r="B2989" s="1" t="n">
        <v>45457</v>
      </c>
      <c r="C2989" s="1" t="n">
        <v>45641</v>
      </c>
      <c r="D2989" t="inlineStr">
        <is>
          <t>VÄSTERBOTTENS LÄN</t>
        </is>
      </c>
      <c r="E2989" t="inlineStr">
        <is>
          <t>SKELLEFTEÅ</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24349-2024</t>
        </is>
      </c>
      <c r="B2990" s="1" t="n">
        <v>45457</v>
      </c>
      <c r="C2990" s="1" t="n">
        <v>45641</v>
      </c>
      <c r="D2990" t="inlineStr">
        <is>
          <t>VÄSTERBOTTENS LÄN</t>
        </is>
      </c>
      <c r="E2990" t="inlineStr">
        <is>
          <t>SKELLEFTEÅ</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24352-2024</t>
        </is>
      </c>
      <c r="B2991" s="1" t="n">
        <v>45457</v>
      </c>
      <c r="C2991" s="1" t="n">
        <v>45641</v>
      </c>
      <c r="D2991" t="inlineStr">
        <is>
          <t>VÄSTERBOTTENS LÄN</t>
        </is>
      </c>
      <c r="E2991" t="inlineStr">
        <is>
          <t>SKELLEFTEÅ</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24696-2024</t>
        </is>
      </c>
      <c r="B2992" s="1" t="n">
        <v>45460</v>
      </c>
      <c r="C2992" s="1" t="n">
        <v>45641</v>
      </c>
      <c r="D2992" t="inlineStr">
        <is>
          <t>VÄSTERBOTTENS LÄN</t>
        </is>
      </c>
      <c r="E2992" t="inlineStr">
        <is>
          <t>SKELLEFTEÅ</t>
        </is>
      </c>
      <c r="F2992" t="inlineStr">
        <is>
          <t>Holmen skog AB</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24780-2024</t>
        </is>
      </c>
      <c r="B2993" s="1" t="n">
        <v>45460</v>
      </c>
      <c r="C2993" s="1" t="n">
        <v>45641</v>
      </c>
      <c r="D2993" t="inlineStr">
        <is>
          <t>VÄSTERBOTTENS LÄN</t>
        </is>
      </c>
      <c r="E2993" t="inlineStr">
        <is>
          <t>SKELLEFTEÅ</t>
        </is>
      </c>
      <c r="F2993" t="inlineStr">
        <is>
          <t>Sveaskog</t>
        </is>
      </c>
      <c r="G2993" t="n">
        <v>7.4</v>
      </c>
      <c r="H2993" t="n">
        <v>0</v>
      </c>
      <c r="I2993" t="n">
        <v>0</v>
      </c>
      <c r="J2993" t="n">
        <v>0</v>
      </c>
      <c r="K2993" t="n">
        <v>0</v>
      </c>
      <c r="L2993" t="n">
        <v>0</v>
      </c>
      <c r="M2993" t="n">
        <v>0</v>
      </c>
      <c r="N2993" t="n">
        <v>0</v>
      </c>
      <c r="O2993" t="n">
        <v>0</v>
      </c>
      <c r="P2993" t="n">
        <v>0</v>
      </c>
      <c r="Q2993" t="n">
        <v>0</v>
      </c>
      <c r="R2993" s="2" t="inlineStr"/>
    </row>
    <row r="2994" ht="15" customHeight="1">
      <c r="A2994" t="inlineStr">
        <is>
          <t>A 24604-2024</t>
        </is>
      </c>
      <c r="B2994" s="1" t="n">
        <v>45460</v>
      </c>
      <c r="C2994" s="1" t="n">
        <v>45641</v>
      </c>
      <c r="D2994" t="inlineStr">
        <is>
          <t>VÄSTERBOTTENS LÄN</t>
        </is>
      </c>
      <c r="E2994" t="inlineStr">
        <is>
          <t>SKELLEFTEÅ</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24576-2024</t>
        </is>
      </c>
      <c r="B2995" s="1" t="n">
        <v>45460</v>
      </c>
      <c r="C2995" s="1" t="n">
        <v>45641</v>
      </c>
      <c r="D2995" t="inlineStr">
        <is>
          <t>VÄSTERBOTTENS LÄN</t>
        </is>
      </c>
      <c r="E2995" t="inlineStr">
        <is>
          <t>SKELLEFTEÅ</t>
        </is>
      </c>
      <c r="G2995" t="n">
        <v>14.8</v>
      </c>
      <c r="H2995" t="n">
        <v>0</v>
      </c>
      <c r="I2995" t="n">
        <v>0</v>
      </c>
      <c r="J2995" t="n">
        <v>0</v>
      </c>
      <c r="K2995" t="n">
        <v>0</v>
      </c>
      <c r="L2995" t="n">
        <v>0</v>
      </c>
      <c r="M2995" t="n">
        <v>0</v>
      </c>
      <c r="N2995" t="n">
        <v>0</v>
      </c>
      <c r="O2995" t="n">
        <v>0</v>
      </c>
      <c r="P2995" t="n">
        <v>0</v>
      </c>
      <c r="Q2995" t="n">
        <v>0</v>
      </c>
      <c r="R2995" s="2" t="inlineStr"/>
    </row>
    <row r="2996" ht="15" customHeight="1">
      <c r="A2996" t="inlineStr">
        <is>
          <t>A 24914-2024</t>
        </is>
      </c>
      <c r="B2996" s="1" t="n">
        <v>45461</v>
      </c>
      <c r="C2996" s="1" t="n">
        <v>45641</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25006-2024</t>
        </is>
      </c>
      <c r="B2997" s="1" t="n">
        <v>45461</v>
      </c>
      <c r="C2997" s="1" t="n">
        <v>45641</v>
      </c>
      <c r="D2997" t="inlineStr">
        <is>
          <t>VÄSTERBOTTENS LÄN</t>
        </is>
      </c>
      <c r="E2997" t="inlineStr">
        <is>
          <t>SKELLEFTEÅ</t>
        </is>
      </c>
      <c r="F2997" t="inlineStr">
        <is>
          <t>Sveaskog</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24920-2024</t>
        </is>
      </c>
      <c r="B2998" s="1" t="n">
        <v>45461</v>
      </c>
      <c r="C2998" s="1" t="n">
        <v>45641</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25354-2024</t>
        </is>
      </c>
      <c r="B2999" s="1" t="n">
        <v>45462</v>
      </c>
      <c r="C2999" s="1" t="n">
        <v>45641</v>
      </c>
      <c r="D2999" t="inlineStr">
        <is>
          <t>VÄSTERBOTTENS LÄN</t>
        </is>
      </c>
      <c r="E2999" t="inlineStr">
        <is>
          <t>SKELLEFTEÅ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25209-2024</t>
        </is>
      </c>
      <c r="B3000" s="1" t="n">
        <v>45462</v>
      </c>
      <c r="C3000" s="1" t="n">
        <v>45641</v>
      </c>
      <c r="D3000" t="inlineStr">
        <is>
          <t>VÄSTERBOTTENS LÄN</t>
        </is>
      </c>
      <c r="E3000" t="inlineStr">
        <is>
          <t>SKELLEFTEÅ</t>
        </is>
      </c>
      <c r="F3000" t="inlineStr">
        <is>
          <t>Holmen skog AB</t>
        </is>
      </c>
      <c r="G3000" t="n">
        <v>30.3</v>
      </c>
      <c r="H3000" t="n">
        <v>0</v>
      </c>
      <c r="I3000" t="n">
        <v>0</v>
      </c>
      <c r="J3000" t="n">
        <v>0</v>
      </c>
      <c r="K3000" t="n">
        <v>0</v>
      </c>
      <c r="L3000" t="n">
        <v>0</v>
      </c>
      <c r="M3000" t="n">
        <v>0</v>
      </c>
      <c r="N3000" t="n">
        <v>0</v>
      </c>
      <c r="O3000" t="n">
        <v>0</v>
      </c>
      <c r="P3000" t="n">
        <v>0</v>
      </c>
      <c r="Q3000" t="n">
        <v>0</v>
      </c>
      <c r="R3000" s="2" t="inlineStr"/>
    </row>
    <row r="3001" ht="15" customHeight="1">
      <c r="A3001" t="inlineStr">
        <is>
          <t>A 25157-2024</t>
        </is>
      </c>
      <c r="B3001" s="1" t="n">
        <v>45462</v>
      </c>
      <c r="C3001" s="1" t="n">
        <v>45641</v>
      </c>
      <c r="D3001" t="inlineStr">
        <is>
          <t>VÄSTERBOTTENS LÄN</t>
        </is>
      </c>
      <c r="E3001" t="inlineStr">
        <is>
          <t>SKELLEFTEÅ</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25111-2024</t>
        </is>
      </c>
      <c r="B3002" s="1" t="n">
        <v>45462</v>
      </c>
      <c r="C3002" s="1" t="n">
        <v>45641</v>
      </c>
      <c r="D3002" t="inlineStr">
        <is>
          <t>VÄSTERBOTTENS LÄN</t>
        </is>
      </c>
      <c r="E3002" t="inlineStr">
        <is>
          <t>SKELLEFTEÅ</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25106-2024</t>
        </is>
      </c>
      <c r="B3003" s="1" t="n">
        <v>45462</v>
      </c>
      <c r="C3003" s="1" t="n">
        <v>45641</v>
      </c>
      <c r="D3003" t="inlineStr">
        <is>
          <t>VÄSTERBOTTENS LÄN</t>
        </is>
      </c>
      <c r="E3003" t="inlineStr">
        <is>
          <t>SKELLEFTEÅ</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25184-2024</t>
        </is>
      </c>
      <c r="B3004" s="1" t="n">
        <v>45462</v>
      </c>
      <c r="C3004" s="1" t="n">
        <v>45641</v>
      </c>
      <c r="D3004" t="inlineStr">
        <is>
          <t>VÄSTERBOTTENS LÄN</t>
        </is>
      </c>
      <c r="E3004" t="inlineStr">
        <is>
          <t>SKELLEFTEÅ</t>
        </is>
      </c>
      <c r="F3004" t="inlineStr">
        <is>
          <t>Holmen skog AB</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25158-2024</t>
        </is>
      </c>
      <c r="B3005" s="1" t="n">
        <v>45462</v>
      </c>
      <c r="C3005" s="1" t="n">
        <v>45641</v>
      </c>
      <c r="D3005" t="inlineStr">
        <is>
          <t>VÄSTERBOTTENS LÄN</t>
        </is>
      </c>
      <c r="E3005" t="inlineStr">
        <is>
          <t>SKELLEFTEÅ</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25099-2024</t>
        </is>
      </c>
      <c r="B3006" s="1" t="n">
        <v>45462</v>
      </c>
      <c r="C3006" s="1" t="n">
        <v>45641</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25155-2024</t>
        </is>
      </c>
      <c r="B3007" s="1" t="n">
        <v>45462</v>
      </c>
      <c r="C3007" s="1" t="n">
        <v>45641</v>
      </c>
      <c r="D3007" t="inlineStr">
        <is>
          <t>VÄSTERBOTTENS LÄN</t>
        </is>
      </c>
      <c r="E3007" t="inlineStr">
        <is>
          <t>SKELLEFTEÅ</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25682-2024</t>
        </is>
      </c>
      <c r="B3008" s="1" t="n">
        <v>45463</v>
      </c>
      <c r="C3008" s="1" t="n">
        <v>45641</v>
      </c>
      <c r="D3008" t="inlineStr">
        <is>
          <t>VÄSTERBOTTENS LÄN</t>
        </is>
      </c>
      <c r="E3008" t="inlineStr">
        <is>
          <t>SKELLEFTEÅ</t>
        </is>
      </c>
      <c r="F3008" t="inlineStr">
        <is>
          <t>Sveaskog</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25666-2024</t>
        </is>
      </c>
      <c r="B3009" s="1" t="n">
        <v>45463</v>
      </c>
      <c r="C3009" s="1" t="n">
        <v>45641</v>
      </c>
      <c r="D3009" t="inlineStr">
        <is>
          <t>VÄSTERBOTTENS LÄN</t>
        </is>
      </c>
      <c r="E3009" t="inlineStr">
        <is>
          <t>SKELLEFTEÅ</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25795-2024</t>
        </is>
      </c>
      <c r="B3010" s="1" t="n">
        <v>45463</v>
      </c>
      <c r="C3010" s="1" t="n">
        <v>45641</v>
      </c>
      <c r="D3010" t="inlineStr">
        <is>
          <t>VÄSTERBOTTENS LÄN</t>
        </is>
      </c>
      <c r="E3010" t="inlineStr">
        <is>
          <t>SKELLEFTEÅ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25665-2024</t>
        </is>
      </c>
      <c r="B3011" s="1" t="n">
        <v>45463</v>
      </c>
      <c r="C3011" s="1" t="n">
        <v>45641</v>
      </c>
      <c r="D3011" t="inlineStr">
        <is>
          <t>VÄSTERBOTTENS LÄN</t>
        </is>
      </c>
      <c r="E3011" t="inlineStr">
        <is>
          <t>SKELLEFTEÅ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25984-2024</t>
        </is>
      </c>
      <c r="B3012" s="1" t="n">
        <v>45467</v>
      </c>
      <c r="C3012" s="1" t="n">
        <v>45641</v>
      </c>
      <c r="D3012" t="inlineStr">
        <is>
          <t>VÄSTERBOTTENS LÄN</t>
        </is>
      </c>
      <c r="E3012" t="inlineStr">
        <is>
          <t>SKELLEFTEÅ</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25943-2024</t>
        </is>
      </c>
      <c r="B3013" s="1" t="n">
        <v>45467</v>
      </c>
      <c r="C3013" s="1" t="n">
        <v>45641</v>
      </c>
      <c r="D3013" t="inlineStr">
        <is>
          <t>VÄSTERBOTTENS LÄN</t>
        </is>
      </c>
      <c r="E3013" t="inlineStr">
        <is>
          <t>SKELLEFTEÅ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25983-2024</t>
        </is>
      </c>
      <c r="B3014" s="1" t="n">
        <v>45467</v>
      </c>
      <c r="C3014" s="1" t="n">
        <v>45641</v>
      </c>
      <c r="D3014" t="inlineStr">
        <is>
          <t>VÄSTERBOTTENS LÄN</t>
        </is>
      </c>
      <c r="E3014" t="inlineStr">
        <is>
          <t>SKELLEFTEÅ</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26096-2024</t>
        </is>
      </c>
      <c r="B3015" s="1" t="n">
        <v>45467</v>
      </c>
      <c r="C3015" s="1" t="n">
        <v>45641</v>
      </c>
      <c r="D3015" t="inlineStr">
        <is>
          <t>VÄSTERBOTTENS LÄN</t>
        </is>
      </c>
      <c r="E3015" t="inlineStr">
        <is>
          <t>SKELLEFTEÅ</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26253-2024</t>
        </is>
      </c>
      <c r="B3016" s="1" t="n">
        <v>45468</v>
      </c>
      <c r="C3016" s="1" t="n">
        <v>45641</v>
      </c>
      <c r="D3016" t="inlineStr">
        <is>
          <t>VÄSTERBOTTENS LÄN</t>
        </is>
      </c>
      <c r="E3016" t="inlineStr">
        <is>
          <t>SKELLEFTEÅ</t>
        </is>
      </c>
      <c r="F3016" t="inlineStr">
        <is>
          <t>Holmen skog AB</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26190-2024</t>
        </is>
      </c>
      <c r="B3017" s="1" t="n">
        <v>45468</v>
      </c>
      <c r="C3017" s="1" t="n">
        <v>45641</v>
      </c>
      <c r="D3017" t="inlineStr">
        <is>
          <t>VÄSTERBOTTENS LÄN</t>
        </is>
      </c>
      <c r="E3017" t="inlineStr">
        <is>
          <t>SKELLEFTEÅ</t>
        </is>
      </c>
      <c r="F3017" t="inlineStr">
        <is>
          <t>Holmen skog AB</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26226-2024</t>
        </is>
      </c>
      <c r="B3018" s="1" t="n">
        <v>45468</v>
      </c>
      <c r="C3018" s="1" t="n">
        <v>45641</v>
      </c>
      <c r="D3018" t="inlineStr">
        <is>
          <t>VÄSTERBOTTENS LÄN</t>
        </is>
      </c>
      <c r="E3018" t="inlineStr">
        <is>
          <t>SKELLEFTEÅ</t>
        </is>
      </c>
      <c r="F3018" t="inlineStr">
        <is>
          <t>Holmen skog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26293-2024</t>
        </is>
      </c>
      <c r="B3019" s="1" t="n">
        <v>45468</v>
      </c>
      <c r="C3019" s="1" t="n">
        <v>45641</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26257-2024</t>
        </is>
      </c>
      <c r="B3020" s="1" t="n">
        <v>45468</v>
      </c>
      <c r="C3020" s="1" t="n">
        <v>45641</v>
      </c>
      <c r="D3020" t="inlineStr">
        <is>
          <t>VÄSTERBOTTENS LÄN</t>
        </is>
      </c>
      <c r="E3020" t="inlineStr">
        <is>
          <t>SKELLEFTEÅ</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26212-2024</t>
        </is>
      </c>
      <c r="B3021" s="1" t="n">
        <v>45468</v>
      </c>
      <c r="C3021" s="1" t="n">
        <v>45641</v>
      </c>
      <c r="D3021" t="inlineStr">
        <is>
          <t>VÄSTERBOTTENS LÄN</t>
        </is>
      </c>
      <c r="E3021" t="inlineStr">
        <is>
          <t>SKELLEFTEÅ</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26102-2024</t>
        </is>
      </c>
      <c r="B3022" s="1" t="n">
        <v>45468</v>
      </c>
      <c r="C3022" s="1" t="n">
        <v>45641</v>
      </c>
      <c r="D3022" t="inlineStr">
        <is>
          <t>VÄSTERBOTTENS LÄN</t>
        </is>
      </c>
      <c r="E3022" t="inlineStr">
        <is>
          <t>SKELLEFTEÅ</t>
        </is>
      </c>
      <c r="F3022" t="inlineStr">
        <is>
          <t>Holmen skog AB</t>
        </is>
      </c>
      <c r="G3022" t="n">
        <v>16.4</v>
      </c>
      <c r="H3022" t="n">
        <v>0</v>
      </c>
      <c r="I3022" t="n">
        <v>0</v>
      </c>
      <c r="J3022" t="n">
        <v>0</v>
      </c>
      <c r="K3022" t="n">
        <v>0</v>
      </c>
      <c r="L3022" t="n">
        <v>0</v>
      </c>
      <c r="M3022" t="n">
        <v>0</v>
      </c>
      <c r="N3022" t="n">
        <v>0</v>
      </c>
      <c r="O3022" t="n">
        <v>0</v>
      </c>
      <c r="P3022" t="n">
        <v>0</v>
      </c>
      <c r="Q3022" t="n">
        <v>0</v>
      </c>
      <c r="R3022" s="2" t="inlineStr"/>
    </row>
    <row r="3023" ht="15" customHeight="1">
      <c r="A3023" t="inlineStr">
        <is>
          <t>A 26447-2024</t>
        </is>
      </c>
      <c r="B3023" s="1" t="n">
        <v>45469</v>
      </c>
      <c r="C3023" s="1" t="n">
        <v>45641</v>
      </c>
      <c r="D3023" t="inlineStr">
        <is>
          <t>VÄSTERBOTTENS LÄN</t>
        </is>
      </c>
      <c r="E3023" t="inlineStr">
        <is>
          <t>SKELLEFTEÅ</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26328-2024</t>
        </is>
      </c>
      <c r="B3024" s="1" t="n">
        <v>45469</v>
      </c>
      <c r="C3024" s="1" t="n">
        <v>45641</v>
      </c>
      <c r="D3024" t="inlineStr">
        <is>
          <t>VÄSTERBOTTENS LÄN</t>
        </is>
      </c>
      <c r="E3024" t="inlineStr">
        <is>
          <t>SKELLEFTEÅ</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26399-2024</t>
        </is>
      </c>
      <c r="B3025" s="1" t="n">
        <v>45469</v>
      </c>
      <c r="C3025" s="1" t="n">
        <v>45641</v>
      </c>
      <c r="D3025" t="inlineStr">
        <is>
          <t>VÄSTERBOTTENS LÄN</t>
        </is>
      </c>
      <c r="E3025" t="inlineStr">
        <is>
          <t>SKELLEFTEÅ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26546-2024</t>
        </is>
      </c>
      <c r="B3026" s="1" t="n">
        <v>45469</v>
      </c>
      <c r="C3026" s="1" t="n">
        <v>45641</v>
      </c>
      <c r="D3026" t="inlineStr">
        <is>
          <t>VÄSTERBOTTENS LÄN</t>
        </is>
      </c>
      <c r="E3026" t="inlineStr">
        <is>
          <t>SKELLEFTEÅ</t>
        </is>
      </c>
      <c r="F3026" t="inlineStr">
        <is>
          <t>Sveaskog</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26626-2024</t>
        </is>
      </c>
      <c r="B3027" s="1" t="n">
        <v>45469</v>
      </c>
      <c r="C3027" s="1" t="n">
        <v>45641</v>
      </c>
      <c r="D3027" t="inlineStr">
        <is>
          <t>VÄSTERBOTTENS LÄN</t>
        </is>
      </c>
      <c r="E3027" t="inlineStr">
        <is>
          <t>SKELLEFTEÅ</t>
        </is>
      </c>
      <c r="F3027" t="inlineStr">
        <is>
          <t>Sveaskog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26630-2024</t>
        </is>
      </c>
      <c r="B3028" s="1" t="n">
        <v>45469</v>
      </c>
      <c r="C3028" s="1" t="n">
        <v>45641</v>
      </c>
      <c r="D3028" t="inlineStr">
        <is>
          <t>VÄSTERBOTTENS LÄN</t>
        </is>
      </c>
      <c r="E3028" t="inlineStr">
        <is>
          <t>SKELLEFTEÅ</t>
        </is>
      </c>
      <c r="F3028" t="inlineStr">
        <is>
          <t>Sveaskog</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26581-2024</t>
        </is>
      </c>
      <c r="B3029" s="1" t="n">
        <v>45469</v>
      </c>
      <c r="C3029" s="1" t="n">
        <v>45641</v>
      </c>
      <c r="D3029" t="inlineStr">
        <is>
          <t>VÄSTERBOTTENS LÄN</t>
        </is>
      </c>
      <c r="E3029" t="inlineStr">
        <is>
          <t>SKELLEFTEÅ</t>
        </is>
      </c>
      <c r="F3029" t="inlineStr">
        <is>
          <t>Holmen skog AB</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26497-2024</t>
        </is>
      </c>
      <c r="B3030" s="1" t="n">
        <v>45469</v>
      </c>
      <c r="C3030" s="1" t="n">
        <v>45641</v>
      </c>
      <c r="D3030" t="inlineStr">
        <is>
          <t>VÄSTERBOTTENS LÄN</t>
        </is>
      </c>
      <c r="E3030" t="inlineStr">
        <is>
          <t>SKELLEFTEÅ</t>
        </is>
      </c>
      <c r="F3030" t="inlineStr">
        <is>
          <t>Holmen skog AB</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26389-2024</t>
        </is>
      </c>
      <c r="B3031" s="1" t="n">
        <v>45469</v>
      </c>
      <c r="C3031" s="1" t="n">
        <v>45641</v>
      </c>
      <c r="D3031" t="inlineStr">
        <is>
          <t>VÄSTERBOTTENS LÄN</t>
        </is>
      </c>
      <c r="E3031" t="inlineStr">
        <is>
          <t>SKELLEFTEÅ</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26826-2024</t>
        </is>
      </c>
      <c r="B3032" s="1" t="n">
        <v>45470</v>
      </c>
      <c r="C3032" s="1" t="n">
        <v>45641</v>
      </c>
      <c r="D3032" t="inlineStr">
        <is>
          <t>VÄSTERBOTTENS LÄN</t>
        </is>
      </c>
      <c r="E3032" t="inlineStr">
        <is>
          <t>SKELLEFTEÅ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26818-2024</t>
        </is>
      </c>
      <c r="B3033" s="1" t="n">
        <v>45470</v>
      </c>
      <c r="C3033" s="1" t="n">
        <v>45641</v>
      </c>
      <c r="D3033" t="inlineStr">
        <is>
          <t>VÄSTERBOTTENS LÄN</t>
        </is>
      </c>
      <c r="E3033" t="inlineStr">
        <is>
          <t>SKELLEFTEÅ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26928-2024</t>
        </is>
      </c>
      <c r="B3034" s="1" t="n">
        <v>45471</v>
      </c>
      <c r="C3034" s="1" t="n">
        <v>45641</v>
      </c>
      <c r="D3034" t="inlineStr">
        <is>
          <t>VÄSTERBOTTENS LÄN</t>
        </is>
      </c>
      <c r="E3034" t="inlineStr">
        <is>
          <t>SKELLEFTEÅ</t>
        </is>
      </c>
      <c r="G3034" t="n">
        <v>17.6</v>
      </c>
      <c r="H3034" t="n">
        <v>0</v>
      </c>
      <c r="I3034" t="n">
        <v>0</v>
      </c>
      <c r="J3034" t="n">
        <v>0</v>
      </c>
      <c r="K3034" t="n">
        <v>0</v>
      </c>
      <c r="L3034" t="n">
        <v>0</v>
      </c>
      <c r="M3034" t="n">
        <v>0</v>
      </c>
      <c r="N3034" t="n">
        <v>0</v>
      </c>
      <c r="O3034" t="n">
        <v>0</v>
      </c>
      <c r="P3034" t="n">
        <v>0</v>
      </c>
      <c r="Q3034" t="n">
        <v>0</v>
      </c>
      <c r="R3034" s="2" t="inlineStr"/>
    </row>
    <row r="3035" ht="15" customHeight="1">
      <c r="A3035" t="inlineStr">
        <is>
          <t>A 26920-2024</t>
        </is>
      </c>
      <c r="B3035" s="1" t="n">
        <v>45471</v>
      </c>
      <c r="C3035" s="1" t="n">
        <v>45641</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26708-2024</t>
        </is>
      </c>
      <c r="B3036" s="1" t="n">
        <v>45470</v>
      </c>
      <c r="C3036" s="1" t="n">
        <v>45641</v>
      </c>
      <c r="D3036" t="inlineStr">
        <is>
          <t>VÄSTERBOTTENS LÄN</t>
        </is>
      </c>
      <c r="E3036" t="inlineStr">
        <is>
          <t>SKELLEFTEÅ</t>
        </is>
      </c>
      <c r="F3036" t="inlineStr">
        <is>
          <t>Sveaskog</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26831-2024</t>
        </is>
      </c>
      <c r="B3037" s="1" t="n">
        <v>45470</v>
      </c>
      <c r="C3037" s="1" t="n">
        <v>45641</v>
      </c>
      <c r="D3037" t="inlineStr">
        <is>
          <t>VÄSTERBOTTENS LÄN</t>
        </is>
      </c>
      <c r="E3037" t="inlineStr">
        <is>
          <t>SKELLEFTEÅ</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26929-2024</t>
        </is>
      </c>
      <c r="B3038" s="1" t="n">
        <v>45471</v>
      </c>
      <c r="C3038" s="1" t="n">
        <v>45641</v>
      </c>
      <c r="D3038" t="inlineStr">
        <is>
          <t>VÄSTERBOTTENS LÄN</t>
        </is>
      </c>
      <c r="E3038" t="inlineStr">
        <is>
          <t>SKELLEFTEÅ</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27190-2024</t>
        </is>
      </c>
      <c r="B3039" s="1" t="n">
        <v>45471</v>
      </c>
      <c r="C3039" s="1" t="n">
        <v>45641</v>
      </c>
      <c r="D3039" t="inlineStr">
        <is>
          <t>VÄSTERBOTTENS LÄN</t>
        </is>
      </c>
      <c r="E3039" t="inlineStr">
        <is>
          <t>SKELLEFTEÅ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27198-2024</t>
        </is>
      </c>
      <c r="B3040" s="1" t="n">
        <v>45471</v>
      </c>
      <c r="C3040" s="1" t="n">
        <v>45641</v>
      </c>
      <c r="D3040" t="inlineStr">
        <is>
          <t>VÄSTERBOTTENS LÄN</t>
        </is>
      </c>
      <c r="E3040" t="inlineStr">
        <is>
          <t>SKELLEFTEÅ</t>
        </is>
      </c>
      <c r="F3040" t="inlineStr">
        <is>
          <t>Holmen skog AB</t>
        </is>
      </c>
      <c r="G3040" t="n">
        <v>25.4</v>
      </c>
      <c r="H3040" t="n">
        <v>0</v>
      </c>
      <c r="I3040" t="n">
        <v>0</v>
      </c>
      <c r="J3040" t="n">
        <v>0</v>
      </c>
      <c r="K3040" t="n">
        <v>0</v>
      </c>
      <c r="L3040" t="n">
        <v>0</v>
      </c>
      <c r="M3040" t="n">
        <v>0</v>
      </c>
      <c r="N3040" t="n">
        <v>0</v>
      </c>
      <c r="O3040" t="n">
        <v>0</v>
      </c>
      <c r="P3040" t="n">
        <v>0</v>
      </c>
      <c r="Q3040" t="n">
        <v>0</v>
      </c>
      <c r="R3040" s="2" t="inlineStr"/>
    </row>
    <row r="3041" ht="15" customHeight="1">
      <c r="A3041" t="inlineStr">
        <is>
          <t>A 27083-2024</t>
        </is>
      </c>
      <c r="B3041" s="1" t="n">
        <v>45471</v>
      </c>
      <c r="C3041" s="1" t="n">
        <v>45641</v>
      </c>
      <c r="D3041" t="inlineStr">
        <is>
          <t>VÄSTERBOTTENS LÄN</t>
        </is>
      </c>
      <c r="E3041" t="inlineStr">
        <is>
          <t>SKELLEFTEÅ</t>
        </is>
      </c>
      <c r="F3041" t="inlineStr">
        <is>
          <t>Holmen skog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27143-2024</t>
        </is>
      </c>
      <c r="B3042" s="1" t="n">
        <v>45471</v>
      </c>
      <c r="C3042" s="1" t="n">
        <v>45641</v>
      </c>
      <c r="D3042" t="inlineStr">
        <is>
          <t>VÄSTERBOTTENS LÄN</t>
        </is>
      </c>
      <c r="E3042" t="inlineStr">
        <is>
          <t>SKELLEFTEÅ</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27212-2024</t>
        </is>
      </c>
      <c r="B3043" s="1" t="n">
        <v>45471</v>
      </c>
      <c r="C3043" s="1" t="n">
        <v>45641</v>
      </c>
      <c r="D3043" t="inlineStr">
        <is>
          <t>VÄSTERBOTTENS LÄN</t>
        </is>
      </c>
      <c r="E3043" t="inlineStr">
        <is>
          <t>SKELLEFTEÅ</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27228-2024</t>
        </is>
      </c>
      <c r="B3044" s="1" t="n">
        <v>45471</v>
      </c>
      <c r="C3044" s="1" t="n">
        <v>45641</v>
      </c>
      <c r="D3044" t="inlineStr">
        <is>
          <t>VÄSTERBOTTENS LÄN</t>
        </is>
      </c>
      <c r="E3044" t="inlineStr">
        <is>
          <t>SKELLEFTEÅ</t>
        </is>
      </c>
      <c r="F3044" t="inlineStr">
        <is>
          <t>Holmen skog AB</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27246-2024</t>
        </is>
      </c>
      <c r="B3045" s="1" t="n">
        <v>45471</v>
      </c>
      <c r="C3045" s="1" t="n">
        <v>45641</v>
      </c>
      <c r="D3045" t="inlineStr">
        <is>
          <t>VÄSTERBOTTENS LÄN</t>
        </is>
      </c>
      <c r="E3045" t="inlineStr">
        <is>
          <t>SKELLEFTEÅ</t>
        </is>
      </c>
      <c r="F3045" t="inlineStr">
        <is>
          <t>Holmen skog AB</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27268-2024</t>
        </is>
      </c>
      <c r="B3046" s="1" t="n">
        <v>45471</v>
      </c>
      <c r="C3046" s="1" t="n">
        <v>45641</v>
      </c>
      <c r="D3046" t="inlineStr">
        <is>
          <t>VÄSTERBOTTENS LÄN</t>
        </is>
      </c>
      <c r="E3046" t="inlineStr">
        <is>
          <t>SKELLEFTEÅ</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27289-2024</t>
        </is>
      </c>
      <c r="B3047" s="1" t="n">
        <v>45472</v>
      </c>
      <c r="C3047" s="1" t="n">
        <v>45641</v>
      </c>
      <c r="D3047" t="inlineStr">
        <is>
          <t>VÄSTERBOTTENS LÄN</t>
        </is>
      </c>
      <c r="E3047" t="inlineStr">
        <is>
          <t>SKELLEFTEÅ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27253-2024</t>
        </is>
      </c>
      <c r="B3048" s="1" t="n">
        <v>45471</v>
      </c>
      <c r="C3048" s="1" t="n">
        <v>45641</v>
      </c>
      <c r="D3048" t="inlineStr">
        <is>
          <t>VÄSTERBOTTENS LÄN</t>
        </is>
      </c>
      <c r="E3048" t="inlineStr">
        <is>
          <t>SKELLEFTEÅ</t>
        </is>
      </c>
      <c r="F3048" t="inlineStr">
        <is>
          <t>Holmen skog AB</t>
        </is>
      </c>
      <c r="G3048" t="n">
        <v>12.5</v>
      </c>
      <c r="H3048" t="n">
        <v>0</v>
      </c>
      <c r="I3048" t="n">
        <v>0</v>
      </c>
      <c r="J3048" t="n">
        <v>0</v>
      </c>
      <c r="K3048" t="n">
        <v>0</v>
      </c>
      <c r="L3048" t="n">
        <v>0</v>
      </c>
      <c r="M3048" t="n">
        <v>0</v>
      </c>
      <c r="N3048" t="n">
        <v>0</v>
      </c>
      <c r="O3048" t="n">
        <v>0</v>
      </c>
      <c r="P3048" t="n">
        <v>0</v>
      </c>
      <c r="Q3048" t="n">
        <v>0</v>
      </c>
      <c r="R3048" s="2" t="inlineStr"/>
    </row>
    <row r="3049" ht="15" customHeight="1">
      <c r="A3049" t="inlineStr">
        <is>
          <t>A 27264-2024</t>
        </is>
      </c>
      <c r="B3049" s="1" t="n">
        <v>45471</v>
      </c>
      <c r="C3049" s="1" t="n">
        <v>45641</v>
      </c>
      <c r="D3049" t="inlineStr">
        <is>
          <t>VÄSTERBOTTENS LÄN</t>
        </is>
      </c>
      <c r="E3049" t="inlineStr">
        <is>
          <t>SKELLEFTEÅ</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27287-2024</t>
        </is>
      </c>
      <c r="B3050" s="1" t="n">
        <v>45472</v>
      </c>
      <c r="C3050" s="1" t="n">
        <v>45641</v>
      </c>
      <c r="D3050" t="inlineStr">
        <is>
          <t>VÄSTERBOTTENS LÄN</t>
        </is>
      </c>
      <c r="E3050" t="inlineStr">
        <is>
          <t>SKELLEFTEÅ</t>
        </is>
      </c>
      <c r="G3050" t="n">
        <v>11.7</v>
      </c>
      <c r="H3050" t="n">
        <v>0</v>
      </c>
      <c r="I3050" t="n">
        <v>0</v>
      </c>
      <c r="J3050" t="n">
        <v>0</v>
      </c>
      <c r="K3050" t="n">
        <v>0</v>
      </c>
      <c r="L3050" t="n">
        <v>0</v>
      </c>
      <c r="M3050" t="n">
        <v>0</v>
      </c>
      <c r="N3050" t="n">
        <v>0</v>
      </c>
      <c r="O3050" t="n">
        <v>0</v>
      </c>
      <c r="P3050" t="n">
        <v>0</v>
      </c>
      <c r="Q3050" t="n">
        <v>0</v>
      </c>
      <c r="R3050" s="2" t="inlineStr"/>
    </row>
    <row r="3051" ht="15" customHeight="1">
      <c r="A3051" t="inlineStr">
        <is>
          <t>A 27269-2024</t>
        </is>
      </c>
      <c r="B3051" s="1" t="n">
        <v>45471</v>
      </c>
      <c r="C3051" s="1" t="n">
        <v>45641</v>
      </c>
      <c r="D3051" t="inlineStr">
        <is>
          <t>VÄSTERBOTTENS LÄN</t>
        </is>
      </c>
      <c r="E3051" t="inlineStr">
        <is>
          <t>SKELLEFTEÅ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27286-2024</t>
        </is>
      </c>
      <c r="B3052" s="1" t="n">
        <v>45472</v>
      </c>
      <c r="C3052" s="1" t="n">
        <v>45641</v>
      </c>
      <c r="D3052" t="inlineStr">
        <is>
          <t>VÄSTERBOTTENS LÄN</t>
        </is>
      </c>
      <c r="E3052" t="inlineStr">
        <is>
          <t>SKELLEFTEÅ</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27026-2024</t>
        </is>
      </c>
      <c r="B3053" s="1" t="n">
        <v>45471</v>
      </c>
      <c r="C3053" s="1" t="n">
        <v>45641</v>
      </c>
      <c r="D3053" t="inlineStr">
        <is>
          <t>VÄSTERBOTTENS LÄN</t>
        </is>
      </c>
      <c r="E3053" t="inlineStr">
        <is>
          <t>SKELLEFTEÅ</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26997-2024</t>
        </is>
      </c>
      <c r="B3054" s="1" t="n">
        <v>45471</v>
      </c>
      <c r="C3054" s="1" t="n">
        <v>45641</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27267-2024</t>
        </is>
      </c>
      <c r="B3055" s="1" t="n">
        <v>45471</v>
      </c>
      <c r="C3055" s="1" t="n">
        <v>45641</v>
      </c>
      <c r="D3055" t="inlineStr">
        <is>
          <t>VÄSTERBOTTENS LÄN</t>
        </is>
      </c>
      <c r="E3055" t="inlineStr">
        <is>
          <t>SKELLEFTEÅ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27288-2024</t>
        </is>
      </c>
      <c r="B3056" s="1" t="n">
        <v>45472</v>
      </c>
      <c r="C3056" s="1" t="n">
        <v>45641</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27332-2024</t>
        </is>
      </c>
      <c r="B3057" s="1" t="n">
        <v>45472</v>
      </c>
      <c r="C3057" s="1" t="n">
        <v>45641</v>
      </c>
      <c r="D3057" t="inlineStr">
        <is>
          <t>VÄSTERBOTTENS LÄN</t>
        </is>
      </c>
      <c r="E3057" t="inlineStr">
        <is>
          <t>SKELLEFTEÅ</t>
        </is>
      </c>
      <c r="F3057" t="inlineStr">
        <is>
          <t>Sveaskog</t>
        </is>
      </c>
      <c r="G3057" t="n">
        <v>8.699999999999999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27333-2024</t>
        </is>
      </c>
      <c r="B3058" s="1" t="n">
        <v>45472</v>
      </c>
      <c r="C3058" s="1" t="n">
        <v>45641</v>
      </c>
      <c r="D3058" t="inlineStr">
        <is>
          <t>VÄSTERBOTTENS LÄN</t>
        </is>
      </c>
      <c r="E3058" t="inlineStr">
        <is>
          <t>SKELLEFTEÅ</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27439-2024</t>
        </is>
      </c>
      <c r="B3059" s="1" t="n">
        <v>45474</v>
      </c>
      <c r="C3059" s="1" t="n">
        <v>45641</v>
      </c>
      <c r="D3059" t="inlineStr">
        <is>
          <t>VÄSTERBOTTENS LÄN</t>
        </is>
      </c>
      <c r="E3059" t="inlineStr">
        <is>
          <t>SKELLEFTEÅ</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27627-2024</t>
        </is>
      </c>
      <c r="B3060" s="1" t="n">
        <v>45475</v>
      </c>
      <c r="C3060" s="1" t="n">
        <v>45641</v>
      </c>
      <c r="D3060" t="inlineStr">
        <is>
          <t>VÄSTERBOTTENS LÄN</t>
        </is>
      </c>
      <c r="E3060" t="inlineStr">
        <is>
          <t>SKELLEFTEÅ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27631-2024</t>
        </is>
      </c>
      <c r="B3061" s="1" t="n">
        <v>45475</v>
      </c>
      <c r="C3061" s="1" t="n">
        <v>45641</v>
      </c>
      <c r="D3061" t="inlineStr">
        <is>
          <t>VÄSTERBOTTENS LÄN</t>
        </is>
      </c>
      <c r="E3061" t="inlineStr">
        <is>
          <t>SKELLEFTEÅ</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27542-2024</t>
        </is>
      </c>
      <c r="B3062" s="1" t="n">
        <v>45474</v>
      </c>
      <c r="C3062" s="1" t="n">
        <v>45641</v>
      </c>
      <c r="D3062" t="inlineStr">
        <is>
          <t>VÄSTERBOTTENS LÄN</t>
        </is>
      </c>
      <c r="E3062" t="inlineStr">
        <is>
          <t>SKELLEFTEÅ</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27566-2024</t>
        </is>
      </c>
      <c r="B3063" s="1" t="n">
        <v>45474</v>
      </c>
      <c r="C3063" s="1" t="n">
        <v>45641</v>
      </c>
      <c r="D3063" t="inlineStr">
        <is>
          <t>VÄSTERBOTTENS LÄN</t>
        </is>
      </c>
      <c r="E3063" t="inlineStr">
        <is>
          <t>SKELLEFTEÅ</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27628-2024</t>
        </is>
      </c>
      <c r="B3064" s="1" t="n">
        <v>45475</v>
      </c>
      <c r="C3064" s="1" t="n">
        <v>45641</v>
      </c>
      <c r="D3064" t="inlineStr">
        <is>
          <t>VÄSTERBOTTENS LÄN</t>
        </is>
      </c>
      <c r="E3064" t="inlineStr">
        <is>
          <t>SKELLEFTEÅ</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27896-2024</t>
        </is>
      </c>
      <c r="B3065" s="1" t="n">
        <v>45476</v>
      </c>
      <c r="C3065" s="1" t="n">
        <v>45641</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27830-2024</t>
        </is>
      </c>
      <c r="B3066" s="1" t="n">
        <v>45475</v>
      </c>
      <c r="C3066" s="1" t="n">
        <v>45641</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27864-2024</t>
        </is>
      </c>
      <c r="B3067" s="1" t="n">
        <v>45475</v>
      </c>
      <c r="C3067" s="1" t="n">
        <v>45641</v>
      </c>
      <c r="D3067" t="inlineStr">
        <is>
          <t>VÄSTERBOTTENS LÄN</t>
        </is>
      </c>
      <c r="E3067" t="inlineStr">
        <is>
          <t>SKELLEFTEÅ</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27933-2024</t>
        </is>
      </c>
      <c r="B3068" s="1" t="n">
        <v>45476</v>
      </c>
      <c r="C3068" s="1" t="n">
        <v>45641</v>
      </c>
      <c r="D3068" t="inlineStr">
        <is>
          <t>VÄSTERBOTTENS LÄN</t>
        </is>
      </c>
      <c r="E3068" t="inlineStr">
        <is>
          <t>SKELLEFTEÅ</t>
        </is>
      </c>
      <c r="F3068" t="inlineStr">
        <is>
          <t>SCA</t>
        </is>
      </c>
      <c r="G3068" t="n">
        <v>28.7</v>
      </c>
      <c r="H3068" t="n">
        <v>0</v>
      </c>
      <c r="I3068" t="n">
        <v>0</v>
      </c>
      <c r="J3068" t="n">
        <v>0</v>
      </c>
      <c r="K3068" t="n">
        <v>0</v>
      </c>
      <c r="L3068" t="n">
        <v>0</v>
      </c>
      <c r="M3068" t="n">
        <v>0</v>
      </c>
      <c r="N3068" t="n">
        <v>0</v>
      </c>
      <c r="O3068" t="n">
        <v>0</v>
      </c>
      <c r="P3068" t="n">
        <v>0</v>
      </c>
      <c r="Q3068" t="n">
        <v>0</v>
      </c>
      <c r="R3068" s="2" t="inlineStr"/>
    </row>
    <row r="3069" ht="15" customHeight="1">
      <c r="A3069" t="inlineStr">
        <is>
          <t>A 27851-2024</t>
        </is>
      </c>
      <c r="B3069" s="1" t="n">
        <v>45475</v>
      </c>
      <c r="C3069" s="1" t="n">
        <v>45641</v>
      </c>
      <c r="D3069" t="inlineStr">
        <is>
          <t>VÄSTERBOTTENS LÄN</t>
        </is>
      </c>
      <c r="E3069" t="inlineStr">
        <is>
          <t>SKELLEFTEÅ</t>
        </is>
      </c>
      <c r="F3069" t="inlineStr">
        <is>
          <t>Sveaskog</t>
        </is>
      </c>
      <c r="G3069" t="n">
        <v>13.3</v>
      </c>
      <c r="H3069" t="n">
        <v>0</v>
      </c>
      <c r="I3069" t="n">
        <v>0</v>
      </c>
      <c r="J3069" t="n">
        <v>0</v>
      </c>
      <c r="K3069" t="n">
        <v>0</v>
      </c>
      <c r="L3069" t="n">
        <v>0</v>
      </c>
      <c r="M3069" t="n">
        <v>0</v>
      </c>
      <c r="N3069" t="n">
        <v>0</v>
      </c>
      <c r="O3069" t="n">
        <v>0</v>
      </c>
      <c r="P3069" t="n">
        <v>0</v>
      </c>
      <c r="Q3069" t="n">
        <v>0</v>
      </c>
      <c r="R3069" s="2" t="inlineStr"/>
    </row>
    <row r="3070" ht="15" customHeight="1">
      <c r="A3070" t="inlineStr">
        <is>
          <t>A 27863-2024</t>
        </is>
      </c>
      <c r="B3070" s="1" t="n">
        <v>45475</v>
      </c>
      <c r="C3070" s="1" t="n">
        <v>45641</v>
      </c>
      <c r="D3070" t="inlineStr">
        <is>
          <t>VÄSTERBOTTENS LÄN</t>
        </is>
      </c>
      <c r="E3070" t="inlineStr">
        <is>
          <t>SKELLEFTEÅ</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28054-2024</t>
        </is>
      </c>
      <c r="B3071" s="1" t="n">
        <v>45476</v>
      </c>
      <c r="C3071" s="1" t="n">
        <v>45641</v>
      </c>
      <c r="D3071" t="inlineStr">
        <is>
          <t>VÄSTERBOTTENS LÄN</t>
        </is>
      </c>
      <c r="E3071" t="inlineStr">
        <is>
          <t>SKELLEFTEÅ</t>
        </is>
      </c>
      <c r="G3071" t="n">
        <v>11.6</v>
      </c>
      <c r="H3071" t="n">
        <v>0</v>
      </c>
      <c r="I3071" t="n">
        <v>0</v>
      </c>
      <c r="J3071" t="n">
        <v>0</v>
      </c>
      <c r="K3071" t="n">
        <v>0</v>
      </c>
      <c r="L3071" t="n">
        <v>0</v>
      </c>
      <c r="M3071" t="n">
        <v>0</v>
      </c>
      <c r="N3071" t="n">
        <v>0</v>
      </c>
      <c r="O3071" t="n">
        <v>0</v>
      </c>
      <c r="P3071" t="n">
        <v>0</v>
      </c>
      <c r="Q3071" t="n">
        <v>0</v>
      </c>
      <c r="R3071" s="2" t="inlineStr"/>
    </row>
    <row r="3072" ht="15" customHeight="1">
      <c r="A3072" t="inlineStr">
        <is>
          <t>A 27990-2024</t>
        </is>
      </c>
      <c r="B3072" s="1" t="n">
        <v>45476</v>
      </c>
      <c r="C3072" s="1" t="n">
        <v>45641</v>
      </c>
      <c r="D3072" t="inlineStr">
        <is>
          <t>VÄSTERBOTTENS LÄN</t>
        </is>
      </c>
      <c r="E3072" t="inlineStr">
        <is>
          <t>SKELLEFTEÅ</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28057-2024</t>
        </is>
      </c>
      <c r="B3073" s="1" t="n">
        <v>45476</v>
      </c>
      <c r="C3073" s="1" t="n">
        <v>45641</v>
      </c>
      <c r="D3073" t="inlineStr">
        <is>
          <t>VÄSTERBOTTENS LÄN</t>
        </is>
      </c>
      <c r="E3073" t="inlineStr">
        <is>
          <t>SKELLEFTEÅ</t>
        </is>
      </c>
      <c r="G3073" t="n">
        <v>16.3</v>
      </c>
      <c r="H3073" t="n">
        <v>0</v>
      </c>
      <c r="I3073" t="n">
        <v>0</v>
      </c>
      <c r="J3073" t="n">
        <v>0</v>
      </c>
      <c r="K3073" t="n">
        <v>0</v>
      </c>
      <c r="L3073" t="n">
        <v>0</v>
      </c>
      <c r="M3073" t="n">
        <v>0</v>
      </c>
      <c r="N3073" t="n">
        <v>0</v>
      </c>
      <c r="O3073" t="n">
        <v>0</v>
      </c>
      <c r="P3073" t="n">
        <v>0</v>
      </c>
      <c r="Q3073" t="n">
        <v>0</v>
      </c>
      <c r="R3073" s="2" t="inlineStr"/>
    </row>
    <row r="3074" ht="15" customHeight="1">
      <c r="A3074" t="inlineStr">
        <is>
          <t>A 27980-2024</t>
        </is>
      </c>
      <c r="B3074" s="1" t="n">
        <v>45476</v>
      </c>
      <c r="C3074" s="1" t="n">
        <v>45641</v>
      </c>
      <c r="D3074" t="inlineStr">
        <is>
          <t>VÄSTERBOTTENS LÄN</t>
        </is>
      </c>
      <c r="E3074" t="inlineStr">
        <is>
          <t>SKELLEFTEÅ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28353-2024</t>
        </is>
      </c>
      <c r="B3075" s="1" t="n">
        <v>45477</v>
      </c>
      <c r="C3075" s="1" t="n">
        <v>45641</v>
      </c>
      <c r="D3075" t="inlineStr">
        <is>
          <t>VÄSTERBOTTENS LÄN</t>
        </is>
      </c>
      <c r="E3075" t="inlineStr">
        <is>
          <t>SKELLEFTEÅ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28493-2024</t>
        </is>
      </c>
      <c r="B3076" s="1" t="n">
        <v>45477</v>
      </c>
      <c r="C3076" s="1" t="n">
        <v>45641</v>
      </c>
      <c r="D3076" t="inlineStr">
        <is>
          <t>VÄSTERBOTTENS LÄN</t>
        </is>
      </c>
      <c r="E3076" t="inlineStr">
        <is>
          <t>SKELLEFTEÅ</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28283-2024</t>
        </is>
      </c>
      <c r="B3077" s="1" t="n">
        <v>45477</v>
      </c>
      <c r="C3077" s="1" t="n">
        <v>45641</v>
      </c>
      <c r="D3077" t="inlineStr">
        <is>
          <t>VÄSTERBOTTENS LÄN</t>
        </is>
      </c>
      <c r="E3077" t="inlineStr">
        <is>
          <t>SKELLEFTEÅ</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28435-2024</t>
        </is>
      </c>
      <c r="B3078" s="1" t="n">
        <v>45477</v>
      </c>
      <c r="C3078" s="1" t="n">
        <v>45641</v>
      </c>
      <c r="D3078" t="inlineStr">
        <is>
          <t>VÄSTERBOTTENS LÄN</t>
        </is>
      </c>
      <c r="E3078" t="inlineStr">
        <is>
          <t>SKELLEFTEÅ</t>
        </is>
      </c>
      <c r="F3078" t="inlineStr">
        <is>
          <t>Holmen skog AB</t>
        </is>
      </c>
      <c r="G3078" t="n">
        <v>11.1</v>
      </c>
      <c r="H3078" t="n">
        <v>0</v>
      </c>
      <c r="I3078" t="n">
        <v>0</v>
      </c>
      <c r="J3078" t="n">
        <v>0</v>
      </c>
      <c r="K3078" t="n">
        <v>0</v>
      </c>
      <c r="L3078" t="n">
        <v>0</v>
      </c>
      <c r="M3078" t="n">
        <v>0</v>
      </c>
      <c r="N3078" t="n">
        <v>0</v>
      </c>
      <c r="O3078" t="n">
        <v>0</v>
      </c>
      <c r="P3078" t="n">
        <v>0</v>
      </c>
      <c r="Q3078" t="n">
        <v>0</v>
      </c>
      <c r="R3078" s="2" t="inlineStr"/>
    </row>
    <row r="3079" ht="15" customHeight="1">
      <c r="A3079" t="inlineStr">
        <is>
          <t>A 28273-2024</t>
        </is>
      </c>
      <c r="B3079" s="1" t="n">
        <v>45477</v>
      </c>
      <c r="C3079" s="1" t="n">
        <v>45641</v>
      </c>
      <c r="D3079" t="inlineStr">
        <is>
          <t>VÄSTERBOTTENS LÄN</t>
        </is>
      </c>
      <c r="E3079" t="inlineStr">
        <is>
          <t>SKELLEFTEÅ</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28356-2024</t>
        </is>
      </c>
      <c r="B3080" s="1" t="n">
        <v>45477</v>
      </c>
      <c r="C3080" s="1" t="n">
        <v>45641</v>
      </c>
      <c r="D3080" t="inlineStr">
        <is>
          <t>VÄSTERBOTTENS LÄN</t>
        </is>
      </c>
      <c r="E3080" t="inlineStr">
        <is>
          <t>SKELLEFTEÅ</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28308-2024</t>
        </is>
      </c>
      <c r="B3081" s="1" t="n">
        <v>45477</v>
      </c>
      <c r="C3081" s="1" t="n">
        <v>45641</v>
      </c>
      <c r="D3081" t="inlineStr">
        <is>
          <t>VÄSTERBOTTENS LÄN</t>
        </is>
      </c>
      <c r="E3081" t="inlineStr">
        <is>
          <t>SKELLEFTEÅ</t>
        </is>
      </c>
      <c r="F3081" t="inlineStr">
        <is>
          <t>Holmen skog AB</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28630-2024</t>
        </is>
      </c>
      <c r="B3082" s="1" t="n">
        <v>45478</v>
      </c>
      <c r="C3082" s="1" t="n">
        <v>45641</v>
      </c>
      <c r="D3082" t="inlineStr">
        <is>
          <t>VÄSTERBOTTENS LÄN</t>
        </is>
      </c>
      <c r="E3082" t="inlineStr">
        <is>
          <t>SKELLEFTEÅ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29125-2024</t>
        </is>
      </c>
      <c r="B3083" s="1" t="n">
        <v>45481</v>
      </c>
      <c r="C3083" s="1" t="n">
        <v>45641</v>
      </c>
      <c r="D3083" t="inlineStr">
        <is>
          <t>VÄSTERBOTTENS LÄN</t>
        </is>
      </c>
      <c r="E3083" t="inlineStr">
        <is>
          <t>SKELLEFTEÅ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29124-2024</t>
        </is>
      </c>
      <c r="B3084" s="1" t="n">
        <v>45481</v>
      </c>
      <c r="C3084" s="1" t="n">
        <v>45641</v>
      </c>
      <c r="D3084" t="inlineStr">
        <is>
          <t>VÄSTERBOTTENS LÄN</t>
        </is>
      </c>
      <c r="E3084" t="inlineStr">
        <is>
          <t>SKELLEFTEÅ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29154-2024</t>
        </is>
      </c>
      <c r="B3085" s="1" t="n">
        <v>45482</v>
      </c>
      <c r="C3085" s="1" t="n">
        <v>45641</v>
      </c>
      <c r="D3085" t="inlineStr">
        <is>
          <t>VÄSTERBOTTENS LÄN</t>
        </is>
      </c>
      <c r="E3085" t="inlineStr">
        <is>
          <t>SKELLEFTEÅ</t>
        </is>
      </c>
      <c r="F3085" t="inlineStr">
        <is>
          <t>Holmen skog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29201-2024</t>
        </is>
      </c>
      <c r="B3086" s="1" t="n">
        <v>45482</v>
      </c>
      <c r="C3086" s="1" t="n">
        <v>45641</v>
      </c>
      <c r="D3086" t="inlineStr">
        <is>
          <t>VÄSTERBOTTENS LÄN</t>
        </is>
      </c>
      <c r="E3086" t="inlineStr">
        <is>
          <t>SKELLEFTEÅ</t>
        </is>
      </c>
      <c r="F3086" t="inlineStr">
        <is>
          <t>Holmen skog AB</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29160-2024</t>
        </is>
      </c>
      <c r="B3087" s="1" t="n">
        <v>45482</v>
      </c>
      <c r="C3087" s="1" t="n">
        <v>45641</v>
      </c>
      <c r="D3087" t="inlineStr">
        <is>
          <t>VÄSTERBOTTENS LÄN</t>
        </is>
      </c>
      <c r="E3087" t="inlineStr">
        <is>
          <t>SKELLEFTEÅ</t>
        </is>
      </c>
      <c r="F3087" t="inlineStr">
        <is>
          <t>Holmen skog AB</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29167-2024</t>
        </is>
      </c>
      <c r="B3088" s="1" t="n">
        <v>45482</v>
      </c>
      <c r="C3088" s="1" t="n">
        <v>45641</v>
      </c>
      <c r="D3088" t="inlineStr">
        <is>
          <t>VÄSTERBOTTENS LÄN</t>
        </is>
      </c>
      <c r="E3088" t="inlineStr">
        <is>
          <t>SKELLEFTEÅ</t>
        </is>
      </c>
      <c r="F3088" t="inlineStr">
        <is>
          <t>Holmen skog AB</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29326-2024</t>
        </is>
      </c>
      <c r="B3089" s="1" t="n">
        <v>45483</v>
      </c>
      <c r="C3089" s="1" t="n">
        <v>45641</v>
      </c>
      <c r="D3089" t="inlineStr">
        <is>
          <t>VÄSTERBOTTENS LÄN</t>
        </is>
      </c>
      <c r="E3089" t="inlineStr">
        <is>
          <t>SKELLEFTEÅ</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29323-2024</t>
        </is>
      </c>
      <c r="B3090" s="1" t="n">
        <v>45483</v>
      </c>
      <c r="C3090" s="1" t="n">
        <v>45641</v>
      </c>
      <c r="D3090" t="inlineStr">
        <is>
          <t>VÄSTERBOTTENS LÄN</t>
        </is>
      </c>
      <c r="E3090" t="inlineStr">
        <is>
          <t>SKELLEFTEÅ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29321-2024</t>
        </is>
      </c>
      <c r="B3091" s="1" t="n">
        <v>45483</v>
      </c>
      <c r="C3091" s="1" t="n">
        <v>45641</v>
      </c>
      <c r="D3091" t="inlineStr">
        <is>
          <t>VÄSTERBOTTENS LÄN</t>
        </is>
      </c>
      <c r="E3091" t="inlineStr">
        <is>
          <t>SKELLEFTEÅ</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29579-2024</t>
        </is>
      </c>
      <c r="B3092" s="1" t="n">
        <v>45484</v>
      </c>
      <c r="C3092" s="1" t="n">
        <v>45641</v>
      </c>
      <c r="D3092" t="inlineStr">
        <is>
          <t>VÄSTERBOTTENS LÄN</t>
        </is>
      </c>
      <c r="E3092" t="inlineStr">
        <is>
          <t>SKELLEFTEÅ</t>
        </is>
      </c>
      <c r="F3092" t="inlineStr">
        <is>
          <t>Holmen skog AB</t>
        </is>
      </c>
      <c r="G3092" t="n">
        <v>10.1</v>
      </c>
      <c r="H3092" t="n">
        <v>0</v>
      </c>
      <c r="I3092" t="n">
        <v>0</v>
      </c>
      <c r="J3092" t="n">
        <v>0</v>
      </c>
      <c r="K3092" t="n">
        <v>0</v>
      </c>
      <c r="L3092" t="n">
        <v>0</v>
      </c>
      <c r="M3092" t="n">
        <v>0</v>
      </c>
      <c r="N3092" t="n">
        <v>0</v>
      </c>
      <c r="O3092" t="n">
        <v>0</v>
      </c>
      <c r="P3092" t="n">
        <v>0</v>
      </c>
      <c r="Q3092" t="n">
        <v>0</v>
      </c>
      <c r="R3092" s="2" t="inlineStr"/>
    </row>
    <row r="3093" ht="15" customHeight="1">
      <c r="A3093" t="inlineStr">
        <is>
          <t>A 29654-2024</t>
        </is>
      </c>
      <c r="B3093" s="1" t="n">
        <v>45485</v>
      </c>
      <c r="C3093" s="1" t="n">
        <v>45641</v>
      </c>
      <c r="D3093" t="inlineStr">
        <is>
          <t>VÄSTERBOTTENS LÄN</t>
        </is>
      </c>
      <c r="E3093" t="inlineStr">
        <is>
          <t>SKELLEFTEÅ</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30012-2024</t>
        </is>
      </c>
      <c r="B3094" s="1" t="n">
        <v>45488</v>
      </c>
      <c r="C3094" s="1" t="n">
        <v>45641</v>
      </c>
      <c r="D3094" t="inlineStr">
        <is>
          <t>VÄSTERBOTTENS LÄN</t>
        </is>
      </c>
      <c r="E3094" t="inlineStr">
        <is>
          <t>SKELLEFTEÅ</t>
        </is>
      </c>
      <c r="F3094" t="inlineStr">
        <is>
          <t>Holmen skog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30014-2024</t>
        </is>
      </c>
      <c r="B3095" s="1" t="n">
        <v>45488</v>
      </c>
      <c r="C3095" s="1" t="n">
        <v>45641</v>
      </c>
      <c r="D3095" t="inlineStr">
        <is>
          <t>VÄSTERBOTTENS LÄN</t>
        </is>
      </c>
      <c r="E3095" t="inlineStr">
        <is>
          <t>SKELLEFTEÅ</t>
        </is>
      </c>
      <c r="F3095" t="inlineStr">
        <is>
          <t>Holmen skog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30395-2024</t>
        </is>
      </c>
      <c r="B3096" s="1" t="n">
        <v>45491</v>
      </c>
      <c r="C3096" s="1" t="n">
        <v>45641</v>
      </c>
      <c r="D3096" t="inlineStr">
        <is>
          <t>VÄSTERBOTTENS LÄN</t>
        </is>
      </c>
      <c r="E3096" t="inlineStr">
        <is>
          <t>SKELLEFTEÅ</t>
        </is>
      </c>
      <c r="F3096" t="inlineStr">
        <is>
          <t>Holmen skog AB</t>
        </is>
      </c>
      <c r="G3096" t="n">
        <v>15.8</v>
      </c>
      <c r="H3096" t="n">
        <v>0</v>
      </c>
      <c r="I3096" t="n">
        <v>0</v>
      </c>
      <c r="J3096" t="n">
        <v>0</v>
      </c>
      <c r="K3096" t="n">
        <v>0</v>
      </c>
      <c r="L3096" t="n">
        <v>0</v>
      </c>
      <c r="M3096" t="n">
        <v>0</v>
      </c>
      <c r="N3096" t="n">
        <v>0</v>
      </c>
      <c r="O3096" t="n">
        <v>0</v>
      </c>
      <c r="P3096" t="n">
        <v>0</v>
      </c>
      <c r="Q3096" t="n">
        <v>0</v>
      </c>
      <c r="R3096" s="2" t="inlineStr"/>
    </row>
    <row r="3097" ht="15" customHeight="1">
      <c r="A3097" t="inlineStr">
        <is>
          <t>A 30508-2024</t>
        </is>
      </c>
      <c r="B3097" s="1" t="n">
        <v>45492</v>
      </c>
      <c r="C3097" s="1" t="n">
        <v>45641</v>
      </c>
      <c r="D3097" t="inlineStr">
        <is>
          <t>VÄSTERBOTTENS LÄN</t>
        </is>
      </c>
      <c r="E3097" t="inlineStr">
        <is>
          <t>SKELLEFTEÅ</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30650-2024</t>
        </is>
      </c>
      <c r="B3098" s="1" t="n">
        <v>45495</v>
      </c>
      <c r="C3098" s="1" t="n">
        <v>45641</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30900-2024</t>
        </is>
      </c>
      <c r="B3099" s="1" t="n">
        <v>45498</v>
      </c>
      <c r="C3099" s="1" t="n">
        <v>45641</v>
      </c>
      <c r="D3099" t="inlineStr">
        <is>
          <t>VÄSTERBOTTENS LÄN</t>
        </is>
      </c>
      <c r="E3099" t="inlineStr">
        <is>
          <t>SKELLEFTEÅ</t>
        </is>
      </c>
      <c r="G3099" t="n">
        <v>17.5</v>
      </c>
      <c r="H3099" t="n">
        <v>0</v>
      </c>
      <c r="I3099" t="n">
        <v>0</v>
      </c>
      <c r="J3099" t="n">
        <v>0</v>
      </c>
      <c r="K3099" t="n">
        <v>0</v>
      </c>
      <c r="L3099" t="n">
        <v>0</v>
      </c>
      <c r="M3099" t="n">
        <v>0</v>
      </c>
      <c r="N3099" t="n">
        <v>0</v>
      </c>
      <c r="O3099" t="n">
        <v>0</v>
      </c>
      <c r="P3099" t="n">
        <v>0</v>
      </c>
      <c r="Q3099" t="n">
        <v>0</v>
      </c>
      <c r="R3099" s="2" t="inlineStr"/>
    </row>
    <row r="3100" ht="15" customHeight="1">
      <c r="A3100" t="inlineStr">
        <is>
          <t>A 30904-2024</t>
        </is>
      </c>
      <c r="B3100" s="1" t="n">
        <v>45498</v>
      </c>
      <c r="C3100" s="1" t="n">
        <v>45641</v>
      </c>
      <c r="D3100" t="inlineStr">
        <is>
          <t>VÄSTERBOTTENS LÄN</t>
        </is>
      </c>
      <c r="E3100" t="inlineStr">
        <is>
          <t>SKELLEFTEÅ</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30901-2024</t>
        </is>
      </c>
      <c r="B3101" s="1" t="n">
        <v>45498</v>
      </c>
      <c r="C3101" s="1" t="n">
        <v>45641</v>
      </c>
      <c r="D3101" t="inlineStr">
        <is>
          <t>VÄSTERBOTTENS LÄN</t>
        </is>
      </c>
      <c r="E3101" t="inlineStr">
        <is>
          <t>SKELLEFTEÅ</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30897-2024</t>
        </is>
      </c>
      <c r="B3102" s="1" t="n">
        <v>45498</v>
      </c>
      <c r="C3102" s="1" t="n">
        <v>45641</v>
      </c>
      <c r="D3102" t="inlineStr">
        <is>
          <t>VÄSTERBOTTENS LÄN</t>
        </is>
      </c>
      <c r="E3102" t="inlineStr">
        <is>
          <t>SKELLEFTEÅ</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30986-2024</t>
        </is>
      </c>
      <c r="B3103" s="1" t="n">
        <v>45499</v>
      </c>
      <c r="C3103" s="1" t="n">
        <v>45641</v>
      </c>
      <c r="D3103" t="inlineStr">
        <is>
          <t>VÄSTERBOTTENS LÄN</t>
        </is>
      </c>
      <c r="E3103" t="inlineStr">
        <is>
          <t>SKELLEFTEÅ</t>
        </is>
      </c>
      <c r="F3103" t="inlineStr">
        <is>
          <t>Sveaskog</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31103-2024</t>
        </is>
      </c>
      <c r="B3104" s="1" t="n">
        <v>45502</v>
      </c>
      <c r="C3104" s="1" t="n">
        <v>45641</v>
      </c>
      <c r="D3104" t="inlineStr">
        <is>
          <t>VÄSTERBOTTENS LÄN</t>
        </is>
      </c>
      <c r="E3104" t="inlineStr">
        <is>
          <t>SKELLEFTEÅ</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31179-2024</t>
        </is>
      </c>
      <c r="B3105" s="1" t="n">
        <v>45503</v>
      </c>
      <c r="C3105" s="1" t="n">
        <v>45641</v>
      </c>
      <c r="D3105" t="inlineStr">
        <is>
          <t>VÄSTERBOTTENS LÄN</t>
        </is>
      </c>
      <c r="E3105" t="inlineStr">
        <is>
          <t>SKELLEFTEÅ</t>
        </is>
      </c>
      <c r="F3105" t="inlineStr">
        <is>
          <t>Holmen skog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31197-2024</t>
        </is>
      </c>
      <c r="B3106" s="1" t="n">
        <v>45503</v>
      </c>
      <c r="C3106" s="1" t="n">
        <v>45641</v>
      </c>
      <c r="D3106" t="inlineStr">
        <is>
          <t>VÄSTERBOTTENS LÄN</t>
        </is>
      </c>
      <c r="E3106" t="inlineStr">
        <is>
          <t>SKELLEFTEÅ</t>
        </is>
      </c>
      <c r="F3106" t="inlineStr">
        <is>
          <t>Holmen skog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31167-2024</t>
        </is>
      </c>
      <c r="B3107" s="1" t="n">
        <v>45503</v>
      </c>
      <c r="C3107" s="1" t="n">
        <v>45641</v>
      </c>
      <c r="D3107" t="inlineStr">
        <is>
          <t>VÄSTERBOTTENS LÄN</t>
        </is>
      </c>
      <c r="E3107" t="inlineStr">
        <is>
          <t>SKELLEFTEÅ</t>
        </is>
      </c>
      <c r="F3107" t="inlineStr">
        <is>
          <t>Holmen skog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31392-2024</t>
        </is>
      </c>
      <c r="B3108" s="1" t="n">
        <v>45505</v>
      </c>
      <c r="C3108" s="1" t="n">
        <v>45641</v>
      </c>
      <c r="D3108" t="inlineStr">
        <is>
          <t>VÄSTERBOTTENS LÄN</t>
        </is>
      </c>
      <c r="E3108" t="inlineStr">
        <is>
          <t>SKELLEFTEÅ</t>
        </is>
      </c>
      <c r="F3108" t="inlineStr">
        <is>
          <t>Holmen skog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31384-2024</t>
        </is>
      </c>
      <c r="B3109" s="1" t="n">
        <v>45505</v>
      </c>
      <c r="C3109" s="1" t="n">
        <v>45641</v>
      </c>
      <c r="D3109" t="inlineStr">
        <is>
          <t>VÄSTERBOTTENS LÄN</t>
        </is>
      </c>
      <c r="E3109" t="inlineStr">
        <is>
          <t>SKELLEFTEÅ</t>
        </is>
      </c>
      <c r="G3109" t="n">
        <v>19.9</v>
      </c>
      <c r="H3109" t="n">
        <v>0</v>
      </c>
      <c r="I3109" t="n">
        <v>0</v>
      </c>
      <c r="J3109" t="n">
        <v>0</v>
      </c>
      <c r="K3109" t="n">
        <v>0</v>
      </c>
      <c r="L3109" t="n">
        <v>0</v>
      </c>
      <c r="M3109" t="n">
        <v>0</v>
      </c>
      <c r="N3109" t="n">
        <v>0</v>
      </c>
      <c r="O3109" t="n">
        <v>0</v>
      </c>
      <c r="P3109" t="n">
        <v>0</v>
      </c>
      <c r="Q3109" t="n">
        <v>0</v>
      </c>
      <c r="R3109" s="2" t="inlineStr"/>
    </row>
    <row r="3110" ht="15" customHeight="1">
      <c r="A3110" t="inlineStr">
        <is>
          <t>A 31689-2024</t>
        </is>
      </c>
      <c r="B3110" s="1" t="n">
        <v>45507</v>
      </c>
      <c r="C3110" s="1" t="n">
        <v>45641</v>
      </c>
      <c r="D3110" t="inlineStr">
        <is>
          <t>VÄSTERBOTTENS LÄN</t>
        </is>
      </c>
      <c r="E3110" t="inlineStr">
        <is>
          <t>SKELLEFTEÅ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31809-2024</t>
        </is>
      </c>
      <c r="B3111" s="1" t="n">
        <v>45509</v>
      </c>
      <c r="C3111" s="1" t="n">
        <v>45641</v>
      </c>
      <c r="D3111" t="inlineStr">
        <is>
          <t>VÄSTERBOTTENS LÄN</t>
        </is>
      </c>
      <c r="E3111" t="inlineStr">
        <is>
          <t>SKELLEFTEÅ</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31872-2024</t>
        </is>
      </c>
      <c r="B3112" s="1" t="n">
        <v>45510</v>
      </c>
      <c r="C3112" s="1" t="n">
        <v>45641</v>
      </c>
      <c r="D3112" t="inlineStr">
        <is>
          <t>VÄSTERBOTTENS LÄN</t>
        </is>
      </c>
      <c r="E3112" t="inlineStr">
        <is>
          <t>SKELLEFTEÅ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31871-2024</t>
        </is>
      </c>
      <c r="B3113" s="1" t="n">
        <v>45510</v>
      </c>
      <c r="C3113" s="1" t="n">
        <v>45641</v>
      </c>
      <c r="D3113" t="inlineStr">
        <is>
          <t>VÄSTERBOTTENS LÄN</t>
        </is>
      </c>
      <c r="E3113" t="inlineStr">
        <is>
          <t>SKELLEFTEÅ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31874-2024</t>
        </is>
      </c>
      <c r="B3114" s="1" t="n">
        <v>45509</v>
      </c>
      <c r="C3114" s="1" t="n">
        <v>45641</v>
      </c>
      <c r="D3114" t="inlineStr">
        <is>
          <t>VÄSTERBOTTENS LÄN</t>
        </is>
      </c>
      <c r="E3114" t="inlineStr">
        <is>
          <t>SKELLEFTEÅ</t>
        </is>
      </c>
      <c r="G3114" t="n">
        <v>137.5</v>
      </c>
      <c r="H3114" t="n">
        <v>0</v>
      </c>
      <c r="I3114" t="n">
        <v>0</v>
      </c>
      <c r="J3114" t="n">
        <v>0</v>
      </c>
      <c r="K3114" t="n">
        <v>0</v>
      </c>
      <c r="L3114" t="n">
        <v>0</v>
      </c>
      <c r="M3114" t="n">
        <v>0</v>
      </c>
      <c r="N3114" t="n">
        <v>0</v>
      </c>
      <c r="O3114" t="n">
        <v>0</v>
      </c>
      <c r="P3114" t="n">
        <v>0</v>
      </c>
      <c r="Q3114" t="n">
        <v>0</v>
      </c>
      <c r="R3114" s="2" t="inlineStr"/>
    </row>
    <row r="3115" ht="15" customHeight="1">
      <c r="A3115" t="inlineStr">
        <is>
          <t>A 31975-2024</t>
        </is>
      </c>
      <c r="B3115" s="1" t="n">
        <v>45510</v>
      </c>
      <c r="C3115" s="1" t="n">
        <v>45641</v>
      </c>
      <c r="D3115" t="inlineStr">
        <is>
          <t>VÄSTERBOTTENS LÄN</t>
        </is>
      </c>
      <c r="E3115" t="inlineStr">
        <is>
          <t>SKELLEFTEÅ</t>
        </is>
      </c>
      <c r="F3115" t="inlineStr">
        <is>
          <t>Holmen skog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31966-2024</t>
        </is>
      </c>
      <c r="B3116" s="1" t="n">
        <v>45510</v>
      </c>
      <c r="C3116" s="1" t="n">
        <v>45641</v>
      </c>
      <c r="D3116" t="inlineStr">
        <is>
          <t>VÄSTERBOTTENS LÄN</t>
        </is>
      </c>
      <c r="E3116" t="inlineStr">
        <is>
          <t>SKELLEFTEÅ</t>
        </is>
      </c>
      <c r="F3116" t="inlineStr">
        <is>
          <t>Holmen skog AB</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32217-2024</t>
        </is>
      </c>
      <c r="B3117" s="1" t="n">
        <v>45512</v>
      </c>
      <c r="C3117" s="1" t="n">
        <v>45641</v>
      </c>
      <c r="D3117" t="inlineStr">
        <is>
          <t>VÄSTERBOTTENS LÄN</t>
        </is>
      </c>
      <c r="E3117" t="inlineStr">
        <is>
          <t>SKELLEFTEÅ</t>
        </is>
      </c>
      <c r="G3117" t="n">
        <v>10.8</v>
      </c>
      <c r="H3117" t="n">
        <v>0</v>
      </c>
      <c r="I3117" t="n">
        <v>0</v>
      </c>
      <c r="J3117" t="n">
        <v>0</v>
      </c>
      <c r="K3117" t="n">
        <v>0</v>
      </c>
      <c r="L3117" t="n">
        <v>0</v>
      </c>
      <c r="M3117" t="n">
        <v>0</v>
      </c>
      <c r="N3117" t="n">
        <v>0</v>
      </c>
      <c r="O3117" t="n">
        <v>0</v>
      </c>
      <c r="P3117" t="n">
        <v>0</v>
      </c>
      <c r="Q3117" t="n">
        <v>0</v>
      </c>
      <c r="R3117" s="2" t="inlineStr"/>
    </row>
    <row r="3118" ht="15" customHeight="1">
      <c r="A3118" t="inlineStr">
        <is>
          <t>A 32298-2024</t>
        </is>
      </c>
      <c r="B3118" s="1" t="n">
        <v>45512</v>
      </c>
      <c r="C3118" s="1" t="n">
        <v>45641</v>
      </c>
      <c r="D3118" t="inlineStr">
        <is>
          <t>VÄSTERBOTTENS LÄN</t>
        </is>
      </c>
      <c r="E3118" t="inlineStr">
        <is>
          <t>SKELLEFTEÅ</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32499-2024</t>
        </is>
      </c>
      <c r="B3119" s="1" t="n">
        <v>45513</v>
      </c>
      <c r="C3119" s="1" t="n">
        <v>45641</v>
      </c>
      <c r="D3119" t="inlineStr">
        <is>
          <t>VÄSTERBOTTENS LÄN</t>
        </is>
      </c>
      <c r="E3119" t="inlineStr">
        <is>
          <t>SKELLEFTEÅ</t>
        </is>
      </c>
      <c r="F3119" t="inlineStr">
        <is>
          <t>Holmen skog AB</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32593-2024</t>
        </is>
      </c>
      <c r="B3120" s="1" t="n">
        <v>45513</v>
      </c>
      <c r="C3120" s="1" t="n">
        <v>45641</v>
      </c>
      <c r="D3120" t="inlineStr">
        <is>
          <t>VÄSTERBOTTENS LÄN</t>
        </is>
      </c>
      <c r="E3120" t="inlineStr">
        <is>
          <t>SKELLEFTEÅ</t>
        </is>
      </c>
      <c r="F3120" t="inlineStr">
        <is>
          <t>Holmen skog AB</t>
        </is>
      </c>
      <c r="G3120" t="n">
        <v>9.300000000000001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32914-2024</t>
        </is>
      </c>
      <c r="B3121" s="1" t="n">
        <v>45517</v>
      </c>
      <c r="C3121" s="1" t="n">
        <v>45641</v>
      </c>
      <c r="D3121" t="inlineStr">
        <is>
          <t>VÄSTERBOTTENS LÄN</t>
        </is>
      </c>
      <c r="E3121" t="inlineStr">
        <is>
          <t>SKELLEFTEÅ</t>
        </is>
      </c>
      <c r="F3121" t="inlineStr">
        <is>
          <t>SCA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32918-2024</t>
        </is>
      </c>
      <c r="B3122" s="1" t="n">
        <v>45517</v>
      </c>
      <c r="C3122" s="1" t="n">
        <v>45641</v>
      </c>
      <c r="D3122" t="inlineStr">
        <is>
          <t>VÄSTERBOTTENS LÄN</t>
        </is>
      </c>
      <c r="E3122" t="inlineStr">
        <is>
          <t>SKELLEFTEÅ</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32917-2024</t>
        </is>
      </c>
      <c r="B3123" s="1" t="n">
        <v>45517</v>
      </c>
      <c r="C3123" s="1" t="n">
        <v>45641</v>
      </c>
      <c r="D3123" t="inlineStr">
        <is>
          <t>VÄSTERBOTTENS LÄN</t>
        </is>
      </c>
      <c r="E3123" t="inlineStr">
        <is>
          <t>SKELLEFTEÅ</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32916-2024</t>
        </is>
      </c>
      <c r="B3124" s="1" t="n">
        <v>45517</v>
      </c>
      <c r="C3124" s="1" t="n">
        <v>45641</v>
      </c>
      <c r="D3124" t="inlineStr">
        <is>
          <t>VÄSTERBOTTENS LÄN</t>
        </is>
      </c>
      <c r="E3124" t="inlineStr">
        <is>
          <t>SKELLEFTEÅ</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32724-2024</t>
        </is>
      </c>
      <c r="B3125" s="1" t="n">
        <v>45516</v>
      </c>
      <c r="C3125" s="1" t="n">
        <v>45641</v>
      </c>
      <c r="D3125" t="inlineStr">
        <is>
          <t>VÄSTERBOTTENS LÄN</t>
        </is>
      </c>
      <c r="E3125" t="inlineStr">
        <is>
          <t>SKELLEFTEÅ</t>
        </is>
      </c>
      <c r="F3125" t="inlineStr">
        <is>
          <t>Holmen skog AB</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32709-2024</t>
        </is>
      </c>
      <c r="B3126" s="1" t="n">
        <v>45516</v>
      </c>
      <c r="C3126" s="1" t="n">
        <v>45641</v>
      </c>
      <c r="D3126" t="inlineStr">
        <is>
          <t>VÄSTERBOTTENS LÄN</t>
        </is>
      </c>
      <c r="E3126" t="inlineStr">
        <is>
          <t>SKELLEFTEÅ</t>
        </is>
      </c>
      <c r="F3126" t="inlineStr">
        <is>
          <t>Holmen skog AB</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32919-2024</t>
        </is>
      </c>
      <c r="B3127" s="1" t="n">
        <v>45517</v>
      </c>
      <c r="C3127" s="1" t="n">
        <v>45641</v>
      </c>
      <c r="D3127" t="inlineStr">
        <is>
          <t>VÄSTERBOTTENS LÄN</t>
        </is>
      </c>
      <c r="E3127" t="inlineStr">
        <is>
          <t>SKELLEFTEÅ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33109-2024</t>
        </is>
      </c>
      <c r="B3128" s="1" t="n">
        <v>45517</v>
      </c>
      <c r="C3128" s="1" t="n">
        <v>45641</v>
      </c>
      <c r="D3128" t="inlineStr">
        <is>
          <t>VÄSTERBOTTENS LÄN</t>
        </is>
      </c>
      <c r="E3128" t="inlineStr">
        <is>
          <t>SKELLEFTEÅ</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33204-2024</t>
        </is>
      </c>
      <c r="B3129" s="1" t="n">
        <v>45518</v>
      </c>
      <c r="C3129" s="1" t="n">
        <v>45641</v>
      </c>
      <c r="D3129" t="inlineStr">
        <is>
          <t>VÄSTERBOTTENS LÄN</t>
        </is>
      </c>
      <c r="E3129" t="inlineStr">
        <is>
          <t>SKELLEFTEÅ</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33530-2024</t>
        </is>
      </c>
      <c r="B3130" s="1" t="n">
        <v>45519</v>
      </c>
      <c r="C3130" s="1" t="n">
        <v>45641</v>
      </c>
      <c r="D3130" t="inlineStr">
        <is>
          <t>VÄSTERBOTTENS LÄN</t>
        </is>
      </c>
      <c r="E3130" t="inlineStr">
        <is>
          <t>SKELLEFTEÅ</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33538-2024</t>
        </is>
      </c>
      <c r="B3131" s="1" t="n">
        <v>45519</v>
      </c>
      <c r="C3131" s="1" t="n">
        <v>45641</v>
      </c>
      <c r="D3131" t="inlineStr">
        <is>
          <t>VÄSTERBOTTENS LÄN</t>
        </is>
      </c>
      <c r="E3131" t="inlineStr">
        <is>
          <t>SKELLEFTEÅ</t>
        </is>
      </c>
      <c r="F3131" t="inlineStr">
        <is>
          <t>Holmen skog AB</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33442-2024</t>
        </is>
      </c>
      <c r="B3132" s="1" t="n">
        <v>45519</v>
      </c>
      <c r="C3132" s="1" t="n">
        <v>45641</v>
      </c>
      <c r="D3132" t="inlineStr">
        <is>
          <t>VÄSTERBOTTENS LÄN</t>
        </is>
      </c>
      <c r="E3132" t="inlineStr">
        <is>
          <t>SKELLEFTEÅ</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33543-2024</t>
        </is>
      </c>
      <c r="B3133" s="1" t="n">
        <v>45519</v>
      </c>
      <c r="C3133" s="1" t="n">
        <v>45641</v>
      </c>
      <c r="D3133" t="inlineStr">
        <is>
          <t>VÄSTERBOTTENS LÄN</t>
        </is>
      </c>
      <c r="E3133" t="inlineStr">
        <is>
          <t>SKELLEFTEÅ</t>
        </is>
      </c>
      <c r="F3133" t="inlineStr">
        <is>
          <t>Holmen skog AB</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33528-2024</t>
        </is>
      </c>
      <c r="B3134" s="1" t="n">
        <v>45519</v>
      </c>
      <c r="C3134" s="1" t="n">
        <v>45641</v>
      </c>
      <c r="D3134" t="inlineStr">
        <is>
          <t>VÄSTERBOTTENS LÄN</t>
        </is>
      </c>
      <c r="E3134" t="inlineStr">
        <is>
          <t>SKELLEFTEÅ</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33785-2024</t>
        </is>
      </c>
      <c r="B3135" s="1" t="n">
        <v>45520</v>
      </c>
      <c r="C3135" s="1" t="n">
        <v>45641</v>
      </c>
      <c r="D3135" t="inlineStr">
        <is>
          <t>VÄSTERBOTTENS LÄN</t>
        </is>
      </c>
      <c r="E3135" t="inlineStr">
        <is>
          <t>SKELLEFTEÅ</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33776-2024</t>
        </is>
      </c>
      <c r="B3136" s="1" t="n">
        <v>45520</v>
      </c>
      <c r="C3136" s="1" t="n">
        <v>45641</v>
      </c>
      <c r="D3136" t="inlineStr">
        <is>
          <t>VÄSTERBOTTENS LÄN</t>
        </is>
      </c>
      <c r="E3136" t="inlineStr">
        <is>
          <t>SKELLEFTEÅ</t>
        </is>
      </c>
      <c r="F3136" t="inlineStr">
        <is>
          <t>Sveaskog</t>
        </is>
      </c>
      <c r="G3136" t="n">
        <v>16.4</v>
      </c>
      <c r="H3136" t="n">
        <v>0</v>
      </c>
      <c r="I3136" t="n">
        <v>0</v>
      </c>
      <c r="J3136" t="n">
        <v>0</v>
      </c>
      <c r="K3136" t="n">
        <v>0</v>
      </c>
      <c r="L3136" t="n">
        <v>0</v>
      </c>
      <c r="M3136" t="n">
        <v>0</v>
      </c>
      <c r="N3136" t="n">
        <v>0</v>
      </c>
      <c r="O3136" t="n">
        <v>0</v>
      </c>
      <c r="P3136" t="n">
        <v>0</v>
      </c>
      <c r="Q3136" t="n">
        <v>0</v>
      </c>
      <c r="R3136" s="2" t="inlineStr"/>
    </row>
    <row r="3137" ht="15" customHeight="1">
      <c r="A3137" t="inlineStr">
        <is>
          <t>A 34242-2024</t>
        </is>
      </c>
      <c r="B3137" s="1" t="n">
        <v>45524</v>
      </c>
      <c r="C3137" s="1" t="n">
        <v>45641</v>
      </c>
      <c r="D3137" t="inlineStr">
        <is>
          <t>VÄSTERBOTTENS LÄN</t>
        </is>
      </c>
      <c r="E3137" t="inlineStr">
        <is>
          <t>SKELLEFTEÅ</t>
        </is>
      </c>
      <c r="F3137" t="inlineStr">
        <is>
          <t>Sveaskog</t>
        </is>
      </c>
      <c r="G3137" t="n">
        <v>19.8</v>
      </c>
      <c r="H3137" t="n">
        <v>0</v>
      </c>
      <c r="I3137" t="n">
        <v>0</v>
      </c>
      <c r="J3137" t="n">
        <v>0</v>
      </c>
      <c r="K3137" t="n">
        <v>0</v>
      </c>
      <c r="L3137" t="n">
        <v>0</v>
      </c>
      <c r="M3137" t="n">
        <v>0</v>
      </c>
      <c r="N3137" t="n">
        <v>0</v>
      </c>
      <c r="O3137" t="n">
        <v>0</v>
      </c>
      <c r="P3137" t="n">
        <v>0</v>
      </c>
      <c r="Q3137" t="n">
        <v>0</v>
      </c>
      <c r="R3137" s="2" t="inlineStr"/>
    </row>
    <row r="3138" ht="15" customHeight="1">
      <c r="A3138" t="inlineStr">
        <is>
          <t>A 34158-2024</t>
        </is>
      </c>
      <c r="B3138" s="1" t="n">
        <v>45524</v>
      </c>
      <c r="C3138" s="1" t="n">
        <v>45641</v>
      </c>
      <c r="D3138" t="inlineStr">
        <is>
          <t>VÄSTERBOTTENS LÄN</t>
        </is>
      </c>
      <c r="E3138" t="inlineStr">
        <is>
          <t>SKELLEFTEÅ</t>
        </is>
      </c>
      <c r="F3138" t="inlineStr">
        <is>
          <t>Sveaskog</t>
        </is>
      </c>
      <c r="G3138" t="n">
        <v>14.7</v>
      </c>
      <c r="H3138" t="n">
        <v>0</v>
      </c>
      <c r="I3138" t="n">
        <v>0</v>
      </c>
      <c r="J3138" t="n">
        <v>0</v>
      </c>
      <c r="K3138" t="n">
        <v>0</v>
      </c>
      <c r="L3138" t="n">
        <v>0</v>
      </c>
      <c r="M3138" t="n">
        <v>0</v>
      </c>
      <c r="N3138" t="n">
        <v>0</v>
      </c>
      <c r="O3138" t="n">
        <v>0</v>
      </c>
      <c r="P3138" t="n">
        <v>0</v>
      </c>
      <c r="Q3138" t="n">
        <v>0</v>
      </c>
      <c r="R3138" s="2" t="inlineStr"/>
    </row>
    <row r="3139" ht="15" customHeight="1">
      <c r="A3139" t="inlineStr">
        <is>
          <t>A 34332-2024</t>
        </is>
      </c>
      <c r="B3139" s="1" t="n">
        <v>45524</v>
      </c>
      <c r="C3139" s="1" t="n">
        <v>45641</v>
      </c>
      <c r="D3139" t="inlineStr">
        <is>
          <t>VÄSTERBOTTENS LÄN</t>
        </is>
      </c>
      <c r="E3139" t="inlineStr">
        <is>
          <t>SKELLEFTEÅ</t>
        </is>
      </c>
      <c r="F3139" t="inlineStr">
        <is>
          <t>Sveaskog</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34614-2024</t>
        </is>
      </c>
      <c r="B3140" s="1" t="n">
        <v>45526</v>
      </c>
      <c r="C3140" s="1" t="n">
        <v>45641</v>
      </c>
      <c r="D3140" t="inlineStr">
        <is>
          <t>VÄSTERBOTTENS LÄN</t>
        </is>
      </c>
      <c r="E3140" t="inlineStr">
        <is>
          <t>SKELLEFTEÅ</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34622-2024</t>
        </is>
      </c>
      <c r="B3141" s="1" t="n">
        <v>45526</v>
      </c>
      <c r="C3141" s="1" t="n">
        <v>45641</v>
      </c>
      <c r="D3141" t="inlineStr">
        <is>
          <t>VÄSTERBOTTENS LÄN</t>
        </is>
      </c>
      <c r="E3141" t="inlineStr">
        <is>
          <t>SKELLEFTEÅ</t>
        </is>
      </c>
      <c r="F3141" t="inlineStr">
        <is>
          <t>Holmen skog AB</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34631-2024</t>
        </is>
      </c>
      <c r="B3142" s="1" t="n">
        <v>45526</v>
      </c>
      <c r="C3142" s="1" t="n">
        <v>45641</v>
      </c>
      <c r="D3142" t="inlineStr">
        <is>
          <t>VÄSTERBOTTENS LÄN</t>
        </is>
      </c>
      <c r="E3142" t="inlineStr">
        <is>
          <t>SKELLEFTEÅ</t>
        </is>
      </c>
      <c r="G3142" t="n">
        <v>11.1</v>
      </c>
      <c r="H3142" t="n">
        <v>0</v>
      </c>
      <c r="I3142" t="n">
        <v>0</v>
      </c>
      <c r="J3142" t="n">
        <v>0</v>
      </c>
      <c r="K3142" t="n">
        <v>0</v>
      </c>
      <c r="L3142" t="n">
        <v>0</v>
      </c>
      <c r="M3142" t="n">
        <v>0</v>
      </c>
      <c r="N3142" t="n">
        <v>0</v>
      </c>
      <c r="O3142" t="n">
        <v>0</v>
      </c>
      <c r="P3142" t="n">
        <v>0</v>
      </c>
      <c r="Q3142" t="n">
        <v>0</v>
      </c>
      <c r="R3142" s="2" t="inlineStr"/>
    </row>
    <row r="3143" ht="15" customHeight="1">
      <c r="A3143" t="inlineStr">
        <is>
          <t>A 34644-2024</t>
        </is>
      </c>
      <c r="B3143" s="1" t="n">
        <v>45526</v>
      </c>
      <c r="C3143" s="1" t="n">
        <v>45641</v>
      </c>
      <c r="D3143" t="inlineStr">
        <is>
          <t>VÄSTERBOTTENS LÄN</t>
        </is>
      </c>
      <c r="E3143" t="inlineStr">
        <is>
          <t>SKELLEFTEÅ</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34821-2024</t>
        </is>
      </c>
      <c r="B3144" s="1" t="n">
        <v>45526</v>
      </c>
      <c r="C3144" s="1" t="n">
        <v>45641</v>
      </c>
      <c r="D3144" t="inlineStr">
        <is>
          <t>VÄSTERBOTTENS LÄN</t>
        </is>
      </c>
      <c r="E3144" t="inlineStr">
        <is>
          <t>SKELLEFTEÅ</t>
        </is>
      </c>
      <c r="G3144" t="n">
        <v>9.5</v>
      </c>
      <c r="H3144" t="n">
        <v>0</v>
      </c>
      <c r="I3144" t="n">
        <v>0</v>
      </c>
      <c r="J3144" t="n">
        <v>0</v>
      </c>
      <c r="K3144" t="n">
        <v>0</v>
      </c>
      <c r="L3144" t="n">
        <v>0</v>
      </c>
      <c r="M3144" t="n">
        <v>0</v>
      </c>
      <c r="N3144" t="n">
        <v>0</v>
      </c>
      <c r="O3144" t="n">
        <v>0</v>
      </c>
      <c r="P3144" t="n">
        <v>0</v>
      </c>
      <c r="Q3144" t="n">
        <v>0</v>
      </c>
      <c r="R3144" s="2" t="inlineStr"/>
    </row>
    <row r="3145" ht="15" customHeight="1">
      <c r="A3145" t="inlineStr">
        <is>
          <t>A 34615-2024</t>
        </is>
      </c>
      <c r="B3145" s="1" t="n">
        <v>45526</v>
      </c>
      <c r="C3145" s="1" t="n">
        <v>45641</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34713-2024</t>
        </is>
      </c>
      <c r="B3146" s="1" t="n">
        <v>45526</v>
      </c>
      <c r="C3146" s="1" t="n">
        <v>45641</v>
      </c>
      <c r="D3146" t="inlineStr">
        <is>
          <t>VÄSTERBOTTENS LÄN</t>
        </is>
      </c>
      <c r="E3146" t="inlineStr">
        <is>
          <t>SKELLEFTEÅ</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34714-2024</t>
        </is>
      </c>
      <c r="B3147" s="1" t="n">
        <v>45526</v>
      </c>
      <c r="C3147" s="1" t="n">
        <v>45641</v>
      </c>
      <c r="D3147" t="inlineStr">
        <is>
          <t>VÄSTERBOTTENS LÄN</t>
        </is>
      </c>
      <c r="E3147" t="inlineStr">
        <is>
          <t>SKELLEFTEÅ</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34694-2024</t>
        </is>
      </c>
      <c r="B3148" s="1" t="n">
        <v>45526</v>
      </c>
      <c r="C3148" s="1" t="n">
        <v>45641</v>
      </c>
      <c r="D3148" t="inlineStr">
        <is>
          <t>VÄSTERBOTTENS LÄN</t>
        </is>
      </c>
      <c r="E3148" t="inlineStr">
        <is>
          <t>SKELLEFTEÅ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34690-2024</t>
        </is>
      </c>
      <c r="B3149" s="1" t="n">
        <v>45526</v>
      </c>
      <c r="C3149" s="1" t="n">
        <v>45641</v>
      </c>
      <c r="D3149" t="inlineStr">
        <is>
          <t>VÄSTERBOTTENS LÄN</t>
        </is>
      </c>
      <c r="E3149" t="inlineStr">
        <is>
          <t>SKELLEFTEÅ</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34608-2024</t>
        </is>
      </c>
      <c r="B3150" s="1" t="n">
        <v>45526</v>
      </c>
      <c r="C3150" s="1" t="n">
        <v>45641</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34739-2024</t>
        </is>
      </c>
      <c r="B3151" s="1" t="n">
        <v>45526</v>
      </c>
      <c r="C3151" s="1" t="n">
        <v>45641</v>
      </c>
      <c r="D3151" t="inlineStr">
        <is>
          <t>VÄSTERBOTTENS LÄN</t>
        </is>
      </c>
      <c r="E3151" t="inlineStr">
        <is>
          <t>SKELLEFTEÅ</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35035-2024</t>
        </is>
      </c>
      <c r="B3152" s="1" t="n">
        <v>45527</v>
      </c>
      <c r="C3152" s="1" t="n">
        <v>45641</v>
      </c>
      <c r="D3152" t="inlineStr">
        <is>
          <t>VÄSTERBOTTENS LÄN</t>
        </is>
      </c>
      <c r="E3152" t="inlineStr">
        <is>
          <t>SKELLEFTEÅ</t>
        </is>
      </c>
      <c r="F3152" t="inlineStr">
        <is>
          <t>Holmen skog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34874-2024</t>
        </is>
      </c>
      <c r="B3153" s="1" t="n">
        <v>45527</v>
      </c>
      <c r="C3153" s="1" t="n">
        <v>45641</v>
      </c>
      <c r="D3153" t="inlineStr">
        <is>
          <t>VÄSTERBOTTENS LÄN</t>
        </is>
      </c>
      <c r="E3153" t="inlineStr">
        <is>
          <t>SKELLEFTEÅ</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34998-2024</t>
        </is>
      </c>
      <c r="B3154" s="1" t="n">
        <v>45527</v>
      </c>
      <c r="C3154" s="1" t="n">
        <v>45641</v>
      </c>
      <c r="D3154" t="inlineStr">
        <is>
          <t>VÄSTERBOTTENS LÄN</t>
        </is>
      </c>
      <c r="E3154" t="inlineStr">
        <is>
          <t>SKELLEFTEÅ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35114-2024</t>
        </is>
      </c>
      <c r="B3155" s="1" t="n">
        <v>45530</v>
      </c>
      <c r="C3155" s="1" t="n">
        <v>45641</v>
      </c>
      <c r="D3155" t="inlineStr">
        <is>
          <t>VÄSTERBOTTENS LÄN</t>
        </is>
      </c>
      <c r="E3155" t="inlineStr">
        <is>
          <t>SKELLEFTEÅ</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35213-2024</t>
        </is>
      </c>
      <c r="B3156" s="1" t="n">
        <v>45530</v>
      </c>
      <c r="C3156" s="1" t="n">
        <v>45641</v>
      </c>
      <c r="D3156" t="inlineStr">
        <is>
          <t>VÄSTERBOTTENS LÄN</t>
        </is>
      </c>
      <c r="E3156" t="inlineStr">
        <is>
          <t>SKELLEFTEÅ</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35135-2024</t>
        </is>
      </c>
      <c r="B3157" s="1" t="n">
        <v>45530</v>
      </c>
      <c r="C3157" s="1" t="n">
        <v>45641</v>
      </c>
      <c r="D3157" t="inlineStr">
        <is>
          <t>VÄSTERBOTTENS LÄN</t>
        </is>
      </c>
      <c r="E3157" t="inlineStr">
        <is>
          <t>SKELLEFTEÅ</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35168-2024</t>
        </is>
      </c>
      <c r="B3158" s="1" t="n">
        <v>45530</v>
      </c>
      <c r="C3158" s="1" t="n">
        <v>45641</v>
      </c>
      <c r="D3158" t="inlineStr">
        <is>
          <t>VÄSTERBOTTENS LÄN</t>
        </is>
      </c>
      <c r="E3158" t="inlineStr">
        <is>
          <t>SKELLEFTEÅ</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35216-2024</t>
        </is>
      </c>
      <c r="B3159" s="1" t="n">
        <v>45530</v>
      </c>
      <c r="C3159" s="1" t="n">
        <v>45641</v>
      </c>
      <c r="D3159" t="inlineStr">
        <is>
          <t>VÄSTERBOTTENS LÄN</t>
        </is>
      </c>
      <c r="E3159" t="inlineStr">
        <is>
          <t>SKELLEFTEÅ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35208-2024</t>
        </is>
      </c>
      <c r="B3160" s="1" t="n">
        <v>45530</v>
      </c>
      <c r="C3160" s="1" t="n">
        <v>45641</v>
      </c>
      <c r="D3160" t="inlineStr">
        <is>
          <t>VÄSTERBOTTENS LÄN</t>
        </is>
      </c>
      <c r="E3160" t="inlineStr">
        <is>
          <t>SKELLEFTEÅ</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35435-2024</t>
        </is>
      </c>
      <c r="B3161" s="1" t="n">
        <v>45531</v>
      </c>
      <c r="C3161" s="1" t="n">
        <v>45641</v>
      </c>
      <c r="D3161" t="inlineStr">
        <is>
          <t>VÄSTERBOTTENS LÄN</t>
        </is>
      </c>
      <c r="E3161" t="inlineStr">
        <is>
          <t>SKELLEFTEÅ</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35800-2024</t>
        </is>
      </c>
      <c r="B3162" s="1" t="n">
        <v>45532</v>
      </c>
      <c r="C3162" s="1" t="n">
        <v>45641</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35807-2024</t>
        </is>
      </c>
      <c r="B3163" s="1" t="n">
        <v>45532</v>
      </c>
      <c r="C3163" s="1" t="n">
        <v>45641</v>
      </c>
      <c r="D3163" t="inlineStr">
        <is>
          <t>VÄSTERBOTTENS LÄN</t>
        </is>
      </c>
      <c r="E3163" t="inlineStr">
        <is>
          <t>SKELLEFTEÅ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35881-2024</t>
        </is>
      </c>
      <c r="B3164" s="1" t="n">
        <v>45533</v>
      </c>
      <c r="C3164" s="1" t="n">
        <v>45641</v>
      </c>
      <c r="D3164" t="inlineStr">
        <is>
          <t>VÄSTERBOTTENS LÄN</t>
        </is>
      </c>
      <c r="E3164" t="inlineStr">
        <is>
          <t>SKELLEFTEÅ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35880-2024</t>
        </is>
      </c>
      <c r="B3165" s="1" t="n">
        <v>45533</v>
      </c>
      <c r="C3165" s="1" t="n">
        <v>45641</v>
      </c>
      <c r="D3165" t="inlineStr">
        <is>
          <t>VÄSTERBOTTENS LÄN</t>
        </is>
      </c>
      <c r="E3165" t="inlineStr">
        <is>
          <t>SKELLEFTEÅ</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36201-2024</t>
        </is>
      </c>
      <c r="B3166" s="1" t="n">
        <v>45534</v>
      </c>
      <c r="C3166" s="1" t="n">
        <v>45641</v>
      </c>
      <c r="D3166" t="inlineStr">
        <is>
          <t>VÄSTERBOTTENS LÄN</t>
        </is>
      </c>
      <c r="E3166" t="inlineStr">
        <is>
          <t>SKELLEFTEÅ</t>
        </is>
      </c>
      <c r="F3166" t="inlineStr">
        <is>
          <t>Holmen skog AB</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36213-2024</t>
        </is>
      </c>
      <c r="B3167" s="1" t="n">
        <v>45534</v>
      </c>
      <c r="C3167" s="1" t="n">
        <v>45641</v>
      </c>
      <c r="D3167" t="inlineStr">
        <is>
          <t>VÄSTERBOTTENS LÄN</t>
        </is>
      </c>
      <c r="E3167" t="inlineStr">
        <is>
          <t>SKELLEFTEÅ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36122-2024</t>
        </is>
      </c>
      <c r="B3168" s="1" t="n">
        <v>45534</v>
      </c>
      <c r="C3168" s="1" t="n">
        <v>45641</v>
      </c>
      <c r="D3168" t="inlineStr">
        <is>
          <t>VÄSTERBOTTENS LÄN</t>
        </is>
      </c>
      <c r="E3168" t="inlineStr">
        <is>
          <t>SKELLEFTEÅ</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36222-2024</t>
        </is>
      </c>
      <c r="B3169" s="1" t="n">
        <v>45534</v>
      </c>
      <c r="C3169" s="1" t="n">
        <v>45641</v>
      </c>
      <c r="D3169" t="inlineStr">
        <is>
          <t>VÄSTERBOTTENS LÄN</t>
        </is>
      </c>
      <c r="E3169" t="inlineStr">
        <is>
          <t>SKELLEFTEÅ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36216-2024</t>
        </is>
      </c>
      <c r="B3170" s="1" t="n">
        <v>45534</v>
      </c>
      <c r="C3170" s="1" t="n">
        <v>45641</v>
      </c>
      <c r="D3170" t="inlineStr">
        <is>
          <t>VÄSTERBOTTENS LÄN</t>
        </is>
      </c>
      <c r="E3170" t="inlineStr">
        <is>
          <t>SKELLEFTEÅ</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36297-2024</t>
        </is>
      </c>
      <c r="B3171" s="1" t="n">
        <v>45534</v>
      </c>
      <c r="C3171" s="1" t="n">
        <v>45641</v>
      </c>
      <c r="D3171" t="inlineStr">
        <is>
          <t>VÄSTERBOTTENS LÄN</t>
        </is>
      </c>
      <c r="E3171" t="inlineStr">
        <is>
          <t>SKELLEFTEÅ</t>
        </is>
      </c>
      <c r="F3171" t="inlineStr">
        <is>
          <t>Sveaskog</t>
        </is>
      </c>
      <c r="G3171" t="n">
        <v>20.9</v>
      </c>
      <c r="H3171" t="n">
        <v>0</v>
      </c>
      <c r="I3171" t="n">
        <v>0</v>
      </c>
      <c r="J3171" t="n">
        <v>0</v>
      </c>
      <c r="K3171" t="n">
        <v>0</v>
      </c>
      <c r="L3171" t="n">
        <v>0</v>
      </c>
      <c r="M3171" t="n">
        <v>0</v>
      </c>
      <c r="N3171" t="n">
        <v>0</v>
      </c>
      <c r="O3171" t="n">
        <v>0</v>
      </c>
      <c r="P3171" t="n">
        <v>0</v>
      </c>
      <c r="Q3171" t="n">
        <v>0</v>
      </c>
      <c r="R3171" s="2" t="inlineStr"/>
    </row>
    <row r="3172" ht="15" customHeight="1">
      <c r="A3172" t="inlineStr">
        <is>
          <t>A 36329-2024</t>
        </is>
      </c>
      <c r="B3172" s="1" t="n">
        <v>45534</v>
      </c>
      <c r="C3172" s="1" t="n">
        <v>45641</v>
      </c>
      <c r="D3172" t="inlineStr">
        <is>
          <t>VÄSTERBOTTENS LÄN</t>
        </is>
      </c>
      <c r="E3172" t="inlineStr">
        <is>
          <t>SKELLEFTEÅ</t>
        </is>
      </c>
      <c r="F3172" t="inlineStr">
        <is>
          <t>Holmen skog AB</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36351-2024</t>
        </is>
      </c>
      <c r="B3173" s="1" t="n">
        <v>45534</v>
      </c>
      <c r="C3173" s="1" t="n">
        <v>45641</v>
      </c>
      <c r="D3173" t="inlineStr">
        <is>
          <t>VÄSTERBOTTENS LÄN</t>
        </is>
      </c>
      <c r="E3173" t="inlineStr">
        <is>
          <t>SKELLEFTEÅ</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36379-2024</t>
        </is>
      </c>
      <c r="B3174" s="1" t="n">
        <v>45534</v>
      </c>
      <c r="C3174" s="1" t="n">
        <v>45641</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36339-2024</t>
        </is>
      </c>
      <c r="B3175" s="1" t="n">
        <v>45534</v>
      </c>
      <c r="C3175" s="1" t="n">
        <v>45641</v>
      </c>
      <c r="D3175" t="inlineStr">
        <is>
          <t>VÄSTERBOTTENS LÄN</t>
        </is>
      </c>
      <c r="E3175" t="inlineStr">
        <is>
          <t>SKELLEFTEÅ</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36490-2024</t>
        </is>
      </c>
      <c r="B3176" s="1" t="n">
        <v>45537</v>
      </c>
      <c r="C3176" s="1" t="n">
        <v>45641</v>
      </c>
      <c r="D3176" t="inlineStr">
        <is>
          <t>VÄSTERBOTTENS LÄN</t>
        </is>
      </c>
      <c r="E3176" t="inlineStr">
        <is>
          <t>SKELLEFTEÅ</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36546-2024</t>
        </is>
      </c>
      <c r="B3177" s="1" t="n">
        <v>45537</v>
      </c>
      <c r="C3177" s="1" t="n">
        <v>45641</v>
      </c>
      <c r="D3177" t="inlineStr">
        <is>
          <t>VÄSTERBOTTENS LÄN</t>
        </is>
      </c>
      <c r="E3177" t="inlineStr">
        <is>
          <t>SKELLEFTEÅ</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36513-2024</t>
        </is>
      </c>
      <c r="B3178" s="1" t="n">
        <v>45537</v>
      </c>
      <c r="C3178" s="1" t="n">
        <v>45641</v>
      </c>
      <c r="D3178" t="inlineStr">
        <is>
          <t>VÄSTERBOTTENS LÄN</t>
        </is>
      </c>
      <c r="E3178" t="inlineStr">
        <is>
          <t>SKELLEFTEÅ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36533-2024</t>
        </is>
      </c>
      <c r="B3179" s="1" t="n">
        <v>45537</v>
      </c>
      <c r="C3179" s="1" t="n">
        <v>45641</v>
      </c>
      <c r="D3179" t="inlineStr">
        <is>
          <t>VÄSTERBOTTENS LÄN</t>
        </is>
      </c>
      <c r="E3179" t="inlineStr">
        <is>
          <t>SKELLEFTEÅ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36537-2024</t>
        </is>
      </c>
      <c r="B3180" s="1" t="n">
        <v>45537</v>
      </c>
      <c r="C3180" s="1" t="n">
        <v>45641</v>
      </c>
      <c r="D3180" t="inlineStr">
        <is>
          <t>VÄSTERBOTTENS LÄN</t>
        </is>
      </c>
      <c r="E3180" t="inlineStr">
        <is>
          <t>SKELLEFTEÅ</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36698-2024</t>
        </is>
      </c>
      <c r="B3181" s="1" t="n">
        <v>45537</v>
      </c>
      <c r="C3181" s="1" t="n">
        <v>45641</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36794-2024</t>
        </is>
      </c>
      <c r="B3182" s="1" t="n">
        <v>45538</v>
      </c>
      <c r="C3182" s="1" t="n">
        <v>45641</v>
      </c>
      <c r="D3182" t="inlineStr">
        <is>
          <t>VÄSTERBOTTENS LÄN</t>
        </is>
      </c>
      <c r="E3182" t="inlineStr">
        <is>
          <t>SKELLEFTEÅ</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36806-2024</t>
        </is>
      </c>
      <c r="B3183" s="1" t="n">
        <v>45538</v>
      </c>
      <c r="C3183" s="1" t="n">
        <v>45641</v>
      </c>
      <c r="D3183" t="inlineStr">
        <is>
          <t>VÄSTERBOTTENS LÄN</t>
        </is>
      </c>
      <c r="E3183" t="inlineStr">
        <is>
          <t>SKELLEFTEÅ</t>
        </is>
      </c>
      <c r="F3183" t="inlineStr">
        <is>
          <t>Sveaskog</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36771-2024</t>
        </is>
      </c>
      <c r="B3184" s="1" t="n">
        <v>45538</v>
      </c>
      <c r="C3184" s="1" t="n">
        <v>45641</v>
      </c>
      <c r="D3184" t="inlineStr">
        <is>
          <t>VÄSTERBOTTENS LÄN</t>
        </is>
      </c>
      <c r="E3184" t="inlineStr">
        <is>
          <t>SKELLEFTEÅ</t>
        </is>
      </c>
      <c r="F3184" t="inlineStr">
        <is>
          <t>Holmen skog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36779-2024</t>
        </is>
      </c>
      <c r="B3185" s="1" t="n">
        <v>45538</v>
      </c>
      <c r="C3185" s="1" t="n">
        <v>45641</v>
      </c>
      <c r="D3185" t="inlineStr">
        <is>
          <t>VÄSTERBOTTENS LÄN</t>
        </is>
      </c>
      <c r="E3185" t="inlineStr">
        <is>
          <t>SKELLEFTEÅ</t>
        </is>
      </c>
      <c r="F3185" t="inlineStr">
        <is>
          <t>Holmen skog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36792-2024</t>
        </is>
      </c>
      <c r="B3186" s="1" t="n">
        <v>45538</v>
      </c>
      <c r="C3186" s="1" t="n">
        <v>45641</v>
      </c>
      <c r="D3186" t="inlineStr">
        <is>
          <t>VÄSTERBOTTENS LÄN</t>
        </is>
      </c>
      <c r="E3186" t="inlineStr">
        <is>
          <t>SKELLEFTEÅ</t>
        </is>
      </c>
      <c r="F3186" t="inlineStr">
        <is>
          <t>Sveaskog</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36800-2024</t>
        </is>
      </c>
      <c r="B3187" s="1" t="n">
        <v>45538</v>
      </c>
      <c r="C3187" s="1" t="n">
        <v>45641</v>
      </c>
      <c r="D3187" t="inlineStr">
        <is>
          <t>VÄSTERBOTTENS LÄN</t>
        </is>
      </c>
      <c r="E3187" t="inlineStr">
        <is>
          <t>SKELLEFTEÅ</t>
        </is>
      </c>
      <c r="F3187" t="inlineStr">
        <is>
          <t>Sveaskog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36823-2024</t>
        </is>
      </c>
      <c r="B3188" s="1" t="n">
        <v>45538</v>
      </c>
      <c r="C3188" s="1" t="n">
        <v>45641</v>
      </c>
      <c r="D3188" t="inlineStr">
        <is>
          <t>VÄSTERBOTTENS LÄN</t>
        </is>
      </c>
      <c r="E3188" t="inlineStr">
        <is>
          <t>SKELLEFTEÅ</t>
        </is>
      </c>
      <c r="F3188" t="inlineStr">
        <is>
          <t>Holmen skog AB</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36824-2024</t>
        </is>
      </c>
      <c r="B3189" s="1" t="n">
        <v>45538</v>
      </c>
      <c r="C3189" s="1" t="n">
        <v>45641</v>
      </c>
      <c r="D3189" t="inlineStr">
        <is>
          <t>VÄSTERBOTTENS LÄN</t>
        </is>
      </c>
      <c r="E3189" t="inlineStr">
        <is>
          <t>SKELLEFTEÅ</t>
        </is>
      </c>
      <c r="F3189" t="inlineStr">
        <is>
          <t>Sveaskog</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36867-2024</t>
        </is>
      </c>
      <c r="B3190" s="1" t="n">
        <v>45538</v>
      </c>
      <c r="C3190" s="1" t="n">
        <v>45641</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36895-2024</t>
        </is>
      </c>
      <c r="B3191" s="1" t="n">
        <v>45538</v>
      </c>
      <c r="C3191" s="1" t="n">
        <v>45641</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37139-2024</t>
        </is>
      </c>
      <c r="B3192" s="1" t="n">
        <v>45539</v>
      </c>
      <c r="C3192" s="1" t="n">
        <v>45641</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37298-2024</t>
        </is>
      </c>
      <c r="B3193" s="1" t="n">
        <v>45540</v>
      </c>
      <c r="C3193" s="1" t="n">
        <v>45641</v>
      </c>
      <c r="D3193" t="inlineStr">
        <is>
          <t>VÄSTERBOTTENS LÄN</t>
        </is>
      </c>
      <c r="E3193" t="inlineStr">
        <is>
          <t>SKELLEFTEÅ</t>
        </is>
      </c>
      <c r="F3193" t="inlineStr">
        <is>
          <t>Holmen skog AB</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37320-2024</t>
        </is>
      </c>
      <c r="B3194" s="1" t="n">
        <v>45540</v>
      </c>
      <c r="C3194" s="1" t="n">
        <v>45641</v>
      </c>
      <c r="D3194" t="inlineStr">
        <is>
          <t>VÄSTERBOTTENS LÄN</t>
        </is>
      </c>
      <c r="E3194" t="inlineStr">
        <is>
          <t>SKELLEFTEÅ</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37499-2024</t>
        </is>
      </c>
      <c r="B3195" s="1" t="n">
        <v>45541</v>
      </c>
      <c r="C3195" s="1" t="n">
        <v>45641</v>
      </c>
      <c r="D3195" t="inlineStr">
        <is>
          <t>VÄSTERBOTTENS LÄN</t>
        </is>
      </c>
      <c r="E3195" t="inlineStr">
        <is>
          <t>SKELLEFTEÅ</t>
        </is>
      </c>
      <c r="F3195" t="inlineStr">
        <is>
          <t>Holmen skog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37547-2024</t>
        </is>
      </c>
      <c r="B3196" s="1" t="n">
        <v>45541</v>
      </c>
      <c r="C3196" s="1" t="n">
        <v>45641</v>
      </c>
      <c r="D3196" t="inlineStr">
        <is>
          <t>VÄSTERBOTTENS LÄN</t>
        </is>
      </c>
      <c r="E3196" t="inlineStr">
        <is>
          <t>SKELLEFTEÅ</t>
        </is>
      </c>
      <c r="F3196" t="inlineStr">
        <is>
          <t>Holmen skog AB</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37760-2024</t>
        </is>
      </c>
      <c r="B3197" s="1" t="n">
        <v>45541</v>
      </c>
      <c r="C3197" s="1" t="n">
        <v>45641</v>
      </c>
      <c r="D3197" t="inlineStr">
        <is>
          <t>VÄSTERBOTTENS LÄN</t>
        </is>
      </c>
      <c r="E3197" t="inlineStr">
        <is>
          <t>SKELLEFTEÅ</t>
        </is>
      </c>
      <c r="F3197" t="inlineStr">
        <is>
          <t>Sveaskog</t>
        </is>
      </c>
      <c r="G3197" t="n">
        <v>27.6</v>
      </c>
      <c r="H3197" t="n">
        <v>0</v>
      </c>
      <c r="I3197" t="n">
        <v>0</v>
      </c>
      <c r="J3197" t="n">
        <v>0</v>
      </c>
      <c r="K3197" t="n">
        <v>0</v>
      </c>
      <c r="L3197" t="n">
        <v>0</v>
      </c>
      <c r="M3197" t="n">
        <v>0</v>
      </c>
      <c r="N3197" t="n">
        <v>0</v>
      </c>
      <c r="O3197" t="n">
        <v>0</v>
      </c>
      <c r="P3197" t="n">
        <v>0</v>
      </c>
      <c r="Q3197" t="n">
        <v>0</v>
      </c>
      <c r="R3197" s="2" t="inlineStr"/>
    </row>
    <row r="3198" ht="15" customHeight="1">
      <c r="A3198" t="inlineStr">
        <is>
          <t>A 37892-2024</t>
        </is>
      </c>
      <c r="B3198" s="1" t="n">
        <v>45544</v>
      </c>
      <c r="C3198" s="1" t="n">
        <v>45641</v>
      </c>
      <c r="D3198" t="inlineStr">
        <is>
          <t>VÄSTERBOTTENS LÄN</t>
        </is>
      </c>
      <c r="E3198" t="inlineStr">
        <is>
          <t>SKELLEFTEÅ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37946-2024</t>
        </is>
      </c>
      <c r="B3199" s="1" t="n">
        <v>45544</v>
      </c>
      <c r="C3199" s="1" t="n">
        <v>45641</v>
      </c>
      <c r="D3199" t="inlineStr">
        <is>
          <t>VÄSTERBOTTENS LÄN</t>
        </is>
      </c>
      <c r="E3199" t="inlineStr">
        <is>
          <t>SKELLEFTEÅ</t>
        </is>
      </c>
      <c r="F3199" t="inlineStr">
        <is>
          <t>Holmen skog AB</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38023-2024</t>
        </is>
      </c>
      <c r="B3200" s="1" t="n">
        <v>45544</v>
      </c>
      <c r="C3200" s="1" t="n">
        <v>45641</v>
      </c>
      <c r="D3200" t="inlineStr">
        <is>
          <t>VÄSTERBOTTENS LÄN</t>
        </is>
      </c>
      <c r="E3200" t="inlineStr">
        <is>
          <t>SKELLEFTEÅ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38432-2024</t>
        </is>
      </c>
      <c r="B3201" s="1" t="n">
        <v>45546</v>
      </c>
      <c r="C3201" s="1" t="n">
        <v>45641</v>
      </c>
      <c r="D3201" t="inlineStr">
        <is>
          <t>VÄSTERBOTTENS LÄN</t>
        </is>
      </c>
      <c r="E3201" t="inlineStr">
        <is>
          <t>SKELLEFTEÅ</t>
        </is>
      </c>
      <c r="F3201" t="inlineStr">
        <is>
          <t>Holmen skog AB</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38496-2024</t>
        </is>
      </c>
      <c r="B3202" s="1" t="n">
        <v>45546</v>
      </c>
      <c r="C3202" s="1" t="n">
        <v>45641</v>
      </c>
      <c r="D3202" t="inlineStr">
        <is>
          <t>VÄSTERBOTTENS LÄN</t>
        </is>
      </c>
      <c r="E3202" t="inlineStr">
        <is>
          <t>SKELLEFTEÅ</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38558-2024</t>
        </is>
      </c>
      <c r="B3203" s="1" t="n">
        <v>45546</v>
      </c>
      <c r="C3203" s="1" t="n">
        <v>45641</v>
      </c>
      <c r="D3203" t="inlineStr">
        <is>
          <t>VÄSTERBOTTENS LÄN</t>
        </is>
      </c>
      <c r="E3203" t="inlineStr">
        <is>
          <t>SKELLEFTEÅ</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38398-2024</t>
        </is>
      </c>
      <c r="B3204" s="1" t="n">
        <v>45546</v>
      </c>
      <c r="C3204" s="1" t="n">
        <v>45641</v>
      </c>
      <c r="D3204" t="inlineStr">
        <is>
          <t>VÄSTERBOTTENS LÄN</t>
        </is>
      </c>
      <c r="E3204" t="inlineStr">
        <is>
          <t>SKELLEFTEÅ</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38430-2024</t>
        </is>
      </c>
      <c r="B3205" s="1" t="n">
        <v>45546</v>
      </c>
      <c r="C3205" s="1" t="n">
        <v>45641</v>
      </c>
      <c r="D3205" t="inlineStr">
        <is>
          <t>VÄSTERBOTTENS LÄN</t>
        </is>
      </c>
      <c r="E3205" t="inlineStr">
        <is>
          <t>SKELLEFTEÅ</t>
        </is>
      </c>
      <c r="F3205" t="inlineStr">
        <is>
          <t>Holmen skog AB</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38445-2024</t>
        </is>
      </c>
      <c r="B3206" s="1" t="n">
        <v>45546</v>
      </c>
      <c r="C3206" s="1" t="n">
        <v>45641</v>
      </c>
      <c r="D3206" t="inlineStr">
        <is>
          <t>VÄSTERBOTTENS LÄN</t>
        </is>
      </c>
      <c r="E3206" t="inlineStr">
        <is>
          <t>SKELLEFTEÅ</t>
        </is>
      </c>
      <c r="F3206" t="inlineStr">
        <is>
          <t>Holmen skog AB</t>
        </is>
      </c>
      <c r="G3206" t="n">
        <v>20.4</v>
      </c>
      <c r="H3206" t="n">
        <v>0</v>
      </c>
      <c r="I3206" t="n">
        <v>0</v>
      </c>
      <c r="J3206" t="n">
        <v>0</v>
      </c>
      <c r="K3206" t="n">
        <v>0</v>
      </c>
      <c r="L3206" t="n">
        <v>0</v>
      </c>
      <c r="M3206" t="n">
        <v>0</v>
      </c>
      <c r="N3206" t="n">
        <v>0</v>
      </c>
      <c r="O3206" t="n">
        <v>0</v>
      </c>
      <c r="P3206" t="n">
        <v>0</v>
      </c>
      <c r="Q3206" t="n">
        <v>0</v>
      </c>
      <c r="R3206" s="2" t="inlineStr"/>
    </row>
    <row r="3207" ht="15" customHeight="1">
      <c r="A3207" t="inlineStr">
        <is>
          <t>A 38493-2024</t>
        </is>
      </c>
      <c r="B3207" s="1" t="n">
        <v>45546</v>
      </c>
      <c r="C3207" s="1" t="n">
        <v>45641</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38503-2024</t>
        </is>
      </c>
      <c r="B3208" s="1" t="n">
        <v>45546</v>
      </c>
      <c r="C3208" s="1" t="n">
        <v>45641</v>
      </c>
      <c r="D3208" t="inlineStr">
        <is>
          <t>VÄSTERBOTTENS LÄN</t>
        </is>
      </c>
      <c r="E3208" t="inlineStr">
        <is>
          <t>SKELLEFTEÅ</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38532-2024</t>
        </is>
      </c>
      <c r="B3209" s="1" t="n">
        <v>45546</v>
      </c>
      <c r="C3209" s="1" t="n">
        <v>45641</v>
      </c>
      <c r="D3209" t="inlineStr">
        <is>
          <t>VÄSTERBOTTENS LÄN</t>
        </is>
      </c>
      <c r="E3209" t="inlineStr">
        <is>
          <t>SKELLEFTEÅ</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38568-2024</t>
        </is>
      </c>
      <c r="B3210" s="1" t="n">
        <v>45546</v>
      </c>
      <c r="C3210" s="1" t="n">
        <v>45641</v>
      </c>
      <c r="D3210" t="inlineStr">
        <is>
          <t>VÄSTERBOTTENS LÄN</t>
        </is>
      </c>
      <c r="E3210" t="inlineStr">
        <is>
          <t>SKELLEFTEÅ</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38588-2024</t>
        </is>
      </c>
      <c r="B3211" s="1" t="n">
        <v>45546</v>
      </c>
      <c r="C3211" s="1" t="n">
        <v>45641</v>
      </c>
      <c r="D3211" t="inlineStr">
        <is>
          <t>VÄSTERBOTTENS LÄN</t>
        </is>
      </c>
      <c r="E3211" t="inlineStr">
        <is>
          <t>SKELLEFTEÅ</t>
        </is>
      </c>
      <c r="F3211" t="inlineStr">
        <is>
          <t>Holmen skog AB</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38616-2024</t>
        </is>
      </c>
      <c r="B3212" s="1" t="n">
        <v>45546</v>
      </c>
      <c r="C3212" s="1" t="n">
        <v>45641</v>
      </c>
      <c r="D3212" t="inlineStr">
        <is>
          <t>VÄSTERBOTTENS LÄN</t>
        </is>
      </c>
      <c r="E3212" t="inlineStr">
        <is>
          <t>SKELLEFTEÅ</t>
        </is>
      </c>
      <c r="F3212" t="inlineStr">
        <is>
          <t>Holmen skog AB</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38620-2024</t>
        </is>
      </c>
      <c r="B3213" s="1" t="n">
        <v>45546</v>
      </c>
      <c r="C3213" s="1" t="n">
        <v>45641</v>
      </c>
      <c r="D3213" t="inlineStr">
        <is>
          <t>VÄSTERBOTTENS LÄN</t>
        </is>
      </c>
      <c r="E3213" t="inlineStr">
        <is>
          <t>SKELLEFTEÅ</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38637-2024</t>
        </is>
      </c>
      <c r="B3214" s="1" t="n">
        <v>45546</v>
      </c>
      <c r="C3214" s="1" t="n">
        <v>45641</v>
      </c>
      <c r="D3214" t="inlineStr">
        <is>
          <t>VÄSTERBOTTENS LÄN</t>
        </is>
      </c>
      <c r="E3214" t="inlineStr">
        <is>
          <t>SKELLEFTEÅ</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38635-2024</t>
        </is>
      </c>
      <c r="B3215" s="1" t="n">
        <v>45546</v>
      </c>
      <c r="C3215" s="1" t="n">
        <v>45641</v>
      </c>
      <c r="D3215" t="inlineStr">
        <is>
          <t>VÄSTERBOTTENS LÄN</t>
        </is>
      </c>
      <c r="E3215" t="inlineStr">
        <is>
          <t>SKELLEFTEÅ</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38657-2024</t>
        </is>
      </c>
      <c r="B3216" s="1" t="n">
        <v>45546</v>
      </c>
      <c r="C3216" s="1" t="n">
        <v>45641</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38706-2024</t>
        </is>
      </c>
      <c r="B3217" s="1" t="n">
        <v>45547</v>
      </c>
      <c r="C3217" s="1" t="n">
        <v>45641</v>
      </c>
      <c r="D3217" t="inlineStr">
        <is>
          <t>VÄSTERBOTTENS LÄN</t>
        </is>
      </c>
      <c r="E3217" t="inlineStr">
        <is>
          <t>SKELLEFTEÅ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38935-2024</t>
        </is>
      </c>
      <c r="B3218" s="1" t="n">
        <v>45548</v>
      </c>
      <c r="C3218" s="1" t="n">
        <v>45641</v>
      </c>
      <c r="D3218" t="inlineStr">
        <is>
          <t>VÄSTERBOTTENS LÄN</t>
        </is>
      </c>
      <c r="E3218" t="inlineStr">
        <is>
          <t>SKELLEFTEÅ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38957-2024</t>
        </is>
      </c>
      <c r="B3219" s="1" t="n">
        <v>45548</v>
      </c>
      <c r="C3219" s="1" t="n">
        <v>45641</v>
      </c>
      <c r="D3219" t="inlineStr">
        <is>
          <t>VÄSTERBOTTENS LÄN</t>
        </is>
      </c>
      <c r="E3219" t="inlineStr">
        <is>
          <t>SKELLEFTEÅ</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39054-2024</t>
        </is>
      </c>
      <c r="B3220" s="1" t="n">
        <v>45548</v>
      </c>
      <c r="C3220" s="1" t="n">
        <v>45641</v>
      </c>
      <c r="D3220" t="inlineStr">
        <is>
          <t>VÄSTERBOTTENS LÄN</t>
        </is>
      </c>
      <c r="E3220" t="inlineStr">
        <is>
          <t>SKELLEFTEÅ</t>
        </is>
      </c>
      <c r="F3220" t="inlineStr">
        <is>
          <t>Sveaskog</t>
        </is>
      </c>
      <c r="G3220" t="n">
        <v>12.3</v>
      </c>
      <c r="H3220" t="n">
        <v>0</v>
      </c>
      <c r="I3220" t="n">
        <v>0</v>
      </c>
      <c r="J3220" t="n">
        <v>0</v>
      </c>
      <c r="K3220" t="n">
        <v>0</v>
      </c>
      <c r="L3220" t="n">
        <v>0</v>
      </c>
      <c r="M3220" t="n">
        <v>0</v>
      </c>
      <c r="N3220" t="n">
        <v>0</v>
      </c>
      <c r="O3220" t="n">
        <v>0</v>
      </c>
      <c r="P3220" t="n">
        <v>0</v>
      </c>
      <c r="Q3220" t="n">
        <v>0</v>
      </c>
      <c r="R3220" s="2" t="inlineStr"/>
    </row>
    <row r="3221" ht="15" customHeight="1">
      <c r="A3221" t="inlineStr">
        <is>
          <t>A 39146-2024</t>
        </is>
      </c>
      <c r="B3221" s="1" t="n">
        <v>45548</v>
      </c>
      <c r="C3221" s="1" t="n">
        <v>45641</v>
      </c>
      <c r="D3221" t="inlineStr">
        <is>
          <t>VÄSTERBOTTENS LÄN</t>
        </is>
      </c>
      <c r="E3221" t="inlineStr">
        <is>
          <t>SKELLEFTEÅ</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39133-2024</t>
        </is>
      </c>
      <c r="B3222" s="1" t="n">
        <v>45548</v>
      </c>
      <c r="C3222" s="1" t="n">
        <v>45641</v>
      </c>
      <c r="D3222" t="inlineStr">
        <is>
          <t>VÄSTERBOTTENS LÄN</t>
        </is>
      </c>
      <c r="E3222" t="inlineStr">
        <is>
          <t>SKELLEFTEÅ</t>
        </is>
      </c>
      <c r="F3222" t="inlineStr">
        <is>
          <t>Sveaskog</t>
        </is>
      </c>
      <c r="G3222" t="n">
        <v>12.6</v>
      </c>
      <c r="H3222" t="n">
        <v>0</v>
      </c>
      <c r="I3222" t="n">
        <v>0</v>
      </c>
      <c r="J3222" t="n">
        <v>0</v>
      </c>
      <c r="K3222" t="n">
        <v>0</v>
      </c>
      <c r="L3222" t="n">
        <v>0</v>
      </c>
      <c r="M3222" t="n">
        <v>0</v>
      </c>
      <c r="N3222" t="n">
        <v>0</v>
      </c>
      <c r="O3222" t="n">
        <v>0</v>
      </c>
      <c r="P3222" t="n">
        <v>0</v>
      </c>
      <c r="Q3222" t="n">
        <v>0</v>
      </c>
      <c r="R3222" s="2" t="inlineStr"/>
    </row>
    <row r="3223" ht="15" customHeight="1">
      <c r="A3223" t="inlineStr">
        <is>
          <t>A 39371-2024</t>
        </is>
      </c>
      <c r="B3223" s="1" t="n">
        <v>45551</v>
      </c>
      <c r="C3223" s="1" t="n">
        <v>45641</v>
      </c>
      <c r="D3223" t="inlineStr">
        <is>
          <t>VÄSTERBOTTENS LÄN</t>
        </is>
      </c>
      <c r="E3223" t="inlineStr">
        <is>
          <t>SKELLEFTEÅ</t>
        </is>
      </c>
      <c r="G3223" t="n">
        <v>9.6</v>
      </c>
      <c r="H3223" t="n">
        <v>0</v>
      </c>
      <c r="I3223" t="n">
        <v>0</v>
      </c>
      <c r="J3223" t="n">
        <v>0</v>
      </c>
      <c r="K3223" t="n">
        <v>0</v>
      </c>
      <c r="L3223" t="n">
        <v>0</v>
      </c>
      <c r="M3223" t="n">
        <v>0</v>
      </c>
      <c r="N3223" t="n">
        <v>0</v>
      </c>
      <c r="O3223" t="n">
        <v>0</v>
      </c>
      <c r="P3223" t="n">
        <v>0</v>
      </c>
      <c r="Q3223" t="n">
        <v>0</v>
      </c>
      <c r="R3223" s="2" t="inlineStr"/>
    </row>
    <row r="3224" ht="15" customHeight="1">
      <c r="A3224" t="inlineStr">
        <is>
          <t>A 39444-2024</t>
        </is>
      </c>
      <c r="B3224" s="1" t="n">
        <v>45551</v>
      </c>
      <c r="C3224" s="1" t="n">
        <v>45641</v>
      </c>
      <c r="D3224" t="inlineStr">
        <is>
          <t>VÄSTERBOTTENS LÄN</t>
        </is>
      </c>
      <c r="E3224" t="inlineStr">
        <is>
          <t>SKELLEFTEÅ</t>
        </is>
      </c>
      <c r="F3224" t="inlineStr">
        <is>
          <t>Kommuner</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39465-2024</t>
        </is>
      </c>
      <c r="B3225" s="1" t="n">
        <v>45551</v>
      </c>
      <c r="C3225" s="1" t="n">
        <v>45641</v>
      </c>
      <c r="D3225" t="inlineStr">
        <is>
          <t>VÄSTERBOTTENS LÄN</t>
        </is>
      </c>
      <c r="E3225" t="inlineStr">
        <is>
          <t>SKELLEFTEÅ</t>
        </is>
      </c>
      <c r="F3225" t="inlineStr">
        <is>
          <t>Holmen skog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39464-2024</t>
        </is>
      </c>
      <c r="B3226" s="1" t="n">
        <v>45551</v>
      </c>
      <c r="C3226" s="1" t="n">
        <v>45641</v>
      </c>
      <c r="D3226" t="inlineStr">
        <is>
          <t>VÄSTERBOTTENS LÄN</t>
        </is>
      </c>
      <c r="E3226" t="inlineStr">
        <is>
          <t>SKELLEFTEÅ</t>
        </is>
      </c>
      <c r="F3226" t="inlineStr">
        <is>
          <t>Holmen skog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39468-2024</t>
        </is>
      </c>
      <c r="B3227" s="1" t="n">
        <v>45551</v>
      </c>
      <c r="C3227" s="1" t="n">
        <v>45641</v>
      </c>
      <c r="D3227" t="inlineStr">
        <is>
          <t>VÄSTERBOTTENS LÄN</t>
        </is>
      </c>
      <c r="E3227" t="inlineStr">
        <is>
          <t>SKELLEFTEÅ</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39690-2024</t>
        </is>
      </c>
      <c r="B3228" s="1" t="n">
        <v>45552</v>
      </c>
      <c r="C3228" s="1" t="n">
        <v>45641</v>
      </c>
      <c r="D3228" t="inlineStr">
        <is>
          <t>VÄSTERBOTTENS LÄN</t>
        </is>
      </c>
      <c r="E3228" t="inlineStr">
        <is>
          <t>SKELLEFTEÅ</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39765-2024</t>
        </is>
      </c>
      <c r="B3229" s="1" t="n">
        <v>45552</v>
      </c>
      <c r="C3229" s="1" t="n">
        <v>45641</v>
      </c>
      <c r="D3229" t="inlineStr">
        <is>
          <t>VÄSTERBOTTENS LÄN</t>
        </is>
      </c>
      <c r="E3229" t="inlineStr">
        <is>
          <t>SKELLEFTEÅ</t>
        </is>
      </c>
      <c r="F3229" t="inlineStr">
        <is>
          <t>Sveaskog</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39691-2024</t>
        </is>
      </c>
      <c r="B3230" s="1" t="n">
        <v>45552</v>
      </c>
      <c r="C3230" s="1" t="n">
        <v>45641</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39794-2024</t>
        </is>
      </c>
      <c r="B3231" s="1" t="n">
        <v>45553</v>
      </c>
      <c r="C3231" s="1" t="n">
        <v>45641</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39852-2024</t>
        </is>
      </c>
      <c r="B3232" s="1" t="n">
        <v>45553</v>
      </c>
      <c r="C3232" s="1" t="n">
        <v>45641</v>
      </c>
      <c r="D3232" t="inlineStr">
        <is>
          <t>VÄSTERBOTTENS LÄN</t>
        </is>
      </c>
      <c r="E3232" t="inlineStr">
        <is>
          <t>SKELLEFTEÅ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39870-2024</t>
        </is>
      </c>
      <c r="B3233" s="1" t="n">
        <v>45553</v>
      </c>
      <c r="C3233" s="1" t="n">
        <v>45641</v>
      </c>
      <c r="D3233" t="inlineStr">
        <is>
          <t>VÄSTERBOTTENS LÄN</t>
        </is>
      </c>
      <c r="E3233" t="inlineStr">
        <is>
          <t>SKELLEFTEÅ</t>
        </is>
      </c>
      <c r="F3233" t="inlineStr">
        <is>
          <t>Holmen skog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40072-2024</t>
        </is>
      </c>
      <c r="B3234" s="1" t="n">
        <v>45554</v>
      </c>
      <c r="C3234" s="1" t="n">
        <v>45641</v>
      </c>
      <c r="D3234" t="inlineStr">
        <is>
          <t>VÄSTERBOTTENS LÄN</t>
        </is>
      </c>
      <c r="E3234" t="inlineStr">
        <is>
          <t>SKELLEFTEÅ</t>
        </is>
      </c>
      <c r="F3234" t="inlineStr">
        <is>
          <t>Holmen skog AB</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40205-2024</t>
        </is>
      </c>
      <c r="B3235" s="1" t="n">
        <v>45554</v>
      </c>
      <c r="C3235" s="1" t="n">
        <v>45641</v>
      </c>
      <c r="D3235" t="inlineStr">
        <is>
          <t>VÄSTERBOTTENS LÄN</t>
        </is>
      </c>
      <c r="E3235" t="inlineStr">
        <is>
          <t>SKELLEFTEÅ</t>
        </is>
      </c>
      <c r="F3235" t="inlineStr">
        <is>
          <t>Holmen skog AB</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40118-2024</t>
        </is>
      </c>
      <c r="B3236" s="1" t="n">
        <v>45554</v>
      </c>
      <c r="C3236" s="1" t="n">
        <v>45641</v>
      </c>
      <c r="D3236" t="inlineStr">
        <is>
          <t>VÄSTERBOTTENS LÄN</t>
        </is>
      </c>
      <c r="E3236" t="inlineStr">
        <is>
          <t>SKELLEFTEÅ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40122-2024</t>
        </is>
      </c>
      <c r="B3237" s="1" t="n">
        <v>45554</v>
      </c>
      <c r="C3237" s="1" t="n">
        <v>45641</v>
      </c>
      <c r="D3237" t="inlineStr">
        <is>
          <t>VÄSTERBOTTENS LÄN</t>
        </is>
      </c>
      <c r="E3237" t="inlineStr">
        <is>
          <t>SKELLEFTEÅ</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40253-2024</t>
        </is>
      </c>
      <c r="B3238" s="1" t="n">
        <v>45554</v>
      </c>
      <c r="C3238" s="1" t="n">
        <v>45641</v>
      </c>
      <c r="D3238" t="inlineStr">
        <is>
          <t>VÄSTERBOTTENS LÄN</t>
        </is>
      </c>
      <c r="E3238" t="inlineStr">
        <is>
          <t>SKELLEFTEÅ</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40093-2024</t>
        </is>
      </c>
      <c r="B3239" s="1" t="n">
        <v>45554</v>
      </c>
      <c r="C3239" s="1" t="n">
        <v>45641</v>
      </c>
      <c r="D3239" t="inlineStr">
        <is>
          <t>VÄSTERBOTTENS LÄN</t>
        </is>
      </c>
      <c r="E3239" t="inlineStr">
        <is>
          <t>SKELLEFTEÅ</t>
        </is>
      </c>
      <c r="F3239" t="inlineStr">
        <is>
          <t>Holmen skog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40198-2024</t>
        </is>
      </c>
      <c r="B3240" s="1" t="n">
        <v>45554</v>
      </c>
      <c r="C3240" s="1" t="n">
        <v>45641</v>
      </c>
      <c r="D3240" t="inlineStr">
        <is>
          <t>VÄSTERBOTTENS LÄN</t>
        </is>
      </c>
      <c r="E3240" t="inlineStr">
        <is>
          <t>SKELLEFTEÅ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40248-2024</t>
        </is>
      </c>
      <c r="B3241" s="1" t="n">
        <v>45554</v>
      </c>
      <c r="C3241" s="1" t="n">
        <v>45641</v>
      </c>
      <c r="D3241" t="inlineStr">
        <is>
          <t>VÄSTERBOTTENS LÄN</t>
        </is>
      </c>
      <c r="E3241" t="inlineStr">
        <is>
          <t>SKELLEFTEÅ</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40183-2024</t>
        </is>
      </c>
      <c r="B3242" s="1" t="n">
        <v>45554</v>
      </c>
      <c r="C3242" s="1" t="n">
        <v>45641</v>
      </c>
      <c r="D3242" t="inlineStr">
        <is>
          <t>VÄSTERBOTTENS LÄN</t>
        </is>
      </c>
      <c r="E3242" t="inlineStr">
        <is>
          <t>SKELLEFTEÅ</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40347-2024</t>
        </is>
      </c>
      <c r="B3243" s="1" t="n">
        <v>45555</v>
      </c>
      <c r="C3243" s="1" t="n">
        <v>45641</v>
      </c>
      <c r="D3243" t="inlineStr">
        <is>
          <t>VÄSTERBOTTENS LÄN</t>
        </is>
      </c>
      <c r="E3243" t="inlineStr">
        <is>
          <t>SKELLEFTEÅ</t>
        </is>
      </c>
      <c r="F3243" t="inlineStr">
        <is>
          <t>Kommuner</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40511-2024</t>
        </is>
      </c>
      <c r="B3244" s="1" t="n">
        <v>45555</v>
      </c>
      <c r="C3244" s="1" t="n">
        <v>45641</v>
      </c>
      <c r="D3244" t="inlineStr">
        <is>
          <t>VÄSTERBOTTENS LÄN</t>
        </is>
      </c>
      <c r="E3244" t="inlineStr">
        <is>
          <t>SKELLEFTEÅ</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40653-2024</t>
        </is>
      </c>
      <c r="B3245" s="1" t="n">
        <v>45558</v>
      </c>
      <c r="C3245" s="1" t="n">
        <v>45641</v>
      </c>
      <c r="D3245" t="inlineStr">
        <is>
          <t>VÄSTERBOTTENS LÄN</t>
        </is>
      </c>
      <c r="E3245" t="inlineStr">
        <is>
          <t>SKELLEFTEÅ</t>
        </is>
      </c>
      <c r="G3245" t="n">
        <v>12.8</v>
      </c>
      <c r="H3245" t="n">
        <v>0</v>
      </c>
      <c r="I3245" t="n">
        <v>0</v>
      </c>
      <c r="J3245" t="n">
        <v>0</v>
      </c>
      <c r="K3245" t="n">
        <v>0</v>
      </c>
      <c r="L3245" t="n">
        <v>0</v>
      </c>
      <c r="M3245" t="n">
        <v>0</v>
      </c>
      <c r="N3245" t="n">
        <v>0</v>
      </c>
      <c r="O3245" t="n">
        <v>0</v>
      </c>
      <c r="P3245" t="n">
        <v>0</v>
      </c>
      <c r="Q3245" t="n">
        <v>0</v>
      </c>
      <c r="R3245" s="2" t="inlineStr"/>
    </row>
    <row r="3246" ht="15" customHeight="1">
      <c r="A3246" t="inlineStr">
        <is>
          <t>A 40787-2024</t>
        </is>
      </c>
      <c r="B3246" s="1" t="n">
        <v>45558</v>
      </c>
      <c r="C3246" s="1" t="n">
        <v>45641</v>
      </c>
      <c r="D3246" t="inlineStr">
        <is>
          <t>VÄSTERBOTTENS LÄN</t>
        </is>
      </c>
      <c r="E3246" t="inlineStr">
        <is>
          <t>SKELLEFTEÅ</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40800-2024</t>
        </is>
      </c>
      <c r="B3247" s="1" t="n">
        <v>45558</v>
      </c>
      <c r="C3247" s="1" t="n">
        <v>45641</v>
      </c>
      <c r="D3247" t="inlineStr">
        <is>
          <t>VÄSTERBOTTENS LÄN</t>
        </is>
      </c>
      <c r="E3247" t="inlineStr">
        <is>
          <t>SKELLEFTEÅ</t>
        </is>
      </c>
      <c r="F3247" t="inlineStr">
        <is>
          <t>Sveaskog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40857-2024</t>
        </is>
      </c>
      <c r="B3248" s="1" t="n">
        <v>45558</v>
      </c>
      <c r="C3248" s="1" t="n">
        <v>45641</v>
      </c>
      <c r="D3248" t="inlineStr">
        <is>
          <t>VÄSTERBOTTENS LÄN</t>
        </is>
      </c>
      <c r="E3248" t="inlineStr">
        <is>
          <t>SKELLEFTEÅ</t>
        </is>
      </c>
      <c r="F3248" t="inlineStr">
        <is>
          <t>Holmen skog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40967-2024</t>
        </is>
      </c>
      <c r="B3249" s="1" t="n">
        <v>45558</v>
      </c>
      <c r="C3249" s="1" t="n">
        <v>45641</v>
      </c>
      <c r="D3249" t="inlineStr">
        <is>
          <t>VÄSTERBOTTENS LÄN</t>
        </is>
      </c>
      <c r="E3249" t="inlineStr">
        <is>
          <t>SKELLEFTEÅ</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40966-2024</t>
        </is>
      </c>
      <c r="B3250" s="1" t="n">
        <v>45558</v>
      </c>
      <c r="C3250" s="1" t="n">
        <v>45641</v>
      </c>
      <c r="D3250" t="inlineStr">
        <is>
          <t>VÄSTERBOTTENS LÄN</t>
        </is>
      </c>
      <c r="E3250" t="inlineStr">
        <is>
          <t>SKELLEFTEÅ</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40798-2024</t>
        </is>
      </c>
      <c r="B3251" s="1" t="n">
        <v>45558</v>
      </c>
      <c r="C3251" s="1" t="n">
        <v>45641</v>
      </c>
      <c r="D3251" t="inlineStr">
        <is>
          <t>VÄSTERBOTTENS LÄN</t>
        </is>
      </c>
      <c r="E3251" t="inlineStr">
        <is>
          <t>SKELLEFTEÅ</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40765-2024</t>
        </is>
      </c>
      <c r="B3252" s="1" t="n">
        <v>45558</v>
      </c>
      <c r="C3252" s="1" t="n">
        <v>45641</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40797-2024</t>
        </is>
      </c>
      <c r="B3253" s="1" t="n">
        <v>45558</v>
      </c>
      <c r="C3253" s="1" t="n">
        <v>45641</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40927-2024</t>
        </is>
      </c>
      <c r="B3254" s="1" t="n">
        <v>45558</v>
      </c>
      <c r="C3254" s="1" t="n">
        <v>45641</v>
      </c>
      <c r="D3254" t="inlineStr">
        <is>
          <t>VÄSTERBOTTENS LÄN</t>
        </is>
      </c>
      <c r="E3254" t="inlineStr">
        <is>
          <t>SKELLEFTEÅ</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41032-2024</t>
        </is>
      </c>
      <c r="B3255" s="1" t="n">
        <v>45558</v>
      </c>
      <c r="C3255" s="1" t="n">
        <v>45641</v>
      </c>
      <c r="D3255" t="inlineStr">
        <is>
          <t>VÄSTERBOTTENS LÄN</t>
        </is>
      </c>
      <c r="E3255" t="inlineStr">
        <is>
          <t>SKELLEFTEÅ</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41038-2024</t>
        </is>
      </c>
      <c r="B3256" s="1" t="n">
        <v>45559</v>
      </c>
      <c r="C3256" s="1" t="n">
        <v>45641</v>
      </c>
      <c r="D3256" t="inlineStr">
        <is>
          <t>VÄSTERBOTTENS LÄN</t>
        </is>
      </c>
      <c r="E3256" t="inlineStr">
        <is>
          <t>SKELLEFTEÅ</t>
        </is>
      </c>
      <c r="F3256" t="inlineStr">
        <is>
          <t>Sveaskog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41056-2024</t>
        </is>
      </c>
      <c r="B3257" s="1" t="n">
        <v>45559</v>
      </c>
      <c r="C3257" s="1" t="n">
        <v>45641</v>
      </c>
      <c r="D3257" t="inlineStr">
        <is>
          <t>VÄSTERBOTTENS LÄN</t>
        </is>
      </c>
      <c r="E3257" t="inlineStr">
        <is>
          <t>SKELLEFTEÅ</t>
        </is>
      </c>
      <c r="F3257" t="inlineStr">
        <is>
          <t>Holmen skog AB</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41064-2024</t>
        </is>
      </c>
      <c r="B3258" s="1" t="n">
        <v>45559</v>
      </c>
      <c r="C3258" s="1" t="n">
        <v>45641</v>
      </c>
      <c r="D3258" t="inlineStr">
        <is>
          <t>VÄSTERBOTTENS LÄN</t>
        </is>
      </c>
      <c r="E3258" t="inlineStr">
        <is>
          <t>SKELLEFTEÅ</t>
        </is>
      </c>
      <c r="F3258" t="inlineStr">
        <is>
          <t>Holmen skog AB</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41072-2024</t>
        </is>
      </c>
      <c r="B3259" s="1" t="n">
        <v>45559</v>
      </c>
      <c r="C3259" s="1" t="n">
        <v>45641</v>
      </c>
      <c r="D3259" t="inlineStr">
        <is>
          <t>VÄSTERBOTTENS LÄN</t>
        </is>
      </c>
      <c r="E3259" t="inlineStr">
        <is>
          <t>SKELLEFTEÅ</t>
        </is>
      </c>
      <c r="F3259" t="inlineStr">
        <is>
          <t>Holmen skog AB</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41112-2024</t>
        </is>
      </c>
      <c r="B3260" s="1" t="n">
        <v>45559</v>
      </c>
      <c r="C3260" s="1" t="n">
        <v>45641</v>
      </c>
      <c r="D3260" t="inlineStr">
        <is>
          <t>VÄSTERBOTTENS LÄN</t>
        </is>
      </c>
      <c r="E3260" t="inlineStr">
        <is>
          <t>SKELLEFTEÅ</t>
        </is>
      </c>
      <c r="F3260" t="inlineStr">
        <is>
          <t>Holmen skog AB</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41133-2024</t>
        </is>
      </c>
      <c r="B3261" s="1" t="n">
        <v>45559</v>
      </c>
      <c r="C3261" s="1" t="n">
        <v>45641</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41231-2024</t>
        </is>
      </c>
      <c r="B3262" s="1" t="n">
        <v>45559</v>
      </c>
      <c r="C3262" s="1" t="n">
        <v>45641</v>
      </c>
      <c r="D3262" t="inlineStr">
        <is>
          <t>VÄSTERBOTTENS LÄN</t>
        </is>
      </c>
      <c r="E3262" t="inlineStr">
        <is>
          <t>SKELLEFTEÅ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41190-2024</t>
        </is>
      </c>
      <c r="B3263" s="1" t="n">
        <v>45559</v>
      </c>
      <c r="C3263" s="1" t="n">
        <v>45641</v>
      </c>
      <c r="D3263" t="inlineStr">
        <is>
          <t>VÄSTERBOTTENS LÄN</t>
        </is>
      </c>
      <c r="E3263" t="inlineStr">
        <is>
          <t>SKELLEFTEÅ</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41198-2024</t>
        </is>
      </c>
      <c r="B3264" s="1" t="n">
        <v>45559</v>
      </c>
      <c r="C3264" s="1" t="n">
        <v>45641</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41226-2024</t>
        </is>
      </c>
      <c r="B3265" s="1" t="n">
        <v>45559</v>
      </c>
      <c r="C3265" s="1" t="n">
        <v>45641</v>
      </c>
      <c r="D3265" t="inlineStr">
        <is>
          <t>VÄSTERBOTTENS LÄN</t>
        </is>
      </c>
      <c r="E3265" t="inlineStr">
        <is>
          <t>SKELLEFTEÅ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41304-2024</t>
        </is>
      </c>
      <c r="B3266" s="1" t="n">
        <v>45559</v>
      </c>
      <c r="C3266" s="1" t="n">
        <v>45641</v>
      </c>
      <c r="D3266" t="inlineStr">
        <is>
          <t>VÄSTERBOTTENS LÄN</t>
        </is>
      </c>
      <c r="E3266" t="inlineStr">
        <is>
          <t>SKELLEFTEÅ</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41320-2024</t>
        </is>
      </c>
      <c r="B3267" s="1" t="n">
        <v>45559</v>
      </c>
      <c r="C3267" s="1" t="n">
        <v>45641</v>
      </c>
      <c r="D3267" t="inlineStr">
        <is>
          <t>VÄSTERBOTTENS LÄN</t>
        </is>
      </c>
      <c r="E3267" t="inlineStr">
        <is>
          <t>SKELLEFTEÅ</t>
        </is>
      </c>
      <c r="G3267" t="n">
        <v>24.7</v>
      </c>
      <c r="H3267" t="n">
        <v>0</v>
      </c>
      <c r="I3267" t="n">
        <v>0</v>
      </c>
      <c r="J3267" t="n">
        <v>0</v>
      </c>
      <c r="K3267" t="n">
        <v>0</v>
      </c>
      <c r="L3267" t="n">
        <v>0</v>
      </c>
      <c r="M3267" t="n">
        <v>0</v>
      </c>
      <c r="N3267" t="n">
        <v>0</v>
      </c>
      <c r="O3267" t="n">
        <v>0</v>
      </c>
      <c r="P3267" t="n">
        <v>0</v>
      </c>
      <c r="Q3267" t="n">
        <v>0</v>
      </c>
      <c r="R3267" s="2" t="inlineStr"/>
    </row>
    <row r="3268" ht="15" customHeight="1">
      <c r="A3268" t="inlineStr">
        <is>
          <t>A 41245-2024</t>
        </is>
      </c>
      <c r="B3268" s="1" t="n">
        <v>45559</v>
      </c>
      <c r="C3268" s="1" t="n">
        <v>45641</v>
      </c>
      <c r="D3268" t="inlineStr">
        <is>
          <t>VÄSTERBOTTENS LÄN</t>
        </is>
      </c>
      <c r="E3268" t="inlineStr">
        <is>
          <t>SKELLEFTEÅ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41297-2024</t>
        </is>
      </c>
      <c r="B3269" s="1" t="n">
        <v>45559</v>
      </c>
      <c r="C3269" s="1" t="n">
        <v>45641</v>
      </c>
      <c r="D3269" t="inlineStr">
        <is>
          <t>VÄSTERBOTTENS LÄN</t>
        </is>
      </c>
      <c r="E3269" t="inlineStr">
        <is>
          <t>SKELLEFTEÅ</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41319-2024</t>
        </is>
      </c>
      <c r="B3270" s="1" t="n">
        <v>45559</v>
      </c>
      <c r="C3270" s="1" t="n">
        <v>45641</v>
      </c>
      <c r="D3270" t="inlineStr">
        <is>
          <t>VÄSTERBOTTENS LÄN</t>
        </is>
      </c>
      <c r="E3270" t="inlineStr">
        <is>
          <t>SKELLEFTEÅ</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41033-2024</t>
        </is>
      </c>
      <c r="B3271" s="1" t="n">
        <v>45559</v>
      </c>
      <c r="C3271" s="1" t="n">
        <v>45641</v>
      </c>
      <c r="D3271" t="inlineStr">
        <is>
          <t>VÄSTERBOTTENS LÄN</t>
        </is>
      </c>
      <c r="E3271" t="inlineStr">
        <is>
          <t>SKELLEFTEÅ</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41037-2024</t>
        </is>
      </c>
      <c r="B3272" s="1" t="n">
        <v>45559</v>
      </c>
      <c r="C3272" s="1" t="n">
        <v>45641</v>
      </c>
      <c r="D3272" t="inlineStr">
        <is>
          <t>VÄSTERBOTTENS LÄN</t>
        </is>
      </c>
      <c r="E3272" t="inlineStr">
        <is>
          <t>SKELLEFTEÅ</t>
        </is>
      </c>
      <c r="F3272" t="inlineStr">
        <is>
          <t>Sveaskog</t>
        </is>
      </c>
      <c r="G3272" t="n">
        <v>22.5</v>
      </c>
      <c r="H3272" t="n">
        <v>0</v>
      </c>
      <c r="I3272" t="n">
        <v>0</v>
      </c>
      <c r="J3272" t="n">
        <v>0</v>
      </c>
      <c r="K3272" t="n">
        <v>0</v>
      </c>
      <c r="L3272" t="n">
        <v>0</v>
      </c>
      <c r="M3272" t="n">
        <v>0</v>
      </c>
      <c r="N3272" t="n">
        <v>0</v>
      </c>
      <c r="O3272" t="n">
        <v>0</v>
      </c>
      <c r="P3272" t="n">
        <v>0</v>
      </c>
      <c r="Q3272" t="n">
        <v>0</v>
      </c>
      <c r="R3272" s="2" t="inlineStr"/>
    </row>
    <row r="3273" ht="15" customHeight="1">
      <c r="A3273" t="inlineStr">
        <is>
          <t>A 41118-2024</t>
        </is>
      </c>
      <c r="B3273" s="1" t="n">
        <v>45559</v>
      </c>
      <c r="C3273" s="1" t="n">
        <v>45641</v>
      </c>
      <c r="D3273" t="inlineStr">
        <is>
          <t>VÄSTERBOTTENS LÄN</t>
        </is>
      </c>
      <c r="E3273" t="inlineStr">
        <is>
          <t>SKELLEFTEÅ</t>
        </is>
      </c>
      <c r="F3273" t="inlineStr">
        <is>
          <t>Holmen skog AB</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41155-2024</t>
        </is>
      </c>
      <c r="B3274" s="1" t="n">
        <v>45559</v>
      </c>
      <c r="C3274" s="1" t="n">
        <v>45641</v>
      </c>
      <c r="D3274" t="inlineStr">
        <is>
          <t>VÄSTERBOTTENS LÄN</t>
        </is>
      </c>
      <c r="E3274" t="inlineStr">
        <is>
          <t>SKELLEFTEÅ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41242-2024</t>
        </is>
      </c>
      <c r="B3275" s="1" t="n">
        <v>45559</v>
      </c>
      <c r="C3275" s="1" t="n">
        <v>45641</v>
      </c>
      <c r="D3275" t="inlineStr">
        <is>
          <t>VÄSTERBOTTENS LÄN</t>
        </is>
      </c>
      <c r="E3275" t="inlineStr">
        <is>
          <t>SKELLEFTEÅ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41669-2024</t>
        </is>
      </c>
      <c r="B3276" s="1" t="n">
        <v>45560</v>
      </c>
      <c r="C3276" s="1" t="n">
        <v>45641</v>
      </c>
      <c r="D3276" t="inlineStr">
        <is>
          <t>VÄSTERBOTTENS LÄN</t>
        </is>
      </c>
      <c r="E3276" t="inlineStr">
        <is>
          <t>SKELLEFTEÅ</t>
        </is>
      </c>
      <c r="F3276" t="inlineStr">
        <is>
          <t>Sveaskog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41642-2024</t>
        </is>
      </c>
      <c r="B3277" s="1" t="n">
        <v>45560</v>
      </c>
      <c r="C3277" s="1" t="n">
        <v>45641</v>
      </c>
      <c r="D3277" t="inlineStr">
        <is>
          <t>VÄSTERBOTTENS LÄN</t>
        </is>
      </c>
      <c r="E3277" t="inlineStr">
        <is>
          <t>SKELLEFTEÅ</t>
        </is>
      </c>
      <c r="F3277" t="inlineStr">
        <is>
          <t>Holmen skog AB</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41582-2024</t>
        </is>
      </c>
      <c r="B3278" s="1" t="n">
        <v>45560</v>
      </c>
      <c r="C3278" s="1" t="n">
        <v>45641</v>
      </c>
      <c r="D3278" t="inlineStr">
        <is>
          <t>VÄSTERBOTTENS LÄN</t>
        </is>
      </c>
      <c r="E3278" t="inlineStr">
        <is>
          <t>SKELLEFTEÅ</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41710-2024</t>
        </is>
      </c>
      <c r="B3279" s="1" t="n">
        <v>45560</v>
      </c>
      <c r="C3279" s="1" t="n">
        <v>45641</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41794-2024</t>
        </is>
      </c>
      <c r="B3280" s="1" t="n">
        <v>45561</v>
      </c>
      <c r="C3280" s="1" t="n">
        <v>45641</v>
      </c>
      <c r="D3280" t="inlineStr">
        <is>
          <t>VÄSTERBOTTENS LÄN</t>
        </is>
      </c>
      <c r="E3280" t="inlineStr">
        <is>
          <t>SKELLEFTEÅ</t>
        </is>
      </c>
      <c r="F3280" t="inlineStr">
        <is>
          <t>Kommuner</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42249-2024</t>
        </is>
      </c>
      <c r="B3281" s="1" t="n">
        <v>45562</v>
      </c>
      <c r="C3281" s="1" t="n">
        <v>45641</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42297-2024</t>
        </is>
      </c>
      <c r="B3282" s="1" t="n">
        <v>45562</v>
      </c>
      <c r="C3282" s="1" t="n">
        <v>45641</v>
      </c>
      <c r="D3282" t="inlineStr">
        <is>
          <t>VÄSTERBOTTENS LÄN</t>
        </is>
      </c>
      <c r="E3282" t="inlineStr">
        <is>
          <t>SKELLEFTEÅ</t>
        </is>
      </c>
      <c r="G3282" t="n">
        <v>14.4</v>
      </c>
      <c r="H3282" t="n">
        <v>0</v>
      </c>
      <c r="I3282" t="n">
        <v>0</v>
      </c>
      <c r="J3282" t="n">
        <v>0</v>
      </c>
      <c r="K3282" t="n">
        <v>0</v>
      </c>
      <c r="L3282" t="n">
        <v>0</v>
      </c>
      <c r="M3282" t="n">
        <v>0</v>
      </c>
      <c r="N3282" t="n">
        <v>0</v>
      </c>
      <c r="O3282" t="n">
        <v>0</v>
      </c>
      <c r="P3282" t="n">
        <v>0</v>
      </c>
      <c r="Q3282" t="n">
        <v>0</v>
      </c>
      <c r="R3282" s="2" t="inlineStr"/>
    </row>
    <row r="3283" ht="15" customHeight="1">
      <c r="A3283" t="inlineStr">
        <is>
          <t>A 42223-2024</t>
        </is>
      </c>
      <c r="B3283" s="1" t="n">
        <v>45562</v>
      </c>
      <c r="C3283" s="1" t="n">
        <v>45641</v>
      </c>
      <c r="D3283" t="inlineStr">
        <is>
          <t>VÄSTERBOTTENS LÄN</t>
        </is>
      </c>
      <c r="E3283" t="inlineStr">
        <is>
          <t>SKELLEFTEÅ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42216-2024</t>
        </is>
      </c>
      <c r="B3284" s="1" t="n">
        <v>45562</v>
      </c>
      <c r="C3284" s="1" t="n">
        <v>45641</v>
      </c>
      <c r="D3284" t="inlineStr">
        <is>
          <t>VÄSTERBOTTENS LÄN</t>
        </is>
      </c>
      <c r="E3284" t="inlineStr">
        <is>
          <t>SKELLEFTEÅ</t>
        </is>
      </c>
      <c r="F3284" t="inlineStr">
        <is>
          <t>Holmen skog AB</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42248-2024</t>
        </is>
      </c>
      <c r="B3285" s="1" t="n">
        <v>45562</v>
      </c>
      <c r="C3285" s="1" t="n">
        <v>45641</v>
      </c>
      <c r="D3285" t="inlineStr">
        <is>
          <t>VÄSTERBOTTENS LÄN</t>
        </is>
      </c>
      <c r="E3285" t="inlineStr">
        <is>
          <t>SKELLEFTEÅ</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42508-2024</t>
        </is>
      </c>
      <c r="B3286" s="1" t="n">
        <v>45565</v>
      </c>
      <c r="C3286" s="1" t="n">
        <v>45641</v>
      </c>
      <c r="D3286" t="inlineStr">
        <is>
          <t>VÄSTERBOTTENS LÄN</t>
        </is>
      </c>
      <c r="E3286" t="inlineStr">
        <is>
          <t>SKELLEFTEÅ</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42610-2024</t>
        </is>
      </c>
      <c r="B3287" s="1" t="n">
        <v>45565</v>
      </c>
      <c r="C3287" s="1" t="n">
        <v>45641</v>
      </c>
      <c r="D3287" t="inlineStr">
        <is>
          <t>VÄSTERBOTTENS LÄN</t>
        </is>
      </c>
      <c r="E3287" t="inlineStr">
        <is>
          <t>SKELLEFTEÅ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42507-2024</t>
        </is>
      </c>
      <c r="B3288" s="1" t="n">
        <v>45565</v>
      </c>
      <c r="C3288" s="1" t="n">
        <v>45641</v>
      </c>
      <c r="D3288" t="inlineStr">
        <is>
          <t>VÄSTERBOTTENS LÄN</t>
        </is>
      </c>
      <c r="E3288" t="inlineStr">
        <is>
          <t>SKELLEFTEÅ</t>
        </is>
      </c>
      <c r="G3288" t="n">
        <v>10.8</v>
      </c>
      <c r="H3288" t="n">
        <v>0</v>
      </c>
      <c r="I3288" t="n">
        <v>0</v>
      </c>
      <c r="J3288" t="n">
        <v>0</v>
      </c>
      <c r="K3288" t="n">
        <v>0</v>
      </c>
      <c r="L3288" t="n">
        <v>0</v>
      </c>
      <c r="M3288" t="n">
        <v>0</v>
      </c>
      <c r="N3288" t="n">
        <v>0</v>
      </c>
      <c r="O3288" t="n">
        <v>0</v>
      </c>
      <c r="P3288" t="n">
        <v>0</v>
      </c>
      <c r="Q3288" t="n">
        <v>0</v>
      </c>
      <c r="R3288" s="2" t="inlineStr"/>
    </row>
    <row r="3289" ht="15" customHeight="1">
      <c r="A3289" t="inlineStr">
        <is>
          <t>A 42560-2024</t>
        </is>
      </c>
      <c r="B3289" s="1" t="n">
        <v>45565</v>
      </c>
      <c r="C3289" s="1" t="n">
        <v>45641</v>
      </c>
      <c r="D3289" t="inlineStr">
        <is>
          <t>VÄSTERBOTTENS LÄN</t>
        </is>
      </c>
      <c r="E3289" t="inlineStr">
        <is>
          <t>SKELLEFTEÅ</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42548-2024</t>
        </is>
      </c>
      <c r="B3290" s="1" t="n">
        <v>45565</v>
      </c>
      <c r="C3290" s="1" t="n">
        <v>45641</v>
      </c>
      <c r="D3290" t="inlineStr">
        <is>
          <t>VÄSTERBOTTENS LÄN</t>
        </is>
      </c>
      <c r="E3290" t="inlineStr">
        <is>
          <t>SKELLEFTEÅ</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42599-2024</t>
        </is>
      </c>
      <c r="B3291" s="1" t="n">
        <v>45565</v>
      </c>
      <c r="C3291" s="1" t="n">
        <v>45641</v>
      </c>
      <c r="D3291" t="inlineStr">
        <is>
          <t>VÄSTERBOTTENS LÄN</t>
        </is>
      </c>
      <c r="E3291" t="inlineStr">
        <is>
          <t>SKELLEFTEÅ</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42559-2024</t>
        </is>
      </c>
      <c r="B3292" s="1" t="n">
        <v>45565</v>
      </c>
      <c r="C3292" s="1" t="n">
        <v>45641</v>
      </c>
      <c r="D3292" t="inlineStr">
        <is>
          <t>VÄSTERBOTTENS LÄN</t>
        </is>
      </c>
      <c r="E3292" t="inlineStr">
        <is>
          <t>SKELLEFTEÅ</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42877-2024</t>
        </is>
      </c>
      <c r="B3293" s="1" t="n">
        <v>45566</v>
      </c>
      <c r="C3293" s="1" t="n">
        <v>45641</v>
      </c>
      <c r="D3293" t="inlineStr">
        <is>
          <t>VÄSTERBOTTENS LÄN</t>
        </is>
      </c>
      <c r="E3293" t="inlineStr">
        <is>
          <t>SKELLEFTEÅ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42861-2024</t>
        </is>
      </c>
      <c r="B3294" s="1" t="n">
        <v>45566</v>
      </c>
      <c r="C3294" s="1" t="n">
        <v>45641</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42849-2024</t>
        </is>
      </c>
      <c r="B3295" s="1" t="n">
        <v>45566</v>
      </c>
      <c r="C3295" s="1" t="n">
        <v>45641</v>
      </c>
      <c r="D3295" t="inlineStr">
        <is>
          <t>VÄSTERBOTTENS LÄN</t>
        </is>
      </c>
      <c r="E3295" t="inlineStr">
        <is>
          <t>SKELLEFTEÅ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42821-2024</t>
        </is>
      </c>
      <c r="B3296" s="1" t="n">
        <v>45566</v>
      </c>
      <c r="C3296" s="1" t="n">
        <v>45641</v>
      </c>
      <c r="D3296" t="inlineStr">
        <is>
          <t>VÄSTERBOTTENS LÄN</t>
        </is>
      </c>
      <c r="E3296" t="inlineStr">
        <is>
          <t>SKELLEFTEÅ</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42851-2024</t>
        </is>
      </c>
      <c r="B3297" s="1" t="n">
        <v>45566</v>
      </c>
      <c r="C3297" s="1" t="n">
        <v>45641</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42819-2024</t>
        </is>
      </c>
      <c r="B3298" s="1" t="n">
        <v>45566</v>
      </c>
      <c r="C3298" s="1" t="n">
        <v>45641</v>
      </c>
      <c r="D3298" t="inlineStr">
        <is>
          <t>VÄSTERBOTTENS LÄN</t>
        </is>
      </c>
      <c r="E3298" t="inlineStr">
        <is>
          <t>SKELLEFTEÅ</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42852-2024</t>
        </is>
      </c>
      <c r="B3299" s="1" t="n">
        <v>45566</v>
      </c>
      <c r="C3299" s="1" t="n">
        <v>45641</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42848-2024</t>
        </is>
      </c>
      <c r="B3300" s="1" t="n">
        <v>45566</v>
      </c>
      <c r="C3300" s="1" t="n">
        <v>45641</v>
      </c>
      <c r="D3300" t="inlineStr">
        <is>
          <t>VÄSTERBOTTENS LÄN</t>
        </is>
      </c>
      <c r="E3300" t="inlineStr">
        <is>
          <t>SKELLEFTEÅ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42820-2024</t>
        </is>
      </c>
      <c r="B3301" s="1" t="n">
        <v>45566</v>
      </c>
      <c r="C3301" s="1" t="n">
        <v>45641</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42758-2024</t>
        </is>
      </c>
      <c r="B3302" s="1" t="n">
        <v>45566</v>
      </c>
      <c r="C3302" s="1" t="n">
        <v>45641</v>
      </c>
      <c r="D3302" t="inlineStr">
        <is>
          <t>VÄSTERBOTTENS LÄN</t>
        </is>
      </c>
      <c r="E3302" t="inlineStr">
        <is>
          <t>SKELLEFTEÅ</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42791-2024</t>
        </is>
      </c>
      <c r="B3303" s="1" t="n">
        <v>45566</v>
      </c>
      <c r="C3303" s="1" t="n">
        <v>45641</v>
      </c>
      <c r="D3303" t="inlineStr">
        <is>
          <t>VÄSTERBOTTENS LÄN</t>
        </is>
      </c>
      <c r="E3303" t="inlineStr">
        <is>
          <t>SKELLEFTEÅ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42764-2024</t>
        </is>
      </c>
      <c r="B3304" s="1" t="n">
        <v>45566</v>
      </c>
      <c r="C3304" s="1" t="n">
        <v>45641</v>
      </c>
      <c r="D3304" t="inlineStr">
        <is>
          <t>VÄSTERBOTTENS LÄN</t>
        </is>
      </c>
      <c r="E3304" t="inlineStr">
        <is>
          <t>SKELLEFTEÅ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42996-2024</t>
        </is>
      </c>
      <c r="B3305" s="1" t="n">
        <v>45567</v>
      </c>
      <c r="C3305" s="1" t="n">
        <v>45641</v>
      </c>
      <c r="D3305" t="inlineStr">
        <is>
          <t>VÄSTERBOTTENS LÄN</t>
        </is>
      </c>
      <c r="E3305" t="inlineStr">
        <is>
          <t>SKELLEFTEÅ</t>
        </is>
      </c>
      <c r="F3305" t="inlineStr">
        <is>
          <t>SCA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42993-2024</t>
        </is>
      </c>
      <c r="B3306" s="1" t="n">
        <v>45567</v>
      </c>
      <c r="C3306" s="1" t="n">
        <v>45641</v>
      </c>
      <c r="D3306" t="inlineStr">
        <is>
          <t>VÄSTERBOTTENS LÄN</t>
        </is>
      </c>
      <c r="E3306" t="inlineStr">
        <is>
          <t>SKELLEFTEÅ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42995-2024</t>
        </is>
      </c>
      <c r="B3307" s="1" t="n">
        <v>45567</v>
      </c>
      <c r="C3307" s="1" t="n">
        <v>45641</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43204-2024</t>
        </is>
      </c>
      <c r="B3308" s="1" t="n">
        <v>45567</v>
      </c>
      <c r="C3308" s="1" t="n">
        <v>45641</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43434-2024</t>
        </is>
      </c>
      <c r="B3309" s="1" t="n">
        <v>45568</v>
      </c>
      <c r="C3309" s="1" t="n">
        <v>45641</v>
      </c>
      <c r="D3309" t="inlineStr">
        <is>
          <t>VÄSTERBOTTENS LÄN</t>
        </is>
      </c>
      <c r="E3309" t="inlineStr">
        <is>
          <t>SKELLEFTEÅ</t>
        </is>
      </c>
      <c r="F3309" t="inlineStr">
        <is>
          <t>Holmen skog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43714-2024</t>
        </is>
      </c>
      <c r="B3310" s="1" t="n">
        <v>45569</v>
      </c>
      <c r="C3310" s="1" t="n">
        <v>45641</v>
      </c>
      <c r="D3310" t="inlineStr">
        <is>
          <t>VÄSTERBOTTENS LÄN</t>
        </is>
      </c>
      <c r="E3310" t="inlineStr">
        <is>
          <t>SKELLEFTEÅ</t>
        </is>
      </c>
      <c r="G3310" t="n">
        <v>12.2</v>
      </c>
      <c r="H3310" t="n">
        <v>0</v>
      </c>
      <c r="I3310" t="n">
        <v>0</v>
      </c>
      <c r="J3310" t="n">
        <v>0</v>
      </c>
      <c r="K3310" t="n">
        <v>0</v>
      </c>
      <c r="L3310" t="n">
        <v>0</v>
      </c>
      <c r="M3310" t="n">
        <v>0</v>
      </c>
      <c r="N3310" t="n">
        <v>0</v>
      </c>
      <c r="O3310" t="n">
        <v>0</v>
      </c>
      <c r="P3310" t="n">
        <v>0</v>
      </c>
      <c r="Q3310" t="n">
        <v>0</v>
      </c>
      <c r="R3310" s="2" t="inlineStr"/>
    </row>
    <row r="3311" ht="15" customHeight="1">
      <c r="A3311" t="inlineStr">
        <is>
          <t>A 43726-2024</t>
        </is>
      </c>
      <c r="B3311" s="1" t="n">
        <v>45569</v>
      </c>
      <c r="C3311" s="1" t="n">
        <v>45641</v>
      </c>
      <c r="D3311" t="inlineStr">
        <is>
          <t>VÄSTERBOTTENS LÄN</t>
        </is>
      </c>
      <c r="E3311" t="inlineStr">
        <is>
          <t>SKELLEFTEÅ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43701-2024</t>
        </is>
      </c>
      <c r="B3312" s="1" t="n">
        <v>45569</v>
      </c>
      <c r="C3312" s="1" t="n">
        <v>45641</v>
      </c>
      <c r="D3312" t="inlineStr">
        <is>
          <t>VÄSTERBOTTENS LÄN</t>
        </is>
      </c>
      <c r="E3312" t="inlineStr">
        <is>
          <t>SKELLEFTEÅ</t>
        </is>
      </c>
      <c r="F3312" t="inlineStr">
        <is>
          <t>Kommuner</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43705-2024</t>
        </is>
      </c>
      <c r="B3313" s="1" t="n">
        <v>45569</v>
      </c>
      <c r="C3313" s="1" t="n">
        <v>45641</v>
      </c>
      <c r="D3313" t="inlineStr">
        <is>
          <t>VÄSTERBOTTENS LÄN</t>
        </is>
      </c>
      <c r="E3313" t="inlineStr">
        <is>
          <t>SKELLEFTEÅ</t>
        </is>
      </c>
      <c r="F3313" t="inlineStr">
        <is>
          <t>Holmen skog AB</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43732-2024</t>
        </is>
      </c>
      <c r="B3314" s="1" t="n">
        <v>45569</v>
      </c>
      <c r="C3314" s="1" t="n">
        <v>45641</v>
      </c>
      <c r="D3314" t="inlineStr">
        <is>
          <t>VÄSTERBOTTENS LÄN</t>
        </is>
      </c>
      <c r="E3314" t="inlineStr">
        <is>
          <t>SKELLEFTEÅ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43748-2024</t>
        </is>
      </c>
      <c r="B3315" s="1" t="n">
        <v>45569</v>
      </c>
      <c r="C3315" s="1" t="n">
        <v>45641</v>
      </c>
      <c r="D3315" t="inlineStr">
        <is>
          <t>VÄSTERBOTTENS LÄN</t>
        </is>
      </c>
      <c r="E3315" t="inlineStr">
        <is>
          <t>SKELLEFTEÅ</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43722-2024</t>
        </is>
      </c>
      <c r="B3316" s="1" t="n">
        <v>45569</v>
      </c>
      <c r="C3316" s="1" t="n">
        <v>45641</v>
      </c>
      <c r="D3316" t="inlineStr">
        <is>
          <t>VÄSTERBOTTENS LÄN</t>
        </is>
      </c>
      <c r="E3316" t="inlineStr">
        <is>
          <t>SKELLEFTEÅ</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43749-2024</t>
        </is>
      </c>
      <c r="B3317" s="1" t="n">
        <v>45569</v>
      </c>
      <c r="C3317" s="1" t="n">
        <v>45641</v>
      </c>
      <c r="D3317" t="inlineStr">
        <is>
          <t>VÄSTERBOTTENS LÄN</t>
        </is>
      </c>
      <c r="E3317" t="inlineStr">
        <is>
          <t>SKELLEFTEÅ</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43513-2024</t>
        </is>
      </c>
      <c r="B3318" s="1" t="n">
        <v>45569</v>
      </c>
      <c r="C3318" s="1" t="n">
        <v>45641</v>
      </c>
      <c r="D3318" t="inlineStr">
        <is>
          <t>VÄSTERBOTTENS LÄN</t>
        </is>
      </c>
      <c r="E3318" t="inlineStr">
        <is>
          <t>SKELLEFTEÅ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43599-2024</t>
        </is>
      </c>
      <c r="B3319" s="1" t="n">
        <v>45569</v>
      </c>
      <c r="C3319" s="1" t="n">
        <v>45641</v>
      </c>
      <c r="D3319" t="inlineStr">
        <is>
          <t>VÄSTERBOTTENS LÄN</t>
        </is>
      </c>
      <c r="E3319" t="inlineStr">
        <is>
          <t>SKELLEFTEÅ</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43762-2024</t>
        </is>
      </c>
      <c r="B3320" s="1" t="n">
        <v>45569</v>
      </c>
      <c r="C3320" s="1" t="n">
        <v>45641</v>
      </c>
      <c r="D3320" t="inlineStr">
        <is>
          <t>VÄSTERBOTTENS LÄN</t>
        </is>
      </c>
      <c r="E3320" t="inlineStr">
        <is>
          <t>SKELLEFTEÅ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43723-2024</t>
        </is>
      </c>
      <c r="B3321" s="1" t="n">
        <v>45569</v>
      </c>
      <c r="C3321" s="1" t="n">
        <v>45641</v>
      </c>
      <c r="D3321" t="inlineStr">
        <is>
          <t>VÄSTERBOTTENS LÄN</t>
        </is>
      </c>
      <c r="E3321" t="inlineStr">
        <is>
          <t>SKELLEFTEÅ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43727-2024</t>
        </is>
      </c>
      <c r="B3322" s="1" t="n">
        <v>45569</v>
      </c>
      <c r="C3322" s="1" t="n">
        <v>45641</v>
      </c>
      <c r="D3322" t="inlineStr">
        <is>
          <t>VÄSTERBOTTENS LÄN</t>
        </is>
      </c>
      <c r="E3322" t="inlineStr">
        <is>
          <t>SKELLEFTEÅ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43781-2024</t>
        </is>
      </c>
      <c r="B3323" s="1" t="n">
        <v>45570</v>
      </c>
      <c r="C3323" s="1" t="n">
        <v>45641</v>
      </c>
      <c r="D3323" t="inlineStr">
        <is>
          <t>VÄSTERBOTTENS LÄN</t>
        </is>
      </c>
      <c r="E3323" t="inlineStr">
        <is>
          <t>SKELLEFTEÅ</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43793-2024</t>
        </is>
      </c>
      <c r="B3324" s="1" t="n">
        <v>45571</v>
      </c>
      <c r="C3324" s="1" t="n">
        <v>45641</v>
      </c>
      <c r="D3324" t="inlineStr">
        <is>
          <t>VÄSTERBOTTENS LÄN</t>
        </is>
      </c>
      <c r="E3324" t="inlineStr">
        <is>
          <t>SKELLEFTEÅ</t>
        </is>
      </c>
      <c r="F3324" t="inlineStr">
        <is>
          <t>Sveaskog</t>
        </is>
      </c>
      <c r="G3324" t="n">
        <v>14.1</v>
      </c>
      <c r="H3324" t="n">
        <v>0</v>
      </c>
      <c r="I3324" t="n">
        <v>0</v>
      </c>
      <c r="J3324" t="n">
        <v>0</v>
      </c>
      <c r="K3324" t="n">
        <v>0</v>
      </c>
      <c r="L3324" t="n">
        <v>0</v>
      </c>
      <c r="M3324" t="n">
        <v>0</v>
      </c>
      <c r="N3324" t="n">
        <v>0</v>
      </c>
      <c r="O3324" t="n">
        <v>0</v>
      </c>
      <c r="P3324" t="n">
        <v>0</v>
      </c>
      <c r="Q3324" t="n">
        <v>0</v>
      </c>
      <c r="R3324" s="2" t="inlineStr"/>
    </row>
    <row r="3325" ht="15" customHeight="1">
      <c r="A3325" t="inlineStr">
        <is>
          <t>A 43954-2024</t>
        </is>
      </c>
      <c r="B3325" s="1" t="n">
        <v>45572</v>
      </c>
      <c r="C3325" s="1" t="n">
        <v>45641</v>
      </c>
      <c r="D3325" t="inlineStr">
        <is>
          <t>VÄSTERBOTTENS LÄN</t>
        </is>
      </c>
      <c r="E3325" t="inlineStr">
        <is>
          <t>SKELLEFTEÅ</t>
        </is>
      </c>
      <c r="F3325" t="inlineStr">
        <is>
          <t>Sveaskog</t>
        </is>
      </c>
      <c r="G3325" t="n">
        <v>24.1</v>
      </c>
      <c r="H3325" t="n">
        <v>0</v>
      </c>
      <c r="I3325" t="n">
        <v>0</v>
      </c>
      <c r="J3325" t="n">
        <v>0</v>
      </c>
      <c r="K3325" t="n">
        <v>0</v>
      </c>
      <c r="L3325" t="n">
        <v>0</v>
      </c>
      <c r="M3325" t="n">
        <v>0</v>
      </c>
      <c r="N3325" t="n">
        <v>0</v>
      </c>
      <c r="O3325" t="n">
        <v>0</v>
      </c>
      <c r="P3325" t="n">
        <v>0</v>
      </c>
      <c r="Q3325" t="n">
        <v>0</v>
      </c>
      <c r="R3325" s="2" t="inlineStr"/>
    </row>
    <row r="3326" ht="15" customHeight="1">
      <c r="A3326" t="inlineStr">
        <is>
          <t>A 44057-2024</t>
        </is>
      </c>
      <c r="B3326" s="1" t="n">
        <v>45572</v>
      </c>
      <c r="C3326" s="1" t="n">
        <v>45641</v>
      </c>
      <c r="D3326" t="inlineStr">
        <is>
          <t>VÄSTERBOTTENS LÄN</t>
        </is>
      </c>
      <c r="E3326" t="inlineStr">
        <is>
          <t>SKELLEFTEÅ</t>
        </is>
      </c>
      <c r="G3326" t="n">
        <v>13.2</v>
      </c>
      <c r="H3326" t="n">
        <v>0</v>
      </c>
      <c r="I3326" t="n">
        <v>0</v>
      </c>
      <c r="J3326" t="n">
        <v>0</v>
      </c>
      <c r="K3326" t="n">
        <v>0</v>
      </c>
      <c r="L3326" t="n">
        <v>0</v>
      </c>
      <c r="M3326" t="n">
        <v>0</v>
      </c>
      <c r="N3326" t="n">
        <v>0</v>
      </c>
      <c r="O3326" t="n">
        <v>0</v>
      </c>
      <c r="P3326" t="n">
        <v>0</v>
      </c>
      <c r="Q3326" t="n">
        <v>0</v>
      </c>
      <c r="R3326" s="2" t="inlineStr"/>
    </row>
    <row r="3327" ht="15" customHeight="1">
      <c r="A3327" t="inlineStr">
        <is>
          <t>A 43875-2024</t>
        </is>
      </c>
      <c r="B3327" s="1" t="n">
        <v>45572</v>
      </c>
      <c r="C3327" s="1" t="n">
        <v>45641</v>
      </c>
      <c r="D3327" t="inlineStr">
        <is>
          <t>VÄSTERBOTTENS LÄN</t>
        </is>
      </c>
      <c r="E3327" t="inlineStr">
        <is>
          <t>SKELLEFTEÅ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44100-2024</t>
        </is>
      </c>
      <c r="B3328" s="1" t="n">
        <v>45572</v>
      </c>
      <c r="C3328" s="1" t="n">
        <v>45641</v>
      </c>
      <c r="D3328" t="inlineStr">
        <is>
          <t>VÄSTERBOTTENS LÄN</t>
        </is>
      </c>
      <c r="E3328" t="inlineStr">
        <is>
          <t>SKELLEFTEÅ</t>
        </is>
      </c>
      <c r="F3328" t="inlineStr">
        <is>
          <t>Holmen skog AB</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44178-2024</t>
        </is>
      </c>
      <c r="B3329" s="1" t="n">
        <v>45572</v>
      </c>
      <c r="C3329" s="1" t="n">
        <v>45641</v>
      </c>
      <c r="D3329" t="inlineStr">
        <is>
          <t>VÄSTERBOTTENS LÄN</t>
        </is>
      </c>
      <c r="E3329" t="inlineStr">
        <is>
          <t>SKELLEFTEÅ</t>
        </is>
      </c>
      <c r="F3329" t="inlineStr">
        <is>
          <t>Sveaskog</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44239-2024</t>
        </is>
      </c>
      <c r="B3330" s="1" t="n">
        <v>45573</v>
      </c>
      <c r="C3330" s="1" t="n">
        <v>45641</v>
      </c>
      <c r="D3330" t="inlineStr">
        <is>
          <t>VÄSTERBOTTENS LÄN</t>
        </is>
      </c>
      <c r="E3330" t="inlineStr">
        <is>
          <t>SKELLEFTEÅ</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44240-2024</t>
        </is>
      </c>
      <c r="B3331" s="1" t="n">
        <v>45573</v>
      </c>
      <c r="C3331" s="1" t="n">
        <v>45641</v>
      </c>
      <c r="D3331" t="inlineStr">
        <is>
          <t>VÄSTERBOTTENS LÄN</t>
        </is>
      </c>
      <c r="E3331" t="inlineStr">
        <is>
          <t>SKELLEFTEÅ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44480-2024</t>
        </is>
      </c>
      <c r="B3332" s="1" t="n">
        <v>45574</v>
      </c>
      <c r="C3332" s="1" t="n">
        <v>45641</v>
      </c>
      <c r="D3332" t="inlineStr">
        <is>
          <t>VÄSTERBOTTENS LÄN</t>
        </is>
      </c>
      <c r="E3332" t="inlineStr">
        <is>
          <t>SKELLEFTEÅ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44501-2024</t>
        </is>
      </c>
      <c r="B3333" s="1" t="n">
        <v>45574</v>
      </c>
      <c r="C3333" s="1" t="n">
        <v>45641</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44542-2024</t>
        </is>
      </c>
      <c r="B3334" s="1" t="n">
        <v>45574</v>
      </c>
      <c r="C3334" s="1" t="n">
        <v>45641</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44479-2024</t>
        </is>
      </c>
      <c r="B3335" s="1" t="n">
        <v>45574</v>
      </c>
      <c r="C3335" s="1" t="n">
        <v>45641</v>
      </c>
      <c r="D3335" t="inlineStr">
        <is>
          <t>VÄSTERBOTTENS LÄN</t>
        </is>
      </c>
      <c r="E3335" t="inlineStr">
        <is>
          <t>SKELLEFTEÅ</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44483-2024</t>
        </is>
      </c>
      <c r="B3336" s="1" t="n">
        <v>45574</v>
      </c>
      <c r="C3336" s="1" t="n">
        <v>45641</v>
      </c>
      <c r="D3336" t="inlineStr">
        <is>
          <t>VÄSTERBOTTENS LÄN</t>
        </is>
      </c>
      <c r="E3336" t="inlineStr">
        <is>
          <t>SKELLEFTEÅ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44779-2024</t>
        </is>
      </c>
      <c r="B3337" s="1" t="n">
        <v>45574</v>
      </c>
      <c r="C3337" s="1" t="n">
        <v>45641</v>
      </c>
      <c r="D3337" t="inlineStr">
        <is>
          <t>VÄSTERBOTTENS LÄN</t>
        </is>
      </c>
      <c r="E3337" t="inlineStr">
        <is>
          <t>SKELLEFTEÅ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44829-2024</t>
        </is>
      </c>
      <c r="B3338" s="1" t="n">
        <v>45574</v>
      </c>
      <c r="C3338" s="1" t="n">
        <v>45641</v>
      </c>
      <c r="D3338" t="inlineStr">
        <is>
          <t>VÄSTERBOTTENS LÄN</t>
        </is>
      </c>
      <c r="E3338" t="inlineStr">
        <is>
          <t>SKELLEFTEÅ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44482-2024</t>
        </is>
      </c>
      <c r="B3339" s="1" t="n">
        <v>45574</v>
      </c>
      <c r="C3339" s="1" t="n">
        <v>45641</v>
      </c>
      <c r="D3339" t="inlineStr">
        <is>
          <t>VÄSTERBOTTENS LÄN</t>
        </is>
      </c>
      <c r="E3339" t="inlineStr">
        <is>
          <t>SKELLEFTEÅ</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44510-2024</t>
        </is>
      </c>
      <c r="B3340" s="1" t="n">
        <v>45574</v>
      </c>
      <c r="C3340" s="1" t="n">
        <v>45641</v>
      </c>
      <c r="D3340" t="inlineStr">
        <is>
          <t>VÄSTERBOTTENS LÄN</t>
        </is>
      </c>
      <c r="E3340" t="inlineStr">
        <is>
          <t>SKELLEFTEÅ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45111-2024</t>
        </is>
      </c>
      <c r="B3341" s="1" t="n">
        <v>45575</v>
      </c>
      <c r="C3341" s="1" t="n">
        <v>45641</v>
      </c>
      <c r="D3341" t="inlineStr">
        <is>
          <t>VÄSTERBOTTENS LÄN</t>
        </is>
      </c>
      <c r="E3341" t="inlineStr">
        <is>
          <t>SKELLEFTEÅ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45143-2024</t>
        </is>
      </c>
      <c r="B3342" s="1" t="n">
        <v>45575</v>
      </c>
      <c r="C3342" s="1" t="n">
        <v>45641</v>
      </c>
      <c r="D3342" t="inlineStr">
        <is>
          <t>VÄSTERBOTTENS LÄN</t>
        </is>
      </c>
      <c r="E3342" t="inlineStr">
        <is>
          <t>SKELLEFTEÅ</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45177-2024</t>
        </is>
      </c>
      <c r="B3343" s="1" t="n">
        <v>45575</v>
      </c>
      <c r="C3343" s="1" t="n">
        <v>45641</v>
      </c>
      <c r="D3343" t="inlineStr">
        <is>
          <t>VÄSTERBOTTENS LÄN</t>
        </is>
      </c>
      <c r="E3343" t="inlineStr">
        <is>
          <t>SKELLEFTEÅ</t>
        </is>
      </c>
      <c r="F3343" t="inlineStr">
        <is>
          <t>Kommuner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45205-2024</t>
        </is>
      </c>
      <c r="B3344" s="1" t="n">
        <v>45575</v>
      </c>
      <c r="C3344" s="1" t="n">
        <v>45641</v>
      </c>
      <c r="D3344" t="inlineStr">
        <is>
          <t>VÄSTERBOTTENS LÄN</t>
        </is>
      </c>
      <c r="E3344" t="inlineStr">
        <is>
          <t>SKELLEFTEÅ</t>
        </is>
      </c>
      <c r="G3344" t="n">
        <v>10.9</v>
      </c>
      <c r="H3344" t="n">
        <v>0</v>
      </c>
      <c r="I3344" t="n">
        <v>0</v>
      </c>
      <c r="J3344" t="n">
        <v>0</v>
      </c>
      <c r="K3344" t="n">
        <v>0</v>
      </c>
      <c r="L3344" t="n">
        <v>0</v>
      </c>
      <c r="M3344" t="n">
        <v>0</v>
      </c>
      <c r="N3344" t="n">
        <v>0</v>
      </c>
      <c r="O3344" t="n">
        <v>0</v>
      </c>
      <c r="P3344" t="n">
        <v>0</v>
      </c>
      <c r="Q3344" t="n">
        <v>0</v>
      </c>
      <c r="R3344" s="2" t="inlineStr"/>
    </row>
    <row r="3345" ht="15" customHeight="1">
      <c r="A3345" t="inlineStr">
        <is>
          <t>A 44968-2024</t>
        </is>
      </c>
      <c r="B3345" s="1" t="n">
        <v>45575</v>
      </c>
      <c r="C3345" s="1" t="n">
        <v>45641</v>
      </c>
      <c r="D3345" t="inlineStr">
        <is>
          <t>VÄSTERBOTTENS LÄN</t>
        </is>
      </c>
      <c r="E3345" t="inlineStr">
        <is>
          <t>SKELLEFTEÅ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44867-2024</t>
        </is>
      </c>
      <c r="B3346" s="1" t="n">
        <v>45575</v>
      </c>
      <c r="C3346" s="1" t="n">
        <v>45641</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45200-2024</t>
        </is>
      </c>
      <c r="B3347" s="1" t="n">
        <v>45575</v>
      </c>
      <c r="C3347" s="1" t="n">
        <v>45641</v>
      </c>
      <c r="D3347" t="inlineStr">
        <is>
          <t>VÄSTERBOTTENS LÄN</t>
        </is>
      </c>
      <c r="E3347" t="inlineStr">
        <is>
          <t>SKELLEFTEÅ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45212-2024</t>
        </is>
      </c>
      <c r="B3348" s="1" t="n">
        <v>45575</v>
      </c>
      <c r="C3348" s="1" t="n">
        <v>45641</v>
      </c>
      <c r="D3348" t="inlineStr">
        <is>
          <t>VÄSTERBOTTENS LÄN</t>
        </is>
      </c>
      <c r="E3348" t="inlineStr">
        <is>
          <t>SKELLEFTEÅ</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45240-2024</t>
        </is>
      </c>
      <c r="B3349" s="1" t="n">
        <v>45576</v>
      </c>
      <c r="C3349" s="1" t="n">
        <v>45641</v>
      </c>
      <c r="D3349" t="inlineStr">
        <is>
          <t>VÄSTERBOTTENS LÄN</t>
        </is>
      </c>
      <c r="E3349" t="inlineStr">
        <is>
          <t>SKELLEFTEÅ</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45294-2024</t>
        </is>
      </c>
      <c r="B3350" s="1" t="n">
        <v>45576</v>
      </c>
      <c r="C3350" s="1" t="n">
        <v>45641</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45418-2024</t>
        </is>
      </c>
      <c r="B3351" s="1" t="n">
        <v>45576</v>
      </c>
      <c r="C3351" s="1" t="n">
        <v>45641</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45403-2024</t>
        </is>
      </c>
      <c r="B3352" s="1" t="n">
        <v>45576</v>
      </c>
      <c r="C3352" s="1" t="n">
        <v>45641</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45407-2024</t>
        </is>
      </c>
      <c r="B3353" s="1" t="n">
        <v>45576</v>
      </c>
      <c r="C3353" s="1" t="n">
        <v>45641</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45421-2024</t>
        </is>
      </c>
      <c r="B3354" s="1" t="n">
        <v>45576</v>
      </c>
      <c r="C3354" s="1" t="n">
        <v>45641</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45374-2024</t>
        </is>
      </c>
      <c r="B3355" s="1" t="n">
        <v>45576</v>
      </c>
      <c r="C3355" s="1" t="n">
        <v>45641</v>
      </c>
      <c r="D3355" t="inlineStr">
        <is>
          <t>VÄSTERBOTTENS LÄN</t>
        </is>
      </c>
      <c r="E3355" t="inlineStr">
        <is>
          <t>SKELLEFTEÅ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45690-2024</t>
        </is>
      </c>
      <c r="B3356" s="1" t="n">
        <v>45579</v>
      </c>
      <c r="C3356" s="1" t="n">
        <v>45641</v>
      </c>
      <c r="D3356" t="inlineStr">
        <is>
          <t>VÄSTERBOTTENS LÄN</t>
        </is>
      </c>
      <c r="E3356" t="inlineStr">
        <is>
          <t>SKELLEFTEÅ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45788-2024</t>
        </is>
      </c>
      <c r="B3357" s="1" t="n">
        <v>45579</v>
      </c>
      <c r="C3357" s="1" t="n">
        <v>45641</v>
      </c>
      <c r="D3357" t="inlineStr">
        <is>
          <t>VÄSTERBOTTENS LÄN</t>
        </is>
      </c>
      <c r="E3357" t="inlineStr">
        <is>
          <t>SKELLEFTEÅ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45757-2024</t>
        </is>
      </c>
      <c r="B3358" s="1" t="n">
        <v>45579</v>
      </c>
      <c r="C3358" s="1" t="n">
        <v>45641</v>
      </c>
      <c r="D3358" t="inlineStr">
        <is>
          <t>VÄSTERBOTTENS LÄN</t>
        </is>
      </c>
      <c r="E3358" t="inlineStr">
        <is>
          <t>SKELLEFTEÅ</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45643-2024</t>
        </is>
      </c>
      <c r="B3359" s="1" t="n">
        <v>45579</v>
      </c>
      <c r="C3359" s="1" t="n">
        <v>45641</v>
      </c>
      <c r="D3359" t="inlineStr">
        <is>
          <t>VÄSTERBOTTENS LÄN</t>
        </is>
      </c>
      <c r="E3359" t="inlineStr">
        <is>
          <t>SKELLEFTEÅ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45622-2024</t>
        </is>
      </c>
      <c r="B3360" s="1" t="n">
        <v>45579</v>
      </c>
      <c r="C3360" s="1" t="n">
        <v>45641</v>
      </c>
      <c r="D3360" t="inlineStr">
        <is>
          <t>VÄSTERBOTTENS LÄN</t>
        </is>
      </c>
      <c r="E3360" t="inlineStr">
        <is>
          <t>SKELLEFTEÅ</t>
        </is>
      </c>
      <c r="F3360" t="inlineStr">
        <is>
          <t>Holmen skog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45903-2024</t>
        </is>
      </c>
      <c r="B3361" s="1" t="n">
        <v>45580</v>
      </c>
      <c r="C3361" s="1" t="n">
        <v>45641</v>
      </c>
      <c r="D3361" t="inlineStr">
        <is>
          <t>VÄSTERBOTTENS LÄN</t>
        </is>
      </c>
      <c r="E3361" t="inlineStr">
        <is>
          <t>SKELLEFTEÅ</t>
        </is>
      </c>
      <c r="G3361" t="n">
        <v>9.1</v>
      </c>
      <c r="H3361" t="n">
        <v>0</v>
      </c>
      <c r="I3361" t="n">
        <v>0</v>
      </c>
      <c r="J3361" t="n">
        <v>0</v>
      </c>
      <c r="K3361" t="n">
        <v>0</v>
      </c>
      <c r="L3361" t="n">
        <v>0</v>
      </c>
      <c r="M3361" t="n">
        <v>0</v>
      </c>
      <c r="N3361" t="n">
        <v>0</v>
      </c>
      <c r="O3361" t="n">
        <v>0</v>
      </c>
      <c r="P3361" t="n">
        <v>0</v>
      </c>
      <c r="Q3361" t="n">
        <v>0</v>
      </c>
      <c r="R3361" s="2" t="inlineStr"/>
    </row>
    <row r="3362" ht="15" customHeight="1">
      <c r="A3362" t="inlineStr">
        <is>
          <t>A 45943-2024</t>
        </is>
      </c>
      <c r="B3362" s="1" t="n">
        <v>45580</v>
      </c>
      <c r="C3362" s="1" t="n">
        <v>45641</v>
      </c>
      <c r="D3362" t="inlineStr">
        <is>
          <t>VÄSTERBOTTENS LÄN</t>
        </is>
      </c>
      <c r="E3362" t="inlineStr">
        <is>
          <t>SKELLEFTEÅ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45955-2024</t>
        </is>
      </c>
      <c r="B3363" s="1" t="n">
        <v>45580</v>
      </c>
      <c r="C3363" s="1" t="n">
        <v>45641</v>
      </c>
      <c r="D3363" t="inlineStr">
        <is>
          <t>VÄSTERBOTTENS LÄN</t>
        </is>
      </c>
      <c r="E3363" t="inlineStr">
        <is>
          <t>SKELLEFTEÅ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45850-2024</t>
        </is>
      </c>
      <c r="B3364" s="1" t="n">
        <v>45580</v>
      </c>
      <c r="C3364" s="1" t="n">
        <v>45641</v>
      </c>
      <c r="D3364" t="inlineStr">
        <is>
          <t>VÄSTERBOTTENS LÄN</t>
        </is>
      </c>
      <c r="E3364" t="inlineStr">
        <is>
          <t>SKELLEFTEÅ</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45862-2024</t>
        </is>
      </c>
      <c r="B3365" s="1" t="n">
        <v>45580</v>
      </c>
      <c r="C3365" s="1" t="n">
        <v>45641</v>
      </c>
      <c r="D3365" t="inlineStr">
        <is>
          <t>VÄSTERBOTTENS LÄN</t>
        </is>
      </c>
      <c r="E3365" t="inlineStr">
        <is>
          <t>SKELLEFTEÅ</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45981-2024</t>
        </is>
      </c>
      <c r="B3366" s="1" t="n">
        <v>45580</v>
      </c>
      <c r="C3366" s="1" t="n">
        <v>45641</v>
      </c>
      <c r="D3366" t="inlineStr">
        <is>
          <t>VÄSTERBOTTENS LÄN</t>
        </is>
      </c>
      <c r="E3366" t="inlineStr">
        <is>
          <t>SKELLEFTEÅ</t>
        </is>
      </c>
      <c r="F3366" t="inlineStr">
        <is>
          <t>Holmen skog AB</t>
        </is>
      </c>
      <c r="G3366" t="n">
        <v>9.6</v>
      </c>
      <c r="H3366" t="n">
        <v>0</v>
      </c>
      <c r="I3366" t="n">
        <v>0</v>
      </c>
      <c r="J3366" t="n">
        <v>0</v>
      </c>
      <c r="K3366" t="n">
        <v>0</v>
      </c>
      <c r="L3366" t="n">
        <v>0</v>
      </c>
      <c r="M3366" t="n">
        <v>0</v>
      </c>
      <c r="N3366" t="n">
        <v>0</v>
      </c>
      <c r="O3366" t="n">
        <v>0</v>
      </c>
      <c r="P3366" t="n">
        <v>0</v>
      </c>
      <c r="Q3366" t="n">
        <v>0</v>
      </c>
      <c r="R3366" s="2" t="inlineStr"/>
    </row>
    <row r="3367" ht="15" customHeight="1">
      <c r="A3367" t="inlineStr">
        <is>
          <t>A 46048-2024</t>
        </is>
      </c>
      <c r="B3367" s="1" t="n">
        <v>45580</v>
      </c>
      <c r="C3367" s="1" t="n">
        <v>45641</v>
      </c>
      <c r="D3367" t="inlineStr">
        <is>
          <t>VÄSTERBOTTENS LÄN</t>
        </is>
      </c>
      <c r="E3367" t="inlineStr">
        <is>
          <t>SKELLEFTEÅ</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46049-2024</t>
        </is>
      </c>
      <c r="B3368" s="1" t="n">
        <v>45580</v>
      </c>
      <c r="C3368" s="1" t="n">
        <v>45641</v>
      </c>
      <c r="D3368" t="inlineStr">
        <is>
          <t>VÄSTERBOTTENS LÄN</t>
        </is>
      </c>
      <c r="E3368" t="inlineStr">
        <is>
          <t>SKELLEFTEÅ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46047-2024</t>
        </is>
      </c>
      <c r="B3369" s="1" t="n">
        <v>45580</v>
      </c>
      <c r="C3369" s="1" t="n">
        <v>45641</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46268-2024</t>
        </is>
      </c>
      <c r="B3370" s="1" t="n">
        <v>45581</v>
      </c>
      <c r="C3370" s="1" t="n">
        <v>45641</v>
      </c>
      <c r="D3370" t="inlineStr">
        <is>
          <t>VÄSTERBOTTENS LÄN</t>
        </is>
      </c>
      <c r="E3370" t="inlineStr">
        <is>
          <t>SKELLEFTEÅ</t>
        </is>
      </c>
      <c r="F3370" t="inlineStr">
        <is>
          <t>Holmen skog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46089-2024</t>
        </is>
      </c>
      <c r="B3371" s="1" t="n">
        <v>45581</v>
      </c>
      <c r="C3371" s="1" t="n">
        <v>45641</v>
      </c>
      <c r="D3371" t="inlineStr">
        <is>
          <t>VÄSTERBOTTENS LÄN</t>
        </is>
      </c>
      <c r="E3371" t="inlineStr">
        <is>
          <t>SKELLEFTEÅ</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46116-2024</t>
        </is>
      </c>
      <c r="B3372" s="1" t="n">
        <v>45581</v>
      </c>
      <c r="C3372" s="1" t="n">
        <v>45641</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46108-2024</t>
        </is>
      </c>
      <c r="B3373" s="1" t="n">
        <v>45581</v>
      </c>
      <c r="C3373" s="1" t="n">
        <v>45641</v>
      </c>
      <c r="D3373" t="inlineStr">
        <is>
          <t>VÄSTERBOTTENS LÄN</t>
        </is>
      </c>
      <c r="E3373" t="inlineStr">
        <is>
          <t>SKELLEFTEÅ</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46282-2024</t>
        </is>
      </c>
      <c r="B3374" s="1" t="n">
        <v>45581</v>
      </c>
      <c r="C3374" s="1" t="n">
        <v>45641</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46201-2024</t>
        </is>
      </c>
      <c r="B3375" s="1" t="n">
        <v>45581</v>
      </c>
      <c r="C3375" s="1" t="n">
        <v>45641</v>
      </c>
      <c r="D3375" t="inlineStr">
        <is>
          <t>VÄSTERBOTTENS LÄN</t>
        </is>
      </c>
      <c r="E3375" t="inlineStr">
        <is>
          <t>SKELLEFTEÅ</t>
        </is>
      </c>
      <c r="G3375" t="n">
        <v>18.3</v>
      </c>
      <c r="H3375" t="n">
        <v>0</v>
      </c>
      <c r="I3375" t="n">
        <v>0</v>
      </c>
      <c r="J3375" t="n">
        <v>0</v>
      </c>
      <c r="K3375" t="n">
        <v>0</v>
      </c>
      <c r="L3375" t="n">
        <v>0</v>
      </c>
      <c r="M3375" t="n">
        <v>0</v>
      </c>
      <c r="N3375" t="n">
        <v>0</v>
      </c>
      <c r="O3375" t="n">
        <v>0</v>
      </c>
      <c r="P3375" t="n">
        <v>0</v>
      </c>
      <c r="Q3375" t="n">
        <v>0</v>
      </c>
      <c r="R3375" s="2" t="inlineStr"/>
    </row>
    <row r="3376" ht="15" customHeight="1">
      <c r="A3376" t="inlineStr">
        <is>
          <t>A 46304-2024</t>
        </is>
      </c>
      <c r="B3376" s="1" t="n">
        <v>45581</v>
      </c>
      <c r="C3376" s="1" t="n">
        <v>45641</v>
      </c>
      <c r="D3376" t="inlineStr">
        <is>
          <t>VÄSTERBOTTENS LÄN</t>
        </is>
      </c>
      <c r="E3376" t="inlineStr">
        <is>
          <t>SKELLEFTEÅ</t>
        </is>
      </c>
      <c r="F3376" t="inlineStr">
        <is>
          <t>Holmen skog AB</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46480-2024</t>
        </is>
      </c>
      <c r="B3377" s="1" t="n">
        <v>45582</v>
      </c>
      <c r="C3377" s="1" t="n">
        <v>45641</v>
      </c>
      <c r="D3377" t="inlineStr">
        <is>
          <t>VÄSTERBOTTENS LÄN</t>
        </is>
      </c>
      <c r="E3377" t="inlineStr">
        <is>
          <t>SKELLEFTEÅ</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46482-2024</t>
        </is>
      </c>
      <c r="B3378" s="1" t="n">
        <v>45582</v>
      </c>
      <c r="C3378" s="1" t="n">
        <v>45641</v>
      </c>
      <c r="D3378" t="inlineStr">
        <is>
          <t>VÄSTERBOTTENS LÄN</t>
        </is>
      </c>
      <c r="E3378" t="inlineStr">
        <is>
          <t>SKELLEFTEÅ</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46377-2024</t>
        </is>
      </c>
      <c r="B3379" s="1" t="n">
        <v>45582</v>
      </c>
      <c r="C3379" s="1" t="n">
        <v>45641</v>
      </c>
      <c r="D3379" t="inlineStr">
        <is>
          <t>VÄSTERBOTTENS LÄN</t>
        </is>
      </c>
      <c r="E3379" t="inlineStr">
        <is>
          <t>SKELLEFTEÅ</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46557-2024</t>
        </is>
      </c>
      <c r="B3380" s="1" t="n">
        <v>45582</v>
      </c>
      <c r="C3380" s="1" t="n">
        <v>45641</v>
      </c>
      <c r="D3380" t="inlineStr">
        <is>
          <t>VÄSTERBOTTENS LÄN</t>
        </is>
      </c>
      <c r="E3380" t="inlineStr">
        <is>
          <t>SKELLEFTEÅ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46565-2024</t>
        </is>
      </c>
      <c r="B3381" s="1" t="n">
        <v>45582</v>
      </c>
      <c r="C3381" s="1" t="n">
        <v>45641</v>
      </c>
      <c r="D3381" t="inlineStr">
        <is>
          <t>VÄSTERBOTTENS LÄN</t>
        </is>
      </c>
      <c r="E3381" t="inlineStr">
        <is>
          <t>SKELLEFTEÅ</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46736-2024</t>
        </is>
      </c>
      <c r="B3382" s="1" t="n">
        <v>45583</v>
      </c>
      <c r="C3382" s="1" t="n">
        <v>45641</v>
      </c>
      <c r="D3382" t="inlineStr">
        <is>
          <t>VÄSTERBOTTENS LÄN</t>
        </is>
      </c>
      <c r="E3382" t="inlineStr">
        <is>
          <t>SKELLEFTEÅ</t>
        </is>
      </c>
      <c r="F3382" t="inlineStr">
        <is>
          <t>Sveaskog</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46858-2024</t>
        </is>
      </c>
      <c r="B3383" s="1" t="n">
        <v>45583</v>
      </c>
      <c r="C3383" s="1" t="n">
        <v>45641</v>
      </c>
      <c r="D3383" t="inlineStr">
        <is>
          <t>VÄSTERBOTTENS LÄN</t>
        </is>
      </c>
      <c r="E3383" t="inlineStr">
        <is>
          <t>SKELLEFTEÅ</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46846-2024</t>
        </is>
      </c>
      <c r="B3384" s="1" t="n">
        <v>45583</v>
      </c>
      <c r="C3384" s="1" t="n">
        <v>45641</v>
      </c>
      <c r="D3384" t="inlineStr">
        <is>
          <t>VÄSTERBOTTENS LÄN</t>
        </is>
      </c>
      <c r="E3384" t="inlineStr">
        <is>
          <t>SKELLEFTEÅ</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46705-2024</t>
        </is>
      </c>
      <c r="B3385" s="1" t="n">
        <v>45583</v>
      </c>
      <c r="C3385" s="1" t="n">
        <v>45641</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46721-2024</t>
        </is>
      </c>
      <c r="B3386" s="1" t="n">
        <v>45583</v>
      </c>
      <c r="C3386" s="1" t="n">
        <v>45641</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46731-2024</t>
        </is>
      </c>
      <c r="B3387" s="1" t="n">
        <v>45583</v>
      </c>
      <c r="C3387" s="1" t="n">
        <v>45641</v>
      </c>
      <c r="D3387" t="inlineStr">
        <is>
          <t>VÄSTERBOTTENS LÄN</t>
        </is>
      </c>
      <c r="E3387" t="inlineStr">
        <is>
          <t>SKELLEFTEÅ</t>
        </is>
      </c>
      <c r="F3387" t="inlineStr">
        <is>
          <t>Holmen skog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46657-2024</t>
        </is>
      </c>
      <c r="B3388" s="1" t="n">
        <v>45583</v>
      </c>
      <c r="C3388" s="1" t="n">
        <v>45641</v>
      </c>
      <c r="D3388" t="inlineStr">
        <is>
          <t>VÄSTERBOTTENS LÄN</t>
        </is>
      </c>
      <c r="E3388" t="inlineStr">
        <is>
          <t>SKELLEFTEÅ</t>
        </is>
      </c>
      <c r="F3388" t="inlineStr">
        <is>
          <t>Holmen skog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46841-2024</t>
        </is>
      </c>
      <c r="B3389" s="1" t="n">
        <v>45583</v>
      </c>
      <c r="C3389" s="1" t="n">
        <v>45641</v>
      </c>
      <c r="D3389" t="inlineStr">
        <is>
          <t>VÄSTERBOTTENS LÄN</t>
        </is>
      </c>
      <c r="E3389" t="inlineStr">
        <is>
          <t>SKELLEFTEÅ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46853-2024</t>
        </is>
      </c>
      <c r="B3390" s="1" t="n">
        <v>45583</v>
      </c>
      <c r="C3390" s="1" t="n">
        <v>45641</v>
      </c>
      <c r="D3390" t="inlineStr">
        <is>
          <t>VÄSTERBOTTENS LÄN</t>
        </is>
      </c>
      <c r="E3390" t="inlineStr">
        <is>
          <t>SKELLEFTEÅ</t>
        </is>
      </c>
      <c r="F3390" t="inlineStr">
        <is>
          <t>Sveaskog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47062-2024</t>
        </is>
      </c>
      <c r="B3391" s="1" t="n">
        <v>45585</v>
      </c>
      <c r="C3391" s="1" t="n">
        <v>45641</v>
      </c>
      <c r="D3391" t="inlineStr">
        <is>
          <t>VÄSTERBOTTENS LÄN</t>
        </is>
      </c>
      <c r="E3391" t="inlineStr">
        <is>
          <t>SKELLEFTEÅ</t>
        </is>
      </c>
      <c r="G3391" t="n">
        <v>10</v>
      </c>
      <c r="H3391" t="n">
        <v>0</v>
      </c>
      <c r="I3391" t="n">
        <v>0</v>
      </c>
      <c r="J3391" t="n">
        <v>0</v>
      </c>
      <c r="K3391" t="n">
        <v>0</v>
      </c>
      <c r="L3391" t="n">
        <v>0</v>
      </c>
      <c r="M3391" t="n">
        <v>0</v>
      </c>
      <c r="N3391" t="n">
        <v>0</v>
      </c>
      <c r="O3391" t="n">
        <v>0</v>
      </c>
      <c r="P3391" t="n">
        <v>0</v>
      </c>
      <c r="Q3391" t="n">
        <v>0</v>
      </c>
      <c r="R3391" s="2" t="inlineStr"/>
    </row>
    <row r="3392" ht="15" customHeight="1">
      <c r="A3392" t="inlineStr">
        <is>
          <t>A 47282-2024</t>
        </is>
      </c>
      <c r="B3392" s="1" t="n">
        <v>45586</v>
      </c>
      <c r="C3392" s="1" t="n">
        <v>45641</v>
      </c>
      <c r="D3392" t="inlineStr">
        <is>
          <t>VÄSTERBOTTENS LÄN</t>
        </is>
      </c>
      <c r="E3392" t="inlineStr">
        <is>
          <t>SKELLEFTEÅ</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47045-2024</t>
        </is>
      </c>
      <c r="B3393" s="1" t="n">
        <v>45586</v>
      </c>
      <c r="C3393" s="1" t="n">
        <v>45641</v>
      </c>
      <c r="D3393" t="inlineStr">
        <is>
          <t>VÄSTERBOTTENS LÄN</t>
        </is>
      </c>
      <c r="E3393" t="inlineStr">
        <is>
          <t>SKELLEFTEÅ</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46968-2024</t>
        </is>
      </c>
      <c r="B3394" s="1" t="n">
        <v>45586</v>
      </c>
      <c r="C3394" s="1" t="n">
        <v>45641</v>
      </c>
      <c r="D3394" t="inlineStr">
        <is>
          <t>VÄSTERBOTTENS LÄN</t>
        </is>
      </c>
      <c r="E3394" t="inlineStr">
        <is>
          <t>SKELLEFTEÅ</t>
        </is>
      </c>
      <c r="F3394" t="inlineStr">
        <is>
          <t>Sveaskog</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47007-2024</t>
        </is>
      </c>
      <c r="B3395" s="1" t="n">
        <v>45586</v>
      </c>
      <c r="C3395" s="1" t="n">
        <v>45641</v>
      </c>
      <c r="D3395" t="inlineStr">
        <is>
          <t>VÄSTERBOTTENS LÄN</t>
        </is>
      </c>
      <c r="E3395" t="inlineStr">
        <is>
          <t>SKELLEFTEÅ</t>
        </is>
      </c>
      <c r="G3395" t="n">
        <v>22.2</v>
      </c>
      <c r="H3395" t="n">
        <v>0</v>
      </c>
      <c r="I3395" t="n">
        <v>0</v>
      </c>
      <c r="J3395" t="n">
        <v>0</v>
      </c>
      <c r="K3395" t="n">
        <v>0</v>
      </c>
      <c r="L3395" t="n">
        <v>0</v>
      </c>
      <c r="M3395" t="n">
        <v>0</v>
      </c>
      <c r="N3395" t="n">
        <v>0</v>
      </c>
      <c r="O3395" t="n">
        <v>0</v>
      </c>
      <c r="P3395" t="n">
        <v>0</v>
      </c>
      <c r="Q3395" t="n">
        <v>0</v>
      </c>
      <c r="R3395" s="2" t="inlineStr"/>
    </row>
    <row r="3396" ht="15" customHeight="1">
      <c r="A3396" t="inlineStr">
        <is>
          <t>A 47014-2024</t>
        </is>
      </c>
      <c r="B3396" s="1" t="n">
        <v>45586</v>
      </c>
      <c r="C3396" s="1" t="n">
        <v>45641</v>
      </c>
      <c r="D3396" t="inlineStr">
        <is>
          <t>VÄSTERBOTTENS LÄN</t>
        </is>
      </c>
      <c r="E3396" t="inlineStr">
        <is>
          <t>SKELLEFTEÅ</t>
        </is>
      </c>
      <c r="G3396" t="n">
        <v>14.7</v>
      </c>
      <c r="H3396" t="n">
        <v>0</v>
      </c>
      <c r="I3396" t="n">
        <v>0</v>
      </c>
      <c r="J3396" t="n">
        <v>0</v>
      </c>
      <c r="K3396" t="n">
        <v>0</v>
      </c>
      <c r="L3396" t="n">
        <v>0</v>
      </c>
      <c r="M3396" t="n">
        <v>0</v>
      </c>
      <c r="N3396" t="n">
        <v>0</v>
      </c>
      <c r="O3396" t="n">
        <v>0</v>
      </c>
      <c r="P3396" t="n">
        <v>0</v>
      </c>
      <c r="Q3396" t="n">
        <v>0</v>
      </c>
      <c r="R3396" s="2" t="inlineStr"/>
    </row>
    <row r="3397" ht="15" customHeight="1">
      <c r="A3397" t="inlineStr">
        <is>
          <t>A 47544-2024</t>
        </is>
      </c>
      <c r="B3397" s="1" t="n">
        <v>45587</v>
      </c>
      <c r="C3397" s="1" t="n">
        <v>45641</v>
      </c>
      <c r="D3397" t="inlineStr">
        <is>
          <t>VÄSTERBOTTENS LÄN</t>
        </is>
      </c>
      <c r="E3397" t="inlineStr">
        <is>
          <t>SKELLEFTEÅ</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47519-2024</t>
        </is>
      </c>
      <c r="B3398" s="1" t="n">
        <v>45587</v>
      </c>
      <c r="C3398" s="1" t="n">
        <v>45641</v>
      </c>
      <c r="D3398" t="inlineStr">
        <is>
          <t>VÄSTERBOTTENS LÄN</t>
        </is>
      </c>
      <c r="E3398" t="inlineStr">
        <is>
          <t>SKELLEFTEÅ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47496-2024</t>
        </is>
      </c>
      <c r="B3399" s="1" t="n">
        <v>45587</v>
      </c>
      <c r="C3399" s="1" t="n">
        <v>45641</v>
      </c>
      <c r="D3399" t="inlineStr">
        <is>
          <t>VÄSTERBOTTENS LÄN</t>
        </is>
      </c>
      <c r="E3399" t="inlineStr">
        <is>
          <t>SKELLEFTEÅ</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47514-2024</t>
        </is>
      </c>
      <c r="B3400" s="1" t="n">
        <v>45587</v>
      </c>
      <c r="C3400" s="1" t="n">
        <v>45641</v>
      </c>
      <c r="D3400" t="inlineStr">
        <is>
          <t>VÄSTERBOTTENS LÄN</t>
        </is>
      </c>
      <c r="E3400" t="inlineStr">
        <is>
          <t>SKELLEFTEÅ</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47352-2024</t>
        </is>
      </c>
      <c r="B3401" s="1" t="n">
        <v>45587</v>
      </c>
      <c r="C3401" s="1" t="n">
        <v>45641</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47668-2024</t>
        </is>
      </c>
      <c r="B3402" s="1" t="n">
        <v>45588</v>
      </c>
      <c r="C3402" s="1" t="n">
        <v>45641</v>
      </c>
      <c r="D3402" t="inlineStr">
        <is>
          <t>VÄSTERBOTTENS LÄN</t>
        </is>
      </c>
      <c r="E3402" t="inlineStr">
        <is>
          <t>SKELLEFTEÅ</t>
        </is>
      </c>
      <c r="F3402" t="inlineStr">
        <is>
          <t>Sveaskog</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47887-2024</t>
        </is>
      </c>
      <c r="B3403" s="1" t="n">
        <v>45588</v>
      </c>
      <c r="C3403" s="1" t="n">
        <v>45641</v>
      </c>
      <c r="D3403" t="inlineStr">
        <is>
          <t>VÄSTERBOTTENS LÄN</t>
        </is>
      </c>
      <c r="E3403" t="inlineStr">
        <is>
          <t>SKELLEFTEÅ</t>
        </is>
      </c>
      <c r="F3403" t="inlineStr">
        <is>
          <t>Sveaskog</t>
        </is>
      </c>
      <c r="G3403" t="n">
        <v>24.7</v>
      </c>
      <c r="H3403" t="n">
        <v>0</v>
      </c>
      <c r="I3403" t="n">
        <v>0</v>
      </c>
      <c r="J3403" t="n">
        <v>0</v>
      </c>
      <c r="K3403" t="n">
        <v>0</v>
      </c>
      <c r="L3403" t="n">
        <v>0</v>
      </c>
      <c r="M3403" t="n">
        <v>0</v>
      </c>
      <c r="N3403" t="n">
        <v>0</v>
      </c>
      <c r="O3403" t="n">
        <v>0</v>
      </c>
      <c r="P3403" t="n">
        <v>0</v>
      </c>
      <c r="Q3403" t="n">
        <v>0</v>
      </c>
      <c r="R3403" s="2" t="inlineStr"/>
    </row>
    <row r="3404" ht="15" customHeight="1">
      <c r="A3404" t="inlineStr">
        <is>
          <t>A 47686-2024</t>
        </is>
      </c>
      <c r="B3404" s="1" t="n">
        <v>45588</v>
      </c>
      <c r="C3404" s="1" t="n">
        <v>45641</v>
      </c>
      <c r="D3404" t="inlineStr">
        <is>
          <t>VÄSTERBOTTENS LÄN</t>
        </is>
      </c>
      <c r="E3404" t="inlineStr">
        <is>
          <t>SKELLEFTEÅ</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48074-2024</t>
        </is>
      </c>
      <c r="B3405" s="1" t="n">
        <v>45589</v>
      </c>
      <c r="C3405" s="1" t="n">
        <v>45641</v>
      </c>
      <c r="D3405" t="inlineStr">
        <is>
          <t>VÄSTERBOTTENS LÄN</t>
        </is>
      </c>
      <c r="E3405" t="inlineStr">
        <is>
          <t>SKELLEFTEÅ</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48043-2024</t>
        </is>
      </c>
      <c r="B3406" s="1" t="n">
        <v>45589</v>
      </c>
      <c r="C3406" s="1" t="n">
        <v>45641</v>
      </c>
      <c r="D3406" t="inlineStr">
        <is>
          <t>VÄSTERBOTTENS LÄN</t>
        </is>
      </c>
      <c r="E3406" t="inlineStr">
        <is>
          <t>SKELLEFTEÅ</t>
        </is>
      </c>
      <c r="F3406" t="inlineStr">
        <is>
          <t>Holmen skog AB</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48116-2024</t>
        </is>
      </c>
      <c r="B3407" s="1" t="n">
        <v>45589</v>
      </c>
      <c r="C3407" s="1" t="n">
        <v>45641</v>
      </c>
      <c r="D3407" t="inlineStr">
        <is>
          <t>VÄSTERBOTTENS LÄN</t>
        </is>
      </c>
      <c r="E3407" t="inlineStr">
        <is>
          <t>SKELLEFTEÅ</t>
        </is>
      </c>
      <c r="F3407" t="inlineStr">
        <is>
          <t>Kommuner</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48203-2024</t>
        </is>
      </c>
      <c r="B3408" s="1" t="n">
        <v>45589</v>
      </c>
      <c r="C3408" s="1" t="n">
        <v>45641</v>
      </c>
      <c r="D3408" t="inlineStr">
        <is>
          <t>VÄSTERBOTTENS LÄN</t>
        </is>
      </c>
      <c r="E3408" t="inlineStr">
        <is>
          <t>SKELLEFTEÅ</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48093-2024</t>
        </is>
      </c>
      <c r="B3409" s="1" t="n">
        <v>45589</v>
      </c>
      <c r="C3409" s="1" t="n">
        <v>45641</v>
      </c>
      <c r="D3409" t="inlineStr">
        <is>
          <t>VÄSTERBOTTENS LÄN</t>
        </is>
      </c>
      <c r="E3409" t="inlineStr">
        <is>
          <t>SKELLEFTEÅ</t>
        </is>
      </c>
      <c r="F3409" t="inlineStr">
        <is>
          <t>Holmen skog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48204-2024</t>
        </is>
      </c>
      <c r="B3410" s="1" t="n">
        <v>45589</v>
      </c>
      <c r="C3410" s="1" t="n">
        <v>45641</v>
      </c>
      <c r="D3410" t="inlineStr">
        <is>
          <t>VÄSTERBOTTENS LÄN</t>
        </is>
      </c>
      <c r="E3410" t="inlineStr">
        <is>
          <t>SKELLEFTEÅ</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48202-2024</t>
        </is>
      </c>
      <c r="B3411" s="1" t="n">
        <v>45589</v>
      </c>
      <c r="C3411" s="1" t="n">
        <v>45641</v>
      </c>
      <c r="D3411" t="inlineStr">
        <is>
          <t>VÄSTERBOTTENS LÄN</t>
        </is>
      </c>
      <c r="E3411" t="inlineStr">
        <is>
          <t>SKELLEFTEÅ</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48290-2024</t>
        </is>
      </c>
      <c r="B3412" s="1" t="n">
        <v>45590</v>
      </c>
      <c r="C3412" s="1" t="n">
        <v>45641</v>
      </c>
      <c r="D3412" t="inlineStr">
        <is>
          <t>VÄSTERBOTTENS LÄN</t>
        </is>
      </c>
      <c r="E3412" t="inlineStr">
        <is>
          <t>SKELLEFTEÅ</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48391-2024</t>
        </is>
      </c>
      <c r="B3413" s="1" t="n">
        <v>45590</v>
      </c>
      <c r="C3413" s="1" t="n">
        <v>45641</v>
      </c>
      <c r="D3413" t="inlineStr">
        <is>
          <t>VÄSTERBOTTENS LÄN</t>
        </is>
      </c>
      <c r="E3413" t="inlineStr">
        <is>
          <t>SKELLEFTEÅ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48620-2024</t>
        </is>
      </c>
      <c r="B3414" s="1" t="n">
        <v>45593</v>
      </c>
      <c r="C3414" s="1" t="n">
        <v>45641</v>
      </c>
      <c r="D3414" t="inlineStr">
        <is>
          <t>VÄSTERBOTTENS LÄN</t>
        </is>
      </c>
      <c r="E3414" t="inlineStr">
        <is>
          <t>SKELLEFTEÅ</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48786-2024</t>
        </is>
      </c>
      <c r="B3415" s="1" t="n">
        <v>45593</v>
      </c>
      <c r="C3415" s="1" t="n">
        <v>45641</v>
      </c>
      <c r="D3415" t="inlineStr">
        <is>
          <t>VÄSTERBOTTENS LÄN</t>
        </is>
      </c>
      <c r="E3415" t="inlineStr">
        <is>
          <t>SKELLEFTEÅ</t>
        </is>
      </c>
      <c r="F3415" t="inlineStr">
        <is>
          <t>Kommuner</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48610-2024</t>
        </is>
      </c>
      <c r="B3416" s="1" t="n">
        <v>45593</v>
      </c>
      <c r="C3416" s="1" t="n">
        <v>45641</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48799-2024</t>
        </is>
      </c>
      <c r="B3417" s="1" t="n">
        <v>45593</v>
      </c>
      <c r="C3417" s="1" t="n">
        <v>45641</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48744-2024</t>
        </is>
      </c>
      <c r="B3418" s="1" t="n">
        <v>45593</v>
      </c>
      <c r="C3418" s="1" t="n">
        <v>45641</v>
      </c>
      <c r="D3418" t="inlineStr">
        <is>
          <t>VÄSTERBOTTENS LÄN</t>
        </is>
      </c>
      <c r="E3418" t="inlineStr">
        <is>
          <t>SKELLEFTEÅ</t>
        </is>
      </c>
      <c r="F3418" t="inlineStr">
        <is>
          <t>Kommuner</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48878-2024</t>
        </is>
      </c>
      <c r="B3419" s="1" t="n">
        <v>45594</v>
      </c>
      <c r="C3419" s="1" t="n">
        <v>45641</v>
      </c>
      <c r="D3419" t="inlineStr">
        <is>
          <t>VÄSTERBOTTENS LÄN</t>
        </is>
      </c>
      <c r="E3419" t="inlineStr">
        <is>
          <t>SKELLEFTEÅ</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48866-2024</t>
        </is>
      </c>
      <c r="B3420" s="1" t="n">
        <v>45594</v>
      </c>
      <c r="C3420" s="1" t="n">
        <v>45641</v>
      </c>
      <c r="D3420" t="inlineStr">
        <is>
          <t>VÄSTERBOTTENS LÄN</t>
        </is>
      </c>
      <c r="E3420" t="inlineStr">
        <is>
          <t>SKELLEFTEÅ</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49120-2024</t>
        </is>
      </c>
      <c r="B3421" s="1" t="n">
        <v>45594</v>
      </c>
      <c r="C3421" s="1" t="n">
        <v>45641</v>
      </c>
      <c r="D3421" t="inlineStr">
        <is>
          <t>VÄSTERBOTTENS LÄN</t>
        </is>
      </c>
      <c r="E3421" t="inlineStr">
        <is>
          <t>SKELLEFTEÅ</t>
        </is>
      </c>
      <c r="F3421" t="inlineStr">
        <is>
          <t>Holmen skog AB</t>
        </is>
      </c>
      <c r="G3421" t="n">
        <v>37.2</v>
      </c>
      <c r="H3421" t="n">
        <v>0</v>
      </c>
      <c r="I3421" t="n">
        <v>0</v>
      </c>
      <c r="J3421" t="n">
        <v>0</v>
      </c>
      <c r="K3421" t="n">
        <v>0</v>
      </c>
      <c r="L3421" t="n">
        <v>0</v>
      </c>
      <c r="M3421" t="n">
        <v>0</v>
      </c>
      <c r="N3421" t="n">
        <v>0</v>
      </c>
      <c r="O3421" t="n">
        <v>0</v>
      </c>
      <c r="P3421" t="n">
        <v>0</v>
      </c>
      <c r="Q3421" t="n">
        <v>0</v>
      </c>
      <c r="R3421" s="2" t="inlineStr"/>
    </row>
    <row r="3422" ht="15" customHeight="1">
      <c r="A3422" t="inlineStr">
        <is>
          <t>A 48885-2024</t>
        </is>
      </c>
      <c r="B3422" s="1" t="n">
        <v>45594</v>
      </c>
      <c r="C3422" s="1" t="n">
        <v>45641</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48891-2024</t>
        </is>
      </c>
      <c r="B3423" s="1" t="n">
        <v>45594</v>
      </c>
      <c r="C3423" s="1" t="n">
        <v>45641</v>
      </c>
      <c r="D3423" t="inlineStr">
        <is>
          <t>VÄSTERBOTTENS LÄN</t>
        </is>
      </c>
      <c r="E3423" t="inlineStr">
        <is>
          <t>SKELLEFTEÅ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49217-2024</t>
        </is>
      </c>
      <c r="B3424" s="1" t="n">
        <v>45595</v>
      </c>
      <c r="C3424" s="1" t="n">
        <v>45641</v>
      </c>
      <c r="D3424" t="inlineStr">
        <is>
          <t>VÄSTERBOTTENS LÄN</t>
        </is>
      </c>
      <c r="E3424" t="inlineStr">
        <is>
          <t>SKELLEFTEÅ</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49171-2024</t>
        </is>
      </c>
      <c r="B3425" s="1" t="n">
        <v>45595</v>
      </c>
      <c r="C3425" s="1" t="n">
        <v>45641</v>
      </c>
      <c r="D3425" t="inlineStr">
        <is>
          <t>VÄSTERBOTTENS LÄN</t>
        </is>
      </c>
      <c r="E3425" t="inlineStr">
        <is>
          <t>SKELLEFTEÅ</t>
        </is>
      </c>
      <c r="F3425" t="inlineStr">
        <is>
          <t>Sveaskog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49268-2024</t>
        </is>
      </c>
      <c r="B3426" s="1" t="n">
        <v>45595</v>
      </c>
      <c r="C3426" s="1" t="n">
        <v>45641</v>
      </c>
      <c r="D3426" t="inlineStr">
        <is>
          <t>VÄSTERBOTTENS LÄN</t>
        </is>
      </c>
      <c r="E3426" t="inlineStr">
        <is>
          <t>SKELLEFTEÅ</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49429-2024</t>
        </is>
      </c>
      <c r="B3427" s="1" t="n">
        <v>45595</v>
      </c>
      <c r="C3427" s="1" t="n">
        <v>45641</v>
      </c>
      <c r="D3427" t="inlineStr">
        <is>
          <t>VÄSTERBOTTENS LÄN</t>
        </is>
      </c>
      <c r="E3427" t="inlineStr">
        <is>
          <t>SKELLEFTEÅ</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49279-2024</t>
        </is>
      </c>
      <c r="B3428" s="1" t="n">
        <v>45595</v>
      </c>
      <c r="C3428" s="1" t="n">
        <v>45641</v>
      </c>
      <c r="D3428" t="inlineStr">
        <is>
          <t>VÄSTERBOTTENS LÄN</t>
        </is>
      </c>
      <c r="E3428" t="inlineStr">
        <is>
          <t>SKELLEFTEÅ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49356-2024</t>
        </is>
      </c>
      <c r="B3429" s="1" t="n">
        <v>45595</v>
      </c>
      <c r="C3429" s="1" t="n">
        <v>45641</v>
      </c>
      <c r="D3429" t="inlineStr">
        <is>
          <t>VÄSTERBOTTENS LÄN</t>
        </is>
      </c>
      <c r="E3429" t="inlineStr">
        <is>
          <t>SKELLEFTEÅ</t>
        </is>
      </c>
      <c r="F3429" t="inlineStr">
        <is>
          <t>Sveaskog</t>
        </is>
      </c>
      <c r="G3429" t="n">
        <v>12.8</v>
      </c>
      <c r="H3429" t="n">
        <v>0</v>
      </c>
      <c r="I3429" t="n">
        <v>0</v>
      </c>
      <c r="J3429" t="n">
        <v>0</v>
      </c>
      <c r="K3429" t="n">
        <v>0</v>
      </c>
      <c r="L3429" t="n">
        <v>0</v>
      </c>
      <c r="M3429" t="n">
        <v>0</v>
      </c>
      <c r="N3429" t="n">
        <v>0</v>
      </c>
      <c r="O3429" t="n">
        <v>0</v>
      </c>
      <c r="P3429" t="n">
        <v>0</v>
      </c>
      <c r="Q3429" t="n">
        <v>0</v>
      </c>
      <c r="R3429" s="2" t="inlineStr"/>
    </row>
    <row r="3430" ht="15" customHeight="1">
      <c r="A3430" t="inlineStr">
        <is>
          <t>A 49731-2024</t>
        </is>
      </c>
      <c r="B3430" s="1" t="n">
        <v>45596</v>
      </c>
      <c r="C3430" s="1" t="n">
        <v>45641</v>
      </c>
      <c r="D3430" t="inlineStr">
        <is>
          <t>VÄSTERBOTTENS LÄN</t>
        </is>
      </c>
      <c r="E3430" t="inlineStr">
        <is>
          <t>SKELLEFTEÅ</t>
        </is>
      </c>
      <c r="F3430" t="inlineStr">
        <is>
          <t>Sveaskog</t>
        </is>
      </c>
      <c r="G3430" t="n">
        <v>15.4</v>
      </c>
      <c r="H3430" t="n">
        <v>0</v>
      </c>
      <c r="I3430" t="n">
        <v>0</v>
      </c>
      <c r="J3430" t="n">
        <v>0</v>
      </c>
      <c r="K3430" t="n">
        <v>0</v>
      </c>
      <c r="L3430" t="n">
        <v>0</v>
      </c>
      <c r="M3430" t="n">
        <v>0</v>
      </c>
      <c r="N3430" t="n">
        <v>0</v>
      </c>
      <c r="O3430" t="n">
        <v>0</v>
      </c>
      <c r="P3430" t="n">
        <v>0</v>
      </c>
      <c r="Q3430" t="n">
        <v>0</v>
      </c>
      <c r="R3430" s="2" t="inlineStr"/>
    </row>
    <row r="3431" ht="15" customHeight="1">
      <c r="A3431" t="inlineStr">
        <is>
          <t>A 49844-2024</t>
        </is>
      </c>
      <c r="B3431" s="1" t="n">
        <v>45597</v>
      </c>
      <c r="C3431" s="1" t="n">
        <v>45641</v>
      </c>
      <c r="D3431" t="inlineStr">
        <is>
          <t>VÄSTERBOTTENS LÄN</t>
        </is>
      </c>
      <c r="E3431" t="inlineStr">
        <is>
          <t>SKELLEFTEÅ</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49947-2024</t>
        </is>
      </c>
      <c r="B3432" s="1" t="n">
        <v>45597</v>
      </c>
      <c r="C3432" s="1" t="n">
        <v>45641</v>
      </c>
      <c r="D3432" t="inlineStr">
        <is>
          <t>VÄSTERBOTTENS LÄN</t>
        </is>
      </c>
      <c r="E3432" t="inlineStr">
        <is>
          <t>SKELLEFTEÅ</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49955-2024</t>
        </is>
      </c>
      <c r="B3433" s="1" t="n">
        <v>45597</v>
      </c>
      <c r="C3433" s="1" t="n">
        <v>45641</v>
      </c>
      <c r="D3433" t="inlineStr">
        <is>
          <t>VÄSTERBOTTENS LÄN</t>
        </is>
      </c>
      <c r="E3433" t="inlineStr">
        <is>
          <t>SKELLEFTEÅ</t>
        </is>
      </c>
      <c r="F3433" t="inlineStr">
        <is>
          <t>Sveaskog</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49811-2024</t>
        </is>
      </c>
      <c r="B3434" s="1" t="n">
        <v>45597</v>
      </c>
      <c r="C3434" s="1" t="n">
        <v>45641</v>
      </c>
      <c r="D3434" t="inlineStr">
        <is>
          <t>VÄSTERBOTTENS LÄN</t>
        </is>
      </c>
      <c r="E3434" t="inlineStr">
        <is>
          <t>SKELLEFTEÅ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49981-2024</t>
        </is>
      </c>
      <c r="B3435" s="1" t="n">
        <v>45597</v>
      </c>
      <c r="C3435" s="1" t="n">
        <v>45641</v>
      </c>
      <c r="D3435" t="inlineStr">
        <is>
          <t>VÄSTERBOTTENS LÄN</t>
        </is>
      </c>
      <c r="E3435" t="inlineStr">
        <is>
          <t>SKELLEFTEÅ</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50082-2024</t>
        </is>
      </c>
      <c r="B3436" s="1" t="n">
        <v>45597</v>
      </c>
      <c r="C3436" s="1" t="n">
        <v>45641</v>
      </c>
      <c r="D3436" t="inlineStr">
        <is>
          <t>VÄSTERBOTTENS LÄN</t>
        </is>
      </c>
      <c r="E3436" t="inlineStr">
        <is>
          <t>SKELLEFTEÅ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50059-2024</t>
        </is>
      </c>
      <c r="B3437" s="1" t="n">
        <v>45600</v>
      </c>
      <c r="C3437" s="1" t="n">
        <v>45641</v>
      </c>
      <c r="D3437" t="inlineStr">
        <is>
          <t>VÄSTERBOTTENS LÄN</t>
        </is>
      </c>
      <c r="E3437" t="inlineStr">
        <is>
          <t>SKELLEFTEÅ</t>
        </is>
      </c>
      <c r="F3437" t="inlineStr">
        <is>
          <t>Kommuner</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50070-2024</t>
        </is>
      </c>
      <c r="B3438" s="1" t="n">
        <v>45600</v>
      </c>
      <c r="C3438" s="1" t="n">
        <v>45641</v>
      </c>
      <c r="D3438" t="inlineStr">
        <is>
          <t>VÄSTERBOTTENS LÄN</t>
        </is>
      </c>
      <c r="E3438" t="inlineStr">
        <is>
          <t>SKELLEFTEÅ</t>
        </is>
      </c>
      <c r="F3438" t="inlineStr">
        <is>
          <t>Kommuner</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50058-2024</t>
        </is>
      </c>
      <c r="B3439" s="1" t="n">
        <v>45600</v>
      </c>
      <c r="C3439" s="1" t="n">
        <v>45641</v>
      </c>
      <c r="D3439" t="inlineStr">
        <is>
          <t>VÄSTERBOTTENS LÄN</t>
        </is>
      </c>
      <c r="E3439" t="inlineStr">
        <is>
          <t>SKELLEFTEÅ</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50263-2024</t>
        </is>
      </c>
      <c r="B3440" s="1" t="n">
        <v>45600</v>
      </c>
      <c r="C3440" s="1" t="n">
        <v>45641</v>
      </c>
      <c r="D3440" t="inlineStr">
        <is>
          <t>VÄSTERBOTTENS LÄN</t>
        </is>
      </c>
      <c r="E3440" t="inlineStr">
        <is>
          <t>SKELLEFTEÅ</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50335-2024</t>
        </is>
      </c>
      <c r="B3441" s="1" t="n">
        <v>45600</v>
      </c>
      <c r="C3441" s="1" t="n">
        <v>45641</v>
      </c>
      <c r="D3441" t="inlineStr">
        <is>
          <t>VÄSTERBOTTENS LÄN</t>
        </is>
      </c>
      <c r="E3441" t="inlineStr">
        <is>
          <t>SKELLEFTEÅ</t>
        </is>
      </c>
      <c r="F3441" t="inlineStr">
        <is>
          <t>Holmen skog AB</t>
        </is>
      </c>
      <c r="G3441" t="n">
        <v>10.5</v>
      </c>
      <c r="H3441" t="n">
        <v>0</v>
      </c>
      <c r="I3441" t="n">
        <v>0</v>
      </c>
      <c r="J3441" t="n">
        <v>0</v>
      </c>
      <c r="K3441" t="n">
        <v>0</v>
      </c>
      <c r="L3441" t="n">
        <v>0</v>
      </c>
      <c r="M3441" t="n">
        <v>0</v>
      </c>
      <c r="N3441" t="n">
        <v>0</v>
      </c>
      <c r="O3441" t="n">
        <v>0</v>
      </c>
      <c r="P3441" t="n">
        <v>0</v>
      </c>
      <c r="Q3441" t="n">
        <v>0</v>
      </c>
      <c r="R3441" s="2" t="inlineStr"/>
    </row>
    <row r="3442" ht="15" customHeight="1">
      <c r="A3442" t="inlineStr">
        <is>
          <t>A 50232-2024</t>
        </is>
      </c>
      <c r="B3442" s="1" t="n">
        <v>45600</v>
      </c>
      <c r="C3442" s="1" t="n">
        <v>45641</v>
      </c>
      <c r="D3442" t="inlineStr">
        <is>
          <t>VÄSTERBOTTENS LÄN</t>
        </is>
      </c>
      <c r="E3442" t="inlineStr">
        <is>
          <t>SKELLEFTEÅ</t>
        </is>
      </c>
      <c r="F3442" t="inlineStr">
        <is>
          <t>Holmen skog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50276-2024</t>
        </is>
      </c>
      <c r="B3443" s="1" t="n">
        <v>45600</v>
      </c>
      <c r="C3443" s="1" t="n">
        <v>45641</v>
      </c>
      <c r="D3443" t="inlineStr">
        <is>
          <t>VÄSTERBOTTENS LÄN</t>
        </is>
      </c>
      <c r="E3443" t="inlineStr">
        <is>
          <t>SKELLEFTEÅ</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50288-2024</t>
        </is>
      </c>
      <c r="B3444" s="1" t="n">
        <v>45600</v>
      </c>
      <c r="C3444" s="1" t="n">
        <v>45641</v>
      </c>
      <c r="D3444" t="inlineStr">
        <is>
          <t>VÄSTERBOTTENS LÄN</t>
        </is>
      </c>
      <c r="E3444" t="inlineStr">
        <is>
          <t>SKELLEFTEÅ</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50322-2024</t>
        </is>
      </c>
      <c r="B3445" s="1" t="n">
        <v>45600</v>
      </c>
      <c r="C3445" s="1" t="n">
        <v>45641</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50515-2024</t>
        </is>
      </c>
      <c r="B3446" s="1" t="n">
        <v>45601</v>
      </c>
      <c r="C3446" s="1" t="n">
        <v>45641</v>
      </c>
      <c r="D3446" t="inlineStr">
        <is>
          <t>VÄSTERBOTTENS LÄN</t>
        </is>
      </c>
      <c r="E3446" t="inlineStr">
        <is>
          <t>SKELLEFTEÅ</t>
        </is>
      </c>
      <c r="F3446" t="inlineStr">
        <is>
          <t>Holmen skog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50476-2024</t>
        </is>
      </c>
      <c r="B3447" s="1" t="n">
        <v>45601</v>
      </c>
      <c r="C3447" s="1" t="n">
        <v>45641</v>
      </c>
      <c r="D3447" t="inlineStr">
        <is>
          <t>VÄSTERBOTTENS LÄN</t>
        </is>
      </c>
      <c r="E3447" t="inlineStr">
        <is>
          <t>SKELLEFTEÅ</t>
        </is>
      </c>
      <c r="F3447" t="inlineStr">
        <is>
          <t>Holmen skog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50439-2024</t>
        </is>
      </c>
      <c r="B3448" s="1" t="n">
        <v>45601</v>
      </c>
      <c r="C3448" s="1" t="n">
        <v>45641</v>
      </c>
      <c r="D3448" t="inlineStr">
        <is>
          <t>VÄSTERBOTTENS LÄN</t>
        </is>
      </c>
      <c r="E3448" t="inlineStr">
        <is>
          <t>SKELLEFTEÅ</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50450-2024</t>
        </is>
      </c>
      <c r="B3449" s="1" t="n">
        <v>45601</v>
      </c>
      <c r="C3449" s="1" t="n">
        <v>45641</v>
      </c>
      <c r="D3449" t="inlineStr">
        <is>
          <t>VÄSTERBOTTENS LÄN</t>
        </is>
      </c>
      <c r="E3449" t="inlineStr">
        <is>
          <t>SKELLEFTEÅ</t>
        </is>
      </c>
      <c r="G3449" t="n">
        <v>7.7</v>
      </c>
      <c r="H3449" t="n">
        <v>0</v>
      </c>
      <c r="I3449" t="n">
        <v>0</v>
      </c>
      <c r="J3449" t="n">
        <v>0</v>
      </c>
      <c r="K3449" t="n">
        <v>0</v>
      </c>
      <c r="L3449" t="n">
        <v>0</v>
      </c>
      <c r="M3449" t="n">
        <v>0</v>
      </c>
      <c r="N3449" t="n">
        <v>0</v>
      </c>
      <c r="O3449" t="n">
        <v>0</v>
      </c>
      <c r="P3449" t="n">
        <v>0</v>
      </c>
      <c r="Q3449" t="n">
        <v>0</v>
      </c>
      <c r="R3449" s="2" t="inlineStr"/>
    </row>
    <row r="3450" ht="15" customHeight="1">
      <c r="A3450" t="inlineStr">
        <is>
          <t>A 50752-2024</t>
        </is>
      </c>
      <c r="B3450" s="1" t="n">
        <v>45602</v>
      </c>
      <c r="C3450" s="1" t="n">
        <v>45641</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50795-2024</t>
        </is>
      </c>
      <c r="B3451" s="1" t="n">
        <v>45602</v>
      </c>
      <c r="C3451" s="1" t="n">
        <v>45641</v>
      </c>
      <c r="D3451" t="inlineStr">
        <is>
          <t>VÄSTERBOTTENS LÄN</t>
        </is>
      </c>
      <c r="E3451" t="inlineStr">
        <is>
          <t>SKELLEFTEÅ</t>
        </is>
      </c>
      <c r="F3451" t="inlineStr">
        <is>
          <t>Sveaskog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50862-2024</t>
        </is>
      </c>
      <c r="B3452" s="1" t="n">
        <v>45602</v>
      </c>
      <c r="C3452" s="1" t="n">
        <v>45641</v>
      </c>
      <c r="D3452" t="inlineStr">
        <is>
          <t>VÄSTERBOTTENS LÄN</t>
        </is>
      </c>
      <c r="E3452" t="inlineStr">
        <is>
          <t>SKELLEFTEÅ</t>
        </is>
      </c>
      <c r="F3452" t="inlineStr">
        <is>
          <t>Holmen skog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50894-2024</t>
        </is>
      </c>
      <c r="B3453" s="1" t="n">
        <v>45602</v>
      </c>
      <c r="C3453" s="1" t="n">
        <v>45641</v>
      </c>
      <c r="D3453" t="inlineStr">
        <is>
          <t>VÄSTERBOTTENS LÄN</t>
        </is>
      </c>
      <c r="E3453" t="inlineStr">
        <is>
          <t>SKELLEFTEÅ</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51006-2024</t>
        </is>
      </c>
      <c r="B3454" s="1" t="n">
        <v>45603</v>
      </c>
      <c r="C3454" s="1" t="n">
        <v>45641</v>
      </c>
      <c r="D3454" t="inlineStr">
        <is>
          <t>VÄSTERBOTTENS LÄN</t>
        </is>
      </c>
      <c r="E3454" t="inlineStr">
        <is>
          <t>SKELLEFTEÅ</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51179-2024</t>
        </is>
      </c>
      <c r="B3455" s="1" t="n">
        <v>45603</v>
      </c>
      <c r="C3455" s="1" t="n">
        <v>45641</v>
      </c>
      <c r="D3455" t="inlineStr">
        <is>
          <t>VÄSTERBOTTENS LÄN</t>
        </is>
      </c>
      <c r="E3455" t="inlineStr">
        <is>
          <t>SKELLEFTEÅ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51165-2024</t>
        </is>
      </c>
      <c r="B3456" s="1" t="n">
        <v>45603</v>
      </c>
      <c r="C3456" s="1" t="n">
        <v>45641</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51116-2024</t>
        </is>
      </c>
      <c r="B3457" s="1" t="n">
        <v>45603</v>
      </c>
      <c r="C3457" s="1" t="n">
        <v>45641</v>
      </c>
      <c r="D3457" t="inlineStr">
        <is>
          <t>VÄSTERBOTTENS LÄN</t>
        </is>
      </c>
      <c r="E3457" t="inlineStr">
        <is>
          <t>SKELLEFTEÅ</t>
        </is>
      </c>
      <c r="F3457" t="inlineStr">
        <is>
          <t>Holmen skog AB</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51357-2024</t>
        </is>
      </c>
      <c r="B3458" s="1" t="n">
        <v>45603</v>
      </c>
      <c r="C3458" s="1" t="n">
        <v>45641</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51348-2024</t>
        </is>
      </c>
      <c r="B3459" s="1" t="n">
        <v>45603</v>
      </c>
      <c r="C3459" s="1" t="n">
        <v>45641</v>
      </c>
      <c r="D3459" t="inlineStr">
        <is>
          <t>VÄSTERBOTTENS LÄN</t>
        </is>
      </c>
      <c r="E3459" t="inlineStr">
        <is>
          <t>SKELLEFTEÅ</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51332-2024</t>
        </is>
      </c>
      <c r="B3460" s="1" t="n">
        <v>45604</v>
      </c>
      <c r="C3460" s="1" t="n">
        <v>45641</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51356-2024</t>
        </is>
      </c>
      <c r="B3461" s="1" t="n">
        <v>45604</v>
      </c>
      <c r="C3461" s="1" t="n">
        <v>45641</v>
      </c>
      <c r="D3461" t="inlineStr">
        <is>
          <t>VÄSTERBOTTENS LÄN</t>
        </is>
      </c>
      <c r="E3461" t="inlineStr">
        <is>
          <t>SKELLEFTEÅ</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51363-2024</t>
        </is>
      </c>
      <c r="B3462" s="1" t="n">
        <v>45604</v>
      </c>
      <c r="C3462" s="1" t="n">
        <v>45641</v>
      </c>
      <c r="D3462" t="inlineStr">
        <is>
          <t>VÄSTERBOTTENS LÄN</t>
        </is>
      </c>
      <c r="E3462" t="inlineStr">
        <is>
          <t>SKELLEFTEÅ</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51382-2024</t>
        </is>
      </c>
      <c r="B3463" s="1" t="n">
        <v>45604</v>
      </c>
      <c r="C3463" s="1" t="n">
        <v>45641</v>
      </c>
      <c r="D3463" t="inlineStr">
        <is>
          <t>VÄSTERBOTTENS LÄN</t>
        </is>
      </c>
      <c r="E3463" t="inlineStr">
        <is>
          <t>SKELLEFTEÅ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51362-2024</t>
        </is>
      </c>
      <c r="B3464" s="1" t="n">
        <v>45604</v>
      </c>
      <c r="C3464" s="1" t="n">
        <v>45641</v>
      </c>
      <c r="D3464" t="inlineStr">
        <is>
          <t>VÄSTERBOTTENS LÄN</t>
        </is>
      </c>
      <c r="E3464" t="inlineStr">
        <is>
          <t>SKELLEFTEÅ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51383-2024</t>
        </is>
      </c>
      <c r="B3465" s="1" t="n">
        <v>45604</v>
      </c>
      <c r="C3465" s="1" t="n">
        <v>45641</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51439-2024</t>
        </is>
      </c>
      <c r="B3466" s="1" t="n">
        <v>45604</v>
      </c>
      <c r="C3466" s="1" t="n">
        <v>45641</v>
      </c>
      <c r="D3466" t="inlineStr">
        <is>
          <t>VÄSTERBOTTENS LÄN</t>
        </is>
      </c>
      <c r="E3466" t="inlineStr">
        <is>
          <t>SKELLEFTEÅ</t>
        </is>
      </c>
      <c r="F3466" t="inlineStr">
        <is>
          <t>Holmen skog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51592-2024</t>
        </is>
      </c>
      <c r="B3467" s="1" t="n">
        <v>45604</v>
      </c>
      <c r="C3467" s="1" t="n">
        <v>45641</v>
      </c>
      <c r="D3467" t="inlineStr">
        <is>
          <t>VÄSTERBOTTENS LÄN</t>
        </is>
      </c>
      <c r="E3467" t="inlineStr">
        <is>
          <t>SKELLEFTEÅ</t>
        </is>
      </c>
      <c r="F3467" t="inlineStr">
        <is>
          <t>Sveaskog</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51319-2024</t>
        </is>
      </c>
      <c r="B3468" s="1" t="n">
        <v>45604</v>
      </c>
      <c r="C3468" s="1" t="n">
        <v>45641</v>
      </c>
      <c r="D3468" t="inlineStr">
        <is>
          <t>VÄSTERBOTTENS LÄN</t>
        </is>
      </c>
      <c r="E3468" t="inlineStr">
        <is>
          <t>SKELLEFTEÅ</t>
        </is>
      </c>
      <c r="F3468" t="inlineStr">
        <is>
          <t>Kommuner</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51993-2024</t>
        </is>
      </c>
      <c r="B3469" s="1" t="n">
        <v>45607</v>
      </c>
      <c r="C3469" s="1" t="n">
        <v>45641</v>
      </c>
      <c r="D3469" t="inlineStr">
        <is>
          <t>VÄSTERBOTTENS LÄN</t>
        </is>
      </c>
      <c r="E3469" t="inlineStr">
        <is>
          <t>SKELLEFTEÅ</t>
        </is>
      </c>
      <c r="F3469" t="inlineStr">
        <is>
          <t>Kommuner</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51991-2024</t>
        </is>
      </c>
      <c r="B3470" s="1" t="n">
        <v>45607</v>
      </c>
      <c r="C3470" s="1" t="n">
        <v>45641</v>
      </c>
      <c r="D3470" t="inlineStr">
        <is>
          <t>VÄSTERBOTTENS LÄN</t>
        </is>
      </c>
      <c r="E3470" t="inlineStr">
        <is>
          <t>SKELLEFTEÅ</t>
        </is>
      </c>
      <c r="F3470" t="inlineStr">
        <is>
          <t>Kommuner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51810-2024</t>
        </is>
      </c>
      <c r="B3471" s="1" t="n">
        <v>45607</v>
      </c>
      <c r="C3471" s="1" t="n">
        <v>45641</v>
      </c>
      <c r="D3471" t="inlineStr">
        <is>
          <t>VÄSTERBOTTENS LÄN</t>
        </is>
      </c>
      <c r="E3471" t="inlineStr">
        <is>
          <t>SKELLEFTEÅ</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52157-2024</t>
        </is>
      </c>
      <c r="B3472" s="1" t="n">
        <v>45608</v>
      </c>
      <c r="C3472" s="1" t="n">
        <v>45641</v>
      </c>
      <c r="D3472" t="inlineStr">
        <is>
          <t>VÄSTERBOTTENS LÄN</t>
        </is>
      </c>
      <c r="E3472" t="inlineStr">
        <is>
          <t>SKELLEFTEÅ</t>
        </is>
      </c>
      <c r="F3472" t="inlineStr">
        <is>
          <t>Holmen skog AB</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52098-2024</t>
        </is>
      </c>
      <c r="B3473" s="1" t="n">
        <v>45608</v>
      </c>
      <c r="C3473" s="1" t="n">
        <v>45641</v>
      </c>
      <c r="D3473" t="inlineStr">
        <is>
          <t>VÄSTERBOTTENS LÄN</t>
        </is>
      </c>
      <c r="E3473" t="inlineStr">
        <is>
          <t>SKELLEFTEÅ</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52410-2024</t>
        </is>
      </c>
      <c r="B3474" s="1" t="n">
        <v>45608</v>
      </c>
      <c r="C3474" s="1" t="n">
        <v>45641</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52245-2024</t>
        </is>
      </c>
      <c r="B3475" s="1" t="n">
        <v>45608</v>
      </c>
      <c r="C3475" s="1" t="n">
        <v>45641</v>
      </c>
      <c r="D3475" t="inlineStr">
        <is>
          <t>VÄSTERBOTTENS LÄN</t>
        </is>
      </c>
      <c r="E3475" t="inlineStr">
        <is>
          <t>SKELLEFTEÅ</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52417-2024</t>
        </is>
      </c>
      <c r="B3476" s="1" t="n">
        <v>45608</v>
      </c>
      <c r="C3476" s="1" t="n">
        <v>45641</v>
      </c>
      <c r="D3476" t="inlineStr">
        <is>
          <t>VÄSTERBOTTENS LÄN</t>
        </is>
      </c>
      <c r="E3476" t="inlineStr">
        <is>
          <t>SKELLEFTEÅ</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52218-2024</t>
        </is>
      </c>
      <c r="B3477" s="1" t="n">
        <v>45608</v>
      </c>
      <c r="C3477" s="1" t="n">
        <v>45641</v>
      </c>
      <c r="D3477" t="inlineStr">
        <is>
          <t>VÄSTERBOTTENS LÄN</t>
        </is>
      </c>
      <c r="E3477" t="inlineStr">
        <is>
          <t>SKELLEFTEÅ</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52108-2024</t>
        </is>
      </c>
      <c r="B3478" s="1" t="n">
        <v>45608</v>
      </c>
      <c r="C3478" s="1" t="n">
        <v>45641</v>
      </c>
      <c r="D3478" t="inlineStr">
        <is>
          <t>VÄSTERBOTTENS LÄN</t>
        </is>
      </c>
      <c r="E3478" t="inlineStr">
        <is>
          <t>SKELLEFTEÅ</t>
        </is>
      </c>
      <c r="F3478" t="inlineStr">
        <is>
          <t>Holmen skog AB</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52509-2024</t>
        </is>
      </c>
      <c r="B3479" s="1" t="n">
        <v>45609</v>
      </c>
      <c r="C3479" s="1" t="n">
        <v>45641</v>
      </c>
      <c r="D3479" t="inlineStr">
        <is>
          <t>VÄSTERBOTTENS LÄN</t>
        </is>
      </c>
      <c r="E3479" t="inlineStr">
        <is>
          <t>SKELLEFTEÅ</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52587-2024</t>
        </is>
      </c>
      <c r="B3480" s="1" t="n">
        <v>45609</v>
      </c>
      <c r="C3480" s="1" t="n">
        <v>45641</v>
      </c>
      <c r="D3480" t="inlineStr">
        <is>
          <t>VÄSTERBOTTENS LÄN</t>
        </is>
      </c>
      <c r="E3480" t="inlineStr">
        <is>
          <t>SKELLEFTEÅ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52620-2024</t>
        </is>
      </c>
      <c r="B3481" s="1" t="n">
        <v>45609</v>
      </c>
      <c r="C3481" s="1" t="n">
        <v>45641</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52693-2024</t>
        </is>
      </c>
      <c r="B3482" s="1" t="n">
        <v>45610</v>
      </c>
      <c r="C3482" s="1" t="n">
        <v>45641</v>
      </c>
      <c r="D3482" t="inlineStr">
        <is>
          <t>VÄSTERBOTTENS LÄN</t>
        </is>
      </c>
      <c r="E3482" t="inlineStr">
        <is>
          <t>SKELLEFTEÅ</t>
        </is>
      </c>
      <c r="F3482" t="inlineStr">
        <is>
          <t>Holmen skog AB</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52744-2024</t>
        </is>
      </c>
      <c r="B3483" s="1" t="n">
        <v>45610</v>
      </c>
      <c r="C3483" s="1" t="n">
        <v>45641</v>
      </c>
      <c r="D3483" t="inlineStr">
        <is>
          <t>VÄSTERBOTTENS LÄN</t>
        </is>
      </c>
      <c r="E3483" t="inlineStr">
        <is>
          <t>SKELLEFTEÅ</t>
        </is>
      </c>
      <c r="G3483" t="n">
        <v>10.6</v>
      </c>
      <c r="H3483" t="n">
        <v>0</v>
      </c>
      <c r="I3483" t="n">
        <v>0</v>
      </c>
      <c r="J3483" t="n">
        <v>0</v>
      </c>
      <c r="K3483" t="n">
        <v>0</v>
      </c>
      <c r="L3483" t="n">
        <v>0</v>
      </c>
      <c r="M3483" t="n">
        <v>0</v>
      </c>
      <c r="N3483" t="n">
        <v>0</v>
      </c>
      <c r="O3483" t="n">
        <v>0</v>
      </c>
      <c r="P3483" t="n">
        <v>0</v>
      </c>
      <c r="Q3483" t="n">
        <v>0</v>
      </c>
      <c r="R3483" s="2" t="inlineStr"/>
    </row>
    <row r="3484" ht="15" customHeight="1">
      <c r="A3484" t="inlineStr">
        <is>
          <t>A 52767-2024</t>
        </is>
      </c>
      <c r="B3484" s="1" t="n">
        <v>45610</v>
      </c>
      <c r="C3484" s="1" t="n">
        <v>45641</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52864-2024</t>
        </is>
      </c>
      <c r="B3485" s="1" t="n">
        <v>45610</v>
      </c>
      <c r="C3485" s="1" t="n">
        <v>45641</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52920-2024</t>
        </is>
      </c>
      <c r="B3486" s="1" t="n">
        <v>45610</v>
      </c>
      <c r="C3486" s="1" t="n">
        <v>45641</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52830-2024</t>
        </is>
      </c>
      <c r="B3487" s="1" t="n">
        <v>45610</v>
      </c>
      <c r="C3487" s="1" t="n">
        <v>45641</v>
      </c>
      <c r="D3487" t="inlineStr">
        <is>
          <t>VÄSTERBOTTENS LÄN</t>
        </is>
      </c>
      <c r="E3487" t="inlineStr">
        <is>
          <t>SKELLEFTEÅ</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52862-2024</t>
        </is>
      </c>
      <c r="B3488" s="1" t="n">
        <v>45610</v>
      </c>
      <c r="C3488" s="1" t="n">
        <v>45641</v>
      </c>
      <c r="D3488" t="inlineStr">
        <is>
          <t>VÄSTERBOTTENS LÄN</t>
        </is>
      </c>
      <c r="E3488" t="inlineStr">
        <is>
          <t>SKELLEFTEÅ</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53000-2024</t>
        </is>
      </c>
      <c r="B3489" s="1" t="n">
        <v>45611</v>
      </c>
      <c r="C3489" s="1" t="n">
        <v>45641</v>
      </c>
      <c r="D3489" t="inlineStr">
        <is>
          <t>VÄSTERBOTTENS LÄN</t>
        </is>
      </c>
      <c r="E3489" t="inlineStr">
        <is>
          <t>SKELLEFTEÅ</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53124-2024</t>
        </is>
      </c>
      <c r="B3490" s="1" t="n">
        <v>45611</v>
      </c>
      <c r="C3490" s="1" t="n">
        <v>45641</v>
      </c>
      <c r="D3490" t="inlineStr">
        <is>
          <t>VÄSTERBOTTENS LÄN</t>
        </is>
      </c>
      <c r="E3490" t="inlineStr">
        <is>
          <t>SKELLEFTEÅ</t>
        </is>
      </c>
      <c r="F3490" t="inlineStr">
        <is>
          <t>Holmen skog AB</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53122-2024</t>
        </is>
      </c>
      <c r="B3491" s="1" t="n">
        <v>45611</v>
      </c>
      <c r="C3491" s="1" t="n">
        <v>45641</v>
      </c>
      <c r="D3491" t="inlineStr">
        <is>
          <t>VÄSTERBOTTENS LÄN</t>
        </is>
      </c>
      <c r="E3491" t="inlineStr">
        <is>
          <t>SKELLEFTEÅ</t>
        </is>
      </c>
      <c r="F3491" t="inlineStr">
        <is>
          <t>Holmen skog AB</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53117-2024</t>
        </is>
      </c>
      <c r="B3492" s="1" t="n">
        <v>45611</v>
      </c>
      <c r="C3492" s="1" t="n">
        <v>45641</v>
      </c>
      <c r="D3492" t="inlineStr">
        <is>
          <t>VÄSTERBOTTENS LÄN</t>
        </is>
      </c>
      <c r="E3492" t="inlineStr">
        <is>
          <t>SKELLEFTEÅ</t>
        </is>
      </c>
      <c r="F3492" t="inlineStr">
        <is>
          <t>Kommuner</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52999-2024</t>
        </is>
      </c>
      <c r="B3493" s="1" t="n">
        <v>45611</v>
      </c>
      <c r="C3493" s="1" t="n">
        <v>45641</v>
      </c>
      <c r="D3493" t="inlineStr">
        <is>
          <t>VÄSTERBOTTENS LÄN</t>
        </is>
      </c>
      <c r="E3493" t="inlineStr">
        <is>
          <t>SKELLEFTEÅ</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53271-2024</t>
        </is>
      </c>
      <c r="B3494" s="1" t="n">
        <v>45614</v>
      </c>
      <c r="C3494" s="1" t="n">
        <v>45641</v>
      </c>
      <c r="D3494" t="inlineStr">
        <is>
          <t>VÄSTERBOTTENS LÄN</t>
        </is>
      </c>
      <c r="E3494" t="inlineStr">
        <is>
          <t>SKELLEFTEÅ</t>
        </is>
      </c>
      <c r="F3494" t="inlineStr">
        <is>
          <t>Holmen skog AB</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53257-2024</t>
        </is>
      </c>
      <c r="B3495" s="1" t="n">
        <v>45614</v>
      </c>
      <c r="C3495" s="1" t="n">
        <v>45641</v>
      </c>
      <c r="D3495" t="inlineStr">
        <is>
          <t>VÄSTERBOTTENS LÄN</t>
        </is>
      </c>
      <c r="E3495" t="inlineStr">
        <is>
          <t>SKELLEFTEÅ</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53421-2024</t>
        </is>
      </c>
      <c r="B3496" s="1" t="n">
        <v>45614</v>
      </c>
      <c r="C3496" s="1" t="n">
        <v>45641</v>
      </c>
      <c r="D3496" t="inlineStr">
        <is>
          <t>VÄSTERBOTTENS LÄN</t>
        </is>
      </c>
      <c r="E3496" t="inlineStr">
        <is>
          <t>SKELLEFTEÅ</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53425-2024</t>
        </is>
      </c>
      <c r="B3497" s="1" t="n">
        <v>45614</v>
      </c>
      <c r="C3497" s="1" t="n">
        <v>45641</v>
      </c>
      <c r="D3497" t="inlineStr">
        <is>
          <t>VÄSTERBOTTENS LÄN</t>
        </is>
      </c>
      <c r="E3497" t="inlineStr">
        <is>
          <t>SKELLEFTEÅ</t>
        </is>
      </c>
      <c r="G3497" t="n">
        <v>29.4</v>
      </c>
      <c r="H3497" t="n">
        <v>0</v>
      </c>
      <c r="I3497" t="n">
        <v>0</v>
      </c>
      <c r="J3497" t="n">
        <v>0</v>
      </c>
      <c r="K3497" t="n">
        <v>0</v>
      </c>
      <c r="L3497" t="n">
        <v>0</v>
      </c>
      <c r="M3497" t="n">
        <v>0</v>
      </c>
      <c r="N3497" t="n">
        <v>0</v>
      </c>
      <c r="O3497" t="n">
        <v>0</v>
      </c>
      <c r="P3497" t="n">
        <v>0</v>
      </c>
      <c r="Q3497" t="n">
        <v>0</v>
      </c>
      <c r="R3497" s="2" t="inlineStr"/>
    </row>
    <row r="3498" ht="15" customHeight="1">
      <c r="A3498" t="inlineStr">
        <is>
          <t>A 53445-2024</t>
        </is>
      </c>
      <c r="B3498" s="1" t="n">
        <v>45614</v>
      </c>
      <c r="C3498" s="1" t="n">
        <v>45641</v>
      </c>
      <c r="D3498" t="inlineStr">
        <is>
          <t>VÄSTERBOTTENS LÄN</t>
        </is>
      </c>
      <c r="E3498" t="inlineStr">
        <is>
          <t>SKELLEFTEÅ</t>
        </is>
      </c>
      <c r="F3498" t="inlineStr">
        <is>
          <t>Holmen skog AB</t>
        </is>
      </c>
      <c r="G3498" t="n">
        <v>14.3</v>
      </c>
      <c r="H3498" t="n">
        <v>0</v>
      </c>
      <c r="I3498" t="n">
        <v>0</v>
      </c>
      <c r="J3498" t="n">
        <v>0</v>
      </c>
      <c r="K3498" t="n">
        <v>0</v>
      </c>
      <c r="L3498" t="n">
        <v>0</v>
      </c>
      <c r="M3498" t="n">
        <v>0</v>
      </c>
      <c r="N3498" t="n">
        <v>0</v>
      </c>
      <c r="O3498" t="n">
        <v>0</v>
      </c>
      <c r="P3498" t="n">
        <v>0</v>
      </c>
      <c r="Q3498" t="n">
        <v>0</v>
      </c>
      <c r="R3498" s="2" t="inlineStr"/>
    </row>
    <row r="3499" ht="15" customHeight="1">
      <c r="A3499" t="inlineStr">
        <is>
          <t>A 53420-2024</t>
        </is>
      </c>
      <c r="B3499" s="1" t="n">
        <v>45614</v>
      </c>
      <c r="C3499" s="1" t="n">
        <v>45641</v>
      </c>
      <c r="D3499" t="inlineStr">
        <is>
          <t>VÄSTERBOTTENS LÄN</t>
        </is>
      </c>
      <c r="E3499" t="inlineStr">
        <is>
          <t>SKELLEFTEÅ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53505-2024</t>
        </is>
      </c>
      <c r="B3500" s="1" t="n">
        <v>45614</v>
      </c>
      <c r="C3500" s="1" t="n">
        <v>45641</v>
      </c>
      <c r="D3500" t="inlineStr">
        <is>
          <t>VÄSTERBOTTENS LÄN</t>
        </is>
      </c>
      <c r="E3500" t="inlineStr">
        <is>
          <t>SKELLEFTEÅ</t>
        </is>
      </c>
      <c r="F3500" t="inlineStr">
        <is>
          <t>Holmen skog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53419-2024</t>
        </is>
      </c>
      <c r="B3501" s="1" t="n">
        <v>45614</v>
      </c>
      <c r="C3501" s="1" t="n">
        <v>45641</v>
      </c>
      <c r="D3501" t="inlineStr">
        <is>
          <t>VÄSTERBOTTENS LÄN</t>
        </is>
      </c>
      <c r="E3501" t="inlineStr">
        <is>
          <t>SKELLEFTEÅ</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53635-2024</t>
        </is>
      </c>
      <c r="B3502" s="1" t="n">
        <v>45614</v>
      </c>
      <c r="C3502" s="1" t="n">
        <v>45641</v>
      </c>
      <c r="D3502" t="inlineStr">
        <is>
          <t>VÄSTERBOTTENS LÄN</t>
        </is>
      </c>
      <c r="E3502" t="inlineStr">
        <is>
          <t>SKELLEFTEÅ</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53426-2024</t>
        </is>
      </c>
      <c r="B3503" s="1" t="n">
        <v>45614</v>
      </c>
      <c r="C3503" s="1" t="n">
        <v>45641</v>
      </c>
      <c r="D3503" t="inlineStr">
        <is>
          <t>VÄSTERBOTTENS LÄN</t>
        </is>
      </c>
      <c r="E3503" t="inlineStr">
        <is>
          <t>SKELLEFTEÅ</t>
        </is>
      </c>
      <c r="G3503" t="n">
        <v>19.2</v>
      </c>
      <c r="H3503" t="n">
        <v>0</v>
      </c>
      <c r="I3503" t="n">
        <v>0</v>
      </c>
      <c r="J3503" t="n">
        <v>0</v>
      </c>
      <c r="K3503" t="n">
        <v>0</v>
      </c>
      <c r="L3503" t="n">
        <v>0</v>
      </c>
      <c r="M3503" t="n">
        <v>0</v>
      </c>
      <c r="N3503" t="n">
        <v>0</v>
      </c>
      <c r="O3503" t="n">
        <v>0</v>
      </c>
      <c r="P3503" t="n">
        <v>0</v>
      </c>
      <c r="Q3503" t="n">
        <v>0</v>
      </c>
      <c r="R3503" s="2" t="inlineStr"/>
    </row>
    <row r="3504" ht="15" customHeight="1">
      <c r="A3504" t="inlineStr">
        <is>
          <t>A 53430-2024</t>
        </is>
      </c>
      <c r="B3504" s="1" t="n">
        <v>45614</v>
      </c>
      <c r="C3504" s="1" t="n">
        <v>45641</v>
      </c>
      <c r="D3504" t="inlineStr">
        <is>
          <t>VÄSTERBOTTENS LÄN</t>
        </is>
      </c>
      <c r="E3504" t="inlineStr">
        <is>
          <t>SKELLEFTEÅ</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53716-2024</t>
        </is>
      </c>
      <c r="B3505" s="1" t="n">
        <v>45615</v>
      </c>
      <c r="C3505" s="1" t="n">
        <v>45641</v>
      </c>
      <c r="D3505" t="inlineStr">
        <is>
          <t>VÄSTERBOTTENS LÄN</t>
        </is>
      </c>
      <c r="E3505" t="inlineStr">
        <is>
          <t>SKELLEFTEÅ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53720-2024</t>
        </is>
      </c>
      <c r="B3506" s="1" t="n">
        <v>45615</v>
      </c>
      <c r="C3506" s="1" t="n">
        <v>45641</v>
      </c>
      <c r="D3506" t="inlineStr">
        <is>
          <t>VÄSTERBOTTENS LÄN</t>
        </is>
      </c>
      <c r="E3506" t="inlineStr">
        <is>
          <t>SKELLEFTEÅ</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53725-2024</t>
        </is>
      </c>
      <c r="B3507" s="1" t="n">
        <v>45615</v>
      </c>
      <c r="C3507" s="1" t="n">
        <v>45641</v>
      </c>
      <c r="D3507" t="inlineStr">
        <is>
          <t>VÄSTERBOTTENS LÄN</t>
        </is>
      </c>
      <c r="E3507" t="inlineStr">
        <is>
          <t>SKELLEFTEÅ</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54084-2024</t>
        </is>
      </c>
      <c r="B3508" s="1" t="n">
        <v>45616</v>
      </c>
      <c r="C3508" s="1" t="n">
        <v>45641</v>
      </c>
      <c r="D3508" t="inlineStr">
        <is>
          <t>VÄSTERBOTTENS LÄN</t>
        </is>
      </c>
      <c r="E3508" t="inlineStr">
        <is>
          <t>SKELLEFTEÅ</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54037-2024</t>
        </is>
      </c>
      <c r="B3509" s="1" t="n">
        <v>45616</v>
      </c>
      <c r="C3509" s="1" t="n">
        <v>45641</v>
      </c>
      <c r="D3509" t="inlineStr">
        <is>
          <t>VÄSTERBOTTENS LÄN</t>
        </is>
      </c>
      <c r="E3509" t="inlineStr">
        <is>
          <t>SKELLEFTEÅ</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54162-2024</t>
        </is>
      </c>
      <c r="B3510" s="1" t="n">
        <v>45616</v>
      </c>
      <c r="C3510" s="1" t="n">
        <v>45641</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54246-2024</t>
        </is>
      </c>
      <c r="B3511" s="1" t="n">
        <v>45616</v>
      </c>
      <c r="C3511" s="1" t="n">
        <v>45641</v>
      </c>
      <c r="D3511" t="inlineStr">
        <is>
          <t>VÄSTERBOTTENS LÄN</t>
        </is>
      </c>
      <c r="E3511" t="inlineStr">
        <is>
          <t>SKELLEFTEÅ</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54258-2024</t>
        </is>
      </c>
      <c r="B3512" s="1" t="n">
        <v>45616</v>
      </c>
      <c r="C3512" s="1" t="n">
        <v>45641</v>
      </c>
      <c r="D3512" t="inlineStr">
        <is>
          <t>VÄSTERBOTTENS LÄN</t>
        </is>
      </c>
      <c r="E3512" t="inlineStr">
        <is>
          <t>SKELLEFTEÅ</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54159-2024</t>
        </is>
      </c>
      <c r="B3513" s="1" t="n">
        <v>45616</v>
      </c>
      <c r="C3513" s="1" t="n">
        <v>45641</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54251-2024</t>
        </is>
      </c>
      <c r="B3514" s="1" t="n">
        <v>45616</v>
      </c>
      <c r="C3514" s="1" t="n">
        <v>45641</v>
      </c>
      <c r="D3514" t="inlineStr">
        <is>
          <t>VÄSTERBOTTENS LÄN</t>
        </is>
      </c>
      <c r="E3514" t="inlineStr">
        <is>
          <t>SKELLEFTEÅ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54224-2024</t>
        </is>
      </c>
      <c r="B3515" s="1" t="n">
        <v>45616</v>
      </c>
      <c r="C3515" s="1" t="n">
        <v>45641</v>
      </c>
      <c r="D3515" t="inlineStr">
        <is>
          <t>VÄSTERBOTTENS LÄN</t>
        </is>
      </c>
      <c r="E3515" t="inlineStr">
        <is>
          <t>SKELLEFTEÅ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54248-2024</t>
        </is>
      </c>
      <c r="B3516" s="1" t="n">
        <v>45616</v>
      </c>
      <c r="C3516" s="1" t="n">
        <v>45641</v>
      </c>
      <c r="D3516" t="inlineStr">
        <is>
          <t>VÄSTERBOTTENS LÄN</t>
        </is>
      </c>
      <c r="E3516" t="inlineStr">
        <is>
          <t>SKELLEFTEÅ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54264-2024</t>
        </is>
      </c>
      <c r="B3517" s="1" t="n">
        <v>45616</v>
      </c>
      <c r="C3517" s="1" t="n">
        <v>45641</v>
      </c>
      <c r="D3517" t="inlineStr">
        <is>
          <t>VÄSTERBOTTENS LÄN</t>
        </is>
      </c>
      <c r="E3517" t="inlineStr">
        <is>
          <t>SKELLEFTEÅ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54612-2024</t>
        </is>
      </c>
      <c r="B3518" s="1" t="n">
        <v>45617</v>
      </c>
      <c r="C3518" s="1" t="n">
        <v>45641</v>
      </c>
      <c r="D3518" t="inlineStr">
        <is>
          <t>VÄSTERBOTTENS LÄN</t>
        </is>
      </c>
      <c r="E3518" t="inlineStr">
        <is>
          <t>SKELLEFTEÅ</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54657-2024</t>
        </is>
      </c>
      <c r="B3519" s="1" t="n">
        <v>45617</v>
      </c>
      <c r="C3519" s="1" t="n">
        <v>45641</v>
      </c>
      <c r="D3519" t="inlineStr">
        <is>
          <t>VÄSTERBOTTENS LÄN</t>
        </is>
      </c>
      <c r="E3519" t="inlineStr">
        <is>
          <t>SKELLEFTEÅ</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54660-2024</t>
        </is>
      </c>
      <c r="B3520" s="1" t="n">
        <v>45618</v>
      </c>
      <c r="C3520" s="1" t="n">
        <v>45641</v>
      </c>
      <c r="D3520" t="inlineStr">
        <is>
          <t>VÄSTERBOTTENS LÄN</t>
        </is>
      </c>
      <c r="E3520" t="inlineStr">
        <is>
          <t>SKELLEFTEÅ</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54662-2024</t>
        </is>
      </c>
      <c r="B3521" s="1" t="n">
        <v>45618</v>
      </c>
      <c r="C3521" s="1" t="n">
        <v>45641</v>
      </c>
      <c r="D3521" t="inlineStr">
        <is>
          <t>VÄSTERBOTTENS LÄN</t>
        </is>
      </c>
      <c r="E3521" t="inlineStr">
        <is>
          <t>SKELLEFTEÅ</t>
        </is>
      </c>
      <c r="F3521" t="inlineStr">
        <is>
          <t>Sveaskog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54874-2024</t>
        </is>
      </c>
      <c r="B3522" s="1" t="n">
        <v>45618</v>
      </c>
      <c r="C3522" s="1" t="n">
        <v>45641</v>
      </c>
      <c r="D3522" t="inlineStr">
        <is>
          <t>VÄSTERBOTTENS LÄN</t>
        </is>
      </c>
      <c r="E3522" t="inlineStr">
        <is>
          <t>SKELLEFTEÅ</t>
        </is>
      </c>
      <c r="F3522" t="inlineStr">
        <is>
          <t>Sveaskog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54653-2024</t>
        </is>
      </c>
      <c r="B3523" s="1" t="n">
        <v>45618</v>
      </c>
      <c r="C3523" s="1" t="n">
        <v>45641</v>
      </c>
      <c r="D3523" t="inlineStr">
        <is>
          <t>VÄSTERBOTTENS LÄN</t>
        </is>
      </c>
      <c r="E3523" t="inlineStr">
        <is>
          <t>SKELLEFTEÅ</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54895-2024</t>
        </is>
      </c>
      <c r="B3524" s="1" t="n">
        <v>45618</v>
      </c>
      <c r="C3524" s="1" t="n">
        <v>45641</v>
      </c>
      <c r="D3524" t="inlineStr">
        <is>
          <t>VÄSTERBOTTENS LÄN</t>
        </is>
      </c>
      <c r="E3524" t="inlineStr">
        <is>
          <t>SKELLEFTEÅ</t>
        </is>
      </c>
      <c r="F3524" t="inlineStr">
        <is>
          <t>Holmen skog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54880-2024</t>
        </is>
      </c>
      <c r="B3525" s="1" t="n">
        <v>45618</v>
      </c>
      <c r="C3525" s="1" t="n">
        <v>45641</v>
      </c>
      <c r="D3525" t="inlineStr">
        <is>
          <t>VÄSTERBOTTENS LÄN</t>
        </is>
      </c>
      <c r="E3525" t="inlineStr">
        <is>
          <t>SKELLEFTEÅ</t>
        </is>
      </c>
      <c r="F3525" t="inlineStr">
        <is>
          <t>Sveaskog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54971-2024</t>
        </is>
      </c>
      <c r="B3526" s="1" t="n">
        <v>45620</v>
      </c>
      <c r="C3526" s="1" t="n">
        <v>45641</v>
      </c>
      <c r="D3526" t="inlineStr">
        <is>
          <t>VÄSTERBOTTENS LÄN</t>
        </is>
      </c>
      <c r="E3526" t="inlineStr">
        <is>
          <t>SKELLEFTEÅ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55253-2024</t>
        </is>
      </c>
      <c r="B3527" s="1" t="n">
        <v>45620</v>
      </c>
      <c r="C3527" s="1" t="n">
        <v>45641</v>
      </c>
      <c r="D3527" t="inlineStr">
        <is>
          <t>VÄSTERBOTTENS LÄN</t>
        </is>
      </c>
      <c r="E3527" t="inlineStr">
        <is>
          <t>SKELLEFTEÅ</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54974-2024</t>
        </is>
      </c>
      <c r="B3528" s="1" t="n">
        <v>45620</v>
      </c>
      <c r="C3528" s="1" t="n">
        <v>45641</v>
      </c>
      <c r="D3528" t="inlineStr">
        <is>
          <t>VÄSTERBOTTENS LÄN</t>
        </is>
      </c>
      <c r="E3528" t="inlineStr">
        <is>
          <t>SKELLEFTEÅ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55201-2024</t>
        </is>
      </c>
      <c r="B3529" s="1" t="n">
        <v>45620</v>
      </c>
      <c r="C3529" s="1" t="n">
        <v>45641</v>
      </c>
      <c r="D3529" t="inlineStr">
        <is>
          <t>VÄSTERBOTTENS LÄN</t>
        </is>
      </c>
      <c r="E3529" t="inlineStr">
        <is>
          <t>SKELLEFTEÅ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55233-2024</t>
        </is>
      </c>
      <c r="B3530" s="1" t="n">
        <v>45620</v>
      </c>
      <c r="C3530" s="1" t="n">
        <v>45641</v>
      </c>
      <c r="D3530" t="inlineStr">
        <is>
          <t>VÄSTERBOTTENS LÄN</t>
        </is>
      </c>
      <c r="E3530" t="inlineStr">
        <is>
          <t>SKELLEFTEÅ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55241-2024</t>
        </is>
      </c>
      <c r="B3531" s="1" t="n">
        <v>45621</v>
      </c>
      <c r="C3531" s="1" t="n">
        <v>45641</v>
      </c>
      <c r="D3531" t="inlineStr">
        <is>
          <t>VÄSTERBOTTENS LÄN</t>
        </is>
      </c>
      <c r="E3531" t="inlineStr">
        <is>
          <t>SKELLEFTEÅ</t>
        </is>
      </c>
      <c r="F3531" t="inlineStr">
        <is>
          <t>Holmen skog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55269-2024</t>
        </is>
      </c>
      <c r="B3532" s="1" t="n">
        <v>45621</v>
      </c>
      <c r="C3532" s="1" t="n">
        <v>45641</v>
      </c>
      <c r="D3532" t="inlineStr">
        <is>
          <t>VÄSTERBOTTENS LÄN</t>
        </is>
      </c>
      <c r="E3532" t="inlineStr">
        <is>
          <t>SKELLEFTEÅ</t>
        </is>
      </c>
      <c r="F3532" t="inlineStr">
        <is>
          <t>Sveaskog</t>
        </is>
      </c>
      <c r="G3532" t="n">
        <v>9.6</v>
      </c>
      <c r="H3532" t="n">
        <v>0</v>
      </c>
      <c r="I3532" t="n">
        <v>0</v>
      </c>
      <c r="J3532" t="n">
        <v>0</v>
      </c>
      <c r="K3532" t="n">
        <v>0</v>
      </c>
      <c r="L3532" t="n">
        <v>0</v>
      </c>
      <c r="M3532" t="n">
        <v>0</v>
      </c>
      <c r="N3532" t="n">
        <v>0</v>
      </c>
      <c r="O3532" t="n">
        <v>0</v>
      </c>
      <c r="P3532" t="n">
        <v>0</v>
      </c>
      <c r="Q3532" t="n">
        <v>0</v>
      </c>
      <c r="R3532" s="2" t="inlineStr"/>
    </row>
    <row r="3533" ht="15" customHeight="1">
      <c r="A3533" t="inlineStr">
        <is>
          <t>A 55645-2024</t>
        </is>
      </c>
      <c r="B3533" s="1" t="n">
        <v>45621</v>
      </c>
      <c r="C3533" s="1" t="n">
        <v>45641</v>
      </c>
      <c r="D3533" t="inlineStr">
        <is>
          <t>VÄSTERBOTTENS LÄN</t>
        </is>
      </c>
      <c r="E3533" t="inlineStr">
        <is>
          <t>SKELLEFTEÅ</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55654-2024</t>
        </is>
      </c>
      <c r="B3534" s="1" t="n">
        <v>45621</v>
      </c>
      <c r="C3534" s="1" t="n">
        <v>45641</v>
      </c>
      <c r="D3534" t="inlineStr">
        <is>
          <t>VÄSTERBOTTENS LÄN</t>
        </is>
      </c>
      <c r="E3534" t="inlineStr">
        <is>
          <t>SKELLEFTEÅ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55525-2024</t>
        </is>
      </c>
      <c r="B3535" s="1" t="n">
        <v>45621</v>
      </c>
      <c r="C3535" s="1" t="n">
        <v>45641</v>
      </c>
      <c r="D3535" t="inlineStr">
        <is>
          <t>VÄSTERBOTTENS LÄN</t>
        </is>
      </c>
      <c r="E3535" t="inlineStr">
        <is>
          <t>SKELLEFTEÅ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55652-2024</t>
        </is>
      </c>
      <c r="B3536" s="1" t="n">
        <v>45621</v>
      </c>
      <c r="C3536" s="1" t="n">
        <v>45641</v>
      </c>
      <c r="D3536" t="inlineStr">
        <is>
          <t>VÄSTERBOTTENS LÄN</t>
        </is>
      </c>
      <c r="E3536" t="inlineStr">
        <is>
          <t>SKELLEFTEÅ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55398-2024</t>
        </is>
      </c>
      <c r="B3537" s="1" t="n">
        <v>45622</v>
      </c>
      <c r="C3537" s="1" t="n">
        <v>45641</v>
      </c>
      <c r="D3537" t="inlineStr">
        <is>
          <t>VÄSTERBOTTENS LÄN</t>
        </is>
      </c>
      <c r="E3537" t="inlineStr">
        <is>
          <t>SKELLEFTEÅ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55441-2024</t>
        </is>
      </c>
      <c r="B3538" s="1" t="n">
        <v>45622</v>
      </c>
      <c r="C3538" s="1" t="n">
        <v>45641</v>
      </c>
      <c r="D3538" t="inlineStr">
        <is>
          <t>VÄSTERBOTTENS LÄN</t>
        </is>
      </c>
      <c r="E3538" t="inlineStr">
        <is>
          <t>SKELLEFTEÅ</t>
        </is>
      </c>
      <c r="F3538" t="inlineStr">
        <is>
          <t>Holmen skog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55617-2024</t>
        </is>
      </c>
      <c r="B3539" s="1" t="n">
        <v>45622</v>
      </c>
      <c r="C3539" s="1" t="n">
        <v>45641</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55500-2024</t>
        </is>
      </c>
      <c r="B3540" s="1" t="n">
        <v>45622</v>
      </c>
      <c r="C3540" s="1" t="n">
        <v>45641</v>
      </c>
      <c r="D3540" t="inlineStr">
        <is>
          <t>VÄSTERBOTTENS LÄN</t>
        </is>
      </c>
      <c r="E3540" t="inlineStr">
        <is>
          <t>SKELLEFTEÅ</t>
        </is>
      </c>
      <c r="G3540" t="n">
        <v>11.2</v>
      </c>
      <c r="H3540" t="n">
        <v>0</v>
      </c>
      <c r="I3540" t="n">
        <v>0</v>
      </c>
      <c r="J3540" t="n">
        <v>0</v>
      </c>
      <c r="K3540" t="n">
        <v>0</v>
      </c>
      <c r="L3540" t="n">
        <v>0</v>
      </c>
      <c r="M3540" t="n">
        <v>0</v>
      </c>
      <c r="N3540" t="n">
        <v>0</v>
      </c>
      <c r="O3540" t="n">
        <v>0</v>
      </c>
      <c r="P3540" t="n">
        <v>0</v>
      </c>
      <c r="Q3540" t="n">
        <v>0</v>
      </c>
      <c r="R3540" s="2" t="inlineStr"/>
    </row>
    <row r="3541" ht="15" customHeight="1">
      <c r="A3541" t="inlineStr">
        <is>
          <t>A 55743-2024</t>
        </is>
      </c>
      <c r="B3541" s="1" t="n">
        <v>45623</v>
      </c>
      <c r="C3541" s="1" t="n">
        <v>45641</v>
      </c>
      <c r="D3541" t="inlineStr">
        <is>
          <t>VÄSTERBOTTENS LÄN</t>
        </is>
      </c>
      <c r="E3541" t="inlineStr">
        <is>
          <t>SKELLEFTEÅ</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55786-2024</t>
        </is>
      </c>
      <c r="B3542" s="1" t="n">
        <v>45623</v>
      </c>
      <c r="C3542" s="1" t="n">
        <v>45641</v>
      </c>
      <c r="D3542" t="inlineStr">
        <is>
          <t>VÄSTERBOTTENS LÄN</t>
        </is>
      </c>
      <c r="E3542" t="inlineStr">
        <is>
          <t>SKELLEFTEÅ</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55907-2024</t>
        </is>
      </c>
      <c r="B3543" s="1" t="n">
        <v>45623</v>
      </c>
      <c r="C3543" s="1" t="n">
        <v>45641</v>
      </c>
      <c r="D3543" t="inlineStr">
        <is>
          <t>VÄSTERBOTTENS LÄN</t>
        </is>
      </c>
      <c r="E3543" t="inlineStr">
        <is>
          <t>SKELLEFTEÅ</t>
        </is>
      </c>
      <c r="F3543" t="inlineStr">
        <is>
          <t>Holmen skog AB</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56157-2024</t>
        </is>
      </c>
      <c r="B3544" s="1" t="n">
        <v>45623</v>
      </c>
      <c r="C3544" s="1" t="n">
        <v>45641</v>
      </c>
      <c r="D3544" t="inlineStr">
        <is>
          <t>VÄSTERBOTTENS LÄN</t>
        </is>
      </c>
      <c r="E3544" t="inlineStr">
        <is>
          <t>SKELLEFTEÅ</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56149-2024</t>
        </is>
      </c>
      <c r="B3545" s="1" t="n">
        <v>45623</v>
      </c>
      <c r="C3545" s="1" t="n">
        <v>45641</v>
      </c>
      <c r="D3545" t="inlineStr">
        <is>
          <t>VÄSTERBOTTENS LÄN</t>
        </is>
      </c>
      <c r="E3545" t="inlineStr">
        <is>
          <t>SKELLEFTEÅ</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55940-2024</t>
        </is>
      </c>
      <c r="B3546" s="1" t="n">
        <v>45623</v>
      </c>
      <c r="C3546" s="1" t="n">
        <v>45641</v>
      </c>
      <c r="D3546" t="inlineStr">
        <is>
          <t>VÄSTERBOTTENS LÄN</t>
        </is>
      </c>
      <c r="E3546" t="inlineStr">
        <is>
          <t>SKELLEFTEÅ</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56154-2024</t>
        </is>
      </c>
      <c r="B3547" s="1" t="n">
        <v>45623</v>
      </c>
      <c r="C3547" s="1" t="n">
        <v>45641</v>
      </c>
      <c r="D3547" t="inlineStr">
        <is>
          <t>VÄSTERBOTTENS LÄN</t>
        </is>
      </c>
      <c r="E3547" t="inlineStr">
        <is>
          <t>SKELLEFTEÅ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56105-2024</t>
        </is>
      </c>
      <c r="B3548" s="1" t="n">
        <v>45624</v>
      </c>
      <c r="C3548" s="1" t="n">
        <v>45641</v>
      </c>
      <c r="D3548" t="inlineStr">
        <is>
          <t>VÄSTERBOTTENS LÄN</t>
        </is>
      </c>
      <c r="E3548" t="inlineStr">
        <is>
          <t>SKELLEFTEÅ</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56162-2024</t>
        </is>
      </c>
      <c r="B3549" s="1" t="n">
        <v>45624</v>
      </c>
      <c r="C3549" s="1" t="n">
        <v>45641</v>
      </c>
      <c r="D3549" t="inlineStr">
        <is>
          <t>VÄSTERBOTTENS LÄN</t>
        </is>
      </c>
      <c r="E3549" t="inlineStr">
        <is>
          <t>SKELLEFTEÅ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56186-2024</t>
        </is>
      </c>
      <c r="B3550" s="1" t="n">
        <v>45624</v>
      </c>
      <c r="C3550" s="1" t="n">
        <v>45641</v>
      </c>
      <c r="D3550" t="inlineStr">
        <is>
          <t>VÄSTERBOTTENS LÄN</t>
        </is>
      </c>
      <c r="E3550" t="inlineStr">
        <is>
          <t>SKELLEFTEÅ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56170-2024</t>
        </is>
      </c>
      <c r="B3551" s="1" t="n">
        <v>45624</v>
      </c>
      <c r="C3551" s="1" t="n">
        <v>45641</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56183-2024</t>
        </is>
      </c>
      <c r="B3552" s="1" t="n">
        <v>45624</v>
      </c>
      <c r="C3552" s="1" t="n">
        <v>45641</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56444-2024</t>
        </is>
      </c>
      <c r="B3553" s="1" t="n">
        <v>45625</v>
      </c>
      <c r="C3553" s="1" t="n">
        <v>45641</v>
      </c>
      <c r="D3553" t="inlineStr">
        <is>
          <t>VÄSTERBOTTENS LÄN</t>
        </is>
      </c>
      <c r="E3553" t="inlineStr">
        <is>
          <t>SKELLEFTEÅ</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56560-2024</t>
        </is>
      </c>
      <c r="B3554" s="1" t="n">
        <v>45625</v>
      </c>
      <c r="C3554" s="1" t="n">
        <v>45641</v>
      </c>
      <c r="D3554" t="inlineStr">
        <is>
          <t>VÄSTERBOTTENS LÄN</t>
        </is>
      </c>
      <c r="E3554" t="inlineStr">
        <is>
          <t>SKELLEFTEÅ</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56381-2024</t>
        </is>
      </c>
      <c r="B3555" s="1" t="n">
        <v>45625</v>
      </c>
      <c r="C3555" s="1" t="n">
        <v>45641</v>
      </c>
      <c r="D3555" t="inlineStr">
        <is>
          <t>VÄSTERBOTTENS LÄN</t>
        </is>
      </c>
      <c r="E3555" t="inlineStr">
        <is>
          <t>SKELLEFTEÅ</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56501-2024</t>
        </is>
      </c>
      <c r="B3556" s="1" t="n">
        <v>45625</v>
      </c>
      <c r="C3556" s="1" t="n">
        <v>45641</v>
      </c>
      <c r="D3556" t="inlineStr">
        <is>
          <t>VÄSTERBOTTENS LÄN</t>
        </is>
      </c>
      <c r="E3556" t="inlineStr">
        <is>
          <t>SKELLEFTEÅ</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56530-2024</t>
        </is>
      </c>
      <c r="B3557" s="1" t="n">
        <v>45625</v>
      </c>
      <c r="C3557" s="1" t="n">
        <v>45641</v>
      </c>
      <c r="D3557" t="inlineStr">
        <is>
          <t>VÄSTERBOTTENS LÄN</t>
        </is>
      </c>
      <c r="E3557" t="inlineStr">
        <is>
          <t>SKELLEFTEÅ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56539-2024</t>
        </is>
      </c>
      <c r="B3558" s="1" t="n">
        <v>45625</v>
      </c>
      <c r="C3558" s="1" t="n">
        <v>45641</v>
      </c>
      <c r="D3558" t="inlineStr">
        <is>
          <t>VÄSTERBOTTENS LÄN</t>
        </is>
      </c>
      <c r="E3558" t="inlineStr">
        <is>
          <t>SKELLEFTEÅ</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56417-2024</t>
        </is>
      </c>
      <c r="B3559" s="1" t="n">
        <v>45625</v>
      </c>
      <c r="C3559" s="1" t="n">
        <v>45641</v>
      </c>
      <c r="D3559" t="inlineStr">
        <is>
          <t>VÄSTERBOTTENS LÄN</t>
        </is>
      </c>
      <c r="E3559" t="inlineStr">
        <is>
          <t>SKELLEFTEÅ</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56453-2024</t>
        </is>
      </c>
      <c r="B3560" s="1" t="n">
        <v>45625</v>
      </c>
      <c r="C3560" s="1" t="n">
        <v>45641</v>
      </c>
      <c r="D3560" t="inlineStr">
        <is>
          <t>VÄSTERBOTTENS LÄN</t>
        </is>
      </c>
      <c r="E3560" t="inlineStr">
        <is>
          <t>SKELLEFTEÅ</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56500-2024</t>
        </is>
      </c>
      <c r="B3561" s="1" t="n">
        <v>45625</v>
      </c>
      <c r="C3561" s="1" t="n">
        <v>45641</v>
      </c>
      <c r="D3561" t="inlineStr">
        <is>
          <t>VÄSTERBOTTENS LÄN</t>
        </is>
      </c>
      <c r="E3561" t="inlineStr">
        <is>
          <t>SKELLEFTEÅ</t>
        </is>
      </c>
      <c r="F3561" t="inlineStr">
        <is>
          <t>Holmen skog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56529-2024</t>
        </is>
      </c>
      <c r="B3562" s="1" t="n">
        <v>45625</v>
      </c>
      <c r="C3562" s="1" t="n">
        <v>45641</v>
      </c>
      <c r="D3562" t="inlineStr">
        <is>
          <t>VÄSTERBOTTENS LÄN</t>
        </is>
      </c>
      <c r="E3562" t="inlineStr">
        <is>
          <t>SKELLEFTEÅ</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56533-2024</t>
        </is>
      </c>
      <c r="B3563" s="1" t="n">
        <v>45625</v>
      </c>
      <c r="C3563" s="1" t="n">
        <v>45641</v>
      </c>
      <c r="D3563" t="inlineStr">
        <is>
          <t>VÄSTERBOTTENS LÄN</t>
        </is>
      </c>
      <c r="E3563" t="inlineStr">
        <is>
          <t>SKELLEFTEÅ</t>
        </is>
      </c>
      <c r="G3563" t="n">
        <v>12.9</v>
      </c>
      <c r="H3563" t="n">
        <v>0</v>
      </c>
      <c r="I3563" t="n">
        <v>0</v>
      </c>
      <c r="J3563" t="n">
        <v>0</v>
      </c>
      <c r="K3563" t="n">
        <v>0</v>
      </c>
      <c r="L3563" t="n">
        <v>0</v>
      </c>
      <c r="M3563" t="n">
        <v>0</v>
      </c>
      <c r="N3563" t="n">
        <v>0</v>
      </c>
      <c r="O3563" t="n">
        <v>0</v>
      </c>
      <c r="P3563" t="n">
        <v>0</v>
      </c>
      <c r="Q3563" t="n">
        <v>0</v>
      </c>
      <c r="R3563" s="2" t="inlineStr"/>
    </row>
    <row r="3564" ht="15" customHeight="1">
      <c r="A3564" t="inlineStr">
        <is>
          <t>A 56714-2024</t>
        </is>
      </c>
      <c r="B3564" s="1" t="n">
        <v>45628</v>
      </c>
      <c r="C3564" s="1" t="n">
        <v>45641</v>
      </c>
      <c r="D3564" t="inlineStr">
        <is>
          <t>VÄSTERBOTTENS LÄN</t>
        </is>
      </c>
      <c r="E3564" t="inlineStr">
        <is>
          <t>SKELLEFTEÅ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56822-2024</t>
        </is>
      </c>
      <c r="B3565" s="1" t="n">
        <v>45628</v>
      </c>
      <c r="C3565" s="1" t="n">
        <v>45641</v>
      </c>
      <c r="D3565" t="inlineStr">
        <is>
          <t>VÄSTERBOTTENS LÄN</t>
        </is>
      </c>
      <c r="E3565" t="inlineStr">
        <is>
          <t>SKELLEFTEÅ</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56838-2024</t>
        </is>
      </c>
      <c r="B3566" s="1" t="n">
        <v>45628</v>
      </c>
      <c r="C3566" s="1" t="n">
        <v>45641</v>
      </c>
      <c r="D3566" t="inlineStr">
        <is>
          <t>VÄSTERBOTTENS LÄN</t>
        </is>
      </c>
      <c r="E3566" t="inlineStr">
        <is>
          <t>SKELLEFTEÅ</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56952-2024</t>
        </is>
      </c>
      <c r="B3567" s="1" t="n">
        <v>45628</v>
      </c>
      <c r="C3567" s="1" t="n">
        <v>45641</v>
      </c>
      <c r="D3567" t="inlineStr">
        <is>
          <t>VÄSTERBOTTENS LÄN</t>
        </is>
      </c>
      <c r="E3567" t="inlineStr">
        <is>
          <t>SKELLEFTEÅ</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56983-2024</t>
        </is>
      </c>
      <c r="B3568" s="1" t="n">
        <v>45628</v>
      </c>
      <c r="C3568" s="1" t="n">
        <v>45641</v>
      </c>
      <c r="D3568" t="inlineStr">
        <is>
          <t>VÄSTERBOTTENS LÄN</t>
        </is>
      </c>
      <c r="E3568" t="inlineStr">
        <is>
          <t>SKELLEFTEÅ</t>
        </is>
      </c>
      <c r="F3568" t="inlineStr">
        <is>
          <t>Holmen skog AB</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57003-2024</t>
        </is>
      </c>
      <c r="B3569" s="1" t="n">
        <v>45628</v>
      </c>
      <c r="C3569" s="1" t="n">
        <v>45641</v>
      </c>
      <c r="D3569" t="inlineStr">
        <is>
          <t>VÄSTERBOTTENS LÄN</t>
        </is>
      </c>
      <c r="E3569" t="inlineStr">
        <is>
          <t>SKELLEFTEÅ</t>
        </is>
      </c>
      <c r="F3569" t="inlineStr">
        <is>
          <t>Holmen skog AB</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56797-2024</t>
        </is>
      </c>
      <c r="B3570" s="1" t="n">
        <v>45628</v>
      </c>
      <c r="C3570" s="1" t="n">
        <v>45641</v>
      </c>
      <c r="D3570" t="inlineStr">
        <is>
          <t>VÄSTERBOTTENS LÄN</t>
        </is>
      </c>
      <c r="E3570" t="inlineStr">
        <is>
          <t>SKELLEFTEÅ</t>
        </is>
      </c>
      <c r="F3570" t="inlineStr">
        <is>
          <t>Holmen skog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56806-2024</t>
        </is>
      </c>
      <c r="B3571" s="1" t="n">
        <v>45628</v>
      </c>
      <c r="C3571" s="1" t="n">
        <v>45641</v>
      </c>
      <c r="D3571" t="inlineStr">
        <is>
          <t>VÄSTERBOTTENS LÄN</t>
        </is>
      </c>
      <c r="E3571" t="inlineStr">
        <is>
          <t>SKELLEFTEÅ</t>
        </is>
      </c>
      <c r="F3571" t="inlineStr">
        <is>
          <t>Holmen skog AB</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56965-2024</t>
        </is>
      </c>
      <c r="B3572" s="1" t="n">
        <v>45628</v>
      </c>
      <c r="C3572" s="1" t="n">
        <v>45641</v>
      </c>
      <c r="D3572" t="inlineStr">
        <is>
          <t>VÄSTERBOTTENS LÄN</t>
        </is>
      </c>
      <c r="E3572" t="inlineStr">
        <is>
          <t>SKELLEFTEÅ</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56974-2024</t>
        </is>
      </c>
      <c r="B3573" s="1" t="n">
        <v>45628</v>
      </c>
      <c r="C3573" s="1" t="n">
        <v>45641</v>
      </c>
      <c r="D3573" t="inlineStr">
        <is>
          <t>VÄSTERBOTTENS LÄN</t>
        </is>
      </c>
      <c r="E3573" t="inlineStr">
        <is>
          <t>SKELLEFTEÅ</t>
        </is>
      </c>
      <c r="F3573" t="inlineStr">
        <is>
          <t>Holmen skog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57199-2024</t>
        </is>
      </c>
      <c r="B3574" s="1" t="n">
        <v>45628</v>
      </c>
      <c r="C3574" s="1" t="n">
        <v>45641</v>
      </c>
      <c r="D3574" t="inlineStr">
        <is>
          <t>VÄSTERBOTTENS LÄN</t>
        </is>
      </c>
      <c r="E3574" t="inlineStr">
        <is>
          <t>SKELLEFTEÅ</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56745-2024</t>
        </is>
      </c>
      <c r="B3575" s="1" t="n">
        <v>45628</v>
      </c>
      <c r="C3575" s="1" t="n">
        <v>45641</v>
      </c>
      <c r="D3575" t="inlineStr">
        <is>
          <t>VÄSTERBOTTENS LÄN</t>
        </is>
      </c>
      <c r="E3575" t="inlineStr">
        <is>
          <t>SKELLEFTEÅ</t>
        </is>
      </c>
      <c r="F3575" t="inlineStr">
        <is>
          <t>Holmen skog AB</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56923-2024</t>
        </is>
      </c>
      <c r="B3576" s="1" t="n">
        <v>45628</v>
      </c>
      <c r="C3576" s="1" t="n">
        <v>45641</v>
      </c>
      <c r="D3576" t="inlineStr">
        <is>
          <t>VÄSTERBOTTENS LÄN</t>
        </is>
      </c>
      <c r="E3576" t="inlineStr">
        <is>
          <t>SKELLEFTEÅ</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57182-2024</t>
        </is>
      </c>
      <c r="B3577" s="1" t="n">
        <v>45629</v>
      </c>
      <c r="C3577" s="1" t="n">
        <v>45641</v>
      </c>
      <c r="D3577" t="inlineStr">
        <is>
          <t>VÄSTERBOTTENS LÄN</t>
        </is>
      </c>
      <c r="E3577" t="inlineStr">
        <is>
          <t>SKELLEFTEÅ</t>
        </is>
      </c>
      <c r="F3577" t="inlineStr">
        <is>
          <t>Holmen skog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57340-2024</t>
        </is>
      </c>
      <c r="B3578" s="1" t="n">
        <v>45629</v>
      </c>
      <c r="C3578" s="1" t="n">
        <v>45641</v>
      </c>
      <c r="D3578" t="inlineStr">
        <is>
          <t>VÄSTERBOTTENS LÄN</t>
        </is>
      </c>
      <c r="E3578" t="inlineStr">
        <is>
          <t>SKELLEFTEÅ</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57186-2024</t>
        </is>
      </c>
      <c r="B3579" s="1" t="n">
        <v>45629</v>
      </c>
      <c r="C3579" s="1" t="n">
        <v>45641</v>
      </c>
      <c r="D3579" t="inlineStr">
        <is>
          <t>VÄSTERBOTTENS LÄN</t>
        </is>
      </c>
      <c r="E3579" t="inlineStr">
        <is>
          <t>SKELLEFTEÅ</t>
        </is>
      </c>
      <c r="F3579" t="inlineStr">
        <is>
          <t>Holmen skog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57274-2024</t>
        </is>
      </c>
      <c r="B3580" s="1" t="n">
        <v>45629</v>
      </c>
      <c r="C3580" s="1" t="n">
        <v>45641</v>
      </c>
      <c r="D3580" t="inlineStr">
        <is>
          <t>VÄSTERBOTTENS LÄN</t>
        </is>
      </c>
      <c r="E3580" t="inlineStr">
        <is>
          <t>SKELLEFTEÅ</t>
        </is>
      </c>
      <c r="F3580" t="inlineStr">
        <is>
          <t>Holmen skog AB</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57278-2024</t>
        </is>
      </c>
      <c r="B3581" s="1" t="n">
        <v>45629</v>
      </c>
      <c r="C3581" s="1" t="n">
        <v>45641</v>
      </c>
      <c r="D3581" t="inlineStr">
        <is>
          <t>VÄSTERBOTTENS LÄN</t>
        </is>
      </c>
      <c r="E3581" t="inlineStr">
        <is>
          <t>SKELLEFTEÅ</t>
        </is>
      </c>
      <c r="F3581" t="inlineStr">
        <is>
          <t>Holmen skog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57131-2024</t>
        </is>
      </c>
      <c r="B3582" s="1" t="n">
        <v>45629</v>
      </c>
      <c r="C3582" s="1" t="n">
        <v>45641</v>
      </c>
      <c r="D3582" t="inlineStr">
        <is>
          <t>VÄSTERBOTTENS LÄN</t>
        </is>
      </c>
      <c r="E3582" t="inlineStr">
        <is>
          <t>SKELLEFTEÅ</t>
        </is>
      </c>
      <c r="F3582" t="inlineStr">
        <is>
          <t>Holmen skog AB</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57222-2024</t>
        </is>
      </c>
      <c r="B3583" s="1" t="n">
        <v>45629</v>
      </c>
      <c r="C3583" s="1" t="n">
        <v>45641</v>
      </c>
      <c r="D3583" t="inlineStr">
        <is>
          <t>VÄSTERBOTTENS LÄN</t>
        </is>
      </c>
      <c r="E3583" t="inlineStr">
        <is>
          <t>SKELLEFTEÅ</t>
        </is>
      </c>
      <c r="F3583" t="inlineStr">
        <is>
          <t>Holmen skog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57245-2024</t>
        </is>
      </c>
      <c r="B3584" s="1" t="n">
        <v>45629</v>
      </c>
      <c r="C3584" s="1" t="n">
        <v>45641</v>
      </c>
      <c r="D3584" t="inlineStr">
        <is>
          <t>VÄSTERBOTTENS LÄN</t>
        </is>
      </c>
      <c r="E3584" t="inlineStr">
        <is>
          <t>SKELLEFTEÅ</t>
        </is>
      </c>
      <c r="F3584" t="inlineStr">
        <is>
          <t>Sveaskog</t>
        </is>
      </c>
      <c r="G3584" t="n">
        <v>15.6</v>
      </c>
      <c r="H3584" t="n">
        <v>0</v>
      </c>
      <c r="I3584" t="n">
        <v>0</v>
      </c>
      <c r="J3584" t="n">
        <v>0</v>
      </c>
      <c r="K3584" t="n">
        <v>0</v>
      </c>
      <c r="L3584" t="n">
        <v>0</v>
      </c>
      <c r="M3584" t="n">
        <v>0</v>
      </c>
      <c r="N3584" t="n">
        <v>0</v>
      </c>
      <c r="O3584" t="n">
        <v>0</v>
      </c>
      <c r="P3584" t="n">
        <v>0</v>
      </c>
      <c r="Q3584" t="n">
        <v>0</v>
      </c>
      <c r="R3584" s="2" t="inlineStr"/>
    </row>
    <row r="3585" ht="15" customHeight="1">
      <c r="A3585" t="inlineStr">
        <is>
          <t>A 57479-2024</t>
        </is>
      </c>
      <c r="B3585" s="1" t="n">
        <v>45630</v>
      </c>
      <c r="C3585" s="1" t="n">
        <v>45641</v>
      </c>
      <c r="D3585" t="inlineStr">
        <is>
          <t>VÄSTERBOTTENS LÄN</t>
        </is>
      </c>
      <c r="E3585" t="inlineStr">
        <is>
          <t>SKELLEFTEÅ</t>
        </is>
      </c>
      <c r="F3585" t="inlineStr">
        <is>
          <t>Sveaskog</t>
        </is>
      </c>
      <c r="G3585" t="n">
        <v>16.4</v>
      </c>
      <c r="H3585" t="n">
        <v>0</v>
      </c>
      <c r="I3585" t="n">
        <v>0</v>
      </c>
      <c r="J3585" t="n">
        <v>0</v>
      </c>
      <c r="K3585" t="n">
        <v>0</v>
      </c>
      <c r="L3585" t="n">
        <v>0</v>
      </c>
      <c r="M3585" t="n">
        <v>0</v>
      </c>
      <c r="N3585" t="n">
        <v>0</v>
      </c>
      <c r="O3585" t="n">
        <v>0</v>
      </c>
      <c r="P3585" t="n">
        <v>0</v>
      </c>
      <c r="Q3585" t="n">
        <v>0</v>
      </c>
      <c r="R3585" s="2" t="inlineStr"/>
    </row>
    <row r="3586" ht="15" customHeight="1">
      <c r="A3586" t="inlineStr">
        <is>
          <t>A 57876-2024</t>
        </is>
      </c>
      <c r="B3586" s="1" t="n">
        <v>45631</v>
      </c>
      <c r="C3586" s="1" t="n">
        <v>45641</v>
      </c>
      <c r="D3586" t="inlineStr">
        <is>
          <t>VÄSTERBOTTENS LÄN</t>
        </is>
      </c>
      <c r="E3586" t="inlineStr">
        <is>
          <t>SKELLEFTEÅ</t>
        </is>
      </c>
      <c r="G3586" t="n">
        <v>14.8</v>
      </c>
      <c r="H3586" t="n">
        <v>0</v>
      </c>
      <c r="I3586" t="n">
        <v>0</v>
      </c>
      <c r="J3586" t="n">
        <v>0</v>
      </c>
      <c r="K3586" t="n">
        <v>0</v>
      </c>
      <c r="L3586" t="n">
        <v>0</v>
      </c>
      <c r="M3586" t="n">
        <v>0</v>
      </c>
      <c r="N3586" t="n">
        <v>0</v>
      </c>
      <c r="O3586" t="n">
        <v>0</v>
      </c>
      <c r="P3586" t="n">
        <v>0</v>
      </c>
      <c r="Q3586" t="n">
        <v>0</v>
      </c>
      <c r="R3586" s="2" t="inlineStr"/>
    </row>
    <row r="3587" ht="15" customHeight="1">
      <c r="A3587" t="inlineStr">
        <is>
          <t>A 57894-2024</t>
        </is>
      </c>
      <c r="B3587" s="1" t="n">
        <v>45631</v>
      </c>
      <c r="C3587" s="1" t="n">
        <v>45641</v>
      </c>
      <c r="D3587" t="inlineStr">
        <is>
          <t>VÄSTERBOTTENS LÄN</t>
        </is>
      </c>
      <c r="E3587" t="inlineStr">
        <is>
          <t>SKELLEFTEÅ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58008-2024</t>
        </is>
      </c>
      <c r="B3588" s="1" t="n">
        <v>45631</v>
      </c>
      <c r="C3588" s="1" t="n">
        <v>45641</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57893-2024</t>
        </is>
      </c>
      <c r="B3589" s="1" t="n">
        <v>45631</v>
      </c>
      <c r="C3589" s="1" t="n">
        <v>45641</v>
      </c>
      <c r="D3589" t="inlineStr">
        <is>
          <t>VÄSTERBOTTENS LÄN</t>
        </is>
      </c>
      <c r="E3589" t="inlineStr">
        <is>
          <t>SKELLEFTEÅ</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58119-2024</t>
        </is>
      </c>
      <c r="B3590" s="1" t="n">
        <v>45632</v>
      </c>
      <c r="C3590" s="1" t="n">
        <v>45641</v>
      </c>
      <c r="D3590" t="inlineStr">
        <is>
          <t>VÄSTERBOTTENS LÄN</t>
        </is>
      </c>
      <c r="E3590" t="inlineStr">
        <is>
          <t>SKELLEFTEÅ</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58480-2024</t>
        </is>
      </c>
      <c r="B3591" s="1" t="n">
        <v>45635</v>
      </c>
      <c r="C3591" s="1" t="n">
        <v>45641</v>
      </c>
      <c r="D3591" t="inlineStr">
        <is>
          <t>VÄSTERBOTTENS LÄN</t>
        </is>
      </c>
      <c r="E3591" t="inlineStr">
        <is>
          <t>SKELLEFTEÅ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58465-2024</t>
        </is>
      </c>
      <c r="B3592" s="1" t="n">
        <v>45635</v>
      </c>
      <c r="C3592" s="1" t="n">
        <v>45641</v>
      </c>
      <c r="D3592" t="inlineStr">
        <is>
          <t>VÄSTERBOTTENS LÄN</t>
        </is>
      </c>
      <c r="E3592" t="inlineStr">
        <is>
          <t>SKELLEFTEÅ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58542-2024</t>
        </is>
      </c>
      <c r="B3593" s="1" t="n">
        <v>45635</v>
      </c>
      <c r="C3593" s="1" t="n">
        <v>45641</v>
      </c>
      <c r="D3593" t="inlineStr">
        <is>
          <t>VÄSTERBOTTENS LÄN</t>
        </is>
      </c>
      <c r="E3593" t="inlineStr">
        <is>
          <t>SKELLEFTEÅ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58595-2024</t>
        </is>
      </c>
      <c r="B3594" s="1" t="n">
        <v>45635</v>
      </c>
      <c r="C3594" s="1" t="n">
        <v>45641</v>
      </c>
      <c r="D3594" t="inlineStr">
        <is>
          <t>VÄSTERBOTTENS LÄN</t>
        </is>
      </c>
      <c r="E3594" t="inlineStr">
        <is>
          <t>SKELLEFTEÅ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58977-2024</t>
        </is>
      </c>
      <c r="B3595" s="1" t="n">
        <v>45635</v>
      </c>
      <c r="C3595" s="1" t="n">
        <v>45641</v>
      </c>
      <c r="D3595" t="inlineStr">
        <is>
          <t>VÄSTERBOTTENS LÄN</t>
        </is>
      </c>
      <c r="E3595" t="inlineStr">
        <is>
          <t>SKELLEFTEÅ</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58557-2024</t>
        </is>
      </c>
      <c r="B3596" s="1" t="n">
        <v>45635</v>
      </c>
      <c r="C3596" s="1" t="n">
        <v>45641</v>
      </c>
      <c r="D3596" t="inlineStr">
        <is>
          <t>VÄSTERBOTTENS LÄN</t>
        </is>
      </c>
      <c r="E3596" t="inlineStr">
        <is>
          <t>SKELLEFTEÅ</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58969-2024</t>
        </is>
      </c>
      <c r="B3597" s="1" t="n">
        <v>45635</v>
      </c>
      <c r="C3597" s="1" t="n">
        <v>45641</v>
      </c>
      <c r="D3597" t="inlineStr">
        <is>
          <t>VÄSTERBOTTENS LÄN</t>
        </is>
      </c>
      <c r="E3597" t="inlineStr">
        <is>
          <t>SKELLEFTEÅ</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58776-2024</t>
        </is>
      </c>
      <c r="B3598" s="1" t="n">
        <v>45635</v>
      </c>
      <c r="C3598" s="1" t="n">
        <v>45641</v>
      </c>
      <c r="D3598" t="inlineStr">
        <is>
          <t>VÄSTERBOTTENS LÄN</t>
        </is>
      </c>
      <c r="E3598" t="inlineStr">
        <is>
          <t>SKELLEFTEÅ</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58960-2024</t>
        </is>
      </c>
      <c r="B3599" s="1" t="n">
        <v>45635</v>
      </c>
      <c r="C3599" s="1" t="n">
        <v>45641</v>
      </c>
      <c r="D3599" t="inlineStr">
        <is>
          <t>VÄSTERBOTTENS LÄN</t>
        </is>
      </c>
      <c r="E3599" t="inlineStr">
        <is>
          <t>SKELLEFTEÅ</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58775-2024</t>
        </is>
      </c>
      <c r="B3600" s="1" t="n">
        <v>45635</v>
      </c>
      <c r="C3600" s="1" t="n">
        <v>45641</v>
      </c>
      <c r="D3600" t="inlineStr">
        <is>
          <t>VÄSTERBOTTENS LÄN</t>
        </is>
      </c>
      <c r="E3600" t="inlineStr">
        <is>
          <t>SKELLEFTEÅ</t>
        </is>
      </c>
      <c r="F3600" t="inlineStr">
        <is>
          <t>Sveaskog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58830-2024</t>
        </is>
      </c>
      <c r="B3601" s="1" t="n">
        <v>45636</v>
      </c>
      <c r="C3601" s="1" t="n">
        <v>45641</v>
      </c>
      <c r="D3601" t="inlineStr">
        <is>
          <t>VÄSTERBOTTENS LÄN</t>
        </is>
      </c>
      <c r="E3601" t="inlineStr">
        <is>
          <t>SKELLEFTEÅ</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58829-2024</t>
        </is>
      </c>
      <c r="B3602" s="1" t="n">
        <v>45636</v>
      </c>
      <c r="C3602" s="1" t="n">
        <v>45641</v>
      </c>
      <c r="D3602" t="inlineStr">
        <is>
          <t>VÄSTERBOTTENS LÄN</t>
        </is>
      </c>
      <c r="E3602" t="inlineStr">
        <is>
          <t>SKELLEFTEÅ</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58902-2024</t>
        </is>
      </c>
      <c r="B3603" s="1" t="n">
        <v>45636</v>
      </c>
      <c r="C3603" s="1" t="n">
        <v>45641</v>
      </c>
      <c r="D3603" t="inlineStr">
        <is>
          <t>VÄSTERBOTTENS LÄN</t>
        </is>
      </c>
      <c r="E3603" t="inlineStr">
        <is>
          <t>SKELLEFTEÅ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58939-2024</t>
        </is>
      </c>
      <c r="B3604" s="1" t="n">
        <v>45636</v>
      </c>
      <c r="C3604" s="1" t="n">
        <v>45641</v>
      </c>
      <c r="D3604" t="inlineStr">
        <is>
          <t>VÄSTERBOTTENS LÄN</t>
        </is>
      </c>
      <c r="E3604" t="inlineStr">
        <is>
          <t>SKELLEFTEÅ</t>
        </is>
      </c>
      <c r="G3604" t="n">
        <v>13.4</v>
      </c>
      <c r="H3604" t="n">
        <v>0</v>
      </c>
      <c r="I3604" t="n">
        <v>0</v>
      </c>
      <c r="J3604" t="n">
        <v>0</v>
      </c>
      <c r="K3604" t="n">
        <v>0</v>
      </c>
      <c r="L3604" t="n">
        <v>0</v>
      </c>
      <c r="M3604" t="n">
        <v>0</v>
      </c>
      <c r="N3604" t="n">
        <v>0</v>
      </c>
      <c r="O3604" t="n">
        <v>0</v>
      </c>
      <c r="P3604" t="n">
        <v>0</v>
      </c>
      <c r="Q3604" t="n">
        <v>0</v>
      </c>
      <c r="R3604" s="2" t="inlineStr"/>
    </row>
    <row r="3605" ht="15" customHeight="1">
      <c r="A3605" t="inlineStr">
        <is>
          <t>A 59198-2024</t>
        </is>
      </c>
      <c r="B3605" s="1" t="n">
        <v>45636</v>
      </c>
      <c r="C3605" s="1" t="n">
        <v>45641</v>
      </c>
      <c r="D3605" t="inlineStr">
        <is>
          <t>VÄSTERBOTTENS LÄN</t>
        </is>
      </c>
      <c r="E3605" t="inlineStr">
        <is>
          <t>SKELLEFTEÅ</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58869-2024</t>
        </is>
      </c>
      <c r="B3606" s="1" t="n">
        <v>45636</v>
      </c>
      <c r="C3606" s="1" t="n">
        <v>45641</v>
      </c>
      <c r="D3606" t="inlineStr">
        <is>
          <t>VÄSTERBOTTENS LÄN</t>
        </is>
      </c>
      <c r="E3606" t="inlineStr">
        <is>
          <t>SKELLEFTEÅ</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58993-2024</t>
        </is>
      </c>
      <c r="B3607" s="1" t="n">
        <v>45636</v>
      </c>
      <c r="C3607" s="1" t="n">
        <v>45641</v>
      </c>
      <c r="D3607" t="inlineStr">
        <is>
          <t>VÄSTERBOTTENS LÄN</t>
        </is>
      </c>
      <c r="E3607" t="inlineStr">
        <is>
          <t>SKELLEFTEÅ</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59123-2024</t>
        </is>
      </c>
      <c r="B3608" s="1" t="n">
        <v>45637</v>
      </c>
      <c r="C3608" s="1" t="n">
        <v>45641</v>
      </c>
      <c r="D3608" t="inlineStr">
        <is>
          <t>VÄSTERBOTTENS LÄN</t>
        </is>
      </c>
      <c r="E3608" t="inlineStr">
        <is>
          <t>SKELLEFTEÅ</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59134-2024</t>
        </is>
      </c>
      <c r="B3609" s="1" t="n">
        <v>45637</v>
      </c>
      <c r="C3609" s="1" t="n">
        <v>45641</v>
      </c>
      <c r="D3609" t="inlineStr">
        <is>
          <t>VÄSTERBOTTENS LÄN</t>
        </is>
      </c>
      <c r="E3609" t="inlineStr">
        <is>
          <t>SKELLEFTEÅ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59109-2024</t>
        </is>
      </c>
      <c r="B3610" s="1" t="n">
        <v>45637</v>
      </c>
      <c r="C3610" s="1" t="n">
        <v>45641</v>
      </c>
      <c r="D3610" t="inlineStr">
        <is>
          <t>VÄSTERBOTTENS LÄN</t>
        </is>
      </c>
      <c r="E3610" t="inlineStr">
        <is>
          <t>SKELLEFTEÅ</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59316-2024</t>
        </is>
      </c>
      <c r="B3611" s="1" t="n">
        <v>45637</v>
      </c>
      <c r="C3611" s="1" t="n">
        <v>45641</v>
      </c>
      <c r="D3611" t="inlineStr">
        <is>
          <t>VÄSTERBOTTENS LÄN</t>
        </is>
      </c>
      <c r="E3611" t="inlineStr">
        <is>
          <t>SKELLEFTEÅ</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59324-2024</t>
        </is>
      </c>
      <c r="B3612" s="1" t="n">
        <v>45637</v>
      </c>
      <c r="C3612" s="1" t="n">
        <v>45641</v>
      </c>
      <c r="D3612" t="inlineStr">
        <is>
          <t>VÄSTERBOTTENS LÄN</t>
        </is>
      </c>
      <c r="E3612" t="inlineStr">
        <is>
          <t>SKELLEFTEÅ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59188-2024</t>
        </is>
      </c>
      <c r="B3613" s="1" t="n">
        <v>45637</v>
      </c>
      <c r="C3613" s="1" t="n">
        <v>45641</v>
      </c>
      <c r="D3613" t="inlineStr">
        <is>
          <t>VÄSTERBOTTENS LÄN</t>
        </is>
      </c>
      <c r="E3613" t="inlineStr">
        <is>
          <t>SKELLEFTEÅ</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59425-2024</t>
        </is>
      </c>
      <c r="B3614" s="1" t="n">
        <v>45638</v>
      </c>
      <c r="C3614" s="1" t="n">
        <v>45641</v>
      </c>
      <c r="D3614" t="inlineStr">
        <is>
          <t>VÄSTERBOTTENS LÄN</t>
        </is>
      </c>
      <c r="E3614" t="inlineStr">
        <is>
          <t>SKELLEFTEÅ</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59442-2024</t>
        </is>
      </c>
      <c r="B3615" s="1" t="n">
        <v>45638</v>
      </c>
      <c r="C3615" s="1" t="n">
        <v>45641</v>
      </c>
      <c r="D3615" t="inlineStr">
        <is>
          <t>VÄSTERBOTTENS LÄN</t>
        </is>
      </c>
      <c r="E3615" t="inlineStr">
        <is>
          <t>SKELLEFTEÅ</t>
        </is>
      </c>
      <c r="F3615" t="inlineStr">
        <is>
          <t>Holmen skog AB</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59608-2024</t>
        </is>
      </c>
      <c r="B3616" s="1" t="n">
        <v>45638</v>
      </c>
      <c r="C3616" s="1" t="n">
        <v>45641</v>
      </c>
      <c r="D3616" t="inlineStr">
        <is>
          <t>VÄSTERBOTTENS LÄN</t>
        </is>
      </c>
      <c r="E3616" t="inlineStr">
        <is>
          <t>SKELLEFTEÅ</t>
        </is>
      </c>
      <c r="F3616" t="inlineStr">
        <is>
          <t>Sveaskog</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59606-2024</t>
        </is>
      </c>
      <c r="B3617" s="1" t="n">
        <v>45638</v>
      </c>
      <c r="C3617" s="1" t="n">
        <v>45641</v>
      </c>
      <c r="D3617" t="inlineStr">
        <is>
          <t>VÄSTERBOTTENS LÄN</t>
        </is>
      </c>
      <c r="E3617" t="inlineStr">
        <is>
          <t>SKELLEFTEÅ</t>
        </is>
      </c>
      <c r="F3617" t="inlineStr">
        <is>
          <t>Sveaskog</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59443-2024</t>
        </is>
      </c>
      <c r="B3618" s="1" t="n">
        <v>45638</v>
      </c>
      <c r="C3618" s="1" t="n">
        <v>45641</v>
      </c>
      <c r="D3618" t="inlineStr">
        <is>
          <t>VÄSTERBOTTENS LÄN</t>
        </is>
      </c>
      <c r="E3618" t="inlineStr">
        <is>
          <t>SKELLEFTEÅ</t>
        </is>
      </c>
      <c r="F3618" t="inlineStr">
        <is>
          <t>Sveaskog</t>
        </is>
      </c>
      <c r="G3618" t="n">
        <v>11.7</v>
      </c>
      <c r="H3618" t="n">
        <v>0</v>
      </c>
      <c r="I3618" t="n">
        <v>0</v>
      </c>
      <c r="J3618" t="n">
        <v>0</v>
      </c>
      <c r="K3618" t="n">
        <v>0</v>
      </c>
      <c r="L3618" t="n">
        <v>0</v>
      </c>
      <c r="M3618" t="n">
        <v>0</v>
      </c>
      <c r="N3618" t="n">
        <v>0</v>
      </c>
      <c r="O3618" t="n">
        <v>0</v>
      </c>
      <c r="P3618" t="n">
        <v>0</v>
      </c>
      <c r="Q3618" t="n">
        <v>0</v>
      </c>
      <c r="R3618" s="2" t="inlineStr"/>
    </row>
    <row r="3619" ht="15" customHeight="1">
      <c r="A3619" t="inlineStr">
        <is>
          <t>A 59516-2024</t>
        </is>
      </c>
      <c r="B3619" s="1" t="n">
        <v>45638</v>
      </c>
      <c r="C3619" s="1" t="n">
        <v>45641</v>
      </c>
      <c r="D3619" t="inlineStr">
        <is>
          <t>VÄSTERBOTTENS LÄN</t>
        </is>
      </c>
      <c r="E3619" t="inlineStr">
        <is>
          <t>SKELLEFTEÅ</t>
        </is>
      </c>
      <c r="F3619" t="inlineStr">
        <is>
          <t>Holmen skog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59633-2024</t>
        </is>
      </c>
      <c r="B3620" s="1" t="n">
        <v>45638</v>
      </c>
      <c r="C3620" s="1" t="n">
        <v>45641</v>
      </c>
      <c r="D3620" t="inlineStr">
        <is>
          <t>VÄSTERBOTTENS LÄN</t>
        </is>
      </c>
      <c r="E3620" t="inlineStr">
        <is>
          <t>SKELLEFTEÅ</t>
        </is>
      </c>
      <c r="F3620" t="inlineStr">
        <is>
          <t>Sveaskog</t>
        </is>
      </c>
      <c r="G3620" t="n">
        <v>11.5</v>
      </c>
      <c r="H3620" t="n">
        <v>0</v>
      </c>
      <c r="I3620" t="n">
        <v>0</v>
      </c>
      <c r="J3620" t="n">
        <v>0</v>
      </c>
      <c r="K3620" t="n">
        <v>0</v>
      </c>
      <c r="L3620" t="n">
        <v>0</v>
      </c>
      <c r="M3620" t="n">
        <v>0</v>
      </c>
      <c r="N3620" t="n">
        <v>0</v>
      </c>
      <c r="O3620" t="n">
        <v>0</v>
      </c>
      <c r="P3620" t="n">
        <v>0</v>
      </c>
      <c r="Q3620" t="n">
        <v>0</v>
      </c>
      <c r="R3620" s="2" t="inlineStr"/>
    </row>
    <row r="3621" ht="15" customHeight="1">
      <c r="A3621" t="inlineStr">
        <is>
          <t>A 59660-2024</t>
        </is>
      </c>
      <c r="B3621" s="1" t="n">
        <v>45639</v>
      </c>
      <c r="C3621" s="1" t="n">
        <v>45641</v>
      </c>
      <c r="D3621" t="inlineStr">
        <is>
          <t>VÄSTERBOTTENS LÄN</t>
        </is>
      </c>
      <c r="E3621" t="inlineStr">
        <is>
          <t>SKELLEFTEÅ</t>
        </is>
      </c>
      <c r="F3621" t="inlineStr">
        <is>
          <t>Sveaskog</t>
        </is>
      </c>
      <c r="G3621" t="n">
        <v>13.9</v>
      </c>
      <c r="H3621" t="n">
        <v>0</v>
      </c>
      <c r="I3621" t="n">
        <v>0</v>
      </c>
      <c r="J3621" t="n">
        <v>0</v>
      </c>
      <c r="K3621" t="n">
        <v>0</v>
      </c>
      <c r="L3621" t="n">
        <v>0</v>
      </c>
      <c r="M3621" t="n">
        <v>0</v>
      </c>
      <c r="N3621" t="n">
        <v>0</v>
      </c>
      <c r="O3621" t="n">
        <v>0</v>
      </c>
      <c r="P3621" t="n">
        <v>0</v>
      </c>
      <c r="Q3621" t="n">
        <v>0</v>
      </c>
      <c r="R3621" s="2" t="inlineStr"/>
    </row>
    <row r="3622" ht="15" customHeight="1">
      <c r="A3622" t="inlineStr">
        <is>
          <t>A 59664-2024</t>
        </is>
      </c>
      <c r="B3622" s="1" t="n">
        <v>45639</v>
      </c>
      <c r="C3622" s="1" t="n">
        <v>45641</v>
      </c>
      <c r="D3622" t="inlineStr">
        <is>
          <t>VÄSTERBOTTENS LÄN</t>
        </is>
      </c>
      <c r="E3622" t="inlineStr">
        <is>
          <t>SKELLEFTEÅ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59689-2024</t>
        </is>
      </c>
      <c r="B3623" s="1" t="n">
        <v>45639</v>
      </c>
      <c r="C3623" s="1" t="n">
        <v>45641</v>
      </c>
      <c r="D3623" t="inlineStr">
        <is>
          <t>VÄSTERBOTTENS LÄN</t>
        </is>
      </c>
      <c r="E3623" t="inlineStr">
        <is>
          <t>SKELLEFTEÅ</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59640-2024</t>
        </is>
      </c>
      <c r="B3624" s="1" t="n">
        <v>45639</v>
      </c>
      <c r="C3624" s="1" t="n">
        <v>45641</v>
      </c>
      <c r="D3624" t="inlineStr">
        <is>
          <t>VÄSTERBOTTENS LÄN</t>
        </is>
      </c>
      <c r="E3624" t="inlineStr">
        <is>
          <t>SKELLEFTEÅ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59711-2024</t>
        </is>
      </c>
      <c r="B3625" s="1" t="n">
        <v>45639</v>
      </c>
      <c r="C3625" s="1" t="n">
        <v>45641</v>
      </c>
      <c r="D3625" t="inlineStr">
        <is>
          <t>VÄSTERBOTTENS LÄN</t>
        </is>
      </c>
      <c r="E3625" t="inlineStr">
        <is>
          <t>SKELLEFTEÅ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59663-2024</t>
        </is>
      </c>
      <c r="B3626" s="1" t="n">
        <v>45639</v>
      </c>
      <c r="C3626" s="1" t="n">
        <v>45641</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c r="A3627" t="inlineStr">
        <is>
          <t>A 59783-2024</t>
        </is>
      </c>
      <c r="B3627" s="1" t="n">
        <v>45639</v>
      </c>
      <c r="C3627" s="1" t="n">
        <v>45641</v>
      </c>
      <c r="D3627" t="inlineStr">
        <is>
          <t>VÄSTERBOTTENS LÄN</t>
        </is>
      </c>
      <c r="E3627" t="inlineStr">
        <is>
          <t>SKELLEFTEÅ</t>
        </is>
      </c>
      <c r="G3627" t="n">
        <v>4.1</v>
      </c>
      <c r="H3627" t="n">
        <v>0</v>
      </c>
      <c r="I3627" t="n">
        <v>0</v>
      </c>
      <c r="J3627" t="n">
        <v>0</v>
      </c>
      <c r="K3627" t="n">
        <v>0</v>
      </c>
      <c r="L3627" t="n">
        <v>0</v>
      </c>
      <c r="M3627" t="n">
        <v>0</v>
      </c>
      <c r="N3627" t="n">
        <v>0</v>
      </c>
      <c r="O3627" t="n">
        <v>0</v>
      </c>
      <c r="P3627" t="n">
        <v>0</v>
      </c>
      <c r="Q3627" t="n">
        <v>0</v>
      </c>
      <c r="R3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2024-12-15T15:12:49Z</dcterms:created>
  <dcterms:modified xmlns:dcterms="http://purl.org/dc/terms/" xmlns:xsi="http://www.w3.org/2001/XMLSchema-instance" xsi:type="dcterms:W3CDTF">2024-12-15T15:12:52Z</dcterms:modified>
</cp:coreProperties>
</file>